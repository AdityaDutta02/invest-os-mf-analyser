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tember 2023\For sent\EQ scheme\"/>
    </mc:Choice>
  </mc:AlternateContent>
  <bookViews>
    <workbookView xWindow="0" yWindow="0" windowWidth="20490" windowHeight="7770"/>
  </bookViews>
  <sheets>
    <sheet name="JM Arbitrage Fund" sheetId="1" r:id="rId1"/>
  </sheets>
  <definedNames>
    <definedName name="_xlnm._FilterDatabase" localSheetId="0" hidden="1">'JM Arbitrage Fund'!$A$1:$H$220</definedName>
    <definedName name="AAAAA">#REF!</definedName>
    <definedName name="Afs">#REF!</definedName>
    <definedName name="_xlnm.Database">#REF!</definedName>
    <definedName name="EBLDB">#REF!</definedName>
    <definedName name="fl">#REF!</definedName>
    <definedName name="_xlnm.Print_Area" localSheetId="0">'JM Arbitrage Fund'!$A$1:$E$71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2" i="1" l="1"/>
  <c r="E81" i="1"/>
  <c r="E82" i="1" s="1"/>
  <c r="D79" i="1"/>
  <c r="E78" i="1"/>
  <c r="E79" i="1" s="1"/>
  <c r="D77" i="1"/>
  <c r="E76" i="1"/>
  <c r="E75" i="1"/>
  <c r="E74" i="1"/>
  <c r="E73" i="1"/>
  <c r="F63" i="1"/>
  <c r="D59" i="1"/>
  <c r="D63" i="1" s="1"/>
  <c r="E58" i="1"/>
  <c r="E57" i="1"/>
  <c r="D49" i="1"/>
  <c r="D53" i="1" s="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9" i="1" l="1"/>
  <c r="E53" i="1" s="1"/>
  <c r="E59" i="1"/>
  <c r="E63" i="1" s="1"/>
  <c r="E84" i="1" s="1"/>
  <c r="E88" i="1" s="1"/>
  <c r="D84" i="1"/>
  <c r="D86" i="1" s="1"/>
  <c r="E86" i="1" s="1"/>
  <c r="E77" i="1"/>
</calcChain>
</file>

<file path=xl/sharedStrings.xml><?xml version="1.0" encoding="utf-8"?>
<sst xmlns="http://schemas.openxmlformats.org/spreadsheetml/2006/main" count="311" uniqueCount="223">
  <si>
    <t>JM Arbitrage Fund (An open ended scheme investing in arbitrage opportunities)</t>
  </si>
  <si>
    <t>Portfolio as on 30.09.2023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</si>
  <si>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</si>
  <si>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</si>
  <si>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</si>
  <si>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</si>
  <si>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</si>
  <si>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</si>
  <si>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</si>
  <si>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</si>
  <si>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</si>
  <si>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</si>
  <si>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</si>
  <si>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</si>
  <si>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</si>
  <si>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Reliance Industries Ltd.</t>
  </si>
  <si>
    <t>Petroleum Products</t>
  </si>
  <si>
    <t>INE002A01018</t>
  </si>
  <si>
    <t>LIC Housing Finance Ltd.</t>
  </si>
  <si>
    <t>Finance</t>
  </si>
  <si>
    <t>INE115A01026</t>
  </si>
  <si>
    <t>Bandhan Bank Ltd.</t>
  </si>
  <si>
    <t>INE545U01014</t>
  </si>
  <si>
    <t>NMDC Ltd.</t>
  </si>
  <si>
    <t>Minerals &amp; Mining</t>
  </si>
  <si>
    <t>INE584A01023</t>
  </si>
  <si>
    <t>United Spirits Ltd.</t>
  </si>
  <si>
    <t>Beverages</t>
  </si>
  <si>
    <t>INE854D01024</t>
  </si>
  <si>
    <t>Canara Bank</t>
  </si>
  <si>
    <t>INE476A01014</t>
  </si>
  <si>
    <t>ACC Ltd.</t>
  </si>
  <si>
    <t>Cement &amp; Cement Products</t>
  </si>
  <si>
    <t>INE012A01025</t>
  </si>
  <si>
    <t>IndusInd Bank Ltd.</t>
  </si>
  <si>
    <t>INE095A01012</t>
  </si>
  <si>
    <t>National Aluminium Company Ltd.</t>
  </si>
  <si>
    <t>Non - Ferrous Metals</t>
  </si>
  <si>
    <t>INE139A01034</t>
  </si>
  <si>
    <t>Hindustan Petroleum Corporation Ltd.</t>
  </si>
  <si>
    <t>INE094A01015</t>
  </si>
  <si>
    <t>Granules India Ltd.</t>
  </si>
  <si>
    <t>Pharmaceuticals &amp; Biotechnology</t>
  </si>
  <si>
    <t>INE101D01020</t>
  </si>
  <si>
    <t>Tata Power Company Ltd.</t>
  </si>
  <si>
    <t>Power</t>
  </si>
  <si>
    <t>INE245A01021</t>
  </si>
  <si>
    <t>ITC Ltd.</t>
  </si>
  <si>
    <t>Diversified FMCG</t>
  </si>
  <si>
    <t>INE154A01025</t>
  </si>
  <si>
    <t>Zee Entertainment Enterprises Ltd.</t>
  </si>
  <si>
    <t>Entertainment</t>
  </si>
  <si>
    <t>INE256A01028</t>
  </si>
  <si>
    <t>Hindustan Aeronautics Ltd.</t>
  </si>
  <si>
    <t>Aerospace &amp; Defense</t>
  </si>
  <si>
    <t>INE066F01020</t>
  </si>
  <si>
    <t>Hindustan Copper Ltd.</t>
  </si>
  <si>
    <t>INE531E01026</t>
  </si>
  <si>
    <t>GAIL (India) Ltd.</t>
  </si>
  <si>
    <t>Gas</t>
  </si>
  <si>
    <t>INE129A01019</t>
  </si>
  <si>
    <t>Indus Towers Ltd.</t>
  </si>
  <si>
    <t>Telecom - Services</t>
  </si>
  <si>
    <t>INE121J01017</t>
  </si>
  <si>
    <t>Bharat Petroleum Corporation Ltd.</t>
  </si>
  <si>
    <t>INE029A01011</t>
  </si>
  <si>
    <t>Indian Oil Corporation Ltd.</t>
  </si>
  <si>
    <t>INE242A01010</t>
  </si>
  <si>
    <t>Manappuram Finance Ltd.</t>
  </si>
  <si>
    <t>INE522D01027</t>
  </si>
  <si>
    <t>Punjab National Bank</t>
  </si>
  <si>
    <t>INE160A01022</t>
  </si>
  <si>
    <t>ICICI Bank Ltd.</t>
  </si>
  <si>
    <t>INE090A01021</t>
  </si>
  <si>
    <t>Dr. Reddy's Laboratories Ltd.</t>
  </si>
  <si>
    <t>INE089A01023</t>
  </si>
  <si>
    <t>Gujarat Gas Ltd.</t>
  </si>
  <si>
    <t>INE844O01030</t>
  </si>
  <si>
    <t>Balrampur Chini Mills Ltd.</t>
  </si>
  <si>
    <t>Agricultural Food &amp; other Products</t>
  </si>
  <si>
    <t>INE119A01028</t>
  </si>
  <si>
    <t>Bank of Baroda</t>
  </si>
  <si>
    <t>INE028A01039</t>
  </si>
  <si>
    <t>City Union Bank Ltd.</t>
  </si>
  <si>
    <t>INE491A01021</t>
  </si>
  <si>
    <t>The Federal Bank  Ltd.</t>
  </si>
  <si>
    <t>INE171A01029</t>
  </si>
  <si>
    <t>The India Cements Ltd.</t>
  </si>
  <si>
    <t>INE383A01012</t>
  </si>
  <si>
    <t>Sun Pharmaceutical Industries Ltd.</t>
  </si>
  <si>
    <t>INE044A01036</t>
  </si>
  <si>
    <t>Torrent Pharmaceuticals Ltd.</t>
  </si>
  <si>
    <t>INE685A01028</t>
  </si>
  <si>
    <t>Exide Industries Ltd.</t>
  </si>
  <si>
    <t>Auto Components</t>
  </si>
  <si>
    <t>INE302A01020</t>
  </si>
  <si>
    <t>JK Cement Ltd.</t>
  </si>
  <si>
    <t>INE823G01014</t>
  </si>
  <si>
    <t>Aditya Birla Capital Ltd.</t>
  </si>
  <si>
    <t>INE674K01013</t>
  </si>
  <si>
    <t>SRF Ltd.</t>
  </si>
  <si>
    <t>Chemicals &amp; Petrochemicals</t>
  </si>
  <si>
    <t>INE647A01010</t>
  </si>
  <si>
    <t>Tata Steel Ltd.</t>
  </si>
  <si>
    <t>Ferrous Metals</t>
  </si>
  <si>
    <t>INE081A01020</t>
  </si>
  <si>
    <t>MphasiS Ltd.</t>
  </si>
  <si>
    <t>IT - Software</t>
  </si>
  <si>
    <t>INE356A01018</t>
  </si>
  <si>
    <t>Maruti Suzuki India Ltd.</t>
  </si>
  <si>
    <t>Automobiles</t>
  </si>
  <si>
    <t>INE585B01010</t>
  </si>
  <si>
    <t>JSW Steel Ltd.</t>
  </si>
  <si>
    <t>INE019A01038</t>
  </si>
  <si>
    <t>State Bank of India</t>
  </si>
  <si>
    <t>INE062A01020</t>
  </si>
  <si>
    <t>Kotak Mahindra Bank Ltd.</t>
  </si>
  <si>
    <t>INE237A01028</t>
  </si>
  <si>
    <t>Sub Total:</t>
  </si>
  <si>
    <t>b) Unlisted</t>
  </si>
  <si>
    <t>NIL</t>
  </si>
  <si>
    <t>Total:</t>
  </si>
  <si>
    <t>DEBT INSTRUMENTS</t>
  </si>
  <si>
    <t>Muthoot Finance Ltd.**</t>
  </si>
  <si>
    <t>CRISIL AA+</t>
  </si>
  <si>
    <t>INE414G07FF7</t>
  </si>
  <si>
    <t>Shriram Finance Ltd**</t>
  </si>
  <si>
    <t>CARE AA+</t>
  </si>
  <si>
    <t>INE721A07QS8</t>
  </si>
  <si>
    <t>b) Privately Placed / Unlisted</t>
  </si>
  <si>
    <t>TERM DEPOSITS</t>
  </si>
  <si>
    <t>Deposits (Maturity not exceeding 91 days)</t>
  </si>
  <si>
    <t>Deposits (Placed as F &amp; O margin)</t>
  </si>
  <si>
    <t>MONEY MARKET INSTRUMENTS</t>
  </si>
  <si>
    <t>Treasury Bills</t>
  </si>
  <si>
    <t>91 Days Treasury-Bill 02/11/2023</t>
  </si>
  <si>
    <t>Sovereign</t>
  </si>
  <si>
    <t>IN002023X187</t>
  </si>
  <si>
    <t>182 Days Treasury-Bill 21/12/2023</t>
  </si>
  <si>
    <t>IN002023Y128</t>
  </si>
  <si>
    <t>182 Days Treasury-Bill 07/12/2023</t>
  </si>
  <si>
    <t>IN002023Y102</t>
  </si>
  <si>
    <t>182 Days Treasury-Bill 29/02/2024</t>
  </si>
  <si>
    <t>IN002023Y235</t>
  </si>
  <si>
    <t>TREPS-Triparty Repo</t>
  </si>
  <si>
    <t/>
  </si>
  <si>
    <t>Mutual Fund Units</t>
  </si>
  <si>
    <t>JM Liquid Fund - Direct Growth</t>
  </si>
  <si>
    <t>INF192K01CM6</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</si>
  <si>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</si>
  <si>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</si>
  <si>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</si>
  <si>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</si>
  <si>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</si>
  <si>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</si>
  <si>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</si>
  <si>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</si>
  <si>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September 30, 2023:</t>
  </si>
  <si>
    <t>Underlying</t>
  </si>
  <si>
    <t>Long / Short</t>
  </si>
  <si>
    <t>Futures price when purchased (Rs.)</t>
  </si>
  <si>
    <t>Current  price of the Contract (Rs.)</t>
  </si>
  <si>
    <t>Total Margin maintained in   (Rs. In Lakhs)</t>
  </si>
  <si>
    <t>Aditya Birla Capital Ltd.Oct-2023</t>
  </si>
  <si>
    <t>Short</t>
  </si>
  <si>
    <t>ACC Ltd.Oct-2023</t>
  </si>
  <si>
    <t>Balrampur Chini Mills Ltd.Oct-2023</t>
  </si>
  <si>
    <t>Bandhan Bank Ltd.Oct-2023</t>
  </si>
  <si>
    <t>Bank of BarodaOct-2023</t>
  </si>
  <si>
    <t>Bharat Petroleum Corporation Ltd.Oct-2023</t>
  </si>
  <si>
    <t>Canara BankOct-2023</t>
  </si>
  <si>
    <t>City Union Bank Ltd.Oct-2023</t>
  </si>
  <si>
    <t>Dr. Reddy's Laboratories Ltd.Oct-2023</t>
  </si>
  <si>
    <t>Exide Industries Ltd.Oct-2023</t>
  </si>
  <si>
    <t>The Federal Bank  Ltd.Oct-2023</t>
  </si>
  <si>
    <t>GAIL (India) Ltd.Oct-2023</t>
  </si>
  <si>
    <t>Granules India Ltd.Oct-2023</t>
  </si>
  <si>
    <t>Gujarat Gas Ltd.Oct-2023</t>
  </si>
  <si>
    <t>Hindustan Aeronautics Ltd.Oct-2023</t>
  </si>
  <si>
    <t>HDFC Bank Ltd.Oct-2023</t>
  </si>
  <si>
    <t>Hindustan Copper Ltd.Oct-2023</t>
  </si>
  <si>
    <t>Hindustan Petroleum Corporation Ltd.Oct-2023</t>
  </si>
  <si>
    <t>ICICI Bank Ltd.Oct-2023</t>
  </si>
  <si>
    <t>The India Cements Ltd.Oct-2023</t>
  </si>
  <si>
    <t>IndusInd Bank Ltd.Oct-2023</t>
  </si>
  <si>
    <t>Indus Towers Ltd.Oct-2023</t>
  </si>
  <si>
    <t>Indian Oil Corporation Ltd.Oct-2023</t>
  </si>
  <si>
    <t>ITC Ltd.Oct-2023</t>
  </si>
  <si>
    <t>JK Cement Ltd.Oct-2023</t>
  </si>
  <si>
    <t>JSW Steel Ltd.Oct-2023</t>
  </si>
  <si>
    <t>Kotak Mahindra Bank Ltd.Oct-2023</t>
  </si>
  <si>
    <t>LIC Housing Finance Ltd.Oct-2023</t>
  </si>
  <si>
    <t>Manappuram Finance Ltd.Oct-2023</t>
  </si>
  <si>
    <t>Maruti Suzuki India Ltd.Oct-2023</t>
  </si>
  <si>
    <t>United Spirits Ltd.Oct-2023</t>
  </si>
  <si>
    <t>MphasiS Ltd.Oct-2023</t>
  </si>
  <si>
    <t>National Aluminium Company Ltd.Oct-2023</t>
  </si>
  <si>
    <t>NMDC Ltd.Oct-2023</t>
  </si>
  <si>
    <t>Punjab National BankOct-2023</t>
  </si>
  <si>
    <t>Reliance Industries Ltd.Oct-2023</t>
  </si>
  <si>
    <t>State Bank of IndiaOct-2023</t>
  </si>
  <si>
    <t>SRF Ltd.Oct-2023</t>
  </si>
  <si>
    <t>Sun Pharmaceutical Industries Ltd.Oct-2023</t>
  </si>
  <si>
    <t>Tata Power Company Ltd.Oct-2023</t>
  </si>
  <si>
    <t>Tata Steel Ltd.Oct-2023</t>
  </si>
  <si>
    <t>Torrent Pharmaceuticals Ltd.Oct-2023</t>
  </si>
  <si>
    <t>Zee Entertainment Enterprises Ltd.Oct-2023</t>
  </si>
  <si>
    <t>Total outstanding exposure in derivative instruments at the end of the period - Short -(Rs in Lakhs) : (8,170.40)</t>
  </si>
  <si>
    <t>Total 65.81% of existing assets hedged through futures as on 30/09/2023</t>
  </si>
  <si>
    <t>For the period ended September 30,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</si>
  <si>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</si>
  <si>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</si>
  <si>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</si>
  <si>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</si>
  <si>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</si>
  <si>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30/09/2023</t>
  </si>
  <si>
    <t>For the period ended September 30, 2023, following are the non-hedging transactions through futures which have been squared off / expired :</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</si>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</sst>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sz val="8"/>
      <name val="Arial"/>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4">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2" applyFont="1" applyBorder="1" applyAlignment="1">
      <alignment horizont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4" fillId="0" borderId="0" xfId="3" applyFont="1" applyFill="1" applyAlignment="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8" fillId="0" borderId="0" xfId="4" applyFont="1" applyBorder="1" applyAlignment="1">
      <alignment horizontal="left" vertical="top" wrapText="1"/>
    </xf>
    <xf numFmtId="0" fontId="9" fillId="0" borderId="0" xfId="2" applyFont="1" applyAlignment="1">
      <alignment horizontal="left" vertical="top" wrapText="1"/>
    </xf>
    <xf numFmtId="0" fontId="4" fillId="3" borderId="3" xfId="3" applyFont="1" applyFill="1" applyBorder="1" applyAlignment="1">
      <alignment horizontal="center" vertical="top" wrapText="1"/>
    </xf>
    <xf numFmtId="0" fontId="4" fillId="3" borderId="3" xfId="2" applyFont="1" applyFill="1" applyBorder="1" applyAlignment="1">
      <alignment horizontal="center" vertical="top" wrapText="1"/>
    </xf>
    <xf numFmtId="165" fontId="4" fillId="3" borderId="3" xfId="5" applyNumberFormat="1" applyFont="1" applyFill="1" applyBorder="1" applyAlignment="1">
      <alignment horizontal="center" vertical="top"/>
    </xf>
    <xf numFmtId="4" fontId="3" fillId="0" borderId="3" xfId="2" applyNumberFormat="1" applyFont="1" applyFill="1" applyBorder="1" applyAlignment="1">
      <alignment wrapText="1"/>
    </xf>
    <xf numFmtId="164" fontId="5" fillId="0" borderId="3" xfId="1" applyNumberFormat="1" applyFont="1" applyFill="1" applyBorder="1"/>
    <xf numFmtId="4" fontId="5" fillId="0" borderId="0" xfId="2" applyNumberFormat="1" applyFont="1" applyFill="1"/>
    <xf numFmtId="4" fontId="5" fillId="0" borderId="0" xfId="2" applyNumberFormat="1"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3" applyFont="1" applyFill="1" applyBorder="1" applyAlignment="1"/>
    <xf numFmtId="165" fontId="5" fillId="0" borderId="0" xfId="6" applyNumberFormat="1" applyFont="1"/>
    <xf numFmtId="0" fontId="5" fillId="0" borderId="0" xfId="2" applyFont="1" applyFill="1" applyAlignment="1">
      <alignment wrapText="1"/>
    </xf>
    <xf numFmtId="165" fontId="5" fillId="0" borderId="0" xfId="6" applyNumberFormat="1" applyFont="1" applyFill="1"/>
    <xf numFmtId="164" fontId="5" fillId="0" borderId="0" xfId="2" applyNumberFormat="1"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165" fontId="5" fillId="0" borderId="3" xfId="1" applyNumberFormat="1" applyFont="1" applyBorder="1"/>
    <xf numFmtId="4" fontId="5" fillId="0" borderId="3" xfId="2" applyNumberFormat="1" applyFont="1" applyBorder="1"/>
    <xf numFmtId="164" fontId="5" fillId="0" borderId="3" xfId="1" applyFont="1" applyBorder="1"/>
    <xf numFmtId="0" fontId="4" fillId="0" borderId="0" xfId="2" applyFont="1"/>
    <xf numFmtId="0" fontId="5" fillId="0" borderId="3" xfId="2" applyFont="1" applyBorder="1" applyAlignment="1">
      <alignment horizontal="center" vertical="top"/>
    </xf>
    <xf numFmtId="4" fontId="5" fillId="0" borderId="3" xfId="2" applyNumberFormat="1" applyFont="1" applyBorder="1" applyAlignment="1">
      <alignment horizontal="center" vertical="top"/>
    </xf>
    <xf numFmtId="0" fontId="10" fillId="0" borderId="0" xfId="7" applyFont="1"/>
    <xf numFmtId="0" fontId="11" fillId="0" borderId="0" xfId="2" applyFont="1" applyFill="1" applyBorder="1" applyAlignment="1">
      <alignment horizontal="left" wrapText="1"/>
    </xf>
    <xf numFmtId="0" fontId="7" fillId="0" borderId="0" xfId="7" applyFont="1" applyBorder="1"/>
    <xf numFmtId="0" fontId="10" fillId="0" borderId="0" xfId="8"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2" applyFont="1" applyAlignment="1">
      <alignment horizontal="left" vertical="top" wrapText="1"/>
    </xf>
    <xf numFmtId="0" fontId="5" fillId="0" borderId="3" xfId="2" applyFont="1" applyFill="1" applyBorder="1" applyAlignment="1">
      <alignment horizontal="left"/>
    </xf>
    <xf numFmtId="0" fontId="5" fillId="0" borderId="4" xfId="2" applyFont="1" applyFill="1" applyBorder="1" applyAlignment="1">
      <alignment horizontal="left"/>
    </xf>
    <xf numFmtId="0" fontId="4" fillId="0" borderId="0" xfId="2" applyFont="1" applyFill="1" applyBorder="1" applyAlignment="1">
      <alignment horizontal="left"/>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cellXfs>
  <cellStyles count="9">
    <cellStyle name="Comma" xfId="1" builtinId="3"/>
    <cellStyle name="Comma 2" xfId="5"/>
    <cellStyle name="Comma 4" xfId="6"/>
    <cellStyle name="Normal" xfId="0" builtinId="0"/>
    <cellStyle name="Normal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466725</xdr:colOff>
      <xdr:row>165</xdr:row>
      <xdr:rowOff>57150</xdr:rowOff>
    </xdr:from>
    <xdr:to>
      <xdr:col>0</xdr:col>
      <xdr:colOff>2495550</xdr:colOff>
      <xdr:row>171</xdr:row>
      <xdr:rowOff>142875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6725" y="31718250"/>
          <a:ext cx="202882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295275</xdr:colOff>
      <xdr:row>165</xdr:row>
      <xdr:rowOff>76200</xdr:rowOff>
    </xdr:from>
    <xdr:to>
      <xdr:col>2</xdr:col>
      <xdr:colOff>428625</xdr:colOff>
      <xdr:row>171</xdr:row>
      <xdr:rowOff>142875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19425" y="31737300"/>
          <a:ext cx="20097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11"/>
    <pageSetUpPr fitToPage="1"/>
  </sheetPr>
  <dimension ref="A1:H220"/>
  <sheetViews>
    <sheetView tabSelected="1" zoomScaleNormal="100" workbookViewId="0">
      <selection activeCell="G146" sqref="G146"/>
    </sheetView>
  </sheetViews>
  <sheetFormatPr defaultRowHeight="12.75" x14ac:dyDescent="0.2"/>
  <cols>
    <col min="1" max="1" width="40.85546875" style="81" customWidth="1"/>
    <col min="2" max="2" width="28.140625" style="82" customWidth="1"/>
    <col min="3" max="3" width="11.7109375" style="83" customWidth="1"/>
    <col min="4" max="4" width="13.5703125" style="1" customWidth="1"/>
    <col min="5" max="5" width="8.7109375" style="1" customWidth="1"/>
    <col min="6" max="6" width="12.85546875" style="1" customWidth="1"/>
    <col min="7" max="7" width="9.5703125" style="1" bestFit="1" customWidth="1"/>
    <col min="8" max="8" width="14.140625" style="1" customWidth="1"/>
    <col min="9" max="16384" width="9.140625" style="1"/>
  </cols>
  <sheetData>
    <row r="1" spans="1:8" x14ac:dyDescent="0.2">
      <c r="A1" s="88" t="s">
        <v>0</v>
      </c>
      <c r="B1" s="88"/>
      <c r="C1" s="88"/>
      <c r="D1" s="88"/>
      <c r="E1" s="88"/>
      <c r="F1" s="88"/>
      <c r="G1" s="88"/>
      <c r="H1" s="88"/>
    </row>
    <row r="2" spans="1:8" x14ac:dyDescent="0.2">
      <c r="A2" s="89" t="s">
        <v>1</v>
      </c>
      <c r="B2" s="89"/>
      <c r="C2" s="89"/>
      <c r="D2" s="89"/>
      <c r="E2" s="89"/>
      <c r="F2" s="89"/>
      <c r="G2" s="89"/>
      <c r="H2" s="89"/>
    </row>
    <row r="3" spans="1:8" s="6" customFormat="1" ht="53.25" customHeight="1" x14ac:dyDescent="0.25">
      <c r="A3" s="2" t="s">
        <v>2</v>
      </c>
      <c r="B3" s="3" t="s">
        <v>3</v>
      </c>
      <c r="C3" s="4" t="s">
        <v>4</v>
      </c>
      <c r="D3" s="2" t="s">
        <v>5</v>
      </c>
      <c r="E3" s="2" t="s">
        <v>6</v>
      </c>
      <c r="F3" s="2" t="s">
        <v>7</v>
      </c>
      <c r="G3" s="2" t="s">
        <v>8</v>
      </c>
      <c r="H3" s="5" t="s">
        <v>9</v>
      </c>
    </row>
    <row r="4" spans="1:8" ht="14.25" x14ac:dyDescent="0.3">
      <c r="A4" s="7" t="s">
        <v>10</v>
      </c>
      <c r="B4" s="8"/>
      <c r="C4" s="9"/>
      <c r="D4" s="10"/>
      <c r="E4" s="10"/>
      <c r="F4" s="11"/>
      <c r="G4" s="12"/>
      <c r="H4" s="13"/>
    </row>
    <row r="5" spans="1:8" ht="14.25" x14ac:dyDescent="0.3">
      <c r="A5" s="14" t="s">
        <v>11</v>
      </c>
      <c r="B5" s="8"/>
      <c r="C5" s="9"/>
      <c r="D5" s="10"/>
      <c r="E5" s="10"/>
      <c r="F5" s="11"/>
      <c r="G5" s="12"/>
      <c r="H5" s="13"/>
    </row>
    <row r="6" spans="1:8" s="19" customFormat="1" ht="14.25" x14ac:dyDescent="0.3">
      <c r="A6" s="15" t="s">
        <v>12</v>
      </c>
      <c r="B6" s="16" t="s">
        <v>13</v>
      </c>
      <c r="C6" s="17">
        <v>72050</v>
      </c>
      <c r="D6" s="18">
        <v>1099.6991499999999</v>
      </c>
      <c r="E6" s="18">
        <f t="shared" ref="E6:E48" si="0">(+D6/$D$88*100)</f>
        <v>8.8572575930158131</v>
      </c>
      <c r="F6" s="18" t="s">
        <v>14</v>
      </c>
      <c r="G6" s="13"/>
      <c r="H6" s="13"/>
    </row>
    <row r="7" spans="1:8" s="19" customFormat="1" ht="14.25" x14ac:dyDescent="0.3">
      <c r="A7" s="15" t="s">
        <v>15</v>
      </c>
      <c r="B7" s="16" t="s">
        <v>16</v>
      </c>
      <c r="C7" s="17">
        <v>28000</v>
      </c>
      <c r="D7" s="18">
        <v>656.6</v>
      </c>
      <c r="E7" s="18">
        <f t="shared" si="0"/>
        <v>5.2884239617482507</v>
      </c>
      <c r="F7" s="18" t="s">
        <v>17</v>
      </c>
      <c r="G7" s="13"/>
      <c r="H7" s="12"/>
    </row>
    <row r="8" spans="1:8" s="19" customFormat="1" ht="14.25" x14ac:dyDescent="0.3">
      <c r="A8" s="15" t="s">
        <v>18</v>
      </c>
      <c r="B8" s="16" t="s">
        <v>19</v>
      </c>
      <c r="C8" s="17">
        <v>128000</v>
      </c>
      <c r="D8" s="18">
        <v>594.36800000000005</v>
      </c>
      <c r="E8" s="18">
        <f t="shared" si="0"/>
        <v>4.7871915523855995</v>
      </c>
      <c r="F8" s="18" t="s">
        <v>20</v>
      </c>
      <c r="G8" s="13"/>
      <c r="H8" s="20"/>
    </row>
    <row r="9" spans="1:8" s="19" customFormat="1" ht="14.25" x14ac:dyDescent="0.3">
      <c r="A9" s="15" t="s">
        <v>21</v>
      </c>
      <c r="B9" s="16" t="s">
        <v>13</v>
      </c>
      <c r="C9" s="17">
        <v>230000</v>
      </c>
      <c r="D9" s="18">
        <v>578.67999999999995</v>
      </c>
      <c r="E9" s="18">
        <f t="shared" si="0"/>
        <v>4.6608363968694446</v>
      </c>
      <c r="F9" s="18" t="s">
        <v>22</v>
      </c>
      <c r="G9" s="13"/>
      <c r="H9" s="13"/>
    </row>
    <row r="10" spans="1:8" s="19" customFormat="1" ht="14.25" x14ac:dyDescent="0.3">
      <c r="A10" s="15" t="s">
        <v>23</v>
      </c>
      <c r="B10" s="16" t="s">
        <v>24</v>
      </c>
      <c r="C10" s="17">
        <v>387000</v>
      </c>
      <c r="D10" s="18">
        <v>572.56650000000002</v>
      </c>
      <c r="E10" s="18">
        <f t="shared" si="0"/>
        <v>4.6115967077281903</v>
      </c>
      <c r="F10" s="18" t="s">
        <v>25</v>
      </c>
      <c r="G10" s="13"/>
      <c r="H10" s="12"/>
    </row>
    <row r="11" spans="1:8" s="19" customFormat="1" ht="14.25" x14ac:dyDescent="0.3">
      <c r="A11" s="15" t="s">
        <v>26</v>
      </c>
      <c r="B11" s="16" t="s">
        <v>27</v>
      </c>
      <c r="C11" s="17">
        <v>31500</v>
      </c>
      <c r="D11" s="18">
        <v>317.28375</v>
      </c>
      <c r="E11" s="18">
        <f t="shared" si="0"/>
        <v>2.5554842920702736</v>
      </c>
      <c r="F11" s="18" t="s">
        <v>28</v>
      </c>
      <c r="G11" s="13"/>
      <c r="H11" s="12"/>
    </row>
    <row r="12" spans="1:8" s="19" customFormat="1" ht="14.25" x14ac:dyDescent="0.3">
      <c r="A12" s="15" t="s">
        <v>29</v>
      </c>
      <c r="B12" s="16" t="s">
        <v>13</v>
      </c>
      <c r="C12" s="17">
        <v>83700</v>
      </c>
      <c r="D12" s="18">
        <v>314.92124999999999</v>
      </c>
      <c r="E12" s="18">
        <f t="shared" si="0"/>
        <v>2.5364561141695265</v>
      </c>
      <c r="F12" s="18" t="s">
        <v>30</v>
      </c>
      <c r="G12" s="13"/>
      <c r="H12" s="13"/>
    </row>
    <row r="13" spans="1:8" s="19" customFormat="1" ht="14.25" x14ac:dyDescent="0.3">
      <c r="A13" s="15" t="s">
        <v>31</v>
      </c>
      <c r="B13" s="16" t="s">
        <v>32</v>
      </c>
      <c r="C13" s="17">
        <v>13500</v>
      </c>
      <c r="D13" s="18">
        <v>271.65375</v>
      </c>
      <c r="E13" s="18">
        <f t="shared" si="0"/>
        <v>2.1879686274729955</v>
      </c>
      <c r="F13" s="18" t="s">
        <v>33</v>
      </c>
      <c r="G13" s="13"/>
      <c r="H13" s="13"/>
    </row>
    <row r="14" spans="1:8" s="19" customFormat="1" ht="14.25" x14ac:dyDescent="0.3">
      <c r="A14" s="15" t="s">
        <v>34</v>
      </c>
      <c r="B14" s="16" t="s">
        <v>13</v>
      </c>
      <c r="C14" s="17">
        <v>19000</v>
      </c>
      <c r="D14" s="18">
        <v>271.48149999999998</v>
      </c>
      <c r="E14" s="18">
        <f t="shared" si="0"/>
        <v>2.18658128201547</v>
      </c>
      <c r="F14" s="18" t="s">
        <v>35</v>
      </c>
      <c r="G14" s="13"/>
      <c r="H14" s="13"/>
    </row>
    <row r="15" spans="1:8" s="19" customFormat="1" ht="14.25" x14ac:dyDescent="0.3">
      <c r="A15" s="15" t="s">
        <v>36</v>
      </c>
      <c r="B15" s="16" t="s">
        <v>37</v>
      </c>
      <c r="C15" s="17">
        <v>277500</v>
      </c>
      <c r="D15" s="18">
        <v>269.73</v>
      </c>
      <c r="E15" s="18">
        <f t="shared" si="0"/>
        <v>2.1724742540395301</v>
      </c>
      <c r="F15" s="18" t="s">
        <v>38</v>
      </c>
      <c r="G15" s="13"/>
      <c r="H15" s="12"/>
    </row>
    <row r="16" spans="1:8" s="19" customFormat="1" ht="14.25" x14ac:dyDescent="0.3">
      <c r="A16" s="15" t="s">
        <v>39</v>
      </c>
      <c r="B16" s="16" t="s">
        <v>16</v>
      </c>
      <c r="C16" s="17">
        <v>102600</v>
      </c>
      <c r="D16" s="18">
        <v>261.57870000000003</v>
      </c>
      <c r="E16" s="18">
        <f t="shared" si="0"/>
        <v>2.1068216036596974</v>
      </c>
      <c r="F16" s="18" t="s">
        <v>40</v>
      </c>
      <c r="G16" s="13"/>
      <c r="H16" s="13"/>
    </row>
    <row r="17" spans="1:8" s="19" customFormat="1" ht="14.25" x14ac:dyDescent="0.3">
      <c r="A17" s="15" t="s">
        <v>41</v>
      </c>
      <c r="B17" s="16" t="s">
        <v>42</v>
      </c>
      <c r="C17" s="17">
        <v>70000</v>
      </c>
      <c r="D17" s="18">
        <v>248.32499999999999</v>
      </c>
      <c r="E17" s="18">
        <f t="shared" si="0"/>
        <v>2.0000729215673685</v>
      </c>
      <c r="F17" s="18" t="s">
        <v>43</v>
      </c>
      <c r="G17" s="13"/>
      <c r="H17" s="13"/>
    </row>
    <row r="18" spans="1:8" s="19" customFormat="1" ht="14.25" x14ac:dyDescent="0.3">
      <c r="A18" s="15" t="s">
        <v>44</v>
      </c>
      <c r="B18" s="16" t="s">
        <v>45</v>
      </c>
      <c r="C18" s="17">
        <v>87750</v>
      </c>
      <c r="D18" s="18">
        <v>230.16825</v>
      </c>
      <c r="E18" s="18">
        <f t="shared" si="0"/>
        <v>1.8538338235358844</v>
      </c>
      <c r="F18" s="18" t="s">
        <v>46</v>
      </c>
      <c r="G18" s="13"/>
      <c r="H18" s="12"/>
    </row>
    <row r="19" spans="1:8" s="19" customFormat="1" ht="14.25" x14ac:dyDescent="0.3">
      <c r="A19" s="15" t="s">
        <v>47</v>
      </c>
      <c r="B19" s="16" t="s">
        <v>48</v>
      </c>
      <c r="C19" s="17">
        <v>51200</v>
      </c>
      <c r="D19" s="18">
        <v>227.53280000000001</v>
      </c>
      <c r="E19" s="18">
        <f t="shared" si="0"/>
        <v>1.8326072366793671</v>
      </c>
      <c r="F19" s="18" t="s">
        <v>49</v>
      </c>
      <c r="G19" s="13"/>
      <c r="H19" s="13"/>
    </row>
    <row r="20" spans="1:8" s="19" customFormat="1" ht="14.25" x14ac:dyDescent="0.3">
      <c r="A20" s="15" t="s">
        <v>50</v>
      </c>
      <c r="B20" s="16" t="s">
        <v>51</v>
      </c>
      <c r="C20" s="17">
        <v>84000</v>
      </c>
      <c r="D20" s="18">
        <v>222.22200000000001</v>
      </c>
      <c r="E20" s="18">
        <f t="shared" si="0"/>
        <v>1.789832698184008</v>
      </c>
      <c r="F20" s="18" t="s">
        <v>52</v>
      </c>
      <c r="G20" s="13"/>
      <c r="H20" s="12"/>
    </row>
    <row r="21" spans="1:8" s="19" customFormat="1" ht="14.25" x14ac:dyDescent="0.3">
      <c r="A21" s="15" t="s">
        <v>53</v>
      </c>
      <c r="B21" s="16" t="s">
        <v>54</v>
      </c>
      <c r="C21" s="17">
        <v>11400</v>
      </c>
      <c r="D21" s="18">
        <v>219.8091</v>
      </c>
      <c r="E21" s="18">
        <f t="shared" si="0"/>
        <v>1.7703985858213791</v>
      </c>
      <c r="F21" s="18" t="s">
        <v>55</v>
      </c>
      <c r="G21" s="13"/>
      <c r="H21" s="13"/>
    </row>
    <row r="22" spans="1:8" s="19" customFormat="1" ht="14.25" x14ac:dyDescent="0.3">
      <c r="A22" s="15" t="s">
        <v>56</v>
      </c>
      <c r="B22" s="16" t="s">
        <v>37</v>
      </c>
      <c r="C22" s="17">
        <v>121900</v>
      </c>
      <c r="D22" s="18">
        <v>197.96559999999999</v>
      </c>
      <c r="E22" s="18">
        <f t="shared" si="0"/>
        <v>1.5944654624457346</v>
      </c>
      <c r="F22" s="18" t="s">
        <v>57</v>
      </c>
      <c r="G22" s="13"/>
      <c r="H22" s="13"/>
    </row>
    <row r="23" spans="1:8" s="19" customFormat="1" ht="14.25" x14ac:dyDescent="0.3">
      <c r="A23" s="15" t="s">
        <v>58</v>
      </c>
      <c r="B23" s="16" t="s">
        <v>59</v>
      </c>
      <c r="C23" s="17">
        <v>155550</v>
      </c>
      <c r="D23" s="18">
        <v>193.5042</v>
      </c>
      <c r="E23" s="18">
        <f t="shared" si="0"/>
        <v>1.558532208313929</v>
      </c>
      <c r="F23" s="18" t="s">
        <v>60</v>
      </c>
      <c r="G23" s="13"/>
      <c r="H23" s="13"/>
    </row>
    <row r="24" spans="1:8" s="19" customFormat="1" ht="14.25" x14ac:dyDescent="0.3">
      <c r="A24" s="15" t="s">
        <v>61</v>
      </c>
      <c r="B24" s="16" t="s">
        <v>62</v>
      </c>
      <c r="C24" s="17">
        <v>85000</v>
      </c>
      <c r="D24" s="18">
        <v>162.94499999999999</v>
      </c>
      <c r="E24" s="18">
        <f t="shared" si="0"/>
        <v>1.3124006129257821</v>
      </c>
      <c r="F24" s="18" t="s">
        <v>63</v>
      </c>
      <c r="G24" s="13"/>
      <c r="H24" s="13"/>
    </row>
    <row r="25" spans="1:8" s="19" customFormat="1" ht="14.25" x14ac:dyDescent="0.3">
      <c r="A25" s="15" t="s">
        <v>64</v>
      </c>
      <c r="B25" s="16" t="s">
        <v>16</v>
      </c>
      <c r="C25" s="17">
        <v>45000</v>
      </c>
      <c r="D25" s="18">
        <v>155.97</v>
      </c>
      <c r="E25" s="18">
        <f t="shared" si="0"/>
        <v>1.2562221829331017</v>
      </c>
      <c r="F25" s="18" t="s">
        <v>65</v>
      </c>
      <c r="G25" s="13"/>
      <c r="H25" s="13"/>
    </row>
    <row r="26" spans="1:8" s="19" customFormat="1" ht="14.25" x14ac:dyDescent="0.3">
      <c r="A26" s="15" t="s">
        <v>66</v>
      </c>
      <c r="B26" s="16" t="s">
        <v>16</v>
      </c>
      <c r="C26" s="17">
        <v>165750</v>
      </c>
      <c r="D26" s="18">
        <v>150.74962500000001</v>
      </c>
      <c r="E26" s="18">
        <f t="shared" si="0"/>
        <v>1.214175950463849</v>
      </c>
      <c r="F26" s="18" t="s">
        <v>67</v>
      </c>
      <c r="G26" s="13"/>
      <c r="H26" s="13"/>
    </row>
    <row r="27" spans="1:8" s="19" customFormat="1" ht="14.25" x14ac:dyDescent="0.3">
      <c r="A27" s="15" t="s">
        <v>68</v>
      </c>
      <c r="B27" s="16" t="s">
        <v>19</v>
      </c>
      <c r="C27" s="17">
        <v>72000</v>
      </c>
      <c r="D27" s="18">
        <v>107.892</v>
      </c>
      <c r="E27" s="18">
        <f t="shared" si="0"/>
        <v>0.86898970161581202</v>
      </c>
      <c r="F27" s="18" t="s">
        <v>69</v>
      </c>
      <c r="G27" s="13"/>
      <c r="H27" s="20"/>
    </row>
    <row r="28" spans="1:8" s="19" customFormat="1" ht="14.25" x14ac:dyDescent="0.3">
      <c r="A28" s="15" t="s">
        <v>70</v>
      </c>
      <c r="B28" s="16" t="s">
        <v>13</v>
      </c>
      <c r="C28" s="17">
        <v>128000</v>
      </c>
      <c r="D28" s="18">
        <v>102.65600000000001</v>
      </c>
      <c r="E28" s="18">
        <f t="shared" si="0"/>
        <v>0.8268176214091203</v>
      </c>
      <c r="F28" s="18" t="s">
        <v>71</v>
      </c>
      <c r="G28" s="13"/>
      <c r="H28" s="12"/>
    </row>
    <row r="29" spans="1:8" s="19" customFormat="1" ht="14.25" x14ac:dyDescent="0.3">
      <c r="A29" s="15" t="s">
        <v>72</v>
      </c>
      <c r="B29" s="16" t="s">
        <v>13</v>
      </c>
      <c r="C29" s="17">
        <v>7700</v>
      </c>
      <c r="D29" s="18">
        <v>73.296300000000002</v>
      </c>
      <c r="E29" s="18">
        <f t="shared" si="0"/>
        <v>0.5903471051286755</v>
      </c>
      <c r="F29" s="18" t="s">
        <v>73</v>
      </c>
      <c r="G29" s="13"/>
      <c r="H29" s="13"/>
    </row>
    <row r="30" spans="1:8" s="19" customFormat="1" ht="14.25" x14ac:dyDescent="0.3">
      <c r="A30" s="15" t="s">
        <v>74</v>
      </c>
      <c r="B30" s="16" t="s">
        <v>42</v>
      </c>
      <c r="C30" s="17">
        <v>1250</v>
      </c>
      <c r="D30" s="18">
        <v>69.837500000000006</v>
      </c>
      <c r="E30" s="18">
        <f t="shared" si="0"/>
        <v>0.56248904725646276</v>
      </c>
      <c r="F30" s="18" t="s">
        <v>75</v>
      </c>
      <c r="G30" s="13"/>
      <c r="H30" s="13"/>
    </row>
    <row r="31" spans="1:8" s="19" customFormat="1" ht="14.25" x14ac:dyDescent="0.3">
      <c r="A31" s="15" t="s">
        <v>76</v>
      </c>
      <c r="B31" s="16" t="s">
        <v>59</v>
      </c>
      <c r="C31" s="17">
        <v>15000</v>
      </c>
      <c r="D31" s="18">
        <v>63.435000000000002</v>
      </c>
      <c r="E31" s="18">
        <f t="shared" si="0"/>
        <v>0.51092167836353986</v>
      </c>
      <c r="F31" s="18" t="s">
        <v>77</v>
      </c>
      <c r="G31" s="13"/>
      <c r="H31" s="13"/>
    </row>
    <row r="32" spans="1:8" s="19" customFormat="1" ht="14.25" x14ac:dyDescent="0.3">
      <c r="A32" s="15" t="s">
        <v>78</v>
      </c>
      <c r="B32" s="16" t="s">
        <v>79</v>
      </c>
      <c r="C32" s="17">
        <v>14400</v>
      </c>
      <c r="D32" s="18">
        <v>62.8992</v>
      </c>
      <c r="E32" s="18">
        <f t="shared" si="0"/>
        <v>0.50660620842947846</v>
      </c>
      <c r="F32" s="18" t="s">
        <v>80</v>
      </c>
      <c r="G32" s="13"/>
      <c r="H32" s="13"/>
    </row>
    <row r="33" spans="1:8" s="19" customFormat="1" ht="14.25" x14ac:dyDescent="0.3">
      <c r="A33" s="15" t="s">
        <v>81</v>
      </c>
      <c r="B33" s="16" t="s">
        <v>13</v>
      </c>
      <c r="C33" s="17">
        <v>23400</v>
      </c>
      <c r="D33" s="18">
        <v>50.064300000000003</v>
      </c>
      <c r="E33" s="18">
        <f t="shared" si="0"/>
        <v>0.40323064841326978</v>
      </c>
      <c r="F33" s="18" t="s">
        <v>82</v>
      </c>
      <c r="G33" s="13"/>
      <c r="H33" s="13"/>
    </row>
    <row r="34" spans="1:8" s="19" customFormat="1" ht="14.25" x14ac:dyDescent="0.3">
      <c r="A34" s="15" t="s">
        <v>83</v>
      </c>
      <c r="B34" s="16" t="s">
        <v>13</v>
      </c>
      <c r="C34" s="17">
        <v>35000</v>
      </c>
      <c r="D34" s="18">
        <v>44.344999999999999</v>
      </c>
      <c r="E34" s="18">
        <f t="shared" si="0"/>
        <v>0.35716594667031093</v>
      </c>
      <c r="F34" s="18" t="s">
        <v>84</v>
      </c>
      <c r="G34" s="13"/>
      <c r="H34" s="13"/>
    </row>
    <row r="35" spans="1:8" s="19" customFormat="1" ht="14.25" x14ac:dyDescent="0.3">
      <c r="A35" s="15" t="s">
        <v>85</v>
      </c>
      <c r="B35" s="16" t="s">
        <v>13</v>
      </c>
      <c r="C35" s="17">
        <v>30000</v>
      </c>
      <c r="D35" s="18">
        <v>44.16</v>
      </c>
      <c r="E35" s="18">
        <f t="shared" si="0"/>
        <v>0.35567590945903549</v>
      </c>
      <c r="F35" s="18" t="s">
        <v>86</v>
      </c>
      <c r="G35" s="13"/>
      <c r="H35" s="13"/>
    </row>
    <row r="36" spans="1:8" s="19" customFormat="1" ht="14.25" x14ac:dyDescent="0.3">
      <c r="A36" s="15" t="s">
        <v>87</v>
      </c>
      <c r="B36" s="16" t="s">
        <v>32</v>
      </c>
      <c r="C36" s="17">
        <v>17400</v>
      </c>
      <c r="D36" s="18">
        <v>40.576799999999999</v>
      </c>
      <c r="E36" s="18">
        <f t="shared" si="0"/>
        <v>0.32681590224043011</v>
      </c>
      <c r="F36" s="18" t="s">
        <v>88</v>
      </c>
      <c r="G36" s="13"/>
      <c r="H36" s="13"/>
    </row>
    <row r="37" spans="1:8" s="19" customFormat="1" ht="14.25" x14ac:dyDescent="0.3">
      <c r="A37" s="15" t="s">
        <v>89</v>
      </c>
      <c r="B37" s="16" t="s">
        <v>42</v>
      </c>
      <c r="C37" s="17">
        <v>3500</v>
      </c>
      <c r="D37" s="18">
        <v>40.552750000000003</v>
      </c>
      <c r="E37" s="18">
        <f t="shared" si="0"/>
        <v>0.32662219740296433</v>
      </c>
      <c r="F37" s="18" t="s">
        <v>90</v>
      </c>
      <c r="G37" s="13"/>
      <c r="H37" s="12"/>
    </row>
    <row r="38" spans="1:8" s="19" customFormat="1" ht="14.25" x14ac:dyDescent="0.3">
      <c r="A38" s="15" t="s">
        <v>91</v>
      </c>
      <c r="B38" s="16" t="s">
        <v>42</v>
      </c>
      <c r="C38" s="17">
        <v>2000</v>
      </c>
      <c r="D38" s="18">
        <v>38.582000000000001</v>
      </c>
      <c r="E38" s="18">
        <f t="shared" si="0"/>
        <v>0.31074927397528329</v>
      </c>
      <c r="F38" s="18" t="s">
        <v>92</v>
      </c>
      <c r="G38" s="13"/>
      <c r="H38" s="12"/>
    </row>
    <row r="39" spans="1:8" s="19" customFormat="1" ht="14.25" x14ac:dyDescent="0.3">
      <c r="A39" s="15" t="s">
        <v>93</v>
      </c>
      <c r="B39" s="16" t="s">
        <v>94</v>
      </c>
      <c r="C39" s="17">
        <v>14400</v>
      </c>
      <c r="D39" s="18">
        <v>37.526400000000002</v>
      </c>
      <c r="E39" s="18">
        <f t="shared" si="0"/>
        <v>0.30224720219029783</v>
      </c>
      <c r="F39" s="18" t="s">
        <v>95</v>
      </c>
      <c r="G39" s="13"/>
      <c r="H39" s="13"/>
    </row>
    <row r="40" spans="1:8" s="19" customFormat="1" ht="14.25" x14ac:dyDescent="0.3">
      <c r="A40" s="15" t="s">
        <v>96</v>
      </c>
      <c r="B40" s="16" t="s">
        <v>32</v>
      </c>
      <c r="C40" s="17">
        <v>1000</v>
      </c>
      <c r="D40" s="18">
        <v>31.794499999999999</v>
      </c>
      <c r="E40" s="18">
        <f t="shared" si="0"/>
        <v>0.25608101683186835</v>
      </c>
      <c r="F40" s="18" t="s">
        <v>97</v>
      </c>
      <c r="G40" s="13"/>
      <c r="H40" s="13"/>
    </row>
    <row r="41" spans="1:8" s="19" customFormat="1" ht="14.25" x14ac:dyDescent="0.3">
      <c r="A41" s="15" t="s">
        <v>98</v>
      </c>
      <c r="B41" s="16" t="s">
        <v>19</v>
      </c>
      <c r="C41" s="17">
        <v>10800</v>
      </c>
      <c r="D41" s="18">
        <v>19.4346</v>
      </c>
      <c r="E41" s="18">
        <f t="shared" si="0"/>
        <v>0.15653122803379918</v>
      </c>
      <c r="F41" s="18" t="s">
        <v>99</v>
      </c>
      <c r="G41" s="13"/>
      <c r="H41" s="13"/>
    </row>
    <row r="42" spans="1:8" s="19" customFormat="1" ht="14.25" x14ac:dyDescent="0.3">
      <c r="A42" s="15" t="s">
        <v>100</v>
      </c>
      <c r="B42" s="16" t="s">
        <v>101</v>
      </c>
      <c r="C42" s="17">
        <v>750</v>
      </c>
      <c r="D42" s="18">
        <v>16.8705</v>
      </c>
      <c r="E42" s="18">
        <f t="shared" si="0"/>
        <v>0.13587931228552216</v>
      </c>
      <c r="F42" s="18" t="s">
        <v>102</v>
      </c>
      <c r="G42" s="13"/>
      <c r="H42" s="12"/>
    </row>
    <row r="43" spans="1:8" s="19" customFormat="1" ht="14.25" x14ac:dyDescent="0.3">
      <c r="A43" s="15" t="s">
        <v>103</v>
      </c>
      <c r="B43" s="16" t="s">
        <v>104</v>
      </c>
      <c r="C43" s="17">
        <v>11000</v>
      </c>
      <c r="D43" s="18">
        <v>14.179</v>
      </c>
      <c r="E43" s="18">
        <f t="shared" si="0"/>
        <v>0.11420128442526416</v>
      </c>
      <c r="F43" s="18" t="s">
        <v>105</v>
      </c>
      <c r="G43" s="13"/>
      <c r="H43" s="12"/>
    </row>
    <row r="44" spans="1:8" s="19" customFormat="1" ht="14.25" x14ac:dyDescent="0.3">
      <c r="A44" s="15" t="s">
        <v>106</v>
      </c>
      <c r="B44" s="16" t="s">
        <v>107</v>
      </c>
      <c r="C44" s="17">
        <v>550</v>
      </c>
      <c r="D44" s="18">
        <v>13.071300000000001</v>
      </c>
      <c r="E44" s="18">
        <f t="shared" si="0"/>
        <v>0.10527958594456276</v>
      </c>
      <c r="F44" s="18" t="s">
        <v>108</v>
      </c>
      <c r="G44" s="13"/>
      <c r="H44" s="12"/>
    </row>
    <row r="45" spans="1:8" s="19" customFormat="1" ht="14.25" x14ac:dyDescent="0.3">
      <c r="A45" s="15" t="s">
        <v>109</v>
      </c>
      <c r="B45" s="16" t="s">
        <v>110</v>
      </c>
      <c r="C45" s="17">
        <v>100</v>
      </c>
      <c r="D45" s="18">
        <v>10.6106</v>
      </c>
      <c r="E45" s="18">
        <f t="shared" si="0"/>
        <v>8.5460480183560741E-2</v>
      </c>
      <c r="F45" s="18" t="s">
        <v>111</v>
      </c>
      <c r="G45" s="13"/>
      <c r="H45" s="12"/>
    </row>
    <row r="46" spans="1:8" s="19" customFormat="1" ht="14.25" x14ac:dyDescent="0.3">
      <c r="A46" s="15" t="s">
        <v>112</v>
      </c>
      <c r="B46" s="16" t="s">
        <v>104</v>
      </c>
      <c r="C46" s="17">
        <v>1350</v>
      </c>
      <c r="D46" s="18">
        <v>10.5246</v>
      </c>
      <c r="E46" s="18">
        <f t="shared" si="0"/>
        <v>8.4767814236697589E-2</v>
      </c>
      <c r="F46" s="18" t="s">
        <v>113</v>
      </c>
      <c r="G46" s="13"/>
      <c r="H46" s="13"/>
    </row>
    <row r="47" spans="1:8" s="19" customFormat="1" ht="14.25" x14ac:dyDescent="0.3">
      <c r="A47" s="15" t="s">
        <v>114</v>
      </c>
      <c r="B47" s="16" t="s">
        <v>13</v>
      </c>
      <c r="C47" s="17">
        <v>1500</v>
      </c>
      <c r="D47" s="18">
        <v>8.9782499999999992</v>
      </c>
      <c r="E47" s="18">
        <f t="shared" si="0"/>
        <v>7.231311671423428E-2</v>
      </c>
      <c r="F47" s="18" t="s">
        <v>115</v>
      </c>
      <c r="G47" s="13"/>
      <c r="H47" s="12"/>
    </row>
    <row r="48" spans="1:8" s="19" customFormat="1" ht="14.25" x14ac:dyDescent="0.3">
      <c r="A48" s="15" t="s">
        <v>116</v>
      </c>
      <c r="B48" s="16" t="s">
        <v>13</v>
      </c>
      <c r="C48" s="17">
        <v>400</v>
      </c>
      <c r="D48" s="18">
        <v>6.9428000000000001</v>
      </c>
      <c r="E48" s="18">
        <f t="shared" si="0"/>
        <v>5.5919082975366671E-2</v>
      </c>
      <c r="F48" s="18" t="s">
        <v>117</v>
      </c>
      <c r="G48" s="13"/>
      <c r="H48" s="13"/>
    </row>
    <row r="49" spans="1:8" s="19" customFormat="1" ht="14.25" x14ac:dyDescent="0.3">
      <c r="A49" s="14" t="s">
        <v>118</v>
      </c>
      <c r="B49" s="16"/>
      <c r="C49" s="17"/>
      <c r="D49" s="21">
        <f>IF(ISERROR(SUM(D6:D48)),0,SUM(D6:D48))</f>
        <v>8125.9835749999984</v>
      </c>
      <c r="E49" s="21">
        <f>IF(ISERROR(SUM(E6:E48)),0,SUM(E6:E48))</f>
        <v>65.448745432230766</v>
      </c>
      <c r="F49" s="21"/>
      <c r="G49" s="13"/>
      <c r="H49" s="12"/>
    </row>
    <row r="50" spans="1:8" s="19" customFormat="1" ht="14.25" x14ac:dyDescent="0.3">
      <c r="A50" s="14"/>
      <c r="B50" s="14"/>
      <c r="C50" s="22"/>
      <c r="D50" s="23"/>
      <c r="E50" s="23"/>
      <c r="F50" s="23"/>
      <c r="G50" s="13"/>
      <c r="H50" s="12"/>
    </row>
    <row r="51" spans="1:8" s="19" customFormat="1" ht="14.25" x14ac:dyDescent="0.3">
      <c r="A51" s="14" t="s">
        <v>119</v>
      </c>
      <c r="B51" s="14"/>
      <c r="C51" s="22"/>
      <c r="D51" s="24" t="s">
        <v>120</v>
      </c>
      <c r="E51" s="24" t="s">
        <v>120</v>
      </c>
      <c r="F51" s="24"/>
      <c r="G51" s="13"/>
      <c r="H51" s="12"/>
    </row>
    <row r="52" spans="1:8" s="19" customFormat="1" ht="14.25" x14ac:dyDescent="0.3">
      <c r="A52" s="14"/>
      <c r="B52" s="7"/>
      <c r="C52" s="22"/>
      <c r="D52" s="24"/>
      <c r="E52" s="24"/>
      <c r="F52" s="25"/>
      <c r="G52" s="13"/>
      <c r="H52" s="12"/>
    </row>
    <row r="53" spans="1:8" s="19" customFormat="1" ht="14.25" x14ac:dyDescent="0.3">
      <c r="A53" s="14" t="s">
        <v>121</v>
      </c>
      <c r="B53" s="14"/>
      <c r="C53" s="22"/>
      <c r="D53" s="21">
        <f>IF(ISERROR(+D49),0,D49)+IF(ISERROR(+#REF!),0,#REF!)</f>
        <v>8125.9835749999984</v>
      </c>
      <c r="E53" s="21">
        <f>IF(ISERROR(+E49),0,E49)+IF(ISERROR(+#REF!),0,#REF!)</f>
        <v>65.448745432230766</v>
      </c>
      <c r="F53" s="26"/>
      <c r="G53" s="13"/>
      <c r="H53" s="12"/>
    </row>
    <row r="54" spans="1:8" s="19" customFormat="1" ht="14.25" x14ac:dyDescent="0.3">
      <c r="A54" s="14"/>
      <c r="B54" s="7"/>
      <c r="C54" s="22"/>
      <c r="D54" s="24"/>
      <c r="E54" s="24"/>
      <c r="F54" s="25"/>
      <c r="G54" s="13"/>
      <c r="H54" s="12"/>
    </row>
    <row r="55" spans="1:8" s="19" customFormat="1" ht="14.25" x14ac:dyDescent="0.3">
      <c r="A55" s="14" t="s">
        <v>122</v>
      </c>
      <c r="B55" s="7"/>
      <c r="C55" s="22"/>
      <c r="D55" s="24"/>
      <c r="E55" s="24"/>
      <c r="F55" s="25"/>
      <c r="G55" s="13"/>
      <c r="H55" s="12"/>
    </row>
    <row r="56" spans="1:8" s="19" customFormat="1" ht="14.25" x14ac:dyDescent="0.3">
      <c r="A56" s="14" t="s">
        <v>11</v>
      </c>
      <c r="B56" s="7"/>
      <c r="C56" s="22"/>
      <c r="D56" s="27"/>
      <c r="E56" s="27"/>
      <c r="F56" s="27"/>
      <c r="G56" s="13"/>
      <c r="H56" s="12"/>
    </row>
    <row r="57" spans="1:8" s="19" customFormat="1" ht="14.25" x14ac:dyDescent="0.3">
      <c r="A57" s="15" t="s">
        <v>123</v>
      </c>
      <c r="B57" s="16" t="s">
        <v>124</v>
      </c>
      <c r="C57" s="17">
        <v>50000</v>
      </c>
      <c r="D57" s="18">
        <v>499.12450000000001</v>
      </c>
      <c r="E57" s="18">
        <f>(+D57/$D$88*100)</f>
        <v>4.0200760976174452</v>
      </c>
      <c r="F57" s="18" t="s">
        <v>125</v>
      </c>
      <c r="G57" s="13">
        <v>8.1549999999999994</v>
      </c>
      <c r="H57" s="12"/>
    </row>
    <row r="58" spans="1:8" s="19" customFormat="1" ht="14.25" x14ac:dyDescent="0.3">
      <c r="A58" s="15" t="s">
        <v>126</v>
      </c>
      <c r="B58" s="16" t="s">
        <v>127</v>
      </c>
      <c r="C58" s="17">
        <v>50</v>
      </c>
      <c r="D58" s="18">
        <v>496.51</v>
      </c>
      <c r="E58" s="18">
        <f>(+D58/$D$88*100)</f>
        <v>3.9990182474072857</v>
      </c>
      <c r="F58" s="18" t="s">
        <v>128</v>
      </c>
      <c r="G58" s="13">
        <v>8.4799000000000007</v>
      </c>
      <c r="H58" s="12"/>
    </row>
    <row r="59" spans="1:8" s="19" customFormat="1" ht="14.25" x14ac:dyDescent="0.3">
      <c r="A59" s="14" t="s">
        <v>118</v>
      </c>
      <c r="B59" s="7"/>
      <c r="C59" s="28"/>
      <c r="D59" s="24">
        <f>IF(ISERROR(SUM(D57:D58)),0,SUM(D57:D58))</f>
        <v>995.6345</v>
      </c>
      <c r="E59" s="24">
        <f>IF(ISERROR(SUM(E57:E58)),0,SUM(E57:E58))</f>
        <v>8.0190943450247314</v>
      </c>
      <c r="F59" s="24"/>
      <c r="G59" s="13"/>
      <c r="H59" s="12"/>
    </row>
    <row r="60" spans="1:8" s="19" customFormat="1" ht="14.25" x14ac:dyDescent="0.3">
      <c r="A60" s="14"/>
      <c r="B60" s="7"/>
      <c r="C60" s="28"/>
      <c r="D60" s="27"/>
      <c r="E60" s="27"/>
      <c r="F60" s="27"/>
      <c r="G60" s="13"/>
      <c r="H60" s="12"/>
    </row>
    <row r="61" spans="1:8" s="19" customFormat="1" ht="14.25" x14ac:dyDescent="0.3">
      <c r="A61" s="14" t="s">
        <v>129</v>
      </c>
      <c r="B61" s="7"/>
      <c r="C61" s="28"/>
      <c r="D61" s="24" t="s">
        <v>120</v>
      </c>
      <c r="E61" s="24" t="s">
        <v>120</v>
      </c>
      <c r="F61" s="25"/>
      <c r="G61" s="13"/>
      <c r="H61" s="12"/>
    </row>
    <row r="62" spans="1:8" s="19" customFormat="1" ht="14.25" x14ac:dyDescent="0.3">
      <c r="A62" s="14"/>
      <c r="B62" s="7"/>
      <c r="C62" s="28"/>
      <c r="D62" s="27"/>
      <c r="E62" s="27"/>
      <c r="F62" s="27"/>
      <c r="G62" s="13"/>
      <c r="H62" s="12"/>
    </row>
    <row r="63" spans="1:8" s="19" customFormat="1" ht="14.25" x14ac:dyDescent="0.3">
      <c r="A63" s="14" t="s">
        <v>121</v>
      </c>
      <c r="B63" s="7"/>
      <c r="C63" s="28"/>
      <c r="D63" s="24">
        <f>IF(ISERROR(+D59),0,D59)+IF(ISERROR(+#REF!),0,#REF!)+IF(ISERROR(+#REF!),0,#REF!)</f>
        <v>995.6345</v>
      </c>
      <c r="E63" s="24">
        <f>IF(ISERROR(+E59),0,E59)+IF(ISERROR(+#REF!),0,#REF!)+IF(ISERROR(+#REF!),0,#REF!)</f>
        <v>8.0190943450247314</v>
      </c>
      <c r="F63" s="24">
        <f>IF(ISERROR(+F59),0,F59)+IF(ISERROR(+#REF!),0,#REF!)+IF(ISERROR(+#REF!),0,#REF!)</f>
        <v>0</v>
      </c>
      <c r="G63" s="13"/>
      <c r="H63" s="12"/>
    </row>
    <row r="64" spans="1:8" s="19" customFormat="1" ht="14.25" x14ac:dyDescent="0.3">
      <c r="A64" s="14"/>
      <c r="B64" s="7"/>
      <c r="C64" s="28"/>
      <c r="D64" s="24"/>
      <c r="E64" s="24"/>
      <c r="F64" s="24"/>
      <c r="G64" s="13"/>
      <c r="H64" s="12"/>
    </row>
    <row r="65" spans="1:8" s="19" customFormat="1" ht="14.25" x14ac:dyDescent="0.3">
      <c r="A65" s="14" t="s">
        <v>130</v>
      </c>
      <c r="B65" s="7"/>
      <c r="C65" s="28"/>
      <c r="D65" s="24"/>
      <c r="E65" s="24"/>
      <c r="F65" s="24"/>
      <c r="G65" s="13"/>
      <c r="H65" s="12"/>
    </row>
    <row r="66" spans="1:8" s="19" customFormat="1" ht="14.25" x14ac:dyDescent="0.3">
      <c r="A66" s="14"/>
      <c r="B66" s="7"/>
      <c r="C66" s="28"/>
      <c r="D66" s="18"/>
      <c r="E66" s="18"/>
      <c r="F66" s="29"/>
      <c r="G66" s="13"/>
      <c r="H66" s="12"/>
    </row>
    <row r="67" spans="1:8" s="19" customFormat="1" ht="14.25" x14ac:dyDescent="0.3">
      <c r="A67" s="14" t="s">
        <v>131</v>
      </c>
      <c r="B67" s="7"/>
      <c r="C67" s="28"/>
      <c r="D67" s="24" t="s">
        <v>120</v>
      </c>
      <c r="E67" s="24" t="s">
        <v>120</v>
      </c>
      <c r="F67" s="24"/>
      <c r="G67" s="13"/>
      <c r="H67" s="12"/>
    </row>
    <row r="68" spans="1:8" s="19" customFormat="1" ht="14.25" x14ac:dyDescent="0.3">
      <c r="A68" s="14"/>
      <c r="B68" s="7"/>
      <c r="C68" s="28"/>
      <c r="D68" s="24"/>
      <c r="E68" s="24"/>
      <c r="F68" s="24"/>
      <c r="G68" s="13"/>
      <c r="H68" s="12"/>
    </row>
    <row r="69" spans="1:8" s="19" customFormat="1" ht="14.25" x14ac:dyDescent="0.3">
      <c r="A69" s="14" t="s">
        <v>132</v>
      </c>
      <c r="B69" s="7"/>
      <c r="C69" s="28"/>
      <c r="D69" s="24" t="s">
        <v>120</v>
      </c>
      <c r="E69" s="24" t="s">
        <v>120</v>
      </c>
      <c r="F69" s="24"/>
      <c r="G69" s="13"/>
      <c r="H69" s="12"/>
    </row>
    <row r="70" spans="1:8" s="19" customFormat="1" ht="14.25" x14ac:dyDescent="0.3">
      <c r="A70" s="14"/>
      <c r="B70" s="7"/>
      <c r="C70" s="28"/>
      <c r="D70" s="24"/>
      <c r="E70" s="24"/>
      <c r="F70" s="24"/>
      <c r="G70" s="13"/>
      <c r="H70" s="12"/>
    </row>
    <row r="71" spans="1:8" s="19" customFormat="1" ht="14.25" x14ac:dyDescent="0.3">
      <c r="A71" s="14" t="s">
        <v>133</v>
      </c>
      <c r="B71" s="7"/>
      <c r="C71" s="28"/>
      <c r="D71" s="24"/>
      <c r="E71" s="24"/>
      <c r="F71" s="25"/>
      <c r="G71" s="13"/>
      <c r="H71" s="12"/>
    </row>
    <row r="72" spans="1:8" s="19" customFormat="1" ht="14.25" x14ac:dyDescent="0.3">
      <c r="A72" s="14" t="s">
        <v>134</v>
      </c>
      <c r="B72" s="16"/>
      <c r="C72" s="17"/>
      <c r="D72" s="18"/>
      <c r="E72" s="27"/>
      <c r="F72" s="30"/>
      <c r="G72" s="13"/>
      <c r="H72" s="12"/>
    </row>
    <row r="73" spans="1:8" s="19" customFormat="1" ht="14.25" x14ac:dyDescent="0.3">
      <c r="A73" s="15" t="s">
        <v>135</v>
      </c>
      <c r="B73" s="16" t="s">
        <v>136</v>
      </c>
      <c r="C73" s="17">
        <v>500000</v>
      </c>
      <c r="D73" s="18">
        <v>497.08</v>
      </c>
      <c r="E73" s="18">
        <f>(+D73/$D$88*100)</f>
        <v>4.0036091728690524</v>
      </c>
      <c r="F73" s="18" t="s">
        <v>137</v>
      </c>
      <c r="G73" s="13">
        <v>6.7004000000000001</v>
      </c>
      <c r="H73" s="12"/>
    </row>
    <row r="74" spans="1:8" s="19" customFormat="1" ht="14.25" x14ac:dyDescent="0.3">
      <c r="A74" s="15" t="s">
        <v>138</v>
      </c>
      <c r="B74" s="16" t="s">
        <v>136</v>
      </c>
      <c r="C74" s="17">
        <v>500000</v>
      </c>
      <c r="D74" s="18">
        <v>492.59949999999998</v>
      </c>
      <c r="E74" s="18">
        <f>(+D74/$D$88*100)</f>
        <v>3.967522082463002</v>
      </c>
      <c r="F74" s="18" t="s">
        <v>139</v>
      </c>
      <c r="G74" s="13">
        <v>6.7698</v>
      </c>
      <c r="H74" s="12"/>
    </row>
    <row r="75" spans="1:8" s="19" customFormat="1" ht="14.25" x14ac:dyDescent="0.3">
      <c r="A75" s="15" t="s">
        <v>140</v>
      </c>
      <c r="B75" s="16" t="s">
        <v>136</v>
      </c>
      <c r="C75" s="17">
        <v>100000</v>
      </c>
      <c r="D75" s="18">
        <v>98.782399999999996</v>
      </c>
      <c r="E75" s="18">
        <f>(+D75/$D$88*100)</f>
        <v>0.79561865848157221</v>
      </c>
      <c r="F75" s="18" t="s">
        <v>141</v>
      </c>
      <c r="G75" s="13">
        <v>6.7149999999999999</v>
      </c>
      <c r="H75" s="12"/>
    </row>
    <row r="76" spans="1:8" s="19" customFormat="1" ht="14.25" x14ac:dyDescent="0.3">
      <c r="A76" s="15" t="s">
        <v>142</v>
      </c>
      <c r="B76" s="16" t="s">
        <v>136</v>
      </c>
      <c r="C76" s="17">
        <v>100000</v>
      </c>
      <c r="D76" s="18">
        <v>97.192599999999999</v>
      </c>
      <c r="E76" s="18">
        <f>(+D76/$D$88*100)</f>
        <v>0.78281400357083919</v>
      </c>
      <c r="F76" s="18" t="s">
        <v>143</v>
      </c>
      <c r="G76" s="13">
        <v>6.9821999999999997</v>
      </c>
      <c r="H76" s="12"/>
    </row>
    <row r="77" spans="1:8" s="19" customFormat="1" ht="14.25" x14ac:dyDescent="0.3">
      <c r="A77" s="14" t="s">
        <v>118</v>
      </c>
      <c r="B77" s="31"/>
      <c r="C77" s="32"/>
      <c r="D77" s="24">
        <f>IF(ISERROR(SUM(D73:D76)),0,SUM(D73:D76))</f>
        <v>1185.6545000000001</v>
      </c>
      <c r="E77" s="24">
        <f>IF(ISERROR(SUM(E73:E76)),0,SUM(E73:E76))</f>
        <v>9.5495639173844662</v>
      </c>
      <c r="F77" s="33"/>
      <c r="G77" s="13"/>
      <c r="H77" s="12"/>
    </row>
    <row r="78" spans="1:8" s="19" customFormat="1" ht="14.25" x14ac:dyDescent="0.3">
      <c r="A78" s="15" t="s">
        <v>144</v>
      </c>
      <c r="B78" s="16"/>
      <c r="C78" s="17">
        <v>0</v>
      </c>
      <c r="D78" s="18">
        <v>588.1582952</v>
      </c>
      <c r="E78" s="18">
        <f>(+D78/$D$88*100)</f>
        <v>4.7371770052340558</v>
      </c>
      <c r="F78" s="18" t="s">
        <v>145</v>
      </c>
      <c r="G78" s="13">
        <v>6.7830000000000004</v>
      </c>
      <c r="H78" s="12"/>
    </row>
    <row r="79" spans="1:8" s="19" customFormat="1" ht="14.25" x14ac:dyDescent="0.3">
      <c r="A79" s="14" t="s">
        <v>118</v>
      </c>
      <c r="B79" s="7"/>
      <c r="C79" s="28"/>
      <c r="D79" s="24">
        <f>IF(ISERROR(SUM(D78:D78)),0,SUM(D78:D78))</f>
        <v>588.1582952</v>
      </c>
      <c r="E79" s="24">
        <f>IF(ISERROR(SUM(E78:E78)),0,SUM(E78:E78))</f>
        <v>4.7371770052340558</v>
      </c>
      <c r="F79" s="18"/>
      <c r="G79" s="13"/>
      <c r="H79" s="12"/>
    </row>
    <row r="80" spans="1:8" s="19" customFormat="1" ht="14.25" x14ac:dyDescent="0.3">
      <c r="A80" s="14" t="s">
        <v>146</v>
      </c>
      <c r="B80" s="7"/>
      <c r="C80" s="28"/>
      <c r="D80" s="24"/>
      <c r="E80" s="24"/>
      <c r="F80" s="24"/>
      <c r="G80" s="13"/>
      <c r="H80" s="12"/>
    </row>
    <row r="81" spans="1:8" s="19" customFormat="1" ht="14.25" x14ac:dyDescent="0.3">
      <c r="A81" s="15" t="s">
        <v>147</v>
      </c>
      <c r="B81" s="16"/>
      <c r="C81" s="17">
        <v>2016629.652</v>
      </c>
      <c r="D81" s="18">
        <v>1284.2784940982879</v>
      </c>
      <c r="E81" s="18">
        <f>(+D81/$D$88*100)</f>
        <v>10.343906734309085</v>
      </c>
      <c r="F81" s="18" t="s">
        <v>148</v>
      </c>
      <c r="G81" s="13"/>
      <c r="H81" s="12"/>
    </row>
    <row r="82" spans="1:8" s="19" customFormat="1" ht="14.25" x14ac:dyDescent="0.3">
      <c r="A82" s="14" t="s">
        <v>118</v>
      </c>
      <c r="B82" s="7"/>
      <c r="C82" s="28"/>
      <c r="D82" s="24">
        <f>IF(ISERROR(SUM(D81:D81)),0,SUM(D81:D81))</f>
        <v>1284.2784940982879</v>
      </c>
      <c r="E82" s="24">
        <f>IF(ISERROR(SUM(E81:E81)),0,SUM(E81:E81))</f>
        <v>10.343906734309085</v>
      </c>
      <c r="F82" s="34"/>
      <c r="G82" s="13"/>
      <c r="H82" s="12"/>
    </row>
    <row r="83" spans="1:8" s="19" customFormat="1" ht="14.25" x14ac:dyDescent="0.3">
      <c r="A83" s="14"/>
      <c r="B83" s="7"/>
      <c r="C83" s="28"/>
      <c r="D83" s="24"/>
      <c r="E83" s="24"/>
      <c r="F83" s="25"/>
      <c r="G83" s="13"/>
      <c r="H83" s="12"/>
    </row>
    <row r="84" spans="1:8" s="19" customFormat="1" ht="14.25" x14ac:dyDescent="0.3">
      <c r="A84" s="14" t="s">
        <v>121</v>
      </c>
      <c r="B84" s="7"/>
      <c r="C84" s="28" t="s">
        <v>149</v>
      </c>
      <c r="D84" s="24">
        <f>+IF(ISERROR(D63),0,D63)+IF(ISERROR(D79),0,D79)+IF(ISERROR(D53),0,D53)+IF(ISERROR(#REF!),0,#REF!)+IF(ISERROR(#REF!),0,#REF!)+IF(ISERROR(D77),0,D77)+IF(ISERROR(D82),0,D82)+IF(ISERROR(#REF!),0,#REF!)+IF(ISERROR(#REF!),0,#REF!)</f>
        <v>12179.709364298285</v>
      </c>
      <c r="E84" s="24">
        <f>+IF(ISERROR(E63),0,E63)+IF(ISERROR(E79),0,E79)+IF(ISERROR(E53),0,E53)+IF(ISERROR(#REF!),0,#REF!)+IF(ISERROR(#REF!),0,#REF!)+IF(ISERROR(E77),0,E77)+IF(ISERROR(E82),0,E82)+IF(ISERROR(#REF!),0,#REF!)+IF(ISERROR(#REF!),0,#REF!)</f>
        <v>98.098487434183099</v>
      </c>
      <c r="F84" s="24"/>
      <c r="G84" s="13"/>
      <c r="H84" s="12"/>
    </row>
    <row r="85" spans="1:8" s="19" customFormat="1" ht="14.25" x14ac:dyDescent="0.3">
      <c r="A85" s="14"/>
      <c r="B85" s="7"/>
      <c r="C85" s="28"/>
      <c r="D85" s="24"/>
      <c r="E85" s="24"/>
      <c r="F85" s="35"/>
      <c r="G85" s="36"/>
      <c r="H85" s="37"/>
    </row>
    <row r="86" spans="1:8" s="19" customFormat="1" ht="14.25" x14ac:dyDescent="0.3">
      <c r="A86" s="14" t="s">
        <v>150</v>
      </c>
      <c r="B86" s="7"/>
      <c r="C86" s="28"/>
      <c r="D86" s="24">
        <f>+D88-D84</f>
        <v>236.08794600171495</v>
      </c>
      <c r="E86" s="24">
        <f>D86/$D$88*100</f>
        <v>1.9015125658169301</v>
      </c>
      <c r="F86" s="35"/>
      <c r="G86" s="36"/>
      <c r="H86" s="37"/>
    </row>
    <row r="87" spans="1:8" s="19" customFormat="1" ht="14.25" x14ac:dyDescent="0.3">
      <c r="A87" s="14"/>
      <c r="B87" s="7"/>
      <c r="C87" s="28"/>
      <c r="D87" s="27"/>
      <c r="E87" s="27"/>
      <c r="F87" s="35"/>
      <c r="G87" s="36"/>
      <c r="H87" s="37"/>
    </row>
    <row r="88" spans="1:8" s="19" customFormat="1" ht="14.25" x14ac:dyDescent="0.3">
      <c r="A88" s="14" t="s">
        <v>151</v>
      </c>
      <c r="B88" s="7"/>
      <c r="C88" s="28"/>
      <c r="D88" s="24">
        <v>12415.7973103</v>
      </c>
      <c r="E88" s="24">
        <f>+E84+E86</f>
        <v>100.00000000000003</v>
      </c>
      <c r="F88" s="35"/>
      <c r="G88" s="36"/>
      <c r="H88" s="37"/>
    </row>
    <row r="89" spans="1:8" s="19" customFormat="1" ht="14.25" x14ac:dyDescent="0.3">
      <c r="A89" s="38"/>
      <c r="B89" s="39"/>
      <c r="C89" s="40"/>
      <c r="D89" s="41"/>
      <c r="E89" s="41"/>
      <c r="F89" s="35"/>
      <c r="G89" s="36"/>
      <c r="H89" s="37"/>
    </row>
    <row r="90" spans="1:8" s="19" customFormat="1" ht="14.25" x14ac:dyDescent="0.3">
      <c r="A90" s="42" t="s">
        <v>152</v>
      </c>
      <c r="B90" s="39"/>
      <c r="C90" s="40"/>
      <c r="D90" s="41"/>
      <c r="E90" s="41"/>
      <c r="F90" s="35"/>
      <c r="G90" s="36"/>
      <c r="H90" s="37"/>
    </row>
    <row r="91" spans="1:8" s="19" customFormat="1" ht="13.5" x14ac:dyDescent="0.2">
      <c r="A91" s="90" t="s">
        <v>153</v>
      </c>
      <c r="B91" s="90"/>
      <c r="C91" s="90"/>
      <c r="D91" s="90"/>
      <c r="E91" s="90"/>
      <c r="F91" s="90"/>
      <c r="G91" s="90"/>
      <c r="H91" s="90"/>
    </row>
    <row r="92" spans="1:8" s="19" customFormat="1" ht="25.5" customHeight="1" x14ac:dyDescent="0.2">
      <c r="A92" s="90" t="s">
        <v>154</v>
      </c>
      <c r="B92" s="90"/>
      <c r="C92" s="90"/>
      <c r="D92" s="90"/>
      <c r="E92" s="90"/>
      <c r="F92" s="90"/>
      <c r="G92" s="90"/>
      <c r="H92" s="91"/>
    </row>
    <row r="93" spans="1:8" s="19" customFormat="1" ht="13.5" x14ac:dyDescent="0.2">
      <c r="A93" s="92" t="s">
        <v>155</v>
      </c>
      <c r="B93" s="92"/>
      <c r="C93" s="92"/>
      <c r="D93" s="92"/>
      <c r="E93" s="92"/>
      <c r="F93" s="92"/>
      <c r="G93" s="92"/>
      <c r="H93" s="91"/>
    </row>
    <row r="94" spans="1:8" s="19" customFormat="1" ht="52.5" customHeight="1" x14ac:dyDescent="0.2">
      <c r="A94" s="93" t="s">
        <v>156</v>
      </c>
      <c r="B94" s="93"/>
      <c r="C94" s="93"/>
      <c r="D94" s="93"/>
      <c r="E94" s="93"/>
      <c r="F94" s="93"/>
      <c r="G94" s="93"/>
      <c r="H94" s="91"/>
    </row>
    <row r="95" spans="1:8" s="19" customFormat="1" ht="14.25" customHeight="1" x14ac:dyDescent="0.2">
      <c r="A95" s="48"/>
      <c r="B95" s="48"/>
      <c r="C95" s="48"/>
      <c r="D95" s="48"/>
      <c r="E95" s="48"/>
      <c r="F95" s="48"/>
      <c r="G95" s="48"/>
      <c r="H95" s="84"/>
    </row>
    <row r="96" spans="1:8" s="19" customFormat="1" ht="14.25" x14ac:dyDescent="0.3">
      <c r="A96" s="43" t="s">
        <v>157</v>
      </c>
      <c r="B96" s="44"/>
      <c r="C96" s="45"/>
      <c r="D96" s="46"/>
      <c r="E96" s="46"/>
      <c r="F96" s="47"/>
      <c r="G96" s="48"/>
      <c r="H96" s="49"/>
    </row>
    <row r="97" spans="1:8" s="19" customFormat="1" ht="63.75" customHeight="1" x14ac:dyDescent="0.2">
      <c r="A97" s="50" t="s">
        <v>158</v>
      </c>
      <c r="B97" s="51" t="s">
        <v>159</v>
      </c>
      <c r="C97" s="52" t="s">
        <v>4</v>
      </c>
      <c r="D97" s="50" t="s">
        <v>160</v>
      </c>
      <c r="E97" s="50" t="s">
        <v>161</v>
      </c>
      <c r="F97" s="50" t="s">
        <v>162</v>
      </c>
      <c r="G97" s="48"/>
      <c r="H97" s="49"/>
    </row>
    <row r="98" spans="1:8" s="19" customFormat="1" ht="14.25" x14ac:dyDescent="0.3">
      <c r="A98" s="53" t="s">
        <v>163</v>
      </c>
      <c r="B98" s="16" t="s">
        <v>164</v>
      </c>
      <c r="C98" s="17">
        <v>10800</v>
      </c>
      <c r="D98" s="54">
        <v>179.1</v>
      </c>
      <c r="E98" s="54">
        <v>180.85</v>
      </c>
      <c r="F98" s="54">
        <v>4.1048640000000001</v>
      </c>
      <c r="G98" s="55"/>
      <c r="H98" s="56"/>
    </row>
    <row r="99" spans="1:8" s="19" customFormat="1" ht="14.25" x14ac:dyDescent="0.3">
      <c r="A99" s="53" t="s">
        <v>165</v>
      </c>
      <c r="B99" s="16" t="s">
        <v>164</v>
      </c>
      <c r="C99" s="17">
        <v>13500</v>
      </c>
      <c r="D99" s="54">
        <v>2032.28220222</v>
      </c>
      <c r="E99" s="54">
        <v>2025.45</v>
      </c>
      <c r="F99" s="54">
        <v>52.0461113</v>
      </c>
      <c r="G99" s="55"/>
      <c r="H99" s="56"/>
    </row>
    <row r="100" spans="1:8" s="19" customFormat="1" ht="14.25" x14ac:dyDescent="0.3">
      <c r="A100" s="53" t="s">
        <v>166</v>
      </c>
      <c r="B100" s="16" t="s">
        <v>164</v>
      </c>
      <c r="C100" s="17">
        <v>14400</v>
      </c>
      <c r="D100" s="54">
        <v>436.00555556</v>
      </c>
      <c r="E100" s="54">
        <v>439.6</v>
      </c>
      <c r="F100" s="54">
        <v>14.608548000000001</v>
      </c>
      <c r="G100" s="55"/>
      <c r="H100" s="56"/>
    </row>
    <row r="101" spans="1:8" s="19" customFormat="1" ht="14.25" x14ac:dyDescent="0.3">
      <c r="A101" s="53" t="s">
        <v>167</v>
      </c>
      <c r="B101" s="16" t="s">
        <v>164</v>
      </c>
      <c r="C101" s="17">
        <v>230000</v>
      </c>
      <c r="D101" s="54">
        <v>246.97335434999999</v>
      </c>
      <c r="E101" s="54">
        <v>252.4</v>
      </c>
      <c r="F101" s="54">
        <v>127.82135</v>
      </c>
      <c r="G101" s="55"/>
      <c r="H101" s="56"/>
    </row>
    <row r="102" spans="1:8" s="19" customFormat="1" ht="14.25" x14ac:dyDescent="0.3">
      <c r="A102" s="53" t="s">
        <v>168</v>
      </c>
      <c r="B102" s="16" t="s">
        <v>164</v>
      </c>
      <c r="C102" s="17">
        <v>23400</v>
      </c>
      <c r="D102" s="54">
        <v>209.2</v>
      </c>
      <c r="E102" s="54">
        <v>215.15</v>
      </c>
      <c r="F102" s="54">
        <v>11.0098755</v>
      </c>
      <c r="G102" s="55"/>
      <c r="H102" s="56"/>
    </row>
    <row r="103" spans="1:8" s="19" customFormat="1" ht="14.25" x14ac:dyDescent="0.3">
      <c r="A103" s="53" t="s">
        <v>169</v>
      </c>
      <c r="B103" s="16" t="s">
        <v>164</v>
      </c>
      <c r="C103" s="17">
        <v>45000</v>
      </c>
      <c r="D103" s="54">
        <v>356.6096</v>
      </c>
      <c r="E103" s="54">
        <v>347.85</v>
      </c>
      <c r="F103" s="54">
        <v>27.676575</v>
      </c>
      <c r="G103" s="55"/>
      <c r="H103" s="56"/>
    </row>
    <row r="104" spans="1:8" s="19" customFormat="1" ht="14.25" x14ac:dyDescent="0.3">
      <c r="A104" s="53" t="s">
        <v>170</v>
      </c>
      <c r="B104" s="16" t="s">
        <v>164</v>
      </c>
      <c r="C104" s="17">
        <v>83700</v>
      </c>
      <c r="D104" s="54">
        <v>378.02900323</v>
      </c>
      <c r="E104" s="54">
        <v>378.75</v>
      </c>
      <c r="F104" s="54">
        <v>70.277240300000003</v>
      </c>
      <c r="G104" s="55"/>
      <c r="H104" s="56"/>
    </row>
    <row r="105" spans="1:8" s="19" customFormat="1" ht="14.25" x14ac:dyDescent="0.3">
      <c r="A105" s="53" t="s">
        <v>171</v>
      </c>
      <c r="B105" s="16" t="s">
        <v>164</v>
      </c>
      <c r="C105" s="17">
        <v>35000</v>
      </c>
      <c r="D105" s="54">
        <v>132.63570000000001</v>
      </c>
      <c r="E105" s="54">
        <v>127.5</v>
      </c>
      <c r="F105" s="54">
        <v>9.7034874999999996</v>
      </c>
      <c r="G105" s="55"/>
      <c r="H105" s="56"/>
    </row>
    <row r="106" spans="1:8" s="19" customFormat="1" ht="14.25" x14ac:dyDescent="0.3">
      <c r="A106" s="53" t="s">
        <v>172</v>
      </c>
      <c r="B106" s="16" t="s">
        <v>164</v>
      </c>
      <c r="C106" s="17">
        <v>1250</v>
      </c>
      <c r="D106" s="54">
        <v>5705.0149840000004</v>
      </c>
      <c r="E106" s="54">
        <v>5621.8</v>
      </c>
      <c r="F106" s="54">
        <v>12.398159399999999</v>
      </c>
      <c r="G106" s="55"/>
      <c r="H106" s="56"/>
    </row>
    <row r="107" spans="1:8" s="19" customFormat="1" ht="14.25" x14ac:dyDescent="0.3">
      <c r="A107" s="53" t="s">
        <v>173</v>
      </c>
      <c r="B107" s="16" t="s">
        <v>164</v>
      </c>
      <c r="C107" s="17">
        <v>14400</v>
      </c>
      <c r="D107" s="54">
        <v>263.53750000000002</v>
      </c>
      <c r="E107" s="54">
        <v>262.2</v>
      </c>
      <c r="F107" s="54">
        <v>6.6622680000000001</v>
      </c>
      <c r="G107" s="55"/>
      <c r="H107" s="56"/>
    </row>
    <row r="108" spans="1:8" s="19" customFormat="1" ht="14.25" x14ac:dyDescent="0.3">
      <c r="A108" s="53" t="s">
        <v>174</v>
      </c>
      <c r="B108" s="16" t="s">
        <v>164</v>
      </c>
      <c r="C108" s="17">
        <v>30000</v>
      </c>
      <c r="D108" s="54">
        <v>148.42500000000001</v>
      </c>
      <c r="E108" s="54">
        <v>147.75</v>
      </c>
      <c r="F108" s="54">
        <v>8.4379500000000007</v>
      </c>
      <c r="G108" s="55"/>
      <c r="H108" s="56"/>
    </row>
    <row r="109" spans="1:8" s="19" customFormat="1" ht="14.25" x14ac:dyDescent="0.3">
      <c r="A109" s="53" t="s">
        <v>175</v>
      </c>
      <c r="B109" s="16" t="s">
        <v>164</v>
      </c>
      <c r="C109" s="17">
        <v>155550</v>
      </c>
      <c r="D109" s="54">
        <v>125.8323</v>
      </c>
      <c r="E109" s="54">
        <v>125.2</v>
      </c>
      <c r="F109" s="54">
        <v>34.3621616</v>
      </c>
      <c r="G109" s="55"/>
      <c r="H109" s="56"/>
    </row>
    <row r="110" spans="1:8" s="19" customFormat="1" ht="14.25" x14ac:dyDescent="0.3">
      <c r="A110" s="53" t="s">
        <v>176</v>
      </c>
      <c r="B110" s="16" t="s">
        <v>164</v>
      </c>
      <c r="C110" s="17">
        <v>70000</v>
      </c>
      <c r="D110" s="54">
        <v>332.72857142999999</v>
      </c>
      <c r="E110" s="54">
        <v>357.25</v>
      </c>
      <c r="F110" s="54">
        <v>95.420887699999994</v>
      </c>
      <c r="G110" s="55"/>
      <c r="H110" s="56"/>
    </row>
    <row r="111" spans="1:8" s="19" customFormat="1" ht="14.25" x14ac:dyDescent="0.3">
      <c r="A111" s="53" t="s">
        <v>177</v>
      </c>
      <c r="B111" s="16" t="s">
        <v>164</v>
      </c>
      <c r="C111" s="17">
        <v>15000</v>
      </c>
      <c r="D111" s="54">
        <v>441.30833332999998</v>
      </c>
      <c r="E111" s="54">
        <v>425.35</v>
      </c>
      <c r="F111" s="54">
        <v>11.8721625</v>
      </c>
      <c r="G111" s="55"/>
      <c r="H111" s="56"/>
    </row>
    <row r="112" spans="1:8" s="19" customFormat="1" ht="14.25" x14ac:dyDescent="0.3">
      <c r="A112" s="53" t="s">
        <v>178</v>
      </c>
      <c r="B112" s="16" t="s">
        <v>164</v>
      </c>
      <c r="C112" s="17">
        <v>11400</v>
      </c>
      <c r="D112" s="54">
        <v>2010.2526499999999</v>
      </c>
      <c r="E112" s="54">
        <v>1938.95</v>
      </c>
      <c r="F112" s="54">
        <v>44.054160000000003</v>
      </c>
      <c r="G112" s="55"/>
      <c r="H112" s="56"/>
    </row>
    <row r="113" spans="1:8" s="19" customFormat="1" ht="14.25" x14ac:dyDescent="0.3">
      <c r="A113" s="53" t="s">
        <v>179</v>
      </c>
      <c r="B113" s="16" t="s">
        <v>164</v>
      </c>
      <c r="C113" s="17">
        <v>72050</v>
      </c>
      <c r="D113" s="54">
        <v>1565.71298473</v>
      </c>
      <c r="E113" s="54">
        <v>1536.7</v>
      </c>
      <c r="F113" s="54">
        <v>195.24559309999998</v>
      </c>
      <c r="G113" s="55"/>
      <c r="H113" s="56"/>
    </row>
    <row r="114" spans="1:8" s="19" customFormat="1" ht="14.25" x14ac:dyDescent="0.3">
      <c r="A114" s="53" t="s">
        <v>180</v>
      </c>
      <c r="B114" s="16" t="s">
        <v>164</v>
      </c>
      <c r="C114" s="17">
        <v>121900</v>
      </c>
      <c r="D114" s="54">
        <v>159.98257826</v>
      </c>
      <c r="E114" s="54">
        <v>163.6</v>
      </c>
      <c r="F114" s="54">
        <v>73.731268</v>
      </c>
      <c r="G114" s="55"/>
      <c r="H114" s="56"/>
    </row>
    <row r="115" spans="1:8" s="19" customFormat="1" ht="14.25" x14ac:dyDescent="0.3">
      <c r="A115" s="53" t="s">
        <v>181</v>
      </c>
      <c r="B115" s="16" t="s">
        <v>164</v>
      </c>
      <c r="C115" s="17">
        <v>102600</v>
      </c>
      <c r="D115" s="54">
        <v>260.07364737</v>
      </c>
      <c r="E115" s="54">
        <v>255.9</v>
      </c>
      <c r="F115" s="54">
        <v>51.968182499999998</v>
      </c>
      <c r="G115" s="55"/>
      <c r="H115" s="56"/>
    </row>
    <row r="116" spans="1:8" s="19" customFormat="1" ht="14.25" x14ac:dyDescent="0.3">
      <c r="A116" s="53" t="s">
        <v>182</v>
      </c>
      <c r="B116" s="16" t="s">
        <v>164</v>
      </c>
      <c r="C116" s="17">
        <v>7700</v>
      </c>
      <c r="D116" s="54">
        <v>987.30911818000004</v>
      </c>
      <c r="E116" s="54">
        <v>956.35</v>
      </c>
      <c r="F116" s="54">
        <v>13.007513799999998</v>
      </c>
      <c r="G116" s="55"/>
      <c r="H116" s="56"/>
    </row>
    <row r="117" spans="1:8" s="19" customFormat="1" ht="14.25" x14ac:dyDescent="0.3">
      <c r="A117" s="53" t="s">
        <v>183</v>
      </c>
      <c r="B117" s="16" t="s">
        <v>164</v>
      </c>
      <c r="C117" s="17">
        <v>17400</v>
      </c>
      <c r="D117" s="54">
        <v>241.4</v>
      </c>
      <c r="E117" s="54">
        <v>234.7</v>
      </c>
      <c r="F117" s="54">
        <v>10.774906499999998</v>
      </c>
      <c r="G117" s="55"/>
      <c r="H117" s="56"/>
    </row>
    <row r="118" spans="1:8" s="19" customFormat="1" ht="14.25" x14ac:dyDescent="0.3">
      <c r="A118" s="53" t="s">
        <v>184</v>
      </c>
      <c r="B118" s="16" t="s">
        <v>164</v>
      </c>
      <c r="C118" s="17">
        <v>19000</v>
      </c>
      <c r="D118" s="54">
        <v>1427.2776210500001</v>
      </c>
      <c r="E118" s="54">
        <v>1437.9</v>
      </c>
      <c r="F118" s="54">
        <v>55.3091425</v>
      </c>
      <c r="G118" s="55"/>
      <c r="H118" s="56"/>
    </row>
    <row r="119" spans="1:8" s="19" customFormat="1" ht="14.25" x14ac:dyDescent="0.3">
      <c r="A119" s="53" t="s">
        <v>185</v>
      </c>
      <c r="B119" s="16" t="s">
        <v>164</v>
      </c>
      <c r="C119" s="17">
        <v>85000</v>
      </c>
      <c r="D119" s="54">
        <v>186.18598399999999</v>
      </c>
      <c r="E119" s="54">
        <v>192.75</v>
      </c>
      <c r="F119" s="54">
        <v>38.391737499999998</v>
      </c>
      <c r="G119" s="55"/>
      <c r="H119" s="56"/>
    </row>
    <row r="120" spans="1:8" s="19" customFormat="1" ht="14.25" x14ac:dyDescent="0.3">
      <c r="A120" s="53" t="s">
        <v>186</v>
      </c>
      <c r="B120" s="16" t="s">
        <v>164</v>
      </c>
      <c r="C120" s="17">
        <v>165750</v>
      </c>
      <c r="D120" s="54">
        <v>92.779417679999995</v>
      </c>
      <c r="E120" s="54">
        <v>91.55</v>
      </c>
      <c r="F120" s="54">
        <v>26.756193799999998</v>
      </c>
      <c r="G120" s="55"/>
      <c r="H120" s="56"/>
    </row>
    <row r="121" spans="1:8" s="19" customFormat="1" ht="14.25" x14ac:dyDescent="0.3">
      <c r="A121" s="53" t="s">
        <v>187</v>
      </c>
      <c r="B121" s="16" t="s">
        <v>164</v>
      </c>
      <c r="C121" s="17">
        <v>51200</v>
      </c>
      <c r="D121" s="54">
        <v>454.08440000000002</v>
      </c>
      <c r="E121" s="54">
        <v>445.55</v>
      </c>
      <c r="F121" s="54">
        <v>40.349696000000002</v>
      </c>
      <c r="G121" s="55"/>
      <c r="H121" s="56"/>
    </row>
    <row r="122" spans="1:8" s="19" customFormat="1" ht="14.25" x14ac:dyDescent="0.3">
      <c r="A122" s="53" t="s">
        <v>188</v>
      </c>
      <c r="B122" s="16" t="s">
        <v>164</v>
      </c>
      <c r="C122" s="17">
        <v>1000</v>
      </c>
      <c r="D122" s="54">
        <v>3202.9875000000002</v>
      </c>
      <c r="E122" s="54">
        <v>3199.85</v>
      </c>
      <c r="F122" s="54">
        <v>5.9768425000000001</v>
      </c>
      <c r="G122" s="55"/>
      <c r="H122" s="56"/>
    </row>
    <row r="123" spans="1:8" s="19" customFormat="1" ht="14.25" x14ac:dyDescent="0.3">
      <c r="A123" s="53" t="s">
        <v>189</v>
      </c>
      <c r="B123" s="16" t="s">
        <v>164</v>
      </c>
      <c r="C123" s="17">
        <v>1350</v>
      </c>
      <c r="D123" s="54">
        <v>819.5</v>
      </c>
      <c r="E123" s="54">
        <v>782.35</v>
      </c>
      <c r="F123" s="54">
        <v>1.9071129</v>
      </c>
      <c r="G123" s="55"/>
      <c r="H123" s="56"/>
    </row>
    <row r="124" spans="1:8" s="19" customFormat="1" ht="14.25" x14ac:dyDescent="0.3">
      <c r="A124" s="53" t="s">
        <v>190</v>
      </c>
      <c r="B124" s="16" t="s">
        <v>164</v>
      </c>
      <c r="C124" s="17">
        <v>400</v>
      </c>
      <c r="D124" s="54">
        <v>1805.8</v>
      </c>
      <c r="E124" s="54">
        <v>1745.7</v>
      </c>
      <c r="F124" s="54">
        <v>1.232286</v>
      </c>
      <c r="G124" s="55"/>
      <c r="H124" s="56"/>
    </row>
    <row r="125" spans="1:8" s="19" customFormat="1" ht="14.25" x14ac:dyDescent="0.3">
      <c r="A125" s="53" t="s">
        <v>191</v>
      </c>
      <c r="B125" s="16" t="s">
        <v>164</v>
      </c>
      <c r="C125" s="17">
        <v>128000</v>
      </c>
      <c r="D125" s="54">
        <v>467.46956562999998</v>
      </c>
      <c r="E125" s="54">
        <v>466.2</v>
      </c>
      <c r="F125" s="54">
        <v>121.08512</v>
      </c>
      <c r="G125" s="55"/>
      <c r="H125" s="56"/>
    </row>
    <row r="126" spans="1:8" s="19" customFormat="1" ht="14.25" x14ac:dyDescent="0.3">
      <c r="A126" s="53" t="s">
        <v>192</v>
      </c>
      <c r="B126" s="16" t="s">
        <v>164</v>
      </c>
      <c r="C126" s="17">
        <v>72000</v>
      </c>
      <c r="D126" s="54">
        <v>148.05000000000001</v>
      </c>
      <c r="E126" s="54">
        <v>150.94999999999999</v>
      </c>
      <c r="F126" s="54">
        <v>43.206479999999999</v>
      </c>
      <c r="G126" s="55"/>
      <c r="H126" s="56"/>
    </row>
    <row r="127" spans="1:8" s="19" customFormat="1" ht="14.25" x14ac:dyDescent="0.3">
      <c r="A127" s="53" t="s">
        <v>193</v>
      </c>
      <c r="B127" s="16" t="s">
        <v>164</v>
      </c>
      <c r="C127" s="17">
        <v>100</v>
      </c>
      <c r="D127" s="54">
        <v>10367.65</v>
      </c>
      <c r="E127" s="54">
        <v>10656.35</v>
      </c>
      <c r="F127" s="54">
        <v>1.8826099999999999</v>
      </c>
      <c r="G127" s="55"/>
      <c r="H127" s="56"/>
    </row>
    <row r="128" spans="1:8" s="19" customFormat="1" ht="14.25" x14ac:dyDescent="0.3">
      <c r="A128" s="53" t="s">
        <v>194</v>
      </c>
      <c r="B128" s="16" t="s">
        <v>164</v>
      </c>
      <c r="C128" s="17">
        <v>31500</v>
      </c>
      <c r="D128" s="54">
        <v>1019.16333778</v>
      </c>
      <c r="E128" s="54">
        <v>1013.35</v>
      </c>
      <c r="F128" s="54">
        <v>56.309399999999997</v>
      </c>
      <c r="G128" s="55"/>
      <c r="H128" s="56"/>
    </row>
    <row r="129" spans="1:8" s="19" customFormat="1" ht="14.25" x14ac:dyDescent="0.3">
      <c r="A129" s="53" t="s">
        <v>195</v>
      </c>
      <c r="B129" s="16" t="s">
        <v>164</v>
      </c>
      <c r="C129" s="17">
        <v>550</v>
      </c>
      <c r="D129" s="54">
        <v>2397.5250000000001</v>
      </c>
      <c r="E129" s="54">
        <v>2383.6999999999998</v>
      </c>
      <c r="F129" s="54">
        <v>2.6668867999999999</v>
      </c>
      <c r="G129" s="55"/>
      <c r="H129" s="56"/>
    </row>
    <row r="130" spans="1:8" s="19" customFormat="1" ht="14.25" x14ac:dyDescent="0.3">
      <c r="A130" s="53" t="s">
        <v>196</v>
      </c>
      <c r="B130" s="16" t="s">
        <v>164</v>
      </c>
      <c r="C130" s="17">
        <v>277500</v>
      </c>
      <c r="D130" s="54">
        <v>95.294594590000003</v>
      </c>
      <c r="E130" s="54">
        <v>97.85</v>
      </c>
      <c r="F130" s="54">
        <v>61.544643799999996</v>
      </c>
      <c r="G130" s="55"/>
      <c r="H130" s="56"/>
    </row>
    <row r="131" spans="1:8" s="19" customFormat="1" ht="14.25" x14ac:dyDescent="0.3">
      <c r="A131" s="53" t="s">
        <v>197</v>
      </c>
      <c r="B131" s="16" t="s">
        <v>164</v>
      </c>
      <c r="C131" s="17">
        <v>387000</v>
      </c>
      <c r="D131" s="54">
        <v>144.08193023000001</v>
      </c>
      <c r="E131" s="54">
        <v>148.6</v>
      </c>
      <c r="F131" s="54">
        <v>122.9876325</v>
      </c>
      <c r="G131" s="55"/>
      <c r="H131" s="56"/>
    </row>
    <row r="132" spans="1:8" s="19" customFormat="1" ht="14.25" x14ac:dyDescent="0.3">
      <c r="A132" s="53" t="s">
        <v>198</v>
      </c>
      <c r="B132" s="16" t="s">
        <v>164</v>
      </c>
      <c r="C132" s="17">
        <v>128000</v>
      </c>
      <c r="D132" s="54">
        <v>79.724999999999994</v>
      </c>
      <c r="E132" s="54">
        <v>80.650000000000006</v>
      </c>
      <c r="F132" s="54">
        <v>24.41536</v>
      </c>
      <c r="G132" s="55"/>
      <c r="H132" s="56"/>
    </row>
    <row r="133" spans="1:8" s="19" customFormat="1" ht="14.25" x14ac:dyDescent="0.3">
      <c r="A133" s="53" t="s">
        <v>199</v>
      </c>
      <c r="B133" s="16" t="s">
        <v>164</v>
      </c>
      <c r="C133" s="17">
        <v>28000</v>
      </c>
      <c r="D133" s="54">
        <v>2401.43657893</v>
      </c>
      <c r="E133" s="54">
        <v>2358</v>
      </c>
      <c r="F133" s="54">
        <v>116.54622000000001</v>
      </c>
      <c r="G133" s="55"/>
      <c r="H133" s="56"/>
    </row>
    <row r="134" spans="1:8" s="19" customFormat="1" ht="14.25" x14ac:dyDescent="0.3">
      <c r="A134" s="53" t="s">
        <v>200</v>
      </c>
      <c r="B134" s="16" t="s">
        <v>164</v>
      </c>
      <c r="C134" s="17">
        <v>1500</v>
      </c>
      <c r="D134" s="54">
        <v>611.85</v>
      </c>
      <c r="E134" s="54">
        <v>600.70000000000005</v>
      </c>
      <c r="F134" s="54">
        <v>1.5933824999999999</v>
      </c>
      <c r="G134" s="55"/>
      <c r="H134" s="56"/>
    </row>
    <row r="135" spans="1:8" s="19" customFormat="1" ht="14.25" x14ac:dyDescent="0.3">
      <c r="A135" s="53" t="s">
        <v>201</v>
      </c>
      <c r="B135" s="16" t="s">
        <v>164</v>
      </c>
      <c r="C135" s="17">
        <v>750</v>
      </c>
      <c r="D135" s="54">
        <v>2264.75</v>
      </c>
      <c r="E135" s="54">
        <v>2264.1999999999998</v>
      </c>
      <c r="F135" s="54">
        <v>2.9953124999999998</v>
      </c>
      <c r="G135" s="55"/>
      <c r="H135" s="56"/>
    </row>
    <row r="136" spans="1:8" s="19" customFormat="1" ht="14.25" x14ac:dyDescent="0.3">
      <c r="A136" s="53" t="s">
        <v>202</v>
      </c>
      <c r="B136" s="16" t="s">
        <v>164</v>
      </c>
      <c r="C136" s="17">
        <v>3500</v>
      </c>
      <c r="D136" s="54">
        <v>1156.95</v>
      </c>
      <c r="E136" s="54">
        <v>1163.95</v>
      </c>
      <c r="F136" s="54">
        <v>7.1984763000000003</v>
      </c>
      <c r="G136" s="55"/>
      <c r="H136" s="56"/>
    </row>
    <row r="137" spans="1:8" s="19" customFormat="1" ht="14.25" x14ac:dyDescent="0.3">
      <c r="A137" s="53" t="s">
        <v>203</v>
      </c>
      <c r="B137" s="16" t="s">
        <v>164</v>
      </c>
      <c r="C137" s="17">
        <v>87750</v>
      </c>
      <c r="D137" s="54">
        <v>259.44806154000003</v>
      </c>
      <c r="E137" s="54">
        <v>263.95</v>
      </c>
      <c r="F137" s="54">
        <v>45.230956900000002</v>
      </c>
      <c r="G137" s="55"/>
      <c r="H137" s="56"/>
    </row>
    <row r="138" spans="1:8" s="19" customFormat="1" ht="14.25" x14ac:dyDescent="0.3">
      <c r="A138" s="53" t="s">
        <v>204</v>
      </c>
      <c r="B138" s="16" t="s">
        <v>164</v>
      </c>
      <c r="C138" s="17">
        <v>11000</v>
      </c>
      <c r="D138" s="54">
        <v>132.55000000000001</v>
      </c>
      <c r="E138" s="54">
        <v>129.85</v>
      </c>
      <c r="F138" s="54">
        <v>2.7714224999999999</v>
      </c>
      <c r="G138" s="55"/>
      <c r="H138" s="56"/>
    </row>
    <row r="139" spans="1:8" s="19" customFormat="1" ht="14.25" x14ac:dyDescent="0.3">
      <c r="A139" s="53" t="s">
        <v>205</v>
      </c>
      <c r="B139" s="16" t="s">
        <v>164</v>
      </c>
      <c r="C139" s="17">
        <v>2000</v>
      </c>
      <c r="D139" s="54">
        <v>1857.8625</v>
      </c>
      <c r="E139" s="54">
        <v>1940.35</v>
      </c>
      <c r="F139" s="54">
        <v>6.846965</v>
      </c>
      <c r="G139" s="55"/>
      <c r="H139" s="56"/>
    </row>
    <row r="140" spans="1:8" s="19" customFormat="1" ht="14.25" x14ac:dyDescent="0.3">
      <c r="A140" s="53" t="s">
        <v>206</v>
      </c>
      <c r="B140" s="16" t="s">
        <v>164</v>
      </c>
      <c r="C140" s="17">
        <v>84000</v>
      </c>
      <c r="D140" s="54">
        <v>263.8</v>
      </c>
      <c r="E140" s="54">
        <v>265.55</v>
      </c>
      <c r="F140" s="54">
        <v>60.479579999999999</v>
      </c>
      <c r="G140" s="55"/>
      <c r="H140" s="56"/>
    </row>
    <row r="141" spans="1:8" ht="14.25" x14ac:dyDescent="0.3">
      <c r="A141" s="57"/>
      <c r="B141" s="58"/>
      <c r="C141" s="59"/>
      <c r="D141" s="37"/>
      <c r="E141" s="60"/>
      <c r="F141" s="37"/>
      <c r="G141" s="37"/>
      <c r="H141" s="37"/>
    </row>
    <row r="142" spans="1:8" ht="14.25" x14ac:dyDescent="0.3">
      <c r="A142" s="61" t="s">
        <v>207</v>
      </c>
      <c r="B142" s="58"/>
      <c r="C142" s="62"/>
      <c r="D142" s="37"/>
      <c r="E142" s="60"/>
      <c r="F142" s="37"/>
      <c r="G142" s="37"/>
      <c r="H142" s="37"/>
    </row>
    <row r="143" spans="1:8" ht="14.25" x14ac:dyDescent="0.3">
      <c r="A143" s="63"/>
      <c r="B143" s="44"/>
      <c r="C143" s="64"/>
      <c r="D143" s="37"/>
      <c r="E143" s="60"/>
      <c r="F143" s="37"/>
      <c r="G143" s="37"/>
      <c r="H143" s="37"/>
    </row>
    <row r="144" spans="1:8" ht="14.25" x14ac:dyDescent="0.3">
      <c r="A144" s="87" t="s">
        <v>208</v>
      </c>
      <c r="B144" s="87"/>
      <c r="C144" s="87"/>
      <c r="D144" s="65"/>
      <c r="E144" s="60"/>
      <c r="F144" s="37"/>
      <c r="G144" s="37"/>
      <c r="H144" s="37"/>
    </row>
    <row r="145" spans="1:8" ht="22.5" customHeight="1" x14ac:dyDescent="0.3">
      <c r="A145" s="66" t="s">
        <v>209</v>
      </c>
      <c r="B145" s="67"/>
      <c r="C145" s="68"/>
      <c r="D145" s="69"/>
      <c r="E145" s="60"/>
      <c r="F145" s="37"/>
      <c r="G145" s="37"/>
      <c r="H145" s="37"/>
    </row>
    <row r="146" spans="1:8" ht="14.25" x14ac:dyDescent="0.3">
      <c r="A146" s="85" t="s">
        <v>210</v>
      </c>
      <c r="B146" s="85"/>
      <c r="C146" s="85"/>
      <c r="D146" s="70">
        <v>1292</v>
      </c>
      <c r="E146" s="60"/>
      <c r="F146" s="37"/>
      <c r="G146" s="37"/>
      <c r="H146" s="37"/>
    </row>
    <row r="147" spans="1:8" ht="14.25" x14ac:dyDescent="0.3">
      <c r="A147" s="85" t="s">
        <v>211</v>
      </c>
      <c r="B147" s="85"/>
      <c r="C147" s="85"/>
      <c r="D147" s="70">
        <v>1295</v>
      </c>
      <c r="E147" s="60"/>
      <c r="F147" s="37"/>
      <c r="G147" s="37"/>
      <c r="H147" s="37"/>
    </row>
    <row r="148" spans="1:8" ht="14.25" x14ac:dyDescent="0.3">
      <c r="A148" s="85" t="s">
        <v>212</v>
      </c>
      <c r="B148" s="85"/>
      <c r="C148" s="85"/>
      <c r="D148" s="71">
        <v>10135.7770012</v>
      </c>
      <c r="E148" s="60"/>
      <c r="F148" s="37"/>
      <c r="G148" s="37"/>
      <c r="H148" s="37"/>
    </row>
    <row r="149" spans="1:8" ht="14.25" x14ac:dyDescent="0.3">
      <c r="A149" s="85" t="s">
        <v>213</v>
      </c>
      <c r="B149" s="85"/>
      <c r="C149" s="85"/>
      <c r="D149" s="71">
        <v>9728.7668814999997</v>
      </c>
      <c r="E149" s="60"/>
      <c r="F149" s="56"/>
      <c r="G149" s="37"/>
      <c r="H149" s="37"/>
    </row>
    <row r="150" spans="1:8" ht="14.25" x14ac:dyDescent="0.3">
      <c r="A150" s="85" t="s">
        <v>214</v>
      </c>
      <c r="B150" s="85"/>
      <c r="C150" s="85"/>
      <c r="D150" s="72">
        <v>-532.4744657</v>
      </c>
      <c r="E150" s="60"/>
      <c r="F150" s="37"/>
      <c r="G150" s="37"/>
      <c r="H150" s="37"/>
    </row>
    <row r="151" spans="1:8" ht="14.25" x14ac:dyDescent="0.3">
      <c r="A151" s="63"/>
      <c r="B151" s="44"/>
      <c r="C151" s="37"/>
      <c r="D151" s="37"/>
      <c r="E151" s="60"/>
      <c r="F151" s="37"/>
      <c r="G151" s="37"/>
      <c r="H151" s="37"/>
    </row>
    <row r="152" spans="1:8" ht="14.25" x14ac:dyDescent="0.3">
      <c r="A152" s="73" t="s">
        <v>215</v>
      </c>
      <c r="B152" s="73"/>
      <c r="C152" s="73"/>
      <c r="D152" s="37"/>
      <c r="E152" s="60"/>
      <c r="F152" s="37"/>
      <c r="G152" s="37"/>
      <c r="H152" s="37"/>
    </row>
    <row r="153" spans="1:8" ht="14.25" x14ac:dyDescent="0.3">
      <c r="A153" s="66" t="s">
        <v>216</v>
      </c>
      <c r="B153" s="67"/>
      <c r="C153" s="68"/>
      <c r="D153" s="69"/>
      <c r="E153" s="60"/>
      <c r="F153" s="37"/>
      <c r="G153" s="37"/>
      <c r="H153" s="37"/>
    </row>
    <row r="154" spans="1:8" ht="14.25" x14ac:dyDescent="0.3">
      <c r="A154" s="85" t="s">
        <v>210</v>
      </c>
      <c r="B154" s="85"/>
      <c r="C154" s="86"/>
      <c r="D154" s="74">
        <v>12</v>
      </c>
      <c r="E154" s="60"/>
      <c r="F154" s="37"/>
      <c r="G154" s="37"/>
      <c r="H154" s="37"/>
    </row>
    <row r="155" spans="1:8" ht="14.25" x14ac:dyDescent="0.3">
      <c r="A155" s="85" t="s">
        <v>211</v>
      </c>
      <c r="B155" s="85"/>
      <c r="C155" s="86"/>
      <c r="D155" s="74">
        <v>12</v>
      </c>
      <c r="E155" s="60"/>
      <c r="F155" s="37"/>
      <c r="G155" s="37"/>
      <c r="H155" s="37"/>
    </row>
    <row r="156" spans="1:8" ht="14.25" x14ac:dyDescent="0.3">
      <c r="A156" s="85" t="s">
        <v>212</v>
      </c>
      <c r="B156" s="85"/>
      <c r="C156" s="86"/>
      <c r="D156" s="75">
        <v>99.384985199999988</v>
      </c>
      <c r="E156" s="60"/>
      <c r="F156" s="37"/>
      <c r="G156" s="37"/>
      <c r="H156" s="37"/>
    </row>
    <row r="157" spans="1:8" ht="14.25" x14ac:dyDescent="0.3">
      <c r="A157" s="85" t="s">
        <v>213</v>
      </c>
      <c r="B157" s="85"/>
      <c r="C157" s="86"/>
      <c r="D157" s="75">
        <v>99.406800000000004</v>
      </c>
      <c r="E157" s="60"/>
      <c r="F157" s="37"/>
      <c r="G157" s="37"/>
      <c r="H157" s="37"/>
    </row>
    <row r="158" spans="1:8" ht="14.25" x14ac:dyDescent="0.3">
      <c r="A158" s="85" t="s">
        <v>214</v>
      </c>
      <c r="B158" s="85"/>
      <c r="C158" s="86"/>
      <c r="D158" s="75">
        <v>3.1800000000000002E-2</v>
      </c>
      <c r="E158" s="37"/>
      <c r="F158" s="37"/>
      <c r="G158" s="37"/>
      <c r="H158" s="37"/>
    </row>
    <row r="159" spans="1:8" ht="14.25" x14ac:dyDescent="0.3">
      <c r="A159" s="57"/>
      <c r="B159" s="58"/>
      <c r="C159" s="59"/>
      <c r="D159" s="37"/>
      <c r="E159" s="37"/>
      <c r="F159" s="37"/>
      <c r="G159" s="37"/>
      <c r="H159" s="37"/>
    </row>
    <row r="160" spans="1:8" ht="14.25" x14ac:dyDescent="0.3">
      <c r="A160" s="76" t="s">
        <v>217</v>
      </c>
      <c r="B160" s="77"/>
      <c r="C160" s="77"/>
      <c r="D160" s="37"/>
      <c r="E160" s="37"/>
      <c r="F160" s="37"/>
      <c r="G160" s="37"/>
      <c r="H160" s="37"/>
    </row>
    <row r="161" spans="1:8" ht="14.25" x14ac:dyDescent="0.3">
      <c r="A161" s="78" t="s">
        <v>218</v>
      </c>
      <c r="B161" s="77"/>
      <c r="C161" s="77"/>
      <c r="D161" s="37"/>
      <c r="E161" s="37"/>
      <c r="F161" s="37"/>
      <c r="G161" s="37"/>
      <c r="H161" s="37"/>
    </row>
    <row r="162" spans="1:8" ht="14.25" x14ac:dyDescent="0.3">
      <c r="A162" s="78" t="s">
        <v>219</v>
      </c>
      <c r="B162" s="78"/>
      <c r="C162" s="78"/>
      <c r="D162" s="37"/>
      <c r="E162" s="37"/>
      <c r="F162" s="37"/>
      <c r="G162" s="37"/>
      <c r="H162" s="37"/>
    </row>
    <row r="163" spans="1:8" ht="14.25" x14ac:dyDescent="0.3">
      <c r="A163" s="78" t="s">
        <v>220</v>
      </c>
      <c r="B163" s="78"/>
      <c r="C163" s="78"/>
      <c r="D163" s="37"/>
      <c r="E163" s="37"/>
      <c r="F163" s="37"/>
      <c r="G163" s="37"/>
      <c r="H163" s="37"/>
    </row>
    <row r="164" spans="1:8" ht="14.25" x14ac:dyDescent="0.3">
      <c r="A164" s="78"/>
      <c r="B164" s="77"/>
      <c r="C164" s="77"/>
      <c r="D164" s="37"/>
      <c r="E164" s="37"/>
      <c r="F164" s="37"/>
      <c r="G164" s="37"/>
      <c r="H164" s="37"/>
    </row>
    <row r="165" spans="1:8" ht="14.25" x14ac:dyDescent="0.3">
      <c r="A165" s="79" t="s">
        <v>221</v>
      </c>
      <c r="B165" s="80" t="s">
        <v>222</v>
      </c>
      <c r="C165" s="80"/>
      <c r="D165" s="37"/>
      <c r="E165" s="37"/>
      <c r="F165" s="37"/>
      <c r="G165" s="37"/>
      <c r="H165" s="37"/>
    </row>
    <row r="166" spans="1:8" ht="14.25" x14ac:dyDescent="0.3">
      <c r="A166" s="77"/>
      <c r="B166" s="77"/>
      <c r="C166" s="77"/>
      <c r="D166" s="37"/>
      <c r="E166" s="37"/>
      <c r="F166" s="37"/>
      <c r="G166" s="37"/>
      <c r="H166" s="37"/>
    </row>
    <row r="167" spans="1:8" ht="14.25" x14ac:dyDescent="0.3">
      <c r="A167" s="77"/>
      <c r="B167" s="77"/>
      <c r="C167" s="77"/>
      <c r="D167" s="37"/>
      <c r="E167" s="37"/>
      <c r="F167" s="37"/>
      <c r="G167" s="37"/>
      <c r="H167" s="37"/>
    </row>
    <row r="168" spans="1:8" ht="14.25" x14ac:dyDescent="0.3">
      <c r="A168" s="77"/>
      <c r="B168" s="77"/>
      <c r="C168" s="77"/>
      <c r="D168" s="37"/>
      <c r="E168" s="37"/>
      <c r="F168" s="37"/>
      <c r="G168" s="37"/>
      <c r="H168" s="37"/>
    </row>
    <row r="169" spans="1:8" ht="14.25" x14ac:dyDescent="0.3">
      <c r="A169" s="77"/>
      <c r="B169" s="77"/>
      <c r="C169" s="77"/>
      <c r="D169" s="37"/>
      <c r="E169" s="37"/>
      <c r="F169" s="37"/>
      <c r="G169" s="37"/>
      <c r="H169" s="37"/>
    </row>
    <row r="170" spans="1:8" ht="14.25" x14ac:dyDescent="0.3">
      <c r="A170" s="77"/>
      <c r="B170" s="77"/>
      <c r="C170" s="77"/>
      <c r="D170" s="37"/>
      <c r="E170" s="37"/>
      <c r="F170" s="37"/>
      <c r="G170" s="37"/>
      <c r="H170" s="37"/>
    </row>
    <row r="171" spans="1:8" ht="14.25" x14ac:dyDescent="0.3">
      <c r="A171" s="77"/>
      <c r="B171" s="77"/>
      <c r="C171" s="77"/>
      <c r="D171" s="37"/>
      <c r="E171" s="37"/>
      <c r="F171" s="37"/>
      <c r="G171" s="37"/>
      <c r="H171" s="37"/>
    </row>
    <row r="172" spans="1:8" ht="14.25" x14ac:dyDescent="0.3">
      <c r="A172" s="77"/>
      <c r="B172" s="77"/>
      <c r="C172" s="77"/>
      <c r="D172" s="37"/>
      <c r="E172" s="37"/>
      <c r="F172" s="37"/>
      <c r="G172" s="37"/>
      <c r="H172" s="37"/>
    </row>
    <row r="173" spans="1:8" ht="14.25" x14ac:dyDescent="0.3">
      <c r="A173" s="57"/>
      <c r="B173" s="58"/>
      <c r="C173" s="59"/>
      <c r="D173" s="37"/>
      <c r="E173" s="60"/>
      <c r="F173" s="37"/>
      <c r="G173" s="37"/>
      <c r="H173" s="37"/>
    </row>
    <row r="174" spans="1:8" ht="14.25" x14ac:dyDescent="0.3">
      <c r="A174" s="57"/>
      <c r="B174" s="58"/>
      <c r="C174" s="59"/>
      <c r="D174" s="37"/>
      <c r="E174" s="60"/>
      <c r="F174" s="37"/>
      <c r="G174" s="37"/>
      <c r="H174" s="37"/>
    </row>
    <row r="175" spans="1:8" ht="14.25" x14ac:dyDescent="0.3">
      <c r="A175" s="57"/>
      <c r="B175" s="58"/>
      <c r="C175" s="59"/>
      <c r="D175" s="37"/>
      <c r="E175" s="60"/>
      <c r="F175" s="37"/>
      <c r="G175" s="37"/>
      <c r="H175" s="37"/>
    </row>
    <row r="176" spans="1:8" ht="14.25" x14ac:dyDescent="0.3">
      <c r="A176" s="57"/>
      <c r="B176" s="58"/>
      <c r="C176" s="59"/>
      <c r="D176" s="37"/>
      <c r="E176" s="60"/>
      <c r="F176" s="37"/>
      <c r="G176" s="37"/>
      <c r="H176" s="37"/>
    </row>
    <row r="177" spans="1:8" ht="14.25" x14ac:dyDescent="0.3">
      <c r="A177" s="57"/>
      <c r="B177" s="58"/>
      <c r="C177" s="59"/>
      <c r="D177" s="37"/>
      <c r="E177" s="60"/>
      <c r="F177" s="37"/>
      <c r="G177" s="37"/>
      <c r="H177" s="37"/>
    </row>
    <row r="178" spans="1:8" ht="14.25" x14ac:dyDescent="0.3">
      <c r="A178" s="57"/>
      <c r="B178" s="58"/>
      <c r="C178" s="59"/>
      <c r="D178" s="37"/>
      <c r="E178" s="60"/>
      <c r="F178" s="37"/>
      <c r="G178" s="37"/>
      <c r="H178" s="37"/>
    </row>
    <row r="179" spans="1:8" ht="14.25" x14ac:dyDescent="0.3">
      <c r="A179" s="57"/>
      <c r="B179" s="58"/>
      <c r="C179" s="59"/>
      <c r="D179" s="37"/>
      <c r="E179" s="60"/>
      <c r="F179" s="37"/>
      <c r="G179" s="37"/>
      <c r="H179" s="37"/>
    </row>
    <row r="180" spans="1:8" ht="14.25" x14ac:dyDescent="0.3">
      <c r="A180" s="57"/>
      <c r="B180" s="58"/>
      <c r="C180" s="59"/>
      <c r="D180" s="37"/>
      <c r="E180" s="37"/>
      <c r="F180" s="37"/>
      <c r="G180" s="37"/>
      <c r="H180" s="37"/>
    </row>
    <row r="181" spans="1:8" ht="14.25" x14ac:dyDescent="0.3">
      <c r="A181" s="57"/>
      <c r="B181" s="58"/>
      <c r="C181" s="59"/>
      <c r="D181" s="37"/>
      <c r="E181" s="37"/>
      <c r="F181" s="37"/>
      <c r="G181" s="37"/>
      <c r="H181" s="37"/>
    </row>
    <row r="182" spans="1:8" ht="14.25" x14ac:dyDescent="0.3">
      <c r="A182" s="57"/>
      <c r="B182" s="58"/>
      <c r="C182" s="59"/>
      <c r="D182" s="37"/>
      <c r="E182" s="37"/>
      <c r="F182" s="37"/>
      <c r="G182" s="37"/>
      <c r="H182" s="37"/>
    </row>
    <row r="183" spans="1:8" ht="14.25" x14ac:dyDescent="0.3">
      <c r="A183" s="57"/>
      <c r="B183" s="58"/>
      <c r="C183" s="59"/>
      <c r="D183" s="37"/>
      <c r="E183" s="37"/>
      <c r="F183" s="37"/>
      <c r="G183" s="37"/>
      <c r="H183" s="37"/>
    </row>
    <row r="184" spans="1:8" ht="14.25" x14ac:dyDescent="0.3">
      <c r="A184" s="57"/>
      <c r="B184" s="58"/>
      <c r="C184" s="59"/>
      <c r="D184" s="37"/>
      <c r="E184" s="37"/>
      <c r="F184" s="37"/>
      <c r="G184" s="37"/>
      <c r="H184" s="37"/>
    </row>
    <row r="185" spans="1:8" ht="14.25" x14ac:dyDescent="0.3">
      <c r="A185" s="57"/>
      <c r="B185" s="58"/>
      <c r="C185" s="59"/>
      <c r="D185" s="37"/>
      <c r="E185" s="37"/>
      <c r="F185" s="37"/>
      <c r="G185" s="37"/>
      <c r="H185" s="37"/>
    </row>
    <row r="186" spans="1:8" ht="14.25" x14ac:dyDescent="0.3">
      <c r="A186" s="57"/>
      <c r="B186" s="58"/>
      <c r="C186" s="59"/>
      <c r="D186" s="37"/>
      <c r="E186" s="37"/>
      <c r="F186" s="37"/>
      <c r="G186" s="37"/>
      <c r="H186" s="37"/>
    </row>
    <row r="187" spans="1:8" ht="14.25" x14ac:dyDescent="0.3">
      <c r="A187" s="57"/>
      <c r="B187" s="58"/>
      <c r="C187" s="59"/>
      <c r="D187" s="37"/>
      <c r="E187" s="37"/>
      <c r="F187" s="37"/>
      <c r="G187" s="37"/>
      <c r="H187" s="37"/>
    </row>
    <row r="188" spans="1:8" ht="14.25" x14ac:dyDescent="0.3">
      <c r="A188" s="57"/>
      <c r="B188" s="58"/>
      <c r="C188" s="59"/>
      <c r="D188" s="37"/>
      <c r="E188" s="37"/>
      <c r="F188" s="37"/>
      <c r="G188" s="37"/>
      <c r="H188" s="37"/>
    </row>
    <row r="189" spans="1:8" ht="14.25" x14ac:dyDescent="0.3">
      <c r="A189" s="57"/>
      <c r="B189" s="58"/>
      <c r="C189" s="59"/>
      <c r="D189" s="37"/>
      <c r="E189" s="37"/>
      <c r="F189" s="37"/>
      <c r="G189" s="37"/>
      <c r="H189" s="37"/>
    </row>
    <row r="190" spans="1:8" ht="14.25" x14ac:dyDescent="0.3">
      <c r="A190" s="57"/>
      <c r="B190" s="58"/>
      <c r="C190" s="59"/>
      <c r="D190" s="37"/>
      <c r="E190" s="37"/>
      <c r="F190" s="37"/>
      <c r="G190" s="37"/>
      <c r="H190" s="37"/>
    </row>
    <row r="191" spans="1:8" ht="14.25" x14ac:dyDescent="0.3">
      <c r="A191" s="57"/>
      <c r="B191" s="58"/>
      <c r="C191" s="59"/>
      <c r="D191" s="37"/>
      <c r="E191" s="37"/>
      <c r="F191" s="37"/>
      <c r="G191" s="37"/>
      <c r="H191" s="37"/>
    </row>
    <row r="192" spans="1:8" ht="14.25" x14ac:dyDescent="0.3">
      <c r="A192" s="57"/>
      <c r="B192" s="58"/>
      <c r="C192" s="59"/>
      <c r="D192" s="37"/>
      <c r="E192" s="37"/>
      <c r="F192" s="37"/>
      <c r="G192" s="37"/>
      <c r="H192" s="37"/>
    </row>
    <row r="193" spans="1:8" ht="14.25" x14ac:dyDescent="0.3">
      <c r="A193" s="57"/>
      <c r="B193" s="58"/>
      <c r="C193" s="59"/>
      <c r="D193" s="37"/>
      <c r="E193" s="37"/>
      <c r="F193" s="37"/>
      <c r="G193" s="37"/>
      <c r="H193" s="37"/>
    </row>
    <row r="194" spans="1:8" ht="14.25" x14ac:dyDescent="0.3">
      <c r="A194" s="57"/>
      <c r="B194" s="58"/>
      <c r="C194" s="59"/>
      <c r="D194" s="37"/>
      <c r="E194" s="37"/>
      <c r="F194" s="37"/>
      <c r="G194" s="37"/>
      <c r="H194" s="37"/>
    </row>
    <row r="195" spans="1:8" ht="14.25" x14ac:dyDescent="0.3">
      <c r="A195" s="57"/>
      <c r="B195" s="58"/>
      <c r="C195" s="59"/>
      <c r="D195" s="37"/>
      <c r="E195" s="37"/>
      <c r="F195" s="37"/>
      <c r="G195" s="37"/>
      <c r="H195" s="37"/>
    </row>
    <row r="196" spans="1:8" ht="14.25" x14ac:dyDescent="0.3">
      <c r="A196" s="57"/>
      <c r="B196" s="58"/>
      <c r="C196" s="59"/>
      <c r="D196" s="37"/>
      <c r="E196" s="37"/>
      <c r="F196" s="37"/>
      <c r="G196" s="37"/>
      <c r="H196" s="37"/>
    </row>
    <row r="197" spans="1:8" ht="14.25" x14ac:dyDescent="0.3">
      <c r="A197" s="57"/>
      <c r="B197" s="58"/>
      <c r="C197" s="59"/>
      <c r="D197" s="37"/>
      <c r="E197" s="37"/>
      <c r="F197" s="37"/>
      <c r="G197" s="37"/>
      <c r="H197" s="37"/>
    </row>
    <row r="198" spans="1:8" ht="14.25" x14ac:dyDescent="0.3">
      <c r="A198" s="57"/>
      <c r="B198" s="58"/>
      <c r="C198" s="59"/>
      <c r="D198" s="37"/>
      <c r="E198" s="37"/>
      <c r="F198" s="37"/>
      <c r="G198" s="37"/>
      <c r="H198" s="37"/>
    </row>
    <row r="199" spans="1:8" ht="14.25" x14ac:dyDescent="0.3">
      <c r="A199" s="57"/>
      <c r="B199" s="58"/>
      <c r="C199" s="59"/>
      <c r="D199" s="37"/>
      <c r="E199" s="37"/>
      <c r="F199" s="37"/>
      <c r="G199" s="37"/>
      <c r="H199" s="37"/>
    </row>
    <row r="200" spans="1:8" ht="14.25" x14ac:dyDescent="0.3">
      <c r="A200" s="57"/>
      <c r="B200" s="58"/>
      <c r="C200" s="59"/>
      <c r="D200" s="37"/>
      <c r="E200" s="37"/>
      <c r="F200" s="37"/>
      <c r="G200" s="37"/>
      <c r="H200" s="37"/>
    </row>
    <row r="201" spans="1:8" ht="14.25" x14ac:dyDescent="0.3">
      <c r="A201" s="57"/>
      <c r="B201" s="58"/>
      <c r="C201" s="59"/>
      <c r="D201" s="37"/>
      <c r="E201" s="37"/>
      <c r="F201" s="37"/>
      <c r="G201" s="37"/>
      <c r="H201" s="37"/>
    </row>
    <row r="202" spans="1:8" ht="14.25" x14ac:dyDescent="0.3">
      <c r="A202" s="57"/>
      <c r="B202" s="58"/>
      <c r="C202" s="59"/>
      <c r="D202" s="37"/>
      <c r="E202" s="37"/>
      <c r="F202" s="37"/>
      <c r="G202" s="37"/>
      <c r="H202" s="37"/>
    </row>
    <row r="203" spans="1:8" ht="14.25" x14ac:dyDescent="0.3">
      <c r="A203" s="57"/>
      <c r="B203" s="58"/>
      <c r="C203" s="59"/>
      <c r="D203" s="37"/>
      <c r="E203" s="37"/>
      <c r="F203" s="37"/>
      <c r="G203" s="37"/>
      <c r="H203" s="37"/>
    </row>
    <row r="204" spans="1:8" ht="14.25" x14ac:dyDescent="0.3">
      <c r="A204" s="57"/>
      <c r="B204" s="58"/>
      <c r="C204" s="59"/>
      <c r="D204" s="37"/>
      <c r="E204" s="37"/>
      <c r="F204" s="37"/>
      <c r="G204" s="37"/>
      <c r="H204" s="37"/>
    </row>
    <row r="205" spans="1:8" ht="14.25" x14ac:dyDescent="0.3">
      <c r="A205" s="57"/>
      <c r="B205" s="58"/>
      <c r="C205" s="59"/>
      <c r="D205" s="37"/>
      <c r="E205" s="37"/>
      <c r="F205" s="37"/>
      <c r="G205" s="37"/>
      <c r="H205" s="37"/>
    </row>
    <row r="206" spans="1:8" ht="14.25" x14ac:dyDescent="0.3">
      <c r="A206" s="57"/>
      <c r="B206" s="58"/>
      <c r="C206" s="59"/>
      <c r="D206" s="37"/>
      <c r="E206" s="37"/>
      <c r="F206" s="37"/>
      <c r="G206" s="37"/>
      <c r="H206" s="37"/>
    </row>
    <row r="207" spans="1:8" ht="14.25" x14ac:dyDescent="0.3">
      <c r="A207" s="57"/>
      <c r="B207" s="58"/>
      <c r="C207" s="59"/>
      <c r="D207" s="37"/>
      <c r="E207" s="37"/>
      <c r="F207" s="37"/>
      <c r="G207" s="37"/>
      <c r="H207" s="37"/>
    </row>
    <row r="208" spans="1:8" ht="14.25" x14ac:dyDescent="0.3">
      <c r="A208" s="57"/>
      <c r="B208" s="58"/>
      <c r="C208" s="59"/>
      <c r="D208" s="37"/>
      <c r="E208" s="37"/>
      <c r="F208" s="37"/>
      <c r="G208" s="37"/>
      <c r="H208" s="37"/>
    </row>
    <row r="209" spans="1:8" ht="14.25" x14ac:dyDescent="0.3">
      <c r="A209" s="57"/>
      <c r="B209" s="58"/>
      <c r="C209" s="59"/>
      <c r="D209" s="37"/>
      <c r="E209" s="37"/>
      <c r="F209" s="37"/>
      <c r="G209" s="37"/>
      <c r="H209" s="37"/>
    </row>
    <row r="210" spans="1:8" ht="14.25" x14ac:dyDescent="0.3">
      <c r="A210" s="57"/>
      <c r="B210" s="58"/>
      <c r="C210" s="59"/>
      <c r="D210" s="37"/>
      <c r="E210" s="37"/>
      <c r="F210" s="37"/>
      <c r="G210" s="37"/>
      <c r="H210" s="37"/>
    </row>
    <row r="211" spans="1:8" ht="14.25" x14ac:dyDescent="0.3">
      <c r="A211" s="57"/>
      <c r="B211" s="58"/>
      <c r="C211" s="59"/>
      <c r="D211" s="37"/>
      <c r="E211" s="37"/>
      <c r="F211" s="37"/>
      <c r="G211" s="37"/>
      <c r="H211" s="37"/>
    </row>
    <row r="212" spans="1:8" ht="14.25" x14ac:dyDescent="0.3">
      <c r="A212" s="57"/>
      <c r="B212" s="58"/>
      <c r="C212" s="59"/>
      <c r="D212" s="37"/>
      <c r="E212" s="37"/>
      <c r="F212" s="37"/>
      <c r="G212" s="37"/>
      <c r="H212" s="37"/>
    </row>
    <row r="213" spans="1:8" ht="14.25" x14ac:dyDescent="0.3">
      <c r="A213" s="57"/>
      <c r="B213" s="58"/>
      <c r="C213" s="59"/>
      <c r="D213" s="37"/>
      <c r="E213" s="37"/>
      <c r="F213" s="37"/>
      <c r="G213" s="37"/>
      <c r="H213" s="37"/>
    </row>
    <row r="214" spans="1:8" ht="14.25" x14ac:dyDescent="0.3">
      <c r="A214" s="57"/>
      <c r="B214" s="58"/>
      <c r="C214" s="59"/>
      <c r="D214" s="37"/>
      <c r="E214" s="37"/>
      <c r="F214" s="37"/>
      <c r="G214" s="37"/>
      <c r="H214" s="37"/>
    </row>
    <row r="215" spans="1:8" ht="14.25" x14ac:dyDescent="0.3">
      <c r="A215" s="57"/>
      <c r="B215" s="58"/>
      <c r="C215" s="59"/>
      <c r="D215" s="37"/>
      <c r="E215" s="37"/>
      <c r="F215" s="37"/>
      <c r="G215" s="37"/>
      <c r="H215" s="37"/>
    </row>
    <row r="216" spans="1:8" ht="14.25" x14ac:dyDescent="0.3">
      <c r="A216" s="57"/>
      <c r="B216" s="58"/>
      <c r="C216" s="59"/>
      <c r="D216" s="37"/>
      <c r="E216" s="37"/>
      <c r="F216" s="37"/>
      <c r="G216" s="37"/>
      <c r="H216" s="37"/>
    </row>
    <row r="217" spans="1:8" ht="14.25" x14ac:dyDescent="0.3">
      <c r="A217" s="57"/>
      <c r="B217" s="58"/>
      <c r="C217" s="59"/>
      <c r="D217" s="37"/>
      <c r="E217" s="37"/>
      <c r="F217" s="37"/>
      <c r="G217" s="37"/>
      <c r="H217" s="37"/>
    </row>
    <row r="218" spans="1:8" ht="14.25" x14ac:dyDescent="0.3">
      <c r="A218" s="57"/>
      <c r="B218" s="58"/>
      <c r="C218" s="59"/>
      <c r="D218" s="37"/>
      <c r="E218" s="37"/>
      <c r="F218" s="37"/>
      <c r="G218" s="37"/>
      <c r="H218" s="37"/>
    </row>
    <row r="219" spans="1:8" ht="14.25" x14ac:dyDescent="0.3">
      <c r="A219" s="57"/>
      <c r="B219" s="58"/>
      <c r="C219" s="59"/>
      <c r="D219" s="37"/>
      <c r="E219" s="37"/>
      <c r="F219" s="37"/>
      <c r="G219" s="37"/>
      <c r="H219" s="37"/>
    </row>
    <row r="220" spans="1:8" ht="14.25" x14ac:dyDescent="0.3">
      <c r="A220" s="57"/>
      <c r="B220" s="58"/>
      <c r="C220" s="59"/>
      <c r="D220" s="37"/>
      <c r="E220" s="37"/>
      <c r="F220" s="37"/>
      <c r="G220" s="37"/>
      <c r="H220" s="37"/>
    </row>
  </sheetData>
  <mergeCells count="17">
    <mergeCell ref="A150:C150"/>
    <mergeCell ref="A1:H1"/>
    <mergeCell ref="A2:H2"/>
    <mergeCell ref="A91:H91"/>
    <mergeCell ref="A92:H92"/>
    <mergeCell ref="A93:H93"/>
    <mergeCell ref="A94:H94"/>
    <mergeCell ref="A144:C144"/>
    <mergeCell ref="A146:C146"/>
    <mergeCell ref="A147:C147"/>
    <mergeCell ref="A148:C148"/>
    <mergeCell ref="A149:C149"/>
    <mergeCell ref="A154:C154"/>
    <mergeCell ref="A155:C155"/>
    <mergeCell ref="A156:C156"/>
    <mergeCell ref="A157:C157"/>
    <mergeCell ref="A158:C15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2023-10-03T13:17:53Z</dcterms:created>
  <dcterms:modified xsi:type="dcterms:W3CDTF">2023-10-03T13:44:22Z</dcterms:modified>
</cp:coreProperties>
</file>