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Aggressive Hybrid Fund" sheetId="1" r:id="rId1"/>
  </sheets>
  <definedNames>
    <definedName name="_xlnm._FilterDatabase" localSheetId="0" hidden="1">'JM Aggressive Hybrid Fund'!$A$1:$H$104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Fund'!$A$1:$E$89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1" i="1" l="1"/>
  <c r="F94" i="1" s="1"/>
</calcChain>
</file>

<file path=xl/sharedStrings.xml><?xml version="1.0" encoding="utf-8"?>
<sst xmlns="http://schemas.openxmlformats.org/spreadsheetml/2006/main" count="230" uniqueCount="186">
  <si>
    <t>JM Financial Mutual Fund</t>
  </si>
  <si>
    <t>JM Aggressive Hybrid Fund (An open ended hybrid scheme investing predominantly in equity and equity related instruments).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</si>
  <si>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</si>
  <si>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</si>
  <si>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</si>
  <si>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</si>
  <si>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</si>
  <si>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</si>
  <si>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</si>
  <si>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</si>
  <si>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</si>
  <si>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</si>
  <si>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</si>
  <si>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</si>
  <si>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</si>
  <si>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</si>
  <si>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</si>
  <si>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</si>
  <si>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</si>
  <si>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</si>
  <si>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</si>
  <si>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Varun Beverages Ltd.</t>
  </si>
  <si>
    <t>Beverages</t>
  </si>
  <si>
    <t>INE200M01021</t>
  </si>
  <si>
    <t>Voltas Ltd.</t>
  </si>
  <si>
    <t>Consumer Durables</t>
  </si>
  <si>
    <t>INE226A01021</t>
  </si>
  <si>
    <t>Vedanta Ltd.</t>
  </si>
  <si>
    <t>Diversified Metals</t>
  </si>
  <si>
    <t>INE205A01025</t>
  </si>
  <si>
    <t>Navin Fluorine International Ltd.</t>
  </si>
  <si>
    <t>Chemicals &amp; Petrochemicals</t>
  </si>
  <si>
    <t>INE048G01026</t>
  </si>
  <si>
    <t>GE T&amp;D India Ltd.</t>
  </si>
  <si>
    <t>Electrical Equipment</t>
  </si>
  <si>
    <t>INE200A01026</t>
  </si>
  <si>
    <t>Honeywell Automation India Ltd.</t>
  </si>
  <si>
    <t>Industrial Manufacturing</t>
  </si>
  <si>
    <t>INE671A01010</t>
  </si>
  <si>
    <t>Jyothy Labs Ltd.</t>
  </si>
  <si>
    <t>Household Products</t>
  </si>
  <si>
    <t>INE668F01031</t>
  </si>
  <si>
    <t>Bharti Airtel Ltd.</t>
  </si>
  <si>
    <t>Telecom - Services</t>
  </si>
  <si>
    <t>INE397D01024</t>
  </si>
  <si>
    <t>Devyani International Ltd.</t>
  </si>
  <si>
    <t>Leisure Services</t>
  </si>
  <si>
    <t>INE872J01023</t>
  </si>
  <si>
    <t>Tejas Networks Ltd.</t>
  </si>
  <si>
    <t>Telecom - Equipment &amp; Accessories</t>
  </si>
  <si>
    <t>INE010J01012</t>
  </si>
  <si>
    <t>Birlasoft Ltd.</t>
  </si>
  <si>
    <t>INE836A01035</t>
  </si>
  <si>
    <t>Five-Star Business Finance Ltd,</t>
  </si>
  <si>
    <t>Finance</t>
  </si>
  <si>
    <t>INE128S01021</t>
  </si>
  <si>
    <t>Tata Motors Ltd.-DVR</t>
  </si>
  <si>
    <t>Automobiles</t>
  </si>
  <si>
    <t>IN9155A01020</t>
  </si>
  <si>
    <t>Tech Mahindra Ltd.</t>
  </si>
  <si>
    <t>INE669C01036</t>
  </si>
  <si>
    <t>Bharat Forge Ltd.</t>
  </si>
  <si>
    <t>Auto Components</t>
  </si>
  <si>
    <t>INE465A01025</t>
  </si>
  <si>
    <t>REC Ltd.</t>
  </si>
  <si>
    <t>INE020B01018</t>
  </si>
  <si>
    <t>Larsen &amp; Toubro Ltd.</t>
  </si>
  <si>
    <t>Construction</t>
  </si>
  <si>
    <t>INE018A01030</t>
  </si>
  <si>
    <t>PB Fintech Ltd.</t>
  </si>
  <si>
    <t>Financial Technology (Fintech)</t>
  </si>
  <si>
    <t>INE417T01026</t>
  </si>
  <si>
    <t>Crompton Greaves Consumer Electricals Ltd.</t>
  </si>
  <si>
    <t>INE299U01018</t>
  </si>
  <si>
    <t>Petronet LNG Ltd.</t>
  </si>
  <si>
    <t>Gas</t>
  </si>
  <si>
    <t>INE347G01014</t>
  </si>
  <si>
    <t>Global Health Ltd.</t>
  </si>
  <si>
    <t>Healthcare Services</t>
  </si>
  <si>
    <t>INE474Q01031</t>
  </si>
  <si>
    <t>SKF India Ltd.</t>
  </si>
  <si>
    <t>Industrial Products</t>
  </si>
  <si>
    <t>INE640A01023</t>
  </si>
  <si>
    <t>Sobha Ltd.</t>
  </si>
  <si>
    <t>Realty</t>
  </si>
  <si>
    <t>INE671H01015</t>
  </si>
  <si>
    <t>Hindustan Aeronautics Ltd.</t>
  </si>
  <si>
    <t>Aerospace &amp; Defense</t>
  </si>
  <si>
    <t>INE066F01020</t>
  </si>
  <si>
    <t>Thomas Cook  (India)  Ltd.</t>
  </si>
  <si>
    <t>INE332A01027</t>
  </si>
  <si>
    <t>Bajaj Auto Ltd.</t>
  </si>
  <si>
    <t>INE917I01010</t>
  </si>
  <si>
    <t>Sterling and Wilson Renewable Energy Ltd.</t>
  </si>
  <si>
    <t>INE00M201021</t>
  </si>
  <si>
    <t>Texmaco Rail &amp; Engineering Ltd.</t>
  </si>
  <si>
    <t>INE621L01012</t>
  </si>
  <si>
    <t>Grasim Industries Ltd.</t>
  </si>
  <si>
    <t>Cement &amp; Cement Products</t>
  </si>
  <si>
    <t>INE047A01021</t>
  </si>
  <si>
    <t>TVS Holdings Ltd.</t>
  </si>
  <si>
    <t>INE105A01035</t>
  </si>
  <si>
    <t>Poonawalla Fincorp Ltd.</t>
  </si>
  <si>
    <t>INE511C01022</t>
  </si>
  <si>
    <t>Orchid Pharma Ltd.</t>
  </si>
  <si>
    <t>Pharmaceuticals &amp; Biotechnology</t>
  </si>
  <si>
    <t>INE191A01027</t>
  </si>
  <si>
    <t>Glenmark Pharmaceuticals Ltd.</t>
  </si>
  <si>
    <t>INE935A01035</t>
  </si>
  <si>
    <t>Exicom Tele-Systems Ltd.</t>
  </si>
  <si>
    <t>INE777F01014</t>
  </si>
  <si>
    <t>Metropolis Healthcare Ltd.</t>
  </si>
  <si>
    <t>INE112L01020</t>
  </si>
  <si>
    <t>Suven Pharmaceuticals Ltd.</t>
  </si>
  <si>
    <t>INE03QK01018</t>
  </si>
  <si>
    <t>Delhivery Ltd.</t>
  </si>
  <si>
    <t>Transport Services</t>
  </si>
  <si>
    <t>INE148O01028</t>
  </si>
  <si>
    <t>Zomato Ltd.</t>
  </si>
  <si>
    <t>Retailing</t>
  </si>
  <si>
    <t>INE758T01015</t>
  </si>
  <si>
    <t>Vardhman Special Steels Ltd.</t>
  </si>
  <si>
    <t>INE050M01012</t>
  </si>
  <si>
    <t>Sobha Limited - Rights</t>
  </si>
  <si>
    <t>INE671H20015</t>
  </si>
  <si>
    <t>Sub Total:</t>
  </si>
  <si>
    <t>b) Unlisted</t>
  </si>
  <si>
    <t>NIL</t>
  </si>
  <si>
    <t>Total:</t>
  </si>
  <si>
    <t>DEBT INSTRUMENTS</t>
  </si>
  <si>
    <t>CARE AAA</t>
  </si>
  <si>
    <t>INE020B08FD6</t>
  </si>
  <si>
    <t>ICICI Home Finance Ltd.**</t>
  </si>
  <si>
    <t>INE071G07637</t>
  </si>
  <si>
    <t>Jamnagar Utilities &amp; Power Ltd.**</t>
  </si>
  <si>
    <t>INE936D07174</t>
  </si>
  <si>
    <t>SIDBI Ltd**</t>
  </si>
  <si>
    <t>INE556F08KO7</t>
  </si>
  <si>
    <t>Export-Import Bank of India**</t>
  </si>
  <si>
    <t>CRISIL AAA</t>
  </si>
  <si>
    <t>INE514E08CH0</t>
  </si>
  <si>
    <t>LIC Housing Finance Ltd.**</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</si>
  <si>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</si>
  <si>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</si>
  <si>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</si>
  <si>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</si>
  <si>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</si>
  <si>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</si>
  <si>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</si>
  <si>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</si>
  <si>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</si>
  <si>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</si>
  <si>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</si>
  <si>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</si>
  <si>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</si>
  <si>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</si>
  <si>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</si>
  <si>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</si>
  <si>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7.17% Government of India Securities 2030 17/04/2030</t>
  </si>
  <si>
    <t>IN0020230036</t>
  </si>
  <si>
    <t>7.18% Government of India Securities 2033 14/08/2033</t>
  </si>
  <si>
    <t>IN0020230085</t>
  </si>
  <si>
    <t>7.32% Government of India Securities 2030 13/11/2030</t>
  </si>
  <si>
    <t>IN0020230135</t>
  </si>
  <si>
    <t>MONEY MARKET INSTRUMENTS</t>
  </si>
  <si>
    <t>Certificate of Deposit (CD) / Commercial Paper (CP)</t>
  </si>
  <si>
    <t>Canara Bank CD**</t>
  </si>
  <si>
    <t>CRISIL A1+</t>
  </si>
  <si>
    <t>INE476A16YQ8</t>
  </si>
  <si>
    <t>TREPS-Triparty Repo</t>
  </si>
  <si>
    <t/>
  </si>
  <si>
    <t xml:space="preserve"> </t>
  </si>
  <si>
    <t>Net Current Assets</t>
  </si>
  <si>
    <t>Net Assets</t>
  </si>
  <si>
    <t>** Non Traded.</t>
  </si>
  <si>
    <t>Note - Traded Securities (Debt) as on June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</si>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</sst>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cellStyleXfs>
  <cellXfs count="62">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xf>
    <xf numFmtId="164" fontId="3" fillId="0" borderId="0" xfId="2" applyNumberFormat="1" applyFont="1" applyFill="1"/>
  </cellXfs>
  <cellStyles count="7">
    <cellStyle name="Comma" xfId="1" builtinId="3"/>
    <cellStyle name="Normal" xfId="0" builtinId="0"/>
    <cellStyle name="Normal 2 2 2" xfId="2"/>
    <cellStyle name="Normal 2 3 2" xfId="4"/>
    <cellStyle name="Normal 4_BF" xfId="6"/>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600075</xdr:colOff>
      <xdr:row>120</xdr:row>
      <xdr:rowOff>19050</xdr:rowOff>
    </xdr:from>
    <xdr:to>
      <xdr:col>0</xdr:col>
      <xdr:colOff>2867026</xdr:colOff>
      <xdr:row>123</xdr:row>
      <xdr:rowOff>0</xdr:rowOff>
    </xdr:to>
    <xdr:sp macro="" textlink="">
      <xdr:nvSpPr>
        <xdr:cNvPr id="2" name="TextBox 1"/>
        <xdr:cNvSpPr txBox="1"/>
      </xdr:nvSpPr>
      <xdr:spPr>
        <a:xfrm>
          <a:off x="600075" y="224504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257174</xdr:colOff>
      <xdr:row>120</xdr:row>
      <xdr:rowOff>38100</xdr:rowOff>
    </xdr:from>
    <xdr:to>
      <xdr:col>2</xdr:col>
      <xdr:colOff>781049</xdr:colOff>
      <xdr:row>123</xdr:row>
      <xdr:rowOff>19050</xdr:rowOff>
    </xdr:to>
    <xdr:sp macro="" textlink="">
      <xdr:nvSpPr>
        <xdr:cNvPr id="3" name="TextBox 2"/>
        <xdr:cNvSpPr txBox="1"/>
      </xdr:nvSpPr>
      <xdr:spPr>
        <a:xfrm>
          <a:off x="3543299" y="22469475"/>
          <a:ext cx="25717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733425</xdr:colOff>
      <xdr:row>114</xdr:row>
      <xdr:rowOff>38100</xdr:rowOff>
    </xdr:from>
    <xdr:to>
      <xdr:col>0</xdr:col>
      <xdr:colOff>2771775</xdr:colOff>
      <xdr:row>120</xdr:row>
      <xdr:rowOff>19050</xdr:rowOff>
    </xdr:to>
    <xdr:pic>
      <xdr:nvPicPr>
        <xdr:cNvPr id="4"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21383625"/>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533401</xdr:colOff>
      <xdr:row>114</xdr:row>
      <xdr:rowOff>47625</xdr:rowOff>
    </xdr:from>
    <xdr:to>
      <xdr:col>2</xdr:col>
      <xdr:colOff>561976</xdr:colOff>
      <xdr:row>120</xdr:row>
      <xdr:rowOff>57150</xdr:rowOff>
    </xdr:to>
    <xdr:pic>
      <xdr:nvPicPr>
        <xdr:cNvPr id="5"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9526" y="21393150"/>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J121"/>
  <sheetViews>
    <sheetView tabSelected="1" zoomScaleNormal="100" workbookViewId="0">
      <selection sqref="A1:H1"/>
    </sheetView>
  </sheetViews>
  <sheetFormatPr defaultRowHeight="12.75" x14ac:dyDescent="0.2"/>
  <cols>
    <col min="1" max="1" width="49.28515625" style="51" customWidth="1"/>
    <col min="2" max="2" width="30.7109375" style="52" customWidth="1"/>
    <col min="3" max="3" width="11.7109375" style="53" customWidth="1"/>
    <col min="4" max="4" width="13.5703125" style="1" customWidth="1"/>
    <col min="5" max="5" width="10" style="1" customWidth="1"/>
    <col min="6" max="6" width="14" style="1" customWidth="1"/>
    <col min="7" max="7" width="9.5703125" style="1" bestFit="1" customWidth="1"/>
    <col min="8" max="8" width="14" style="1" customWidth="1"/>
    <col min="9" max="16384" width="9.140625" style="1"/>
  </cols>
  <sheetData>
    <row r="1" spans="1:10" x14ac:dyDescent="0.2">
      <c r="A1" s="57" t="s">
        <v>0</v>
      </c>
      <c r="B1" s="57"/>
      <c r="C1" s="57"/>
      <c r="D1" s="57"/>
      <c r="E1" s="57"/>
      <c r="F1" s="57"/>
      <c r="G1" s="57"/>
      <c r="H1" s="57"/>
    </row>
    <row r="2" spans="1:10" x14ac:dyDescent="0.2">
      <c r="A2" s="57" t="s">
        <v>1</v>
      </c>
      <c r="B2" s="57"/>
      <c r="C2" s="57"/>
      <c r="D2" s="57"/>
      <c r="E2" s="57"/>
      <c r="F2" s="57"/>
      <c r="G2" s="57"/>
      <c r="H2" s="57"/>
    </row>
    <row r="3" spans="1:10" x14ac:dyDescent="0.2">
      <c r="A3" s="58" t="s">
        <v>2</v>
      </c>
      <c r="B3" s="58"/>
      <c r="C3" s="58"/>
      <c r="D3" s="58"/>
      <c r="E3" s="58"/>
      <c r="F3" s="58"/>
      <c r="G3" s="58"/>
      <c r="H3" s="58"/>
    </row>
    <row r="4" spans="1:10" s="2" customFormat="1" ht="25.5" x14ac:dyDescent="0.2">
      <c r="A4" s="54" t="s">
        <v>3</v>
      </c>
      <c r="B4" s="54" t="s">
        <v>4</v>
      </c>
      <c r="C4" s="55" t="s">
        <v>5</v>
      </c>
      <c r="D4" s="54" t="s">
        <v>6</v>
      </c>
      <c r="E4" s="54" t="s">
        <v>7</v>
      </c>
      <c r="F4" s="54" t="s">
        <v>8</v>
      </c>
      <c r="G4" s="54" t="s">
        <v>9</v>
      </c>
      <c r="H4" s="54" t="s">
        <v>10</v>
      </c>
    </row>
    <row r="5" spans="1:10" ht="14.25" x14ac:dyDescent="0.3">
      <c r="A5" s="3" t="s">
        <v>11</v>
      </c>
      <c r="B5" s="4"/>
      <c r="C5" s="5"/>
      <c r="D5" s="6"/>
      <c r="E5" s="6"/>
      <c r="F5" s="7"/>
      <c r="G5" s="8"/>
      <c r="H5" s="9"/>
    </row>
    <row r="6" spans="1:10" ht="14.25" x14ac:dyDescent="0.3">
      <c r="A6" s="10" t="s">
        <v>12</v>
      </c>
      <c r="B6" s="4"/>
      <c r="C6" s="5"/>
      <c r="D6" s="6"/>
      <c r="E6" s="6"/>
      <c r="F6" s="7"/>
      <c r="G6" s="8"/>
      <c r="H6" s="9"/>
    </row>
    <row r="7" spans="1:10" s="15" customFormat="1" ht="14.25" x14ac:dyDescent="0.3">
      <c r="A7" s="11" t="s">
        <v>13</v>
      </c>
      <c r="B7" s="12" t="s">
        <v>14</v>
      </c>
      <c r="C7" s="13">
        <v>100000</v>
      </c>
      <c r="D7" s="14">
        <v>1683.8</v>
      </c>
      <c r="E7" s="14">
        <v>4.3899999999999997</v>
      </c>
      <c r="F7" s="14" t="s">
        <v>15</v>
      </c>
      <c r="G7" s="9"/>
      <c r="H7" s="9"/>
      <c r="I7" s="61"/>
      <c r="J7" s="61"/>
    </row>
    <row r="8" spans="1:10" s="15" customFormat="1" ht="14.25" x14ac:dyDescent="0.3">
      <c r="A8" s="11" t="s">
        <v>16</v>
      </c>
      <c r="B8" s="12" t="s">
        <v>17</v>
      </c>
      <c r="C8" s="13">
        <v>85000</v>
      </c>
      <c r="D8" s="14">
        <v>1331.74</v>
      </c>
      <c r="E8" s="14">
        <v>3.47</v>
      </c>
      <c r="F8" s="14" t="s">
        <v>18</v>
      </c>
      <c r="G8" s="9"/>
      <c r="H8" s="16"/>
      <c r="I8" s="61"/>
      <c r="J8" s="61"/>
    </row>
    <row r="9" spans="1:10" s="15" customFormat="1" ht="14.25" x14ac:dyDescent="0.3">
      <c r="A9" s="11" t="s">
        <v>19</v>
      </c>
      <c r="B9" s="12" t="s">
        <v>14</v>
      </c>
      <c r="C9" s="13">
        <v>86000</v>
      </c>
      <c r="D9" s="14">
        <v>1031.6600000000001</v>
      </c>
      <c r="E9" s="14">
        <v>2.69</v>
      </c>
      <c r="F9" s="14" t="s">
        <v>20</v>
      </c>
      <c r="G9" s="9"/>
      <c r="H9" s="9"/>
      <c r="I9" s="61"/>
      <c r="J9" s="61"/>
    </row>
    <row r="10" spans="1:10" s="15" customFormat="1" ht="14.25" x14ac:dyDescent="0.3">
      <c r="A10" s="11" t="s">
        <v>21</v>
      </c>
      <c r="B10" s="12" t="s">
        <v>22</v>
      </c>
      <c r="C10" s="13">
        <v>60000</v>
      </c>
      <c r="D10" s="14">
        <v>977.7</v>
      </c>
      <c r="E10" s="14">
        <v>2.5499999999999998</v>
      </c>
      <c r="F10" s="14" t="s">
        <v>23</v>
      </c>
      <c r="G10" s="9"/>
      <c r="H10" s="8"/>
      <c r="I10" s="61"/>
      <c r="J10" s="61"/>
    </row>
    <row r="11" spans="1:10" s="15" customFormat="1" ht="14.25" x14ac:dyDescent="0.3">
      <c r="A11" s="11" t="s">
        <v>24</v>
      </c>
      <c r="B11" s="12" t="s">
        <v>25</v>
      </c>
      <c r="C11" s="13">
        <v>65000</v>
      </c>
      <c r="D11" s="14">
        <v>956.93</v>
      </c>
      <c r="E11" s="14">
        <v>2.4900000000000002</v>
      </c>
      <c r="F11" s="14" t="s">
        <v>26</v>
      </c>
      <c r="G11" s="9"/>
      <c r="H11" s="8"/>
      <c r="I11" s="61"/>
      <c r="J11" s="61"/>
    </row>
    <row r="12" spans="1:10" s="15" customFormat="1" ht="14.25" x14ac:dyDescent="0.3">
      <c r="A12" s="11" t="s">
        <v>27</v>
      </c>
      <c r="B12" s="12" t="s">
        <v>28</v>
      </c>
      <c r="C12" s="13">
        <v>200000</v>
      </c>
      <c r="D12" s="14">
        <v>908</v>
      </c>
      <c r="E12" s="14">
        <v>2.37</v>
      </c>
      <c r="F12" s="14" t="s">
        <v>29</v>
      </c>
      <c r="G12" s="9"/>
      <c r="H12" s="8"/>
      <c r="I12" s="61"/>
      <c r="J12" s="61"/>
    </row>
    <row r="13" spans="1:10" s="15" customFormat="1" ht="14.25" x14ac:dyDescent="0.3">
      <c r="A13" s="11" t="s">
        <v>30</v>
      </c>
      <c r="B13" s="12" t="s">
        <v>31</v>
      </c>
      <c r="C13" s="13">
        <v>24052</v>
      </c>
      <c r="D13" s="14">
        <v>859.68</v>
      </c>
      <c r="E13" s="14">
        <v>2.2400000000000002</v>
      </c>
      <c r="F13" s="14" t="s">
        <v>32</v>
      </c>
      <c r="G13" s="9"/>
      <c r="H13" s="8"/>
      <c r="I13" s="61"/>
      <c r="J13" s="61"/>
    </row>
    <row r="14" spans="1:10" s="15" customFormat="1" ht="14.25" x14ac:dyDescent="0.3">
      <c r="A14" s="11" t="s">
        <v>33</v>
      </c>
      <c r="B14" s="12" t="s">
        <v>34</v>
      </c>
      <c r="C14" s="13">
        <v>55272</v>
      </c>
      <c r="D14" s="14">
        <v>824.49</v>
      </c>
      <c r="E14" s="14">
        <v>2.15</v>
      </c>
      <c r="F14" s="14" t="s">
        <v>35</v>
      </c>
      <c r="G14" s="9"/>
      <c r="H14" s="9"/>
      <c r="I14" s="61"/>
      <c r="J14" s="61"/>
    </row>
    <row r="15" spans="1:10" s="15" customFormat="1" ht="14.25" x14ac:dyDescent="0.3">
      <c r="A15" s="11" t="s">
        <v>36</v>
      </c>
      <c r="B15" s="12" t="s">
        <v>37</v>
      </c>
      <c r="C15" s="13">
        <v>1413</v>
      </c>
      <c r="D15" s="14">
        <v>801.33</v>
      </c>
      <c r="E15" s="14">
        <v>2.09</v>
      </c>
      <c r="F15" s="14" t="s">
        <v>38</v>
      </c>
      <c r="G15" s="9"/>
      <c r="H15" s="9"/>
      <c r="I15" s="61"/>
      <c r="J15" s="61"/>
    </row>
    <row r="16" spans="1:10" s="15" customFormat="1" ht="14.25" x14ac:dyDescent="0.3">
      <c r="A16" s="11" t="s">
        <v>39</v>
      </c>
      <c r="B16" s="12" t="s">
        <v>40</v>
      </c>
      <c r="C16" s="13">
        <v>185000</v>
      </c>
      <c r="D16" s="14">
        <v>798.46</v>
      </c>
      <c r="E16" s="14">
        <v>2.08</v>
      </c>
      <c r="F16" s="14" t="s">
        <v>41</v>
      </c>
      <c r="G16" s="9"/>
      <c r="H16" s="8"/>
      <c r="I16" s="61"/>
      <c r="J16" s="61"/>
    </row>
    <row r="17" spans="1:10" s="15" customFormat="1" ht="14.25" x14ac:dyDescent="0.3">
      <c r="A17" s="11" t="s">
        <v>42</v>
      </c>
      <c r="B17" s="12" t="s">
        <v>43</v>
      </c>
      <c r="C17" s="13">
        <v>55000</v>
      </c>
      <c r="D17" s="14">
        <v>794.23</v>
      </c>
      <c r="E17" s="14">
        <v>2.0699999999999998</v>
      </c>
      <c r="F17" s="14" t="s">
        <v>44</v>
      </c>
      <c r="G17" s="9"/>
      <c r="H17" s="9"/>
      <c r="I17" s="61"/>
      <c r="J17" s="61"/>
    </row>
    <row r="18" spans="1:10" s="15" customFormat="1" ht="14.25" x14ac:dyDescent="0.3">
      <c r="A18" s="11" t="s">
        <v>45</v>
      </c>
      <c r="B18" s="12" t="s">
        <v>46</v>
      </c>
      <c r="C18" s="13">
        <v>472359</v>
      </c>
      <c r="D18" s="14">
        <v>778.02</v>
      </c>
      <c r="E18" s="14">
        <v>2.0299999999999998</v>
      </c>
      <c r="F18" s="14" t="s">
        <v>47</v>
      </c>
      <c r="G18" s="9"/>
      <c r="H18" s="9"/>
      <c r="I18" s="61"/>
      <c r="J18" s="61"/>
    </row>
    <row r="19" spans="1:10" s="15" customFormat="1" ht="14.25" x14ac:dyDescent="0.3">
      <c r="A19" s="11" t="s">
        <v>48</v>
      </c>
      <c r="B19" s="12" t="s">
        <v>49</v>
      </c>
      <c r="C19" s="13">
        <v>55000</v>
      </c>
      <c r="D19" s="14">
        <v>777.21</v>
      </c>
      <c r="E19" s="14">
        <v>2.0299999999999998</v>
      </c>
      <c r="F19" s="14" t="s">
        <v>50</v>
      </c>
      <c r="G19" s="9"/>
      <c r="H19" s="8"/>
      <c r="I19" s="61"/>
      <c r="J19" s="61"/>
    </row>
    <row r="20" spans="1:10" s="15" customFormat="1" ht="14.25" x14ac:dyDescent="0.3">
      <c r="A20" s="11" t="s">
        <v>51</v>
      </c>
      <c r="B20" s="12" t="s">
        <v>17</v>
      </c>
      <c r="C20" s="13">
        <v>110000</v>
      </c>
      <c r="D20" s="14">
        <v>759.33</v>
      </c>
      <c r="E20" s="14">
        <v>1.98</v>
      </c>
      <c r="F20" s="14" t="s">
        <v>52</v>
      </c>
      <c r="G20" s="9"/>
      <c r="H20" s="9"/>
      <c r="I20" s="61"/>
      <c r="J20" s="61"/>
    </row>
    <row r="21" spans="1:10" s="15" customFormat="1" ht="14.25" x14ac:dyDescent="0.3">
      <c r="A21" s="11" t="s">
        <v>53</v>
      </c>
      <c r="B21" s="12" t="s">
        <v>54</v>
      </c>
      <c r="C21" s="13">
        <v>93825</v>
      </c>
      <c r="D21" s="14">
        <v>744.27</v>
      </c>
      <c r="E21" s="14">
        <v>1.94</v>
      </c>
      <c r="F21" s="14" t="s">
        <v>55</v>
      </c>
      <c r="G21" s="9"/>
      <c r="H21" s="9"/>
      <c r="I21" s="61"/>
      <c r="J21" s="61"/>
    </row>
    <row r="22" spans="1:10" s="15" customFormat="1" ht="14.25" x14ac:dyDescent="0.3">
      <c r="A22" s="11" t="s">
        <v>56</v>
      </c>
      <c r="B22" s="12" t="s">
        <v>57</v>
      </c>
      <c r="C22" s="13">
        <v>111000</v>
      </c>
      <c r="D22" s="14">
        <v>738.82</v>
      </c>
      <c r="E22" s="14">
        <v>1.93</v>
      </c>
      <c r="F22" s="14" t="s">
        <v>58</v>
      </c>
      <c r="G22" s="9"/>
      <c r="H22" s="8"/>
      <c r="I22" s="61"/>
      <c r="J22" s="61"/>
    </row>
    <row r="23" spans="1:10" s="15" customFormat="1" ht="14.25" x14ac:dyDescent="0.3">
      <c r="A23" s="11" t="s">
        <v>59</v>
      </c>
      <c r="B23" s="12" t="s">
        <v>17</v>
      </c>
      <c r="C23" s="13">
        <v>50000</v>
      </c>
      <c r="D23" s="14">
        <v>715.18</v>
      </c>
      <c r="E23" s="14">
        <v>1.86</v>
      </c>
      <c r="F23" s="14" t="s">
        <v>60</v>
      </c>
      <c r="G23" s="9"/>
      <c r="H23" s="8"/>
      <c r="I23" s="61"/>
      <c r="J23" s="61"/>
    </row>
    <row r="24" spans="1:10" s="15" customFormat="1" ht="14.25" x14ac:dyDescent="0.3">
      <c r="A24" s="11" t="s">
        <v>61</v>
      </c>
      <c r="B24" s="12" t="s">
        <v>62</v>
      </c>
      <c r="C24" s="13">
        <v>42800</v>
      </c>
      <c r="D24" s="14">
        <v>714.91</v>
      </c>
      <c r="E24" s="14">
        <v>1.86</v>
      </c>
      <c r="F24" s="14" t="s">
        <v>63</v>
      </c>
      <c r="G24" s="9"/>
      <c r="H24" s="9"/>
      <c r="I24" s="61"/>
      <c r="J24" s="61"/>
    </row>
    <row r="25" spans="1:10" s="15" customFormat="1" ht="14.25" x14ac:dyDescent="0.3">
      <c r="A25" s="11" t="s">
        <v>64</v>
      </c>
      <c r="B25" s="12" t="s">
        <v>54</v>
      </c>
      <c r="C25" s="13">
        <v>135500</v>
      </c>
      <c r="D25" s="14">
        <v>711.92</v>
      </c>
      <c r="E25" s="14">
        <v>1.86</v>
      </c>
      <c r="F25" s="14" t="s">
        <v>65</v>
      </c>
      <c r="G25" s="9"/>
      <c r="H25" s="8"/>
      <c r="I25" s="61"/>
      <c r="J25" s="61"/>
    </row>
    <row r="26" spans="1:10" s="15" customFormat="1" ht="14.25" x14ac:dyDescent="0.3">
      <c r="A26" s="11" t="s">
        <v>66</v>
      </c>
      <c r="B26" s="12" t="s">
        <v>67</v>
      </c>
      <c r="C26" s="13">
        <v>20000</v>
      </c>
      <c r="D26" s="14">
        <v>709.69</v>
      </c>
      <c r="E26" s="14">
        <v>1.85</v>
      </c>
      <c r="F26" s="14" t="s">
        <v>68</v>
      </c>
      <c r="G26" s="9"/>
      <c r="H26" s="8"/>
      <c r="I26" s="61"/>
      <c r="J26" s="61"/>
    </row>
    <row r="27" spans="1:10" s="15" customFormat="1" ht="14.25" x14ac:dyDescent="0.3">
      <c r="A27" s="11" t="s">
        <v>69</v>
      </c>
      <c r="B27" s="12" t="s">
        <v>70</v>
      </c>
      <c r="C27" s="13">
        <v>50000</v>
      </c>
      <c r="D27" s="14">
        <v>698.63</v>
      </c>
      <c r="E27" s="14">
        <v>1.82</v>
      </c>
      <c r="F27" s="14" t="s">
        <v>71</v>
      </c>
      <c r="G27" s="9"/>
      <c r="H27" s="8"/>
      <c r="I27" s="61"/>
      <c r="J27" s="61"/>
    </row>
    <row r="28" spans="1:10" s="15" customFormat="1" ht="14.25" x14ac:dyDescent="0.3">
      <c r="A28" s="11" t="s">
        <v>72</v>
      </c>
      <c r="B28" s="12" t="s">
        <v>25</v>
      </c>
      <c r="C28" s="13">
        <v>168000</v>
      </c>
      <c r="D28" s="14">
        <v>680.9</v>
      </c>
      <c r="E28" s="14">
        <v>1.77</v>
      </c>
      <c r="F28" s="14" t="s">
        <v>73</v>
      </c>
      <c r="G28" s="9"/>
      <c r="H28" s="9"/>
      <c r="I28" s="61"/>
      <c r="J28" s="61"/>
    </row>
    <row r="29" spans="1:10" s="15" customFormat="1" ht="14.25" x14ac:dyDescent="0.3">
      <c r="A29" s="11" t="s">
        <v>74</v>
      </c>
      <c r="B29" s="12" t="s">
        <v>75</v>
      </c>
      <c r="C29" s="13">
        <v>200000</v>
      </c>
      <c r="D29" s="14">
        <v>660.5</v>
      </c>
      <c r="E29" s="14">
        <v>1.72</v>
      </c>
      <c r="F29" s="14" t="s">
        <v>76</v>
      </c>
      <c r="G29" s="9"/>
      <c r="H29" s="8"/>
      <c r="I29" s="61"/>
      <c r="J29" s="61"/>
    </row>
    <row r="30" spans="1:10" s="15" customFormat="1" ht="14.25" x14ac:dyDescent="0.3">
      <c r="A30" s="11" t="s">
        <v>77</v>
      </c>
      <c r="B30" s="12" t="s">
        <v>78</v>
      </c>
      <c r="C30" s="13">
        <v>50000</v>
      </c>
      <c r="D30" s="14">
        <v>654.15</v>
      </c>
      <c r="E30" s="14">
        <v>1.7</v>
      </c>
      <c r="F30" s="14" t="s">
        <v>79</v>
      </c>
      <c r="G30" s="9"/>
      <c r="H30" s="8"/>
      <c r="I30" s="61"/>
      <c r="J30" s="61"/>
    </row>
    <row r="31" spans="1:10" s="15" customFormat="1" ht="14.25" x14ac:dyDescent="0.3">
      <c r="A31" s="11" t="s">
        <v>80</v>
      </c>
      <c r="B31" s="12" t="s">
        <v>81</v>
      </c>
      <c r="C31" s="13">
        <v>10043</v>
      </c>
      <c r="D31" s="14">
        <v>649.53</v>
      </c>
      <c r="E31" s="14">
        <v>1.69</v>
      </c>
      <c r="F31" s="14" t="s">
        <v>82</v>
      </c>
      <c r="G31" s="9"/>
      <c r="H31" s="8"/>
      <c r="I31" s="61"/>
      <c r="J31" s="61"/>
    </row>
    <row r="32" spans="1:10" s="15" customFormat="1" ht="14.25" x14ac:dyDescent="0.3">
      <c r="A32" s="11" t="s">
        <v>83</v>
      </c>
      <c r="B32" s="12" t="s">
        <v>84</v>
      </c>
      <c r="C32" s="13">
        <v>32639</v>
      </c>
      <c r="D32" s="14">
        <v>638.63</v>
      </c>
      <c r="E32" s="14">
        <v>1.66</v>
      </c>
      <c r="F32" s="14" t="s">
        <v>85</v>
      </c>
      <c r="G32" s="9"/>
      <c r="H32" s="8"/>
      <c r="I32" s="61"/>
      <c r="J32" s="61"/>
    </row>
    <row r="33" spans="1:10" s="15" customFormat="1" ht="14.25" x14ac:dyDescent="0.3">
      <c r="A33" s="11" t="s">
        <v>86</v>
      </c>
      <c r="B33" s="12" t="s">
        <v>87</v>
      </c>
      <c r="C33" s="13">
        <v>12000</v>
      </c>
      <c r="D33" s="14">
        <v>631.71</v>
      </c>
      <c r="E33" s="14">
        <v>1.65</v>
      </c>
      <c r="F33" s="14" t="s">
        <v>88</v>
      </c>
      <c r="G33" s="9"/>
      <c r="H33" s="9"/>
      <c r="I33" s="61"/>
      <c r="J33" s="61"/>
    </row>
    <row r="34" spans="1:10" s="15" customFormat="1" ht="14.25" x14ac:dyDescent="0.3">
      <c r="A34" s="11" t="s">
        <v>89</v>
      </c>
      <c r="B34" s="12" t="s">
        <v>46</v>
      </c>
      <c r="C34" s="13">
        <v>247481</v>
      </c>
      <c r="D34" s="14">
        <v>597.37</v>
      </c>
      <c r="E34" s="14">
        <v>1.56</v>
      </c>
      <c r="F34" s="14" t="s">
        <v>90</v>
      </c>
      <c r="G34" s="9"/>
      <c r="H34" s="8"/>
      <c r="I34" s="61"/>
      <c r="J34" s="61"/>
    </row>
    <row r="35" spans="1:10" s="15" customFormat="1" ht="14.25" x14ac:dyDescent="0.3">
      <c r="A35" s="11" t="s">
        <v>91</v>
      </c>
      <c r="B35" s="12" t="s">
        <v>57</v>
      </c>
      <c r="C35" s="13">
        <v>6280</v>
      </c>
      <c r="D35" s="14">
        <v>596.70000000000005</v>
      </c>
      <c r="E35" s="14">
        <v>1.55</v>
      </c>
      <c r="F35" s="14" t="s">
        <v>92</v>
      </c>
      <c r="G35" s="9"/>
      <c r="H35" s="9"/>
      <c r="I35" s="61"/>
      <c r="J35" s="61"/>
    </row>
    <row r="36" spans="1:10" s="15" customFormat="1" ht="14.25" x14ac:dyDescent="0.3">
      <c r="A36" s="11" t="s">
        <v>93</v>
      </c>
      <c r="B36" s="12" t="s">
        <v>67</v>
      </c>
      <c r="C36" s="13">
        <v>78268</v>
      </c>
      <c r="D36" s="14">
        <v>558.36</v>
      </c>
      <c r="E36" s="14">
        <v>1.46</v>
      </c>
      <c r="F36" s="14" t="s">
        <v>94</v>
      </c>
      <c r="G36" s="9"/>
      <c r="H36" s="8"/>
      <c r="I36" s="61"/>
      <c r="J36" s="61"/>
    </row>
    <row r="37" spans="1:10" s="15" customFormat="1" ht="14.25" x14ac:dyDescent="0.3">
      <c r="A37" s="11" t="s">
        <v>95</v>
      </c>
      <c r="B37" s="12" t="s">
        <v>37</v>
      </c>
      <c r="C37" s="13">
        <v>220000</v>
      </c>
      <c r="D37" s="14">
        <v>546.48</v>
      </c>
      <c r="E37" s="14">
        <v>1.42</v>
      </c>
      <c r="F37" s="14" t="s">
        <v>96</v>
      </c>
      <c r="G37" s="9"/>
      <c r="H37" s="8"/>
      <c r="I37" s="61"/>
      <c r="J37" s="61"/>
    </row>
    <row r="38" spans="1:10" s="15" customFormat="1" ht="14.25" x14ac:dyDescent="0.3">
      <c r="A38" s="11" t="s">
        <v>97</v>
      </c>
      <c r="B38" s="12" t="s">
        <v>98</v>
      </c>
      <c r="C38" s="13">
        <v>19830</v>
      </c>
      <c r="D38" s="14">
        <v>529.54999999999995</v>
      </c>
      <c r="E38" s="14">
        <v>1.38</v>
      </c>
      <c r="F38" s="14" t="s">
        <v>99</v>
      </c>
      <c r="G38" s="9"/>
      <c r="H38" s="9"/>
      <c r="I38" s="61"/>
      <c r="J38" s="61"/>
    </row>
    <row r="39" spans="1:10" s="15" customFormat="1" ht="14.25" x14ac:dyDescent="0.3">
      <c r="A39" s="11" t="s">
        <v>100</v>
      </c>
      <c r="B39" s="12" t="s">
        <v>54</v>
      </c>
      <c r="C39" s="13">
        <v>3595</v>
      </c>
      <c r="D39" s="14">
        <v>476.05</v>
      </c>
      <c r="E39" s="14">
        <v>1.24</v>
      </c>
      <c r="F39" s="14" t="s">
        <v>101</v>
      </c>
      <c r="G39" s="9"/>
      <c r="H39" s="8"/>
      <c r="I39" s="61"/>
      <c r="J39" s="61"/>
    </row>
    <row r="40" spans="1:10" s="15" customFormat="1" ht="14.25" x14ac:dyDescent="0.3">
      <c r="A40" s="11" t="s">
        <v>102</v>
      </c>
      <c r="B40" s="12" t="s">
        <v>54</v>
      </c>
      <c r="C40" s="13">
        <v>115000</v>
      </c>
      <c r="D40" s="14">
        <v>470.47</v>
      </c>
      <c r="E40" s="14">
        <v>1.23</v>
      </c>
      <c r="F40" s="14" t="s">
        <v>103</v>
      </c>
      <c r="G40" s="9"/>
      <c r="H40" s="8"/>
      <c r="I40" s="61"/>
      <c r="J40" s="61"/>
    </row>
    <row r="41" spans="1:10" s="15" customFormat="1" ht="14.25" x14ac:dyDescent="0.3">
      <c r="A41" s="11" t="s">
        <v>104</v>
      </c>
      <c r="B41" s="12" t="s">
        <v>105</v>
      </c>
      <c r="C41" s="13">
        <v>40006</v>
      </c>
      <c r="D41" s="14">
        <v>455.65</v>
      </c>
      <c r="E41" s="14">
        <v>1.19</v>
      </c>
      <c r="F41" s="14" t="s">
        <v>106</v>
      </c>
      <c r="G41" s="9"/>
      <c r="H41" s="8"/>
      <c r="I41" s="61"/>
      <c r="J41" s="61"/>
    </row>
    <row r="42" spans="1:10" s="15" customFormat="1" ht="14.25" x14ac:dyDescent="0.3">
      <c r="A42" s="11" t="s">
        <v>107</v>
      </c>
      <c r="B42" s="12" t="s">
        <v>105</v>
      </c>
      <c r="C42" s="13">
        <v>37000</v>
      </c>
      <c r="D42" s="14">
        <v>455.29</v>
      </c>
      <c r="E42" s="14">
        <v>1.19</v>
      </c>
      <c r="F42" s="14" t="s">
        <v>108</v>
      </c>
      <c r="G42" s="9"/>
      <c r="H42" s="9"/>
      <c r="I42" s="61"/>
      <c r="J42" s="61"/>
    </row>
    <row r="43" spans="1:10" s="15" customFormat="1" ht="14.25" x14ac:dyDescent="0.3">
      <c r="A43" s="11" t="s">
        <v>109</v>
      </c>
      <c r="B43" s="12" t="s">
        <v>34</v>
      </c>
      <c r="C43" s="13">
        <v>100000</v>
      </c>
      <c r="D43" s="14">
        <v>454</v>
      </c>
      <c r="E43" s="14">
        <v>1.18</v>
      </c>
      <c r="F43" s="14" t="s">
        <v>110</v>
      </c>
      <c r="G43" s="9"/>
      <c r="H43" s="9"/>
      <c r="I43" s="61"/>
      <c r="J43" s="61"/>
    </row>
    <row r="44" spans="1:10" s="15" customFormat="1" ht="14.25" x14ac:dyDescent="0.3">
      <c r="A44" s="11" t="s">
        <v>111</v>
      </c>
      <c r="B44" s="12" t="s">
        <v>78</v>
      </c>
      <c r="C44" s="13">
        <v>22000</v>
      </c>
      <c r="D44" s="14">
        <v>435.17</v>
      </c>
      <c r="E44" s="14">
        <v>1.1299999999999999</v>
      </c>
      <c r="F44" s="14" t="s">
        <v>112</v>
      </c>
      <c r="G44" s="9"/>
      <c r="H44" s="8"/>
      <c r="I44" s="61"/>
      <c r="J44" s="61"/>
    </row>
    <row r="45" spans="1:10" s="15" customFormat="1" ht="14.25" x14ac:dyDescent="0.3">
      <c r="A45" s="11" t="s">
        <v>113</v>
      </c>
      <c r="B45" s="12" t="s">
        <v>105</v>
      </c>
      <c r="C45" s="13">
        <v>48000</v>
      </c>
      <c r="D45" s="14">
        <v>385.92</v>
      </c>
      <c r="E45" s="14">
        <v>1.01</v>
      </c>
      <c r="F45" s="14" t="s">
        <v>114</v>
      </c>
      <c r="G45" s="9"/>
      <c r="H45" s="8"/>
      <c r="I45" s="61"/>
      <c r="J45" s="61"/>
    </row>
    <row r="46" spans="1:10" s="15" customFormat="1" ht="14.25" x14ac:dyDescent="0.3">
      <c r="A46" s="11" t="s">
        <v>115</v>
      </c>
      <c r="B46" s="12" t="s">
        <v>116</v>
      </c>
      <c r="C46" s="13">
        <v>95000</v>
      </c>
      <c r="D46" s="14">
        <v>380.14</v>
      </c>
      <c r="E46" s="14">
        <v>0.99</v>
      </c>
      <c r="F46" s="14" t="s">
        <v>117</v>
      </c>
      <c r="G46" s="9"/>
      <c r="H46" s="9"/>
      <c r="I46" s="61"/>
      <c r="J46" s="61"/>
    </row>
    <row r="47" spans="1:10" s="15" customFormat="1" ht="14.25" x14ac:dyDescent="0.3">
      <c r="A47" s="11" t="s">
        <v>118</v>
      </c>
      <c r="B47" s="12" t="s">
        <v>119</v>
      </c>
      <c r="C47" s="13">
        <v>185000</v>
      </c>
      <c r="D47" s="14">
        <v>371.04</v>
      </c>
      <c r="E47" s="14">
        <v>0.97</v>
      </c>
      <c r="F47" s="14" t="s">
        <v>120</v>
      </c>
      <c r="G47" s="9"/>
      <c r="H47" s="8"/>
      <c r="I47" s="61"/>
      <c r="J47" s="61"/>
    </row>
    <row r="48" spans="1:10" s="15" customFormat="1" ht="14.25" x14ac:dyDescent="0.3">
      <c r="A48" s="11" t="s">
        <v>121</v>
      </c>
      <c r="B48" s="12" t="s">
        <v>81</v>
      </c>
      <c r="C48" s="13">
        <v>109056</v>
      </c>
      <c r="D48" s="14">
        <v>340.8</v>
      </c>
      <c r="E48" s="14">
        <v>0.89</v>
      </c>
      <c r="F48" s="14" t="s">
        <v>122</v>
      </c>
      <c r="G48" s="9"/>
      <c r="H48" s="8"/>
      <c r="I48" s="61"/>
      <c r="J48" s="61"/>
    </row>
    <row r="49" spans="1:10" s="15" customFormat="1" ht="14.25" x14ac:dyDescent="0.3">
      <c r="A49" s="11" t="s">
        <v>123</v>
      </c>
      <c r="B49" s="12" t="s">
        <v>84</v>
      </c>
      <c r="C49" s="13">
        <v>4166</v>
      </c>
      <c r="D49" s="14">
        <v>12.73</v>
      </c>
      <c r="E49" s="14">
        <v>0.03</v>
      </c>
      <c r="F49" s="14" t="s">
        <v>124</v>
      </c>
      <c r="G49" s="9"/>
      <c r="H49" s="8"/>
      <c r="I49" s="61"/>
      <c r="J49" s="61"/>
    </row>
    <row r="50" spans="1:10" s="15" customFormat="1" ht="14.25" x14ac:dyDescent="0.3">
      <c r="A50" s="10" t="s">
        <v>125</v>
      </c>
      <c r="B50" s="12"/>
      <c r="C50" s="13"/>
      <c r="D50" s="17">
        <v>29297.14</v>
      </c>
      <c r="E50" s="17">
        <v>76.359999999999985</v>
      </c>
      <c r="F50" s="17"/>
      <c r="G50" s="9"/>
      <c r="H50" s="8"/>
      <c r="I50" s="61"/>
      <c r="J50" s="61"/>
    </row>
    <row r="51" spans="1:10" s="15" customFormat="1" ht="14.25" x14ac:dyDescent="0.3">
      <c r="A51" s="10"/>
      <c r="B51" s="10"/>
      <c r="C51" s="18"/>
      <c r="D51" s="19"/>
      <c r="E51" s="19"/>
      <c r="F51" s="19"/>
      <c r="G51" s="9"/>
      <c r="H51" s="8"/>
    </row>
    <row r="52" spans="1:10" s="15" customFormat="1" ht="14.25" x14ac:dyDescent="0.3">
      <c r="A52" s="10" t="s">
        <v>126</v>
      </c>
      <c r="B52" s="10"/>
      <c r="C52" s="18"/>
      <c r="D52" s="20" t="s">
        <v>127</v>
      </c>
      <c r="E52" s="20" t="s">
        <v>127</v>
      </c>
      <c r="F52" s="20"/>
      <c r="G52" s="9"/>
      <c r="H52" s="8"/>
    </row>
    <row r="53" spans="1:10" s="15" customFormat="1" ht="14.25" x14ac:dyDescent="0.3">
      <c r="A53" s="10"/>
      <c r="B53" s="3"/>
      <c r="C53" s="18"/>
      <c r="D53" s="20"/>
      <c r="E53" s="20"/>
      <c r="F53" s="21"/>
      <c r="G53" s="9"/>
      <c r="H53" s="8"/>
    </row>
    <row r="54" spans="1:10" s="15" customFormat="1" ht="14.25" x14ac:dyDescent="0.3">
      <c r="A54" s="10" t="s">
        <v>128</v>
      </c>
      <c r="B54" s="10"/>
      <c r="C54" s="18"/>
      <c r="D54" s="17">
        <v>29297.14</v>
      </c>
      <c r="E54" s="17">
        <v>76.359999999999985</v>
      </c>
      <c r="F54" s="22"/>
      <c r="G54" s="9"/>
      <c r="H54" s="8"/>
    </row>
    <row r="55" spans="1:10" s="15" customFormat="1" ht="14.25" x14ac:dyDescent="0.3">
      <c r="A55" s="10"/>
      <c r="B55" s="3"/>
      <c r="C55" s="18"/>
      <c r="D55" s="20"/>
      <c r="E55" s="20"/>
      <c r="F55" s="21"/>
      <c r="G55" s="9"/>
      <c r="H55" s="8"/>
    </row>
    <row r="56" spans="1:10" s="15" customFormat="1" ht="14.25" x14ac:dyDescent="0.3">
      <c r="A56" s="10" t="s">
        <v>129</v>
      </c>
      <c r="B56" s="3"/>
      <c r="C56" s="18"/>
      <c r="D56" s="20"/>
      <c r="E56" s="20"/>
      <c r="F56" s="21"/>
      <c r="G56" s="9"/>
      <c r="H56" s="8"/>
    </row>
    <row r="57" spans="1:10" s="15" customFormat="1" ht="14.25" x14ac:dyDescent="0.3">
      <c r="A57" s="10" t="s">
        <v>12</v>
      </c>
      <c r="B57" s="3"/>
      <c r="C57" s="18"/>
      <c r="D57" s="23"/>
      <c r="E57" s="23"/>
      <c r="F57" s="23"/>
      <c r="G57" s="9"/>
      <c r="H57" s="8"/>
    </row>
    <row r="58" spans="1:10" s="15" customFormat="1" ht="14.25" x14ac:dyDescent="0.3">
      <c r="A58" s="11" t="s">
        <v>64</v>
      </c>
      <c r="B58" s="12" t="s">
        <v>130</v>
      </c>
      <c r="C58" s="13">
        <v>500</v>
      </c>
      <c r="D58" s="14">
        <v>500.08</v>
      </c>
      <c r="E58" s="14">
        <v>1.3</v>
      </c>
      <c r="F58" s="14" t="s">
        <v>131</v>
      </c>
      <c r="G58" s="9">
        <v>7.57</v>
      </c>
      <c r="H58" s="8"/>
      <c r="I58" s="61"/>
      <c r="J58" s="61"/>
    </row>
    <row r="59" spans="1:10" s="15" customFormat="1" ht="14.25" x14ac:dyDescent="0.3">
      <c r="A59" s="11" t="s">
        <v>132</v>
      </c>
      <c r="B59" s="12" t="s">
        <v>130</v>
      </c>
      <c r="C59" s="13">
        <v>500</v>
      </c>
      <c r="D59" s="14">
        <v>499.23</v>
      </c>
      <c r="E59" s="14">
        <v>1.3</v>
      </c>
      <c r="F59" s="14" t="s">
        <v>133</v>
      </c>
      <c r="G59" s="9">
        <v>8.1198999999999995</v>
      </c>
      <c r="H59" s="8"/>
      <c r="I59" s="61"/>
      <c r="J59" s="61"/>
    </row>
    <row r="60" spans="1:10" s="15" customFormat="1" ht="14.25" x14ac:dyDescent="0.3">
      <c r="A60" s="11" t="s">
        <v>134</v>
      </c>
      <c r="B60" s="12" t="s">
        <v>130</v>
      </c>
      <c r="C60" s="13">
        <v>50</v>
      </c>
      <c r="D60" s="14">
        <v>484.14</v>
      </c>
      <c r="E60" s="14">
        <v>1.26</v>
      </c>
      <c r="F60" s="14" t="s">
        <v>135</v>
      </c>
      <c r="G60" s="9">
        <v>7.9749999999999996</v>
      </c>
      <c r="H60" s="8"/>
      <c r="I60" s="61"/>
      <c r="J60" s="61"/>
    </row>
    <row r="61" spans="1:10" s="15" customFormat="1" ht="14.25" x14ac:dyDescent="0.3">
      <c r="A61" s="11" t="s">
        <v>136</v>
      </c>
      <c r="B61" s="12" t="s">
        <v>130</v>
      </c>
      <c r="C61" s="13">
        <v>250</v>
      </c>
      <c r="D61" s="14">
        <v>249.95</v>
      </c>
      <c r="E61" s="14">
        <v>0.65</v>
      </c>
      <c r="F61" s="14" t="s">
        <v>137</v>
      </c>
      <c r="G61" s="9">
        <v>7.6835000000000004</v>
      </c>
      <c r="H61" s="8"/>
      <c r="I61" s="61"/>
      <c r="J61" s="61"/>
    </row>
    <row r="62" spans="1:10" s="15" customFormat="1" ht="14.25" x14ac:dyDescent="0.3">
      <c r="A62" s="11" t="s">
        <v>138</v>
      </c>
      <c r="B62" s="12" t="s">
        <v>139</v>
      </c>
      <c r="C62" s="13">
        <v>20</v>
      </c>
      <c r="D62" s="14">
        <v>201.57</v>
      </c>
      <c r="E62" s="14">
        <v>0.53</v>
      </c>
      <c r="F62" s="14" t="s">
        <v>140</v>
      </c>
      <c r="G62" s="9">
        <v>7.49</v>
      </c>
      <c r="H62" s="8"/>
      <c r="I62" s="61"/>
      <c r="J62" s="61"/>
    </row>
    <row r="63" spans="1:10" s="15" customFormat="1" ht="14.25" x14ac:dyDescent="0.3">
      <c r="A63" s="11" t="s">
        <v>141</v>
      </c>
      <c r="B63" s="12" t="s">
        <v>130</v>
      </c>
      <c r="C63" s="13">
        <v>20</v>
      </c>
      <c r="D63" s="14">
        <v>199.09</v>
      </c>
      <c r="E63" s="14">
        <v>0.52</v>
      </c>
      <c r="F63" s="14" t="s">
        <v>142</v>
      </c>
      <c r="G63" s="9">
        <v>7.93</v>
      </c>
      <c r="H63" s="8"/>
      <c r="I63" s="61"/>
      <c r="J63" s="61"/>
    </row>
    <row r="64" spans="1:10" s="15" customFormat="1" ht="14.25" x14ac:dyDescent="0.3">
      <c r="A64" s="11" t="s">
        <v>143</v>
      </c>
      <c r="B64" s="12" t="s">
        <v>130</v>
      </c>
      <c r="C64" s="13">
        <v>20</v>
      </c>
      <c r="D64" s="14">
        <v>196.12</v>
      </c>
      <c r="E64" s="14">
        <v>0.51</v>
      </c>
      <c r="F64" s="14" t="s">
        <v>144</v>
      </c>
      <c r="G64" s="9">
        <v>7.92</v>
      </c>
      <c r="H64" s="8"/>
      <c r="I64" s="61"/>
      <c r="J64" s="61"/>
    </row>
    <row r="65" spans="1:10" s="15" customFormat="1" ht="14.25" x14ac:dyDescent="0.3">
      <c r="A65" s="11" t="s">
        <v>145</v>
      </c>
      <c r="B65" s="12" t="s">
        <v>130</v>
      </c>
      <c r="C65" s="13">
        <v>15</v>
      </c>
      <c r="D65" s="14">
        <v>151.86000000000001</v>
      </c>
      <c r="E65" s="14">
        <v>0.4</v>
      </c>
      <c r="F65" s="14" t="s">
        <v>146</v>
      </c>
      <c r="G65" s="9">
        <v>7.5971000000000002</v>
      </c>
      <c r="H65" s="8"/>
      <c r="I65" s="61"/>
      <c r="J65" s="61"/>
    </row>
    <row r="66" spans="1:10" s="15" customFormat="1" ht="14.25" x14ac:dyDescent="0.3">
      <c r="A66" s="11" t="s">
        <v>13</v>
      </c>
      <c r="B66" s="12" t="s">
        <v>130</v>
      </c>
      <c r="C66" s="13">
        <v>100</v>
      </c>
      <c r="D66" s="14">
        <v>99.84</v>
      </c>
      <c r="E66" s="14">
        <v>0.26</v>
      </c>
      <c r="F66" s="14" t="s">
        <v>147</v>
      </c>
      <c r="G66" s="9">
        <v>7.94</v>
      </c>
      <c r="H66" s="8"/>
      <c r="I66" s="61"/>
      <c r="J66" s="61"/>
    </row>
    <row r="67" spans="1:10" s="15" customFormat="1" ht="14.25" x14ac:dyDescent="0.3">
      <c r="A67" s="10" t="s">
        <v>125</v>
      </c>
      <c r="B67" s="3"/>
      <c r="C67" s="24"/>
      <c r="D67" s="20">
        <v>2581.88</v>
      </c>
      <c r="E67" s="20">
        <v>6.73</v>
      </c>
      <c r="F67" s="20"/>
      <c r="G67" s="9"/>
      <c r="H67" s="8"/>
    </row>
    <row r="68" spans="1:10" s="15" customFormat="1" ht="14.25" x14ac:dyDescent="0.3">
      <c r="A68" s="10"/>
      <c r="B68" s="3"/>
      <c r="C68" s="24"/>
      <c r="D68" s="23"/>
      <c r="E68" s="23"/>
      <c r="F68" s="23"/>
      <c r="G68" s="9"/>
      <c r="H68" s="8"/>
    </row>
    <row r="69" spans="1:10" s="15" customFormat="1" ht="14.25" x14ac:dyDescent="0.3">
      <c r="A69" s="10" t="s">
        <v>148</v>
      </c>
      <c r="B69" s="3"/>
      <c r="C69" s="24"/>
      <c r="D69" s="20" t="s">
        <v>127</v>
      </c>
      <c r="E69" s="20" t="s">
        <v>127</v>
      </c>
      <c r="F69" s="21"/>
      <c r="G69" s="9"/>
      <c r="H69" s="8"/>
    </row>
    <row r="70" spans="1:10" s="15" customFormat="1" ht="14.25" x14ac:dyDescent="0.3">
      <c r="A70" s="10"/>
      <c r="B70" s="3"/>
      <c r="C70" s="24"/>
      <c r="D70" s="23"/>
      <c r="E70" s="23"/>
      <c r="F70" s="23"/>
      <c r="G70" s="9"/>
      <c r="H70" s="8"/>
    </row>
    <row r="71" spans="1:10" s="15" customFormat="1" ht="14.25" x14ac:dyDescent="0.3">
      <c r="A71" s="10" t="s">
        <v>128</v>
      </c>
      <c r="B71" s="3"/>
      <c r="C71" s="24"/>
      <c r="D71" s="20">
        <v>2581.88</v>
      </c>
      <c r="E71" s="20">
        <v>6.73</v>
      </c>
      <c r="F71" s="20">
        <f>IF(ISERROR(+F67),0,F67)+IF(ISERROR(+#REF!),0,#REF!)+IF(ISERROR(+#REF!),0,#REF!)</f>
        <v>0</v>
      </c>
      <c r="G71" s="9"/>
      <c r="H71" s="8"/>
    </row>
    <row r="72" spans="1:10" s="15" customFormat="1" ht="14.25" x14ac:dyDescent="0.3">
      <c r="A72" s="10"/>
      <c r="B72" s="3"/>
      <c r="C72" s="24"/>
      <c r="D72" s="20"/>
      <c r="E72" s="20"/>
      <c r="F72" s="20"/>
      <c r="G72" s="9"/>
      <c r="H72" s="8"/>
    </row>
    <row r="73" spans="1:10" s="15" customFormat="1" ht="14.25" x14ac:dyDescent="0.3">
      <c r="A73" s="10" t="s">
        <v>149</v>
      </c>
      <c r="B73" s="3"/>
      <c r="C73" s="24"/>
      <c r="D73" s="20"/>
      <c r="E73" s="20"/>
      <c r="F73" s="20"/>
      <c r="G73" s="9"/>
      <c r="H73" s="8"/>
    </row>
    <row r="74" spans="1:10" s="15" customFormat="1" ht="14.25" x14ac:dyDescent="0.3">
      <c r="A74" s="10"/>
      <c r="B74" s="3"/>
      <c r="C74" s="24"/>
      <c r="D74" s="14"/>
      <c r="E74" s="14"/>
      <c r="F74" s="25"/>
      <c r="G74" s="9"/>
      <c r="H74" s="8"/>
    </row>
    <row r="75" spans="1:10" s="15" customFormat="1" ht="14.25" x14ac:dyDescent="0.3">
      <c r="A75" s="10" t="s">
        <v>150</v>
      </c>
      <c r="B75" s="3"/>
      <c r="C75" s="24"/>
      <c r="D75" s="20" t="s">
        <v>127</v>
      </c>
      <c r="E75" s="20" t="s">
        <v>127</v>
      </c>
      <c r="F75" s="20"/>
      <c r="G75" s="9"/>
      <c r="H75" s="8"/>
    </row>
    <row r="76" spans="1:10" s="15" customFormat="1" ht="14.25" x14ac:dyDescent="0.3">
      <c r="A76" s="10"/>
      <c r="B76" s="3"/>
      <c r="C76" s="24"/>
      <c r="D76" s="20"/>
      <c r="E76" s="20"/>
      <c r="F76" s="20"/>
      <c r="G76" s="9"/>
      <c r="H76" s="8"/>
    </row>
    <row r="77" spans="1:10" s="15" customFormat="1" ht="14.25" x14ac:dyDescent="0.3">
      <c r="A77" s="10" t="s">
        <v>151</v>
      </c>
      <c r="B77" s="3"/>
      <c r="C77" s="24"/>
      <c r="D77" s="20" t="s">
        <v>127</v>
      </c>
      <c r="E77" s="20" t="s">
        <v>127</v>
      </c>
      <c r="F77" s="20"/>
      <c r="G77" s="9"/>
      <c r="H77" s="8"/>
    </row>
    <row r="78" spans="1:10" s="15" customFormat="1" ht="14.25" x14ac:dyDescent="0.3">
      <c r="A78" s="10"/>
      <c r="B78" s="3"/>
      <c r="C78" s="24"/>
      <c r="D78" s="20"/>
      <c r="E78" s="20"/>
      <c r="F78" s="20"/>
      <c r="G78" s="9"/>
      <c r="H78" s="8"/>
    </row>
    <row r="79" spans="1:10" s="15" customFormat="1" ht="14.25" x14ac:dyDescent="0.3">
      <c r="A79" s="10" t="s">
        <v>152</v>
      </c>
      <c r="B79" s="3"/>
      <c r="C79" s="24"/>
      <c r="D79" s="20"/>
      <c r="E79" s="20"/>
      <c r="F79" s="20"/>
      <c r="G79" s="9"/>
      <c r="H79" s="8"/>
    </row>
    <row r="80" spans="1:10" s="15" customFormat="1" ht="14.25" x14ac:dyDescent="0.3">
      <c r="A80" s="11" t="s">
        <v>153</v>
      </c>
      <c r="B80" s="12" t="s">
        <v>154</v>
      </c>
      <c r="C80" s="13">
        <v>2300000</v>
      </c>
      <c r="D80" s="14">
        <v>2314.5</v>
      </c>
      <c r="E80" s="14">
        <v>6.03</v>
      </c>
      <c r="F80" s="14" t="s">
        <v>155</v>
      </c>
      <c r="G80" s="9">
        <v>7.0076000000000001</v>
      </c>
      <c r="H80" s="8"/>
      <c r="I80" s="61"/>
      <c r="J80" s="61"/>
    </row>
    <row r="81" spans="1:10" s="15" customFormat="1" ht="14.25" x14ac:dyDescent="0.3">
      <c r="A81" s="11" t="s">
        <v>156</v>
      </c>
      <c r="B81" s="12" t="s">
        <v>154</v>
      </c>
      <c r="C81" s="13">
        <v>1350000</v>
      </c>
      <c r="D81" s="14">
        <v>1365.53</v>
      </c>
      <c r="E81" s="14">
        <v>3.56</v>
      </c>
      <c r="F81" s="14" t="s">
        <v>157</v>
      </c>
      <c r="G81" s="9">
        <v>7.0430000000000001</v>
      </c>
      <c r="H81" s="8"/>
      <c r="I81" s="61"/>
      <c r="J81" s="61"/>
    </row>
    <row r="82" spans="1:10" s="15" customFormat="1" ht="14.25" x14ac:dyDescent="0.3">
      <c r="A82" s="11" t="s">
        <v>158</v>
      </c>
      <c r="B82" s="12" t="s">
        <v>154</v>
      </c>
      <c r="C82" s="13">
        <v>300000</v>
      </c>
      <c r="D82" s="14">
        <v>301.82</v>
      </c>
      <c r="E82" s="14">
        <v>0.79</v>
      </c>
      <c r="F82" s="14" t="s">
        <v>159</v>
      </c>
      <c r="G82" s="9">
        <v>7.0412999999999997</v>
      </c>
      <c r="H82" s="8"/>
      <c r="I82" s="61"/>
      <c r="J82" s="61"/>
    </row>
    <row r="83" spans="1:10" s="15" customFormat="1" ht="14.25" x14ac:dyDescent="0.3">
      <c r="A83" s="11" t="s">
        <v>160</v>
      </c>
      <c r="B83" s="12" t="s">
        <v>154</v>
      </c>
      <c r="C83" s="13">
        <v>250000</v>
      </c>
      <c r="D83" s="14">
        <v>252.12</v>
      </c>
      <c r="E83" s="14">
        <v>0.66</v>
      </c>
      <c r="F83" s="14" t="s">
        <v>161</v>
      </c>
      <c r="G83" s="9">
        <v>7.0506000000000002</v>
      </c>
      <c r="H83" s="8"/>
      <c r="I83" s="61"/>
      <c r="J83" s="61"/>
    </row>
    <row r="84" spans="1:10" s="15" customFormat="1" ht="14.25" x14ac:dyDescent="0.3">
      <c r="A84" s="11" t="s">
        <v>162</v>
      </c>
      <c r="B84" s="12" t="s">
        <v>154</v>
      </c>
      <c r="C84" s="13">
        <v>200000</v>
      </c>
      <c r="D84" s="14">
        <v>202.79</v>
      </c>
      <c r="E84" s="14">
        <v>0.53</v>
      </c>
      <c r="F84" s="14" t="s">
        <v>163</v>
      </c>
      <c r="G84" s="9">
        <v>7.0422000000000002</v>
      </c>
      <c r="H84" s="8"/>
      <c r="I84" s="61"/>
      <c r="J84" s="61"/>
    </row>
    <row r="85" spans="1:10" s="15" customFormat="1" ht="14.25" x14ac:dyDescent="0.3">
      <c r="A85" s="10" t="s">
        <v>125</v>
      </c>
      <c r="B85" s="3"/>
      <c r="C85" s="24"/>
      <c r="D85" s="20">
        <v>4436.76</v>
      </c>
      <c r="E85" s="20">
        <v>11.569999999999999</v>
      </c>
      <c r="F85" s="26"/>
      <c r="G85" s="9"/>
      <c r="H85" s="8"/>
    </row>
    <row r="86" spans="1:10" s="15" customFormat="1" ht="14.25" x14ac:dyDescent="0.3">
      <c r="A86" s="10"/>
      <c r="B86" s="3"/>
      <c r="C86" s="24"/>
      <c r="D86" s="20"/>
      <c r="E86" s="20"/>
      <c r="F86" s="20"/>
      <c r="G86" s="9"/>
      <c r="H86" s="8"/>
    </row>
    <row r="87" spans="1:10" s="15" customFormat="1" ht="14.25" x14ac:dyDescent="0.3">
      <c r="A87" s="10" t="s">
        <v>164</v>
      </c>
      <c r="B87" s="3"/>
      <c r="C87" s="24"/>
      <c r="D87" s="20"/>
      <c r="E87" s="20"/>
      <c r="F87" s="21"/>
      <c r="G87" s="9"/>
      <c r="H87" s="8"/>
    </row>
    <row r="88" spans="1:10" s="15" customFormat="1" ht="14.25" x14ac:dyDescent="0.3">
      <c r="A88" s="10" t="s">
        <v>165</v>
      </c>
      <c r="B88" s="3"/>
      <c r="C88" s="24"/>
      <c r="D88" s="20"/>
      <c r="E88" s="20"/>
      <c r="F88" s="21"/>
      <c r="G88" s="9"/>
      <c r="H88" s="8"/>
    </row>
    <row r="89" spans="1:10" s="15" customFormat="1" ht="14.25" x14ac:dyDescent="0.3">
      <c r="A89" s="11" t="s">
        <v>166</v>
      </c>
      <c r="B89" s="12" t="s">
        <v>167</v>
      </c>
      <c r="C89" s="13">
        <v>100</v>
      </c>
      <c r="D89" s="14">
        <v>483.72</v>
      </c>
      <c r="E89" s="14">
        <v>1.26</v>
      </c>
      <c r="F89" s="14" t="s">
        <v>168</v>
      </c>
      <c r="G89" s="9">
        <v>7.4450000000000003</v>
      </c>
      <c r="H89" s="8"/>
      <c r="I89" s="61"/>
      <c r="J89" s="61"/>
    </row>
    <row r="90" spans="1:10" s="15" customFormat="1" ht="14.25" x14ac:dyDescent="0.3">
      <c r="A90" s="10" t="s">
        <v>125</v>
      </c>
      <c r="B90" s="27"/>
      <c r="C90" s="28"/>
      <c r="D90" s="20">
        <v>483.72</v>
      </c>
      <c r="E90" s="20">
        <v>1.26</v>
      </c>
      <c r="F90" s="29"/>
      <c r="G90" s="9"/>
      <c r="H90" s="8"/>
    </row>
    <row r="91" spans="1:10" s="15" customFormat="1" ht="14.25" x14ac:dyDescent="0.3">
      <c r="A91" s="11" t="s">
        <v>169</v>
      </c>
      <c r="B91" s="12"/>
      <c r="C91" s="13">
        <v>0</v>
      </c>
      <c r="D91" s="14">
        <v>1342.27</v>
      </c>
      <c r="E91" s="14">
        <v>3.5</v>
      </c>
      <c r="F91" s="14" t="s">
        <v>170</v>
      </c>
      <c r="G91" s="9">
        <v>6.7225000000000001</v>
      </c>
      <c r="H91" s="8"/>
      <c r="I91" s="61"/>
      <c r="J91" s="61"/>
    </row>
    <row r="92" spans="1:10" s="15" customFormat="1" ht="14.25" x14ac:dyDescent="0.3">
      <c r="A92" s="10" t="s">
        <v>125</v>
      </c>
      <c r="B92" s="3"/>
      <c r="C92" s="24"/>
      <c r="D92" s="20">
        <v>1342.27</v>
      </c>
      <c r="E92" s="20">
        <v>3.5</v>
      </c>
      <c r="F92" s="14"/>
      <c r="G92" s="9"/>
      <c r="H92" s="8"/>
    </row>
    <row r="93" spans="1:10" s="15" customFormat="1" ht="14.25" x14ac:dyDescent="0.3">
      <c r="A93" s="10"/>
      <c r="B93" s="3"/>
      <c r="C93" s="24"/>
      <c r="D93" s="20"/>
      <c r="E93" s="20"/>
      <c r="F93" s="21"/>
      <c r="G93" s="9"/>
      <c r="H93" s="8"/>
    </row>
    <row r="94" spans="1:10" s="15" customFormat="1" ht="14.25" x14ac:dyDescent="0.3">
      <c r="A94" s="10" t="s">
        <v>128</v>
      </c>
      <c r="B94" s="3"/>
      <c r="C94" s="24" t="s">
        <v>171</v>
      </c>
      <c r="D94" s="20">
        <v>38141.769999999997</v>
      </c>
      <c r="E94" s="20">
        <v>99.42</v>
      </c>
      <c r="F94" s="20">
        <f>+IF(ISERROR(F71),0,F71)+IF(ISERROR(F92),0,F92)+IF(ISERROR(F54),0,F54)+IF(ISERROR(#REF!),0,#REF!)+IF(ISERROR(F85),0,F85)+IF(ISERROR(#REF!),0,#REF!)+IF(ISERROR(#REF!),0,#REF!)+IF(ISERROR(#REF!),0,#REF!)+IF(ISERROR(#REF!),0,#REF!)+F90</f>
        <v>0</v>
      </c>
      <c r="G94" s="9"/>
      <c r="H94" s="8"/>
      <c r="I94" s="61"/>
      <c r="J94" s="61"/>
    </row>
    <row r="95" spans="1:10" s="15" customFormat="1" ht="14.25" x14ac:dyDescent="0.3">
      <c r="A95" s="10"/>
      <c r="B95" s="3"/>
      <c r="C95" s="24"/>
      <c r="D95" s="20"/>
      <c r="E95" s="20"/>
      <c r="F95" s="30"/>
      <c r="G95" s="31"/>
      <c r="H95" s="32"/>
    </row>
    <row r="96" spans="1:10" s="15" customFormat="1" ht="14.25" x14ac:dyDescent="0.3">
      <c r="A96" s="10" t="s">
        <v>172</v>
      </c>
      <c r="B96" s="3"/>
      <c r="C96" s="24"/>
      <c r="D96" s="20">
        <v>234.17</v>
      </c>
      <c r="E96" s="20">
        <v>0.57999999999999996</v>
      </c>
      <c r="F96" s="30"/>
      <c r="G96" s="31"/>
      <c r="H96" s="32"/>
      <c r="I96" s="61"/>
      <c r="J96" s="61"/>
    </row>
    <row r="97" spans="1:10" s="15" customFormat="1" ht="14.25" x14ac:dyDescent="0.3">
      <c r="A97" s="10"/>
      <c r="B97" s="3"/>
      <c r="C97" s="24"/>
      <c r="D97" s="23"/>
      <c r="E97" s="23"/>
      <c r="F97" s="30"/>
      <c r="G97" s="31"/>
      <c r="H97" s="32"/>
    </row>
    <row r="98" spans="1:10" s="15" customFormat="1" ht="14.25" x14ac:dyDescent="0.3">
      <c r="A98" s="10" t="s">
        <v>173</v>
      </c>
      <c r="B98" s="3"/>
      <c r="C98" s="24"/>
      <c r="D98" s="20">
        <v>38375.94</v>
      </c>
      <c r="E98" s="20">
        <v>100</v>
      </c>
      <c r="F98" s="30"/>
      <c r="G98" s="31"/>
      <c r="H98" s="32"/>
      <c r="I98" s="61"/>
      <c r="J98" s="61"/>
    </row>
    <row r="99" spans="1:10" s="15" customFormat="1" ht="14.25" x14ac:dyDescent="0.3">
      <c r="A99" s="33"/>
      <c r="B99" s="34"/>
      <c r="C99" s="35"/>
      <c r="D99" s="36"/>
      <c r="E99" s="36"/>
      <c r="F99" s="30"/>
      <c r="G99" s="31"/>
      <c r="H99" s="32"/>
    </row>
    <row r="100" spans="1:10" s="15" customFormat="1" ht="14.25" x14ac:dyDescent="0.3">
      <c r="A100" s="37" t="s">
        <v>174</v>
      </c>
      <c r="B100" s="34"/>
      <c r="C100" s="35"/>
      <c r="D100" s="36"/>
      <c r="E100" s="36"/>
      <c r="F100" s="38"/>
      <c r="G100" s="31"/>
      <c r="H100" s="32"/>
    </row>
    <row r="101" spans="1:10" s="15" customFormat="1" ht="14.25" x14ac:dyDescent="0.3">
      <c r="A101" s="37"/>
      <c r="B101" s="34"/>
      <c r="C101" s="35"/>
      <c r="D101" s="36"/>
      <c r="E101" s="36"/>
      <c r="F101" s="38"/>
      <c r="G101" s="31"/>
      <c r="H101" s="32"/>
    </row>
    <row r="102" spans="1:10" s="15" customFormat="1" ht="14.25" x14ac:dyDescent="0.3">
      <c r="A102" s="39" t="s">
        <v>175</v>
      </c>
      <c r="B102" s="34"/>
      <c r="C102" s="35"/>
      <c r="D102" s="36"/>
      <c r="E102" s="36"/>
      <c r="F102" s="38"/>
      <c r="G102" s="31"/>
      <c r="H102" s="32"/>
    </row>
    <row r="103" spans="1:10" s="15" customFormat="1" ht="14.25" x14ac:dyDescent="0.3">
      <c r="A103" s="37"/>
      <c r="B103" s="34"/>
      <c r="C103" s="35"/>
      <c r="D103" s="36"/>
      <c r="E103" s="36"/>
      <c r="F103" s="38"/>
      <c r="G103" s="31"/>
      <c r="H103" s="32"/>
    </row>
    <row r="104" spans="1:10" s="15" customFormat="1" ht="13.5" x14ac:dyDescent="0.2">
      <c r="A104" s="59" t="s">
        <v>176</v>
      </c>
      <c r="B104" s="59"/>
      <c r="C104" s="59"/>
      <c r="D104" s="59"/>
      <c r="E104" s="59"/>
      <c r="F104" s="59"/>
      <c r="G104" s="59"/>
      <c r="H104" s="59"/>
    </row>
    <row r="105" spans="1:10" ht="27.75" customHeight="1" x14ac:dyDescent="0.2">
      <c r="A105" s="59" t="s">
        <v>177</v>
      </c>
      <c r="B105" s="59"/>
      <c r="C105" s="59"/>
      <c r="D105" s="59"/>
      <c r="E105" s="59"/>
      <c r="F105" s="59"/>
      <c r="G105" s="59"/>
      <c r="H105" s="59"/>
    </row>
    <row r="106" spans="1:10" ht="13.5" x14ac:dyDescent="0.2">
      <c r="A106" s="60" t="s">
        <v>178</v>
      </c>
      <c r="B106" s="60"/>
      <c r="C106" s="60"/>
      <c r="D106" s="60"/>
      <c r="E106" s="60"/>
      <c r="F106" s="60"/>
      <c r="G106" s="60"/>
      <c r="H106" s="60"/>
    </row>
    <row r="107" spans="1:10" ht="53.25" customHeight="1" x14ac:dyDescent="0.2">
      <c r="A107" s="56" t="s">
        <v>179</v>
      </c>
      <c r="B107" s="56"/>
      <c r="C107" s="56"/>
      <c r="D107" s="56"/>
      <c r="E107" s="56"/>
      <c r="F107" s="56"/>
      <c r="G107" s="56"/>
      <c r="H107" s="56"/>
    </row>
    <row r="108" spans="1:10" x14ac:dyDescent="0.2">
      <c r="A108" s="40"/>
      <c r="B108" s="40"/>
      <c r="C108" s="40"/>
      <c r="D108" s="40"/>
      <c r="E108" s="40"/>
      <c r="F108" s="40"/>
      <c r="G108" s="40"/>
      <c r="H108" s="40"/>
    </row>
    <row r="109" spans="1:10" ht="14.25" x14ac:dyDescent="0.3">
      <c r="A109" s="41" t="s">
        <v>180</v>
      </c>
      <c r="B109" s="42"/>
      <c r="C109" s="42"/>
      <c r="D109" s="42"/>
      <c r="E109" s="32"/>
      <c r="F109" s="32"/>
      <c r="G109" s="32"/>
      <c r="H109" s="32"/>
    </row>
    <row r="110" spans="1:10" ht="14.25" x14ac:dyDescent="0.3">
      <c r="A110" s="43" t="s">
        <v>181</v>
      </c>
      <c r="B110" s="42"/>
      <c r="C110" s="42"/>
      <c r="D110" s="42"/>
      <c r="E110" s="32"/>
      <c r="F110" s="32"/>
      <c r="G110" s="32"/>
      <c r="H110" s="32"/>
    </row>
    <row r="111" spans="1:10" ht="14.25" x14ac:dyDescent="0.3">
      <c r="A111" s="43" t="s">
        <v>182</v>
      </c>
      <c r="B111" s="43"/>
      <c r="C111" s="43"/>
      <c r="D111" s="42"/>
      <c r="E111" s="32"/>
      <c r="F111" s="44"/>
      <c r="G111" s="32"/>
      <c r="H111" s="32"/>
    </row>
    <row r="112" spans="1:10" ht="14.25" x14ac:dyDescent="0.3">
      <c r="A112" s="43" t="s">
        <v>183</v>
      </c>
      <c r="B112" s="43"/>
      <c r="C112" s="43"/>
      <c r="D112" s="42"/>
      <c r="E112" s="32"/>
      <c r="F112" s="32"/>
      <c r="G112" s="32"/>
      <c r="H112" s="32"/>
    </row>
    <row r="113" spans="1:8" ht="14.25" x14ac:dyDescent="0.3">
      <c r="A113" s="45"/>
      <c r="B113" s="46"/>
      <c r="C113" s="47"/>
      <c r="D113" s="32"/>
      <c r="E113" s="32"/>
      <c r="F113" s="32"/>
      <c r="G113" s="32"/>
      <c r="H113" s="32"/>
    </row>
    <row r="114" spans="1:8" ht="14.25" x14ac:dyDescent="0.3">
      <c r="A114" s="48" t="s">
        <v>184</v>
      </c>
      <c r="B114" s="49" t="s">
        <v>185</v>
      </c>
      <c r="C114" s="42"/>
      <c r="D114" s="32"/>
      <c r="E114" s="32"/>
      <c r="F114" s="32"/>
      <c r="G114" s="32"/>
      <c r="H114" s="32"/>
    </row>
    <row r="115" spans="1:8" ht="14.25" x14ac:dyDescent="0.3">
      <c r="A115" s="45"/>
      <c r="B115" s="46"/>
      <c r="C115" s="47"/>
      <c r="D115" s="32"/>
      <c r="E115" s="32"/>
      <c r="F115" s="32"/>
      <c r="G115" s="32"/>
      <c r="H115" s="32"/>
    </row>
    <row r="116" spans="1:8" ht="14.25" x14ac:dyDescent="0.3">
      <c r="A116" s="45"/>
      <c r="B116" s="46"/>
      <c r="C116" s="47"/>
      <c r="D116" s="32"/>
      <c r="E116" s="32"/>
      <c r="F116" s="32"/>
      <c r="G116" s="32"/>
      <c r="H116" s="32"/>
    </row>
    <row r="117" spans="1:8" ht="14.25" x14ac:dyDescent="0.3">
      <c r="A117" s="45"/>
      <c r="B117" s="46"/>
      <c r="C117" s="47"/>
      <c r="D117" s="32"/>
      <c r="E117" s="32"/>
      <c r="F117" s="32"/>
      <c r="G117" s="32"/>
      <c r="H117" s="32"/>
    </row>
    <row r="118" spans="1:8" ht="14.25" x14ac:dyDescent="0.3">
      <c r="A118" s="45"/>
      <c r="B118" s="46"/>
      <c r="C118" s="47"/>
      <c r="D118" s="32"/>
      <c r="E118" s="32"/>
      <c r="F118" s="32"/>
      <c r="G118" s="32"/>
      <c r="H118" s="32"/>
    </row>
    <row r="119" spans="1:8" ht="14.25" x14ac:dyDescent="0.3">
      <c r="A119" s="45"/>
      <c r="B119" s="46"/>
      <c r="C119" s="47"/>
      <c r="D119" s="32"/>
      <c r="E119" s="32"/>
      <c r="F119" s="32"/>
      <c r="G119" s="32"/>
      <c r="H119" s="32"/>
    </row>
    <row r="120" spans="1:8" ht="14.25" x14ac:dyDescent="0.3">
      <c r="A120" s="45"/>
      <c r="B120" s="46"/>
      <c r="C120" s="47"/>
      <c r="D120" s="32"/>
      <c r="E120" s="32"/>
      <c r="F120" s="32"/>
      <c r="G120" s="32"/>
      <c r="H120" s="32"/>
    </row>
    <row r="121" spans="1:8" ht="14.25" x14ac:dyDescent="0.3">
      <c r="A121" s="45"/>
      <c r="B121" s="46"/>
      <c r="C121" s="47"/>
      <c r="D121" s="32"/>
      <c r="E121" s="50"/>
      <c r="F121" s="32"/>
      <c r="G121" s="32"/>
      <c r="H121" s="32"/>
    </row>
  </sheetData>
  <mergeCells count="7">
    <mergeCell ref="A107:H107"/>
    <mergeCell ref="A1:H1"/>
    <mergeCell ref="A2:H2"/>
    <mergeCell ref="A3:H3"/>
    <mergeCell ref="A104:H104"/>
    <mergeCell ref="A105:H105"/>
    <mergeCell ref="A106:H10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2024-07-01T13:43:15Z</dcterms:created>
  <dcterms:modified xsi:type="dcterms:W3CDTF">2024-07-03T14:26:09Z</dcterms:modified>
</cp:coreProperties>
</file>