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9D53B0F0-E251-4128-86CB-C7389BAB6200}"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1" l="1"/>
  <c r="E75" i="1" l="1"/>
  <c r="F75" i="1"/>
  <c r="F59" i="1"/>
  <c r="E59" i="1"/>
</calcChain>
</file>

<file path=xl/sharedStrings.xml><?xml version="1.0" encoding="utf-8"?>
<sst xmlns="http://schemas.openxmlformats.org/spreadsheetml/2006/main" count="250" uniqueCount="194">
  <si>
    <t xml:space="preserve"> The risk of the benchmark is Very High </t>
  </si>
  <si>
    <t xml:space="preserve">                                                                Benchmark of the scheme - BSE 100 TRI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</si>
  <si>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</si>
  <si>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</si>
  <si>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</si>
  <si>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</si>
  <si>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</si>
  <si>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</si>
  <si>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</si>
  <si>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</si>
  <si>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</si>
  <si>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</si>
  <si>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</si>
  <si>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</si>
  <si>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</si>
  <si>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</si>
  <si>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</si>
  <si>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</si>
  <si>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</si>
  <si>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</si>
  <si>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</si>
  <si>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</si>
  <si>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</si>
  <si>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</si>
  <si>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</si>
  <si>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</si>
  <si>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</si>
  <si>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</si>
  <si>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</si>
  <si>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</si>
  <si>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</si>
  <si>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</si>
  <si>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</si>
  <si>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</si>
  <si>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</si>
  <si>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</si>
  <si>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</si>
  <si>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</si>
  <si>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</si>
  <si>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</si>
  <si>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</si>
  <si>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</si>
  <si>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</si>
  <si>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</si>
  <si>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</si>
  <si>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</si>
  <si>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</si>
  <si>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</si>
  <si>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</si>
  <si>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</si>
  <si>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</si>
  <si>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</si>
  <si>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</si>
  <si>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</si>
  <si>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</si>
  <si>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</si>
  <si>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</si>
  <si>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</si>
  <si>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</si>
  <si>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</si>
  <si>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</si>
  <si>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</si>
  <si>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</si>
  <si>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</si>
  <si>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</si>
  <si>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</si>
  <si>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</si>
  <si>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</si>
  <si>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</si>
  <si>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</si>
  <si>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</si>
  <si>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</si>
  <si>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</si>
  <si>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</si>
  <si>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</si>
  <si>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</si>
  <si>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</si>
  <si>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</si>
  <si>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</si>
  <si>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</si>
  <si>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INE849A01020</t>
  </si>
  <si>
    <t>INE101A01026</t>
  </si>
  <si>
    <t>INE038A01020</t>
  </si>
  <si>
    <t>INE721A01047</t>
  </si>
  <si>
    <t>INE437A01024</t>
  </si>
  <si>
    <t>INE481G01011</t>
  </si>
  <si>
    <t>INE214T01019</t>
  </si>
  <si>
    <t>INE263A01024</t>
  </si>
  <si>
    <t>INE121E01018</t>
  </si>
  <si>
    <t>INE685A01028</t>
  </si>
  <si>
    <t>INE494B01023</t>
  </si>
  <si>
    <t>INE811K01011</t>
  </si>
  <si>
    <t>INE081A01020</t>
  </si>
  <si>
    <t>Tata Steel Limited</t>
  </si>
  <si>
    <t>INE742F01042</t>
  </si>
  <si>
    <t>Adani Port &amp; Special Economic Zone Ltd</t>
  </si>
  <si>
    <t>INE572E01012</t>
  </si>
  <si>
    <t>PNB Housing Finance Limited</t>
  </si>
  <si>
    <t>INE361B01024</t>
  </si>
  <si>
    <t>Divi's Laboratories Limited</t>
  </si>
  <si>
    <t>INE296A01032</t>
  </si>
  <si>
    <t>INE982J01020</t>
  </si>
  <si>
    <t>One 97 Communications Limited</t>
  </si>
  <si>
    <t>INE466L01038</t>
  </si>
  <si>
    <t>360 ONE WAM LIMITED</t>
  </si>
  <si>
    <t>INE089A01031</t>
  </si>
  <si>
    <t>Dr. Reddy's Laboratories Limited</t>
  </si>
  <si>
    <t>INE053A01029</t>
  </si>
  <si>
    <t>The Indian Hotels Company Limited</t>
  </si>
  <si>
    <t>Construction</t>
  </si>
  <si>
    <t>Healthcare Services</t>
  </si>
  <si>
    <t>Power</t>
  </si>
  <si>
    <t>INE067A01029</t>
  </si>
  <si>
    <t>CG Power And Industrial Solutions Ltd</t>
  </si>
  <si>
    <t>INE758T01015</t>
  </si>
  <si>
    <t>Eternal Limited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</si>
  <si>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</si>
  <si>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</si>
  <si>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</si>
  <si>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</si>
  <si>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</si>
  <si>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</si>
  <si>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</si>
  <si>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</si>
  <si>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</si>
  <si>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</si>
  <si>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</si>
  <si>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</si>
  <si>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</si>
  <si>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</si>
  <si>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</si>
  <si>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</si>
  <si>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</si>
  <si>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</si>
  <si>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</si>
  <si>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</si>
  <si>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</si>
  <si>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</si>
  <si>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</si>
  <si>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</si>
  <si>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</si>
  <si>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</si>
  <si>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</si>
  <si>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</si>
  <si>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</si>
  <si>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</si>
  <si>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</si>
  <si>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</si>
  <si>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 awaiting listing on Stock Exchanges</t>
  </si>
  <si>
    <t>https://www.jmfinancialmf.com/products/Equity/JM-Large-Cap-Fund/J02/Regular-Plan-Growth-Option</t>
  </si>
  <si>
    <t>https://www.jmfinancialmf.com/products/Equity/JM-Large-Cap-Fund/J442/Direct-Plan-Growth-Option</t>
  </si>
  <si>
    <t>Regular Plan</t>
  </si>
  <si>
    <t>Direct Plan</t>
  </si>
  <si>
    <t>INE161F01011</t>
  </si>
  <si>
    <t>Anirit Ventures Ltd</t>
  </si>
  <si>
    <t>INE2KCE01013</t>
  </si>
  <si>
    <t>Kwality Wall’s (India) Limited</t>
  </si>
  <si>
    <t>INE494B04019</t>
  </si>
  <si>
    <t>CARE A1+</t>
  </si>
  <si>
    <t>INE237A01036</t>
  </si>
  <si>
    <t>INE692A01016</t>
  </si>
  <si>
    <t>Union Bank of India</t>
  </si>
  <si>
    <t>INE733E01010</t>
  </si>
  <si>
    <t>NTPC Limited</t>
  </si>
  <si>
    <t>INE216A01030</t>
  </si>
  <si>
    <t>Britannia Industries Limited</t>
  </si>
  <si>
    <t>Food Products</t>
  </si>
  <si>
    <t>INE154A01025</t>
  </si>
  <si>
    <t>ITC Limited</t>
  </si>
  <si>
    <t>INE647A01010</t>
  </si>
  <si>
    <t>SRF Limited</t>
  </si>
  <si>
    <t>02-MAR-2026</t>
  </si>
  <si>
    <t>State Bank of India 30/03/2026</t>
  </si>
  <si>
    <t>Monthly Portfolio Statement for the period ended 28.02.2026</t>
  </si>
  <si>
    <t>Chemicals &amp; Petrochemicals</t>
  </si>
  <si>
    <t>Underlying</t>
  </si>
  <si>
    <t>Long / Short</t>
  </si>
  <si>
    <t>Futures price when purchased (Rs.)</t>
  </si>
  <si>
    <t>Current  price of the Contract (Rs.)</t>
  </si>
  <si>
    <t>Total Margin maintained in   (Rs. In Lakhs)</t>
  </si>
  <si>
    <t>Hedging Positions through futures as on February 28, 2026:</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</si>
  <si>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</si>
  <si>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</si>
  <si>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</si>
  <si>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</si>
  <si>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</si>
  <si>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28/02/2026</t>
  </si>
  <si>
    <t>For the period ended February 28, 2026, following are the hedging transactions through futures which have been squared off / expired :</t>
  </si>
  <si>
    <t>For the period ended February 28, 2026, following are the non-hedging transactions through futures which have been squared off / expired :</t>
  </si>
  <si>
    <t>Short</t>
  </si>
  <si>
    <t xml:space="preserve">6% TVS Motor Co Ltd. Cumulative Non Convertible
Redeemable Preference Shares  #
</t>
  </si>
  <si>
    <t>Total outstanding exposure in derivative instruments at the end of the period - Short -(Rs in Lakhs) : (181.25)</t>
  </si>
  <si>
    <t>Total 0.41% of existing assets hedged through futures as on 28/02/2026</t>
  </si>
  <si>
    <t>Textiles &amp; Apparels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</si>
</sst>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u/>
      <sz val="10"/>
      <color theme="10"/>
      <name val="Arial"/>
      <family val="2"/>
    </font>
    <font>
      <b/>
      <sz val="8"/>
      <color indexed="72"/>
      <name val="Century Gothic"/>
      <family val="2"/>
    </font>
    <font>
      <b/>
      <u/>
      <sz val="8"/>
      <color theme="10"/>
      <name val="Century Gothic"/>
      <family val="2"/>
    </font>
    <font>
      <sz val="9"/>
      <color rgb="FF000000"/>
      <name val="SourceSansPro-Regular"/>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2"/>
        <bgColor indexed="64"/>
      </patternFill>
    </fill>
    <fill>
      <patternFill patternType="solid">
        <fgColor theme="2" tint="-9.9978637043366805E-2"/>
        <bgColor indexed="64"/>
      </patternFill>
    </fill>
    <fill>
      <patternFill patternType="solid">
        <fgColor indexed="2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4" fillId="0" borderId="0" applyFont="0" applyFill="0" applyBorder="0" applyAlignment="0" applyProtection="0"/>
  </cellStyleXfs>
  <cellXfs count="12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17" fillId="0" borderId="0" xfId="9" applyFont="1" applyAlignment="1"/>
    <xf numFmtId="0" fontId="15" fillId="0" borderId="0" xfId="0" applyFont="1" applyAlignment="1">
      <alignment horizontal="right" vertical="top"/>
    </xf>
    <xf numFmtId="0" fontId="6" fillId="0" borderId="0" xfId="6" applyFont="1"/>
    <xf numFmtId="0" fontId="3" fillId="0" borderId="0" xfId="2" applyFont="1" applyAlignment="1">
      <alignment horizontal="left"/>
    </xf>
    <xf numFmtId="165" fontId="3" fillId="0" borderId="0" xfId="1" applyNumberFormat="1" applyFont="1" applyFill="1" applyAlignment="1"/>
    <xf numFmtId="164" fontId="3" fillId="0" borderId="0" xfId="1" applyFont="1" applyFill="1" applyAlignment="1">
      <alignment horizontal="right"/>
    </xf>
    <xf numFmtId="0" fontId="6" fillId="4" borderId="1" xfId="6" applyFont="1" applyFill="1" applyBorder="1" applyAlignment="1">
      <alignment horizontal="left" vertical="top"/>
    </xf>
    <xf numFmtId="0" fontId="6" fillId="5" borderId="1" xfId="2" applyFont="1" applyFill="1" applyBorder="1" applyAlignment="1">
      <alignment horizontal="left" vertical="top"/>
    </xf>
    <xf numFmtId="165" fontId="6" fillId="4" borderId="1" xfId="10" applyNumberFormat="1" applyFont="1" applyFill="1" applyBorder="1" applyAlignment="1">
      <alignment horizontal="left" vertical="top"/>
    </xf>
    <xf numFmtId="0" fontId="6" fillId="4" borderId="1" xfId="6" applyFont="1" applyFill="1" applyBorder="1" applyAlignment="1">
      <alignment horizontal="left" vertical="top" wrapText="1"/>
    </xf>
    <xf numFmtId="0" fontId="3" fillId="0" borderId="0" xfId="6" applyFont="1"/>
    <xf numFmtId="0" fontId="6" fillId="0" borderId="3" xfId="2" applyFont="1" applyBorder="1" applyAlignment="1">
      <alignment horizontal="left"/>
    </xf>
    <xf numFmtId="164" fontId="3" fillId="0" borderId="0" xfId="2" applyNumberFormat="1" applyFont="1"/>
    <xf numFmtId="0" fontId="6" fillId="6" borderId="1" xfId="2" applyFont="1" applyFill="1" applyBorder="1"/>
    <xf numFmtId="0" fontId="3" fillId="0" borderId="5" xfId="2" applyFont="1" applyBorder="1" applyAlignment="1">
      <alignment horizontal="left"/>
    </xf>
    <xf numFmtId="0" fontId="3" fillId="0" borderId="2" xfId="2" applyFont="1" applyBorder="1" applyAlignment="1">
      <alignment horizontal="left"/>
    </xf>
    <xf numFmtId="0" fontId="3" fillId="0" borderId="6" xfId="2" applyFont="1" applyBorder="1" applyAlignment="1">
      <alignment horizontal="left"/>
    </xf>
    <xf numFmtId="165" fontId="3" fillId="0" borderId="1" xfId="1" applyNumberFormat="1" applyFont="1" applyFill="1" applyBorder="1"/>
    <xf numFmtId="4" fontId="3" fillId="0" borderId="1" xfId="2" applyNumberFormat="1" applyFont="1" applyBorder="1"/>
    <xf numFmtId="164" fontId="3" fillId="0" borderId="1" xfId="1" applyFont="1" applyFill="1" applyBorder="1"/>
    <xf numFmtId="0" fontId="6" fillId="0" borderId="0" xfId="2" applyFont="1"/>
    <xf numFmtId="0" fontId="6" fillId="6" borderId="5" xfId="2" applyFont="1" applyFill="1" applyBorder="1"/>
    <xf numFmtId="0" fontId="6" fillId="6" borderId="2" xfId="2" applyFont="1" applyFill="1" applyBorder="1"/>
    <xf numFmtId="0" fontId="6" fillId="6" borderId="6" xfId="2" applyFont="1" applyFill="1" applyBorder="1"/>
    <xf numFmtId="0" fontId="3" fillId="6" borderId="1" xfId="2" applyFont="1" applyFill="1" applyBorder="1"/>
    <xf numFmtId="165" fontId="3" fillId="0" borderId="1" xfId="1" applyNumberFormat="1" applyFont="1" applyFill="1" applyBorder="1" applyAlignment="1"/>
    <xf numFmtId="164" fontId="3" fillId="0" borderId="1" xfId="1" applyFont="1" applyBorder="1"/>
    <xf numFmtId="0" fontId="6" fillId="0" borderId="0" xfId="0" applyFont="1"/>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4" fontId="8" fillId="0" borderId="1" xfId="0" applyNumberFormat="1" applyFont="1" applyBorder="1" applyAlignment="1">
      <alignment horizontal="right"/>
    </xf>
    <xf numFmtId="166" fontId="3" fillId="0" borderId="1" xfId="0" applyNumberFormat="1" applyFont="1" applyBorder="1" applyAlignment="1">
      <alignment horizontal="right" vertical="top"/>
    </xf>
    <xf numFmtId="10" fontId="6" fillId="0" borderId="1" xfId="7" applyNumberFormat="1" applyFont="1" applyBorder="1" applyAlignment="1">
      <alignment horizontal="right" vertical="top"/>
    </xf>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3" fillId="0" borderId="4" xfId="7" applyNumberFormat="1" applyFont="1" applyBorder="1" applyAlignment="1">
      <alignment horizontal="right"/>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2" fontId="3" fillId="0" borderId="1" xfId="0" applyNumberFormat="1" applyFont="1" applyBorder="1"/>
    <xf numFmtId="4" fontId="3" fillId="0" borderId="1" xfId="0" applyNumberFormat="1" applyFont="1" applyBorder="1"/>
    <xf numFmtId="0" fontId="3" fillId="0" borderId="0" xfId="0" applyFont="1" applyAlignment="1">
      <alignment wrapText="1"/>
    </xf>
    <xf numFmtId="0" fontId="19" fillId="0" borderId="0" xfId="9" applyFont="1" applyAlignment="1"/>
    <xf numFmtId="15" fontId="3" fillId="0" borderId="1" xfId="7" applyNumberFormat="1" applyFont="1" applyFill="1" applyBorder="1" applyAlignment="1" applyProtection="1">
      <alignment horizontal="right"/>
    </xf>
    <xf numFmtId="10" fontId="6" fillId="0" borderId="1" xfId="7" applyNumberFormat="1" applyFont="1" applyFill="1" applyBorder="1" applyAlignment="1" applyProtection="1">
      <alignment horizontal="right"/>
    </xf>
    <xf numFmtId="10" fontId="15" fillId="0" borderId="1" xfId="7" applyNumberFormat="1" applyFont="1" applyBorder="1" applyAlignment="1">
      <alignment horizontal="right"/>
    </xf>
    <xf numFmtId="0" fontId="5" fillId="0" borderId="1" xfId="0" applyFont="1" applyBorder="1" applyAlignment="1">
      <alignment wrapText="1"/>
    </xf>
    <xf numFmtId="4" fontId="20" fillId="0" borderId="0" xfId="0" applyNumberFormat="1"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4" fontId="3" fillId="0" borderId="0" xfId="0" applyNumberFormat="1" applyFont="1"/>
    <xf numFmtId="43" fontId="3" fillId="0" borderId="0" xfId="0" applyNumberFormat="1" applyFont="1"/>
    <xf numFmtId="0" fontId="6" fillId="0" borderId="0" xfId="2" applyFont="1" applyAlignment="1">
      <alignment wrapText="1"/>
    </xf>
    <xf numFmtId="0" fontId="6" fillId="0" borderId="0" xfId="0" applyFont="1" applyAlignment="1">
      <alignment wrapText="1"/>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6" fillId="0" borderId="0" xfId="0" applyFont="1"/>
    <xf numFmtId="0" fontId="6" fillId="0" borderId="3" xfId="2" applyFont="1" applyBorder="1" applyAlignment="1">
      <alignment horizontal="left"/>
    </xf>
    <xf numFmtId="0" fontId="6" fillId="0" borderId="3" xfId="2" applyFont="1" applyBorder="1"/>
  </cellXfs>
  <cellStyles count="11">
    <cellStyle name="Comma" xfId="1" builtinId="3"/>
    <cellStyle name="Comma 2" xfId="10" xr:uid="{7A1C0964-6A04-41AF-B048-0E50E05F90D8}"/>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EF" xfId="4" xr:uid="{00000000-0005-0000-0000-000006000000}"/>
    <cellStyle name="Normal 4_IF"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533400</xdr:colOff>
      <xdr:row>123</xdr:row>
      <xdr:rowOff>66675</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226504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1657349</xdr:colOff>
      <xdr:row>123</xdr:row>
      <xdr:rowOff>85725</xdr:rowOff>
    </xdr:from>
    <xdr:ext cx="2450043" cy="144780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10349" y="22669500"/>
          <a:ext cx="2450043"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41"/>
  <sheetViews>
    <sheetView tabSelected="1" topLeftCell="A91" zoomScaleNormal="100" workbookViewId="0">
      <selection activeCell="G100" sqref="G100"/>
    </sheetView>
  </sheetViews>
  <sheetFormatPr defaultColWidth="9.140625" defaultRowHeight="14.25"/>
  <cols>
    <col min="1" max="1" width="22.140625" style="1" customWidth="1"/>
    <col min="2" max="2" width="52.140625" style="4" customWidth="1"/>
    <col min="3" max="3" width="31.7109375" style="3" customWidth="1"/>
    <col min="4" max="4" width="28" style="2" customWidth="1"/>
    <col min="5" max="5" width="15.28515625" style="1" customWidth="1"/>
    <col min="6" max="6" width="15.7109375" style="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0" ht="13.5">
      <c r="A1" s="10"/>
      <c r="B1" s="120" t="s">
        <v>12</v>
      </c>
      <c r="C1" s="120"/>
      <c r="D1" s="120"/>
      <c r="E1" s="120"/>
      <c r="F1" s="120"/>
      <c r="G1" s="120"/>
      <c r="H1" s="120"/>
      <c r="I1" s="120"/>
      <c r="J1" s="18"/>
    </row>
    <row r="2" spans="1:10" ht="13.5">
      <c r="A2" s="10"/>
      <c r="B2" s="120" t="s">
        <v>11</v>
      </c>
      <c r="C2" s="120"/>
      <c r="D2" s="120"/>
      <c r="E2" s="120"/>
      <c r="F2" s="120"/>
      <c r="G2" s="120"/>
      <c r="H2" s="120"/>
      <c r="I2" s="120"/>
      <c r="J2" s="18"/>
    </row>
    <row r="3" spans="1:10" ht="12.75" customHeight="1">
      <c r="A3" s="10"/>
      <c r="B3" s="121" t="s">
        <v>173</v>
      </c>
      <c r="C3" s="121"/>
      <c r="D3" s="121"/>
      <c r="E3" s="121"/>
      <c r="F3" s="121"/>
      <c r="G3" s="121"/>
      <c r="H3" s="121"/>
      <c r="I3" s="121"/>
      <c r="J3" s="18"/>
    </row>
    <row r="4" spans="1:10" s="113" customFormat="1" ht="25.5">
      <c r="A4" s="107" t="s">
        <v>65</v>
      </c>
      <c r="B4" s="108" t="s">
        <v>42</v>
      </c>
      <c r="C4" s="109" t="s">
        <v>43</v>
      </c>
      <c r="D4" s="110" t="s">
        <v>10</v>
      </c>
      <c r="E4" s="111" t="s">
        <v>44</v>
      </c>
      <c r="F4" s="112" t="s">
        <v>45</v>
      </c>
      <c r="G4" s="107" t="s">
        <v>46</v>
      </c>
      <c r="H4" s="107" t="s">
        <v>47</v>
      </c>
      <c r="I4" s="107" t="s">
        <v>48</v>
      </c>
      <c r="J4" s="107" t="s">
        <v>144</v>
      </c>
    </row>
    <row r="5" spans="1:10">
      <c r="A5" s="58"/>
      <c r="B5" s="59" t="s">
        <v>49</v>
      </c>
      <c r="C5" s="58"/>
      <c r="D5" s="60"/>
      <c r="E5" s="60"/>
      <c r="F5" s="61"/>
      <c r="G5" s="62"/>
      <c r="H5" s="61"/>
      <c r="I5" s="63"/>
      <c r="J5" s="19"/>
    </row>
    <row r="6" spans="1:10">
      <c r="A6" s="58"/>
      <c r="B6" s="59" t="s">
        <v>50</v>
      </c>
      <c r="C6" s="58"/>
      <c r="D6" s="60"/>
      <c r="E6" s="64"/>
      <c r="F6" s="64"/>
      <c r="G6" s="62"/>
      <c r="H6" s="61"/>
      <c r="I6" s="63"/>
      <c r="J6" s="19"/>
    </row>
    <row r="7" spans="1:10">
      <c r="A7" s="65" t="s">
        <v>66</v>
      </c>
      <c r="B7" s="65" t="s">
        <v>19</v>
      </c>
      <c r="C7" s="65" t="s">
        <v>116</v>
      </c>
      <c r="D7" s="66">
        <v>361694</v>
      </c>
      <c r="E7" s="66">
        <v>3210.9384850000001</v>
      </c>
      <c r="F7" s="67">
        <v>7.251747609468176E-2</v>
      </c>
      <c r="G7" s="68"/>
      <c r="H7" s="68"/>
      <c r="I7" s="63"/>
      <c r="J7" s="20"/>
    </row>
    <row r="8" spans="1:10">
      <c r="A8" s="65" t="s">
        <v>71</v>
      </c>
      <c r="B8" s="65" t="s">
        <v>20</v>
      </c>
      <c r="C8" s="65" t="s">
        <v>118</v>
      </c>
      <c r="D8" s="66">
        <v>184950</v>
      </c>
      <c r="E8" s="66">
        <v>2578.0180500000001</v>
      </c>
      <c r="F8" s="67">
        <v>5.8223277457940176E-2</v>
      </c>
      <c r="G8" s="68"/>
      <c r="H8" s="68"/>
      <c r="I8" s="63"/>
      <c r="J8" s="20"/>
    </row>
    <row r="9" spans="1:10">
      <c r="A9" s="65" t="s">
        <v>68</v>
      </c>
      <c r="B9" s="65" t="s">
        <v>22</v>
      </c>
      <c r="C9" s="65" t="s">
        <v>116</v>
      </c>
      <c r="D9" s="66">
        <v>174897</v>
      </c>
      <c r="E9" s="66">
        <v>2101.7372489999998</v>
      </c>
      <c r="F9" s="67">
        <v>4.7466708385620067E-2</v>
      </c>
      <c r="G9" s="68"/>
      <c r="H9" s="68"/>
      <c r="I9" s="63"/>
      <c r="J9" s="19"/>
    </row>
    <row r="10" spans="1:10">
      <c r="A10" s="65" t="s">
        <v>67</v>
      </c>
      <c r="B10" s="65" t="s">
        <v>21</v>
      </c>
      <c r="C10" s="65" t="s">
        <v>116</v>
      </c>
      <c r="D10" s="66">
        <v>142587</v>
      </c>
      <c r="E10" s="66">
        <v>1966.132143</v>
      </c>
      <c r="F10" s="67">
        <v>4.4404133353862091E-2</v>
      </c>
      <c r="G10" s="68"/>
      <c r="H10" s="68"/>
      <c r="I10" s="63"/>
      <c r="J10" s="19"/>
    </row>
    <row r="11" spans="1:10">
      <c r="A11" s="65" t="s">
        <v>69</v>
      </c>
      <c r="B11" s="65" t="s">
        <v>26</v>
      </c>
      <c r="C11" s="65" t="s">
        <v>109</v>
      </c>
      <c r="D11" s="66">
        <v>43850</v>
      </c>
      <c r="E11" s="66">
        <v>1876.0345500000001</v>
      </c>
      <c r="F11" s="67">
        <v>4.236932325797018E-2</v>
      </c>
      <c r="G11" s="68"/>
      <c r="H11" s="68"/>
      <c r="I11" s="63"/>
      <c r="J11" s="20"/>
    </row>
    <row r="12" spans="1:10">
      <c r="A12" s="65" t="s">
        <v>72</v>
      </c>
      <c r="B12" s="65" t="s">
        <v>25</v>
      </c>
      <c r="C12" s="65" t="s">
        <v>117</v>
      </c>
      <c r="D12" s="66">
        <v>97350</v>
      </c>
      <c r="E12" s="66">
        <v>1829.49855</v>
      </c>
      <c r="F12" s="67">
        <v>4.1318330445959922E-2</v>
      </c>
      <c r="G12" s="68"/>
      <c r="H12" s="68"/>
      <c r="I12" s="63"/>
      <c r="J12" s="20"/>
    </row>
    <row r="13" spans="1:10">
      <c r="A13" s="65" t="s">
        <v>83</v>
      </c>
      <c r="B13" s="65" t="s">
        <v>52</v>
      </c>
      <c r="C13" s="65" t="s">
        <v>120</v>
      </c>
      <c r="D13" s="66">
        <v>126500</v>
      </c>
      <c r="E13" s="66">
        <v>1365.441</v>
      </c>
      <c r="F13" s="67">
        <v>3.0837817522436389E-2</v>
      </c>
      <c r="G13" s="68"/>
      <c r="H13" s="68"/>
      <c r="I13" s="63"/>
      <c r="J13" s="20"/>
    </row>
    <row r="14" spans="1:10">
      <c r="A14" s="65" t="s">
        <v>74</v>
      </c>
      <c r="B14" s="65" t="s">
        <v>29</v>
      </c>
      <c r="C14" s="65" t="s">
        <v>116</v>
      </c>
      <c r="D14" s="66">
        <v>88723</v>
      </c>
      <c r="E14" s="66">
        <v>1227.837597</v>
      </c>
      <c r="F14" s="67">
        <v>2.7730111929752211E-2</v>
      </c>
      <c r="G14" s="68"/>
      <c r="H14" s="68"/>
      <c r="I14" s="63"/>
      <c r="J14" s="20"/>
    </row>
    <row r="15" spans="1:10">
      <c r="A15" s="65" t="s">
        <v>70</v>
      </c>
      <c r="B15" s="65" t="s">
        <v>24</v>
      </c>
      <c r="C15" s="65" t="s">
        <v>119</v>
      </c>
      <c r="D15" s="66">
        <v>92335</v>
      </c>
      <c r="E15" s="66">
        <v>1200.4473350000001</v>
      </c>
      <c r="F15" s="67">
        <v>2.7111516251544419E-2</v>
      </c>
      <c r="G15" s="68"/>
      <c r="H15" s="68"/>
      <c r="I15" s="63"/>
      <c r="J15" s="19"/>
    </row>
    <row r="16" spans="1:10">
      <c r="A16" s="65" t="s">
        <v>100</v>
      </c>
      <c r="B16" s="65" t="s">
        <v>23</v>
      </c>
      <c r="C16" s="65" t="s">
        <v>120</v>
      </c>
      <c r="D16" s="66">
        <v>119999</v>
      </c>
      <c r="E16" s="66">
        <v>1195.0700409999999</v>
      </c>
      <c r="F16" s="67">
        <v>2.6990072695113575E-2</v>
      </c>
      <c r="G16" s="68"/>
      <c r="H16" s="68"/>
      <c r="I16" s="63"/>
      <c r="J16" s="20"/>
    </row>
    <row r="17" spans="1:10">
      <c r="A17" s="65" t="s">
        <v>84</v>
      </c>
      <c r="B17" s="65" t="s">
        <v>38</v>
      </c>
      <c r="C17" s="65" t="s">
        <v>110</v>
      </c>
      <c r="D17" s="66">
        <v>14854</v>
      </c>
      <c r="E17" s="66">
        <v>1161.8056099999999</v>
      </c>
      <c r="F17" s="67">
        <v>2.6238811781485172E-2</v>
      </c>
      <c r="G17" s="68"/>
      <c r="H17" s="68"/>
      <c r="I17" s="63"/>
      <c r="J17" s="20"/>
    </row>
    <row r="18" spans="1:10">
      <c r="A18" s="65" t="s">
        <v>89</v>
      </c>
      <c r="B18" s="65" t="s">
        <v>41</v>
      </c>
      <c r="C18" s="65" t="s">
        <v>123</v>
      </c>
      <c r="D18" s="66">
        <v>26700</v>
      </c>
      <c r="E18" s="66">
        <v>1156.9911</v>
      </c>
      <c r="F18" s="67">
        <v>2.6130078426591079E-2</v>
      </c>
      <c r="G18" s="68"/>
      <c r="H18" s="68"/>
      <c r="I18" s="63"/>
      <c r="J18" s="20"/>
    </row>
    <row r="19" spans="1:10">
      <c r="A19" s="65" t="s">
        <v>81</v>
      </c>
      <c r="B19" s="65" t="s">
        <v>36</v>
      </c>
      <c r="C19" s="65" t="s">
        <v>122</v>
      </c>
      <c r="D19" s="66">
        <v>31800</v>
      </c>
      <c r="E19" s="66">
        <v>1080.3732</v>
      </c>
      <c r="F19" s="67">
        <v>2.4399700607884687E-2</v>
      </c>
      <c r="G19" s="68"/>
      <c r="H19" s="68"/>
      <c r="I19" s="63"/>
      <c r="J19" s="20"/>
    </row>
    <row r="20" spans="1:10">
      <c r="A20" s="65" t="s">
        <v>94</v>
      </c>
      <c r="B20" s="65" t="s">
        <v>95</v>
      </c>
      <c r="C20" s="65" t="s">
        <v>124</v>
      </c>
      <c r="D20" s="66">
        <v>66250</v>
      </c>
      <c r="E20" s="66">
        <v>1007.6625</v>
      </c>
      <c r="F20" s="67">
        <v>2.2757564991238769E-2</v>
      </c>
      <c r="G20" s="68"/>
      <c r="H20" s="68"/>
      <c r="I20" s="63"/>
      <c r="J20" s="19"/>
    </row>
    <row r="21" spans="1:10">
      <c r="A21" s="65" t="s">
        <v>159</v>
      </c>
      <c r="B21" s="65" t="s">
        <v>35</v>
      </c>
      <c r="C21" s="65" t="s">
        <v>116</v>
      </c>
      <c r="D21" s="66">
        <v>241700</v>
      </c>
      <c r="E21" s="66">
        <v>1003.5384</v>
      </c>
      <c r="F21" s="67">
        <v>2.266442420870457E-2</v>
      </c>
      <c r="G21" s="68"/>
      <c r="H21" s="68"/>
      <c r="I21" s="63"/>
      <c r="J21" s="20"/>
    </row>
    <row r="22" spans="1:10">
      <c r="A22" s="65" t="s">
        <v>85</v>
      </c>
      <c r="B22" s="65" t="s">
        <v>39</v>
      </c>
      <c r="C22" s="65" t="s">
        <v>125</v>
      </c>
      <c r="D22" s="66">
        <v>6700</v>
      </c>
      <c r="E22" s="66">
        <v>849.35900000000004</v>
      </c>
      <c r="F22" s="67">
        <v>1.918235782654765E-2</v>
      </c>
      <c r="G22" s="68"/>
      <c r="H22" s="68"/>
      <c r="I22" s="63"/>
      <c r="J22" s="20"/>
    </row>
    <row r="23" spans="1:10">
      <c r="A23" s="65" t="s">
        <v>160</v>
      </c>
      <c r="B23" s="65" t="s">
        <v>161</v>
      </c>
      <c r="C23" s="65" t="s">
        <v>116</v>
      </c>
      <c r="D23" s="66">
        <v>395000</v>
      </c>
      <c r="E23" s="66">
        <v>798.9665</v>
      </c>
      <c r="F23" s="67">
        <v>1.804426784719345E-2</v>
      </c>
      <c r="G23" s="68"/>
      <c r="H23" s="68"/>
      <c r="I23" s="63"/>
      <c r="J23" s="20"/>
    </row>
    <row r="24" spans="1:10">
      <c r="A24" s="65" t="s">
        <v>77</v>
      </c>
      <c r="B24" s="65" t="s">
        <v>32</v>
      </c>
      <c r="C24" s="65" t="s">
        <v>121</v>
      </c>
      <c r="D24" s="66">
        <v>16400</v>
      </c>
      <c r="E24" s="66">
        <v>791.66079999999999</v>
      </c>
      <c r="F24" s="67">
        <v>1.7879272183906891E-2</v>
      </c>
      <c r="G24" s="68"/>
      <c r="H24" s="68"/>
      <c r="I24" s="63"/>
      <c r="J24" s="20"/>
    </row>
    <row r="25" spans="1:10">
      <c r="A25" s="65" t="s">
        <v>75</v>
      </c>
      <c r="B25" s="65" t="s">
        <v>30</v>
      </c>
      <c r="C25" s="65" t="s">
        <v>131</v>
      </c>
      <c r="D25" s="66">
        <v>56592</v>
      </c>
      <c r="E25" s="66">
        <v>781.42233599999997</v>
      </c>
      <c r="F25" s="67">
        <v>1.7648041479290555E-2</v>
      </c>
      <c r="G25" s="68"/>
      <c r="H25" s="68"/>
      <c r="I25" s="63"/>
      <c r="J25" s="19"/>
    </row>
    <row r="26" spans="1:10">
      <c r="A26" s="65" t="s">
        <v>79</v>
      </c>
      <c r="B26" s="65" t="s">
        <v>27</v>
      </c>
      <c r="C26" s="65" t="s">
        <v>122</v>
      </c>
      <c r="D26" s="66">
        <v>5247</v>
      </c>
      <c r="E26" s="66">
        <v>779.54678999999999</v>
      </c>
      <c r="F26" s="67">
        <v>1.760568318969552E-2</v>
      </c>
      <c r="G26" s="68"/>
      <c r="H26" s="68"/>
      <c r="I26" s="63"/>
      <c r="J26" s="20"/>
    </row>
    <row r="27" spans="1:10">
      <c r="A27" s="65" t="s">
        <v>98</v>
      </c>
      <c r="B27" s="65" t="s">
        <v>99</v>
      </c>
      <c r="C27" s="65" t="s">
        <v>123</v>
      </c>
      <c r="D27" s="66">
        <v>12091</v>
      </c>
      <c r="E27" s="66">
        <v>774.85173499999996</v>
      </c>
      <c r="F27" s="67">
        <v>1.7499647667583759E-2</v>
      </c>
      <c r="G27" s="68"/>
      <c r="H27" s="68"/>
      <c r="I27" s="63"/>
      <c r="J27" s="19"/>
    </row>
    <row r="28" spans="1:10">
      <c r="A28" s="65" t="s">
        <v>90</v>
      </c>
      <c r="B28" s="65" t="s">
        <v>54</v>
      </c>
      <c r="C28" s="65" t="s">
        <v>122</v>
      </c>
      <c r="D28" s="66">
        <v>19450</v>
      </c>
      <c r="E28" s="66">
        <v>752.65665000000001</v>
      </c>
      <c r="F28" s="67">
        <v>1.6998382522385273E-2</v>
      </c>
      <c r="G28" s="68"/>
      <c r="H28" s="68"/>
      <c r="I28" s="63"/>
      <c r="J28" s="20"/>
    </row>
    <row r="29" spans="1:10">
      <c r="A29" s="65" t="s">
        <v>76</v>
      </c>
      <c r="B29" s="65" t="s">
        <v>51</v>
      </c>
      <c r="C29" s="65" t="s">
        <v>119</v>
      </c>
      <c r="D29" s="66">
        <v>55000</v>
      </c>
      <c r="E29" s="66">
        <v>746.79</v>
      </c>
      <c r="F29" s="67">
        <v>1.6865887099904185E-2</v>
      </c>
      <c r="G29" s="68"/>
      <c r="H29" s="68"/>
      <c r="I29" s="63"/>
      <c r="J29" s="19"/>
    </row>
    <row r="30" spans="1:10">
      <c r="A30" s="65" t="s">
        <v>92</v>
      </c>
      <c r="B30" s="65" t="s">
        <v>93</v>
      </c>
      <c r="C30" s="65" t="s">
        <v>134</v>
      </c>
      <c r="D30" s="66">
        <v>347000</v>
      </c>
      <c r="E30" s="66">
        <v>736.78510000000006</v>
      </c>
      <c r="F30" s="67">
        <v>1.6639931324055779E-2</v>
      </c>
      <c r="G30" s="68"/>
      <c r="H30" s="68"/>
      <c r="I30" s="63"/>
      <c r="J30" s="19"/>
    </row>
    <row r="31" spans="1:10">
      <c r="A31" s="65" t="s">
        <v>88</v>
      </c>
      <c r="B31" s="65" t="s">
        <v>37</v>
      </c>
      <c r="C31" s="65" t="s">
        <v>111</v>
      </c>
      <c r="D31" s="66">
        <v>150000</v>
      </c>
      <c r="E31" s="66">
        <v>731.625</v>
      </c>
      <c r="F31" s="67">
        <v>1.6523392987944936E-2</v>
      </c>
      <c r="G31" s="68"/>
      <c r="H31" s="68"/>
      <c r="I31" s="63"/>
      <c r="J31" s="19"/>
    </row>
    <row r="32" spans="1:10">
      <c r="A32" s="65" t="s">
        <v>105</v>
      </c>
      <c r="B32" s="65" t="s">
        <v>106</v>
      </c>
      <c r="C32" s="65" t="s">
        <v>123</v>
      </c>
      <c r="D32" s="66">
        <v>56000</v>
      </c>
      <c r="E32" s="66">
        <v>720.32799999999997</v>
      </c>
      <c r="F32" s="67">
        <v>1.6268255765208132E-2</v>
      </c>
      <c r="G32" s="68"/>
      <c r="H32" s="68"/>
      <c r="I32" s="63"/>
      <c r="J32" s="19"/>
    </row>
    <row r="33" spans="1:10">
      <c r="A33" s="65" t="s">
        <v>82</v>
      </c>
      <c r="B33" s="65" t="s">
        <v>34</v>
      </c>
      <c r="C33" s="65" t="s">
        <v>132</v>
      </c>
      <c r="D33" s="66">
        <v>74500</v>
      </c>
      <c r="E33" s="66">
        <v>688.90150000000006</v>
      </c>
      <c r="F33" s="67">
        <v>1.5558503624786946E-2</v>
      </c>
      <c r="G33" s="68"/>
      <c r="H33" s="68"/>
      <c r="I33" s="63"/>
      <c r="J33" s="20"/>
    </row>
    <row r="34" spans="1:10">
      <c r="A34" s="65" t="s">
        <v>78</v>
      </c>
      <c r="B34" s="65" t="s">
        <v>31</v>
      </c>
      <c r="C34" s="65" t="s">
        <v>122</v>
      </c>
      <c r="D34" s="66">
        <v>6700</v>
      </c>
      <c r="E34" s="66">
        <v>668.15750000000003</v>
      </c>
      <c r="F34" s="67">
        <v>1.5090010524985913E-2</v>
      </c>
      <c r="G34" s="68"/>
      <c r="H34" s="68"/>
      <c r="I34" s="63"/>
      <c r="J34" s="19"/>
    </row>
    <row r="35" spans="1:10">
      <c r="A35" s="65" t="s">
        <v>167</v>
      </c>
      <c r="B35" s="65" t="s">
        <v>168</v>
      </c>
      <c r="C35" s="65" t="s">
        <v>136</v>
      </c>
      <c r="D35" s="66">
        <v>210000</v>
      </c>
      <c r="E35" s="66">
        <v>658.56</v>
      </c>
      <c r="F35" s="67">
        <v>1.4873255678989944E-2</v>
      </c>
      <c r="G35" s="68"/>
      <c r="H35" s="68"/>
      <c r="I35" s="63"/>
      <c r="J35" s="20"/>
    </row>
    <row r="36" spans="1:10">
      <c r="A36" s="65" t="s">
        <v>87</v>
      </c>
      <c r="B36" s="65" t="s">
        <v>53</v>
      </c>
      <c r="C36" s="65" t="s">
        <v>127</v>
      </c>
      <c r="D36" s="66">
        <v>145000</v>
      </c>
      <c r="E36" s="66">
        <v>644.81500000000005</v>
      </c>
      <c r="F36" s="67">
        <v>1.4562831572898295E-2</v>
      </c>
      <c r="G36" s="68"/>
      <c r="H36" s="68"/>
      <c r="I36" s="63"/>
      <c r="J36" s="20"/>
    </row>
    <row r="37" spans="1:10">
      <c r="A37" s="65" t="s">
        <v>140</v>
      </c>
      <c r="B37" s="65" t="s">
        <v>141</v>
      </c>
      <c r="C37" s="65" t="s">
        <v>126</v>
      </c>
      <c r="D37" s="66">
        <v>14700</v>
      </c>
      <c r="E37" s="66">
        <v>636.14250000000004</v>
      </c>
      <c r="F37" s="67">
        <v>1.4366967399738612E-2</v>
      </c>
      <c r="G37" s="68"/>
      <c r="H37" s="68"/>
      <c r="I37" s="63"/>
      <c r="J37" s="20"/>
    </row>
    <row r="38" spans="1:10">
      <c r="A38" s="65" t="s">
        <v>107</v>
      </c>
      <c r="B38" s="65" t="s">
        <v>108</v>
      </c>
      <c r="C38" s="65" t="s">
        <v>138</v>
      </c>
      <c r="D38" s="66">
        <v>93792</v>
      </c>
      <c r="E38" s="66">
        <v>625.63953600000002</v>
      </c>
      <c r="F38" s="67">
        <v>1.4129763091916657E-2</v>
      </c>
      <c r="G38" s="68"/>
      <c r="H38" s="68"/>
      <c r="I38" s="63"/>
      <c r="J38" s="20"/>
    </row>
    <row r="39" spans="1:10">
      <c r="A39" s="65" t="s">
        <v>142</v>
      </c>
      <c r="B39" s="65" t="s">
        <v>143</v>
      </c>
      <c r="C39" s="65" t="s">
        <v>130</v>
      </c>
      <c r="D39" s="66">
        <v>7050</v>
      </c>
      <c r="E39" s="66">
        <v>607.04025000000001</v>
      </c>
      <c r="F39" s="67">
        <v>1.3709707309414442E-2</v>
      </c>
      <c r="G39" s="68"/>
      <c r="H39" s="68"/>
      <c r="I39" s="63"/>
      <c r="J39" s="20"/>
    </row>
    <row r="40" spans="1:10">
      <c r="A40" s="65" t="s">
        <v>162</v>
      </c>
      <c r="B40" s="65" t="s">
        <v>163</v>
      </c>
      <c r="C40" s="65" t="s">
        <v>111</v>
      </c>
      <c r="D40" s="66">
        <v>157000</v>
      </c>
      <c r="E40" s="66">
        <v>599.58299999999997</v>
      </c>
      <c r="F40" s="67">
        <v>1.3541288963459408E-2</v>
      </c>
      <c r="G40" s="68"/>
      <c r="H40" s="68"/>
      <c r="I40" s="63"/>
      <c r="J40" s="20"/>
    </row>
    <row r="41" spans="1:10">
      <c r="A41" s="65" t="s">
        <v>112</v>
      </c>
      <c r="B41" s="65" t="s">
        <v>113</v>
      </c>
      <c r="C41" s="65" t="s">
        <v>135</v>
      </c>
      <c r="D41" s="66">
        <v>81868</v>
      </c>
      <c r="E41" s="66">
        <v>593.70673599999998</v>
      </c>
      <c r="F41" s="67">
        <v>1.3408576413487888E-2</v>
      </c>
      <c r="G41" s="68"/>
      <c r="H41" s="68"/>
      <c r="I41" s="63"/>
      <c r="J41" s="20"/>
    </row>
    <row r="42" spans="1:10">
      <c r="A42" s="65" t="s">
        <v>73</v>
      </c>
      <c r="B42" s="65" t="s">
        <v>28</v>
      </c>
      <c r="C42" s="65" t="s">
        <v>137</v>
      </c>
      <c r="D42" s="66">
        <v>81674</v>
      </c>
      <c r="E42" s="66">
        <v>584.21412199999997</v>
      </c>
      <c r="F42" s="67">
        <v>1.3194190366530953E-2</v>
      </c>
      <c r="G42" s="68"/>
      <c r="H42" s="68"/>
      <c r="I42" s="63"/>
      <c r="J42" s="20"/>
    </row>
    <row r="43" spans="1:10">
      <c r="A43" s="65" t="s">
        <v>103</v>
      </c>
      <c r="B43" s="65" t="s">
        <v>104</v>
      </c>
      <c r="C43" s="65" t="s">
        <v>133</v>
      </c>
      <c r="D43" s="66">
        <v>52800</v>
      </c>
      <c r="E43" s="66">
        <v>582.70079999999996</v>
      </c>
      <c r="F43" s="67">
        <v>1.3160012728911539E-2</v>
      </c>
      <c r="G43" s="68"/>
      <c r="H43" s="68"/>
      <c r="I43" s="63"/>
      <c r="J43" s="20"/>
    </row>
    <row r="44" spans="1:10">
      <c r="A44" s="65" t="s">
        <v>101</v>
      </c>
      <c r="B44" s="65" t="s">
        <v>102</v>
      </c>
      <c r="C44" s="65" t="s">
        <v>128</v>
      </c>
      <c r="D44" s="66">
        <v>52586</v>
      </c>
      <c r="E44" s="66">
        <v>577.55203800000004</v>
      </c>
      <c r="F44" s="67">
        <v>1.3043730455988393E-2</v>
      </c>
      <c r="G44" s="68"/>
      <c r="H44" s="68"/>
      <c r="I44" s="63"/>
      <c r="J44" s="20"/>
    </row>
    <row r="45" spans="1:10">
      <c r="A45" s="65" t="s">
        <v>114</v>
      </c>
      <c r="B45" s="65" t="s">
        <v>115</v>
      </c>
      <c r="C45" s="65" t="s">
        <v>129</v>
      </c>
      <c r="D45" s="66">
        <v>226000</v>
      </c>
      <c r="E45" s="66">
        <v>556.63800000000003</v>
      </c>
      <c r="F45" s="67">
        <v>1.2571397131076294E-2</v>
      </c>
      <c r="G45" s="68"/>
      <c r="H45" s="68"/>
      <c r="I45" s="63"/>
      <c r="J45" s="20"/>
    </row>
    <row r="46" spans="1:10">
      <c r="A46" s="65" t="s">
        <v>96</v>
      </c>
      <c r="B46" s="65" t="s">
        <v>97</v>
      </c>
      <c r="C46" s="65" t="s">
        <v>120</v>
      </c>
      <c r="D46" s="66">
        <v>65620</v>
      </c>
      <c r="E46" s="66">
        <v>541.20095000000003</v>
      </c>
      <c r="F46" s="67">
        <v>1.2222758902852061E-2</v>
      </c>
      <c r="G46" s="68"/>
      <c r="H46" s="68"/>
      <c r="I46" s="63"/>
      <c r="J46" s="19"/>
    </row>
    <row r="47" spans="1:10">
      <c r="A47" s="65" t="s">
        <v>164</v>
      </c>
      <c r="B47" s="65" t="s">
        <v>165</v>
      </c>
      <c r="C47" s="65" t="s">
        <v>166</v>
      </c>
      <c r="D47" s="66">
        <v>8700</v>
      </c>
      <c r="E47" s="66">
        <v>522.21749999999997</v>
      </c>
      <c r="F47" s="67">
        <v>1.1794026964199057E-2</v>
      </c>
      <c r="G47" s="68"/>
      <c r="H47" s="68"/>
      <c r="I47" s="63"/>
      <c r="J47" s="19"/>
    </row>
    <row r="48" spans="1:10">
      <c r="A48" s="65" t="s">
        <v>86</v>
      </c>
      <c r="B48" s="65" t="s">
        <v>40</v>
      </c>
      <c r="C48" s="65" t="s">
        <v>119</v>
      </c>
      <c r="D48" s="66">
        <v>11600</v>
      </c>
      <c r="E48" s="66">
        <v>517.59199999999998</v>
      </c>
      <c r="F48" s="67">
        <v>1.168956230776203E-2</v>
      </c>
      <c r="G48" s="68"/>
      <c r="H48" s="68"/>
      <c r="I48" s="63"/>
      <c r="J48" s="20"/>
    </row>
    <row r="49" spans="1:10">
      <c r="A49" s="65" t="s">
        <v>91</v>
      </c>
      <c r="B49" s="65" t="s">
        <v>55</v>
      </c>
      <c r="C49" s="65" t="s">
        <v>139</v>
      </c>
      <c r="D49" s="66">
        <v>35000</v>
      </c>
      <c r="E49" s="66">
        <v>487.55</v>
      </c>
      <c r="F49" s="67">
        <v>1.1011078423061751E-2</v>
      </c>
      <c r="G49" s="68"/>
      <c r="H49" s="68"/>
      <c r="I49" s="63"/>
      <c r="J49" s="19"/>
    </row>
    <row r="50" spans="1:10">
      <c r="A50" s="65" t="s">
        <v>80</v>
      </c>
      <c r="B50" s="65" t="s">
        <v>33</v>
      </c>
      <c r="C50" s="65" t="s">
        <v>129</v>
      </c>
      <c r="D50" s="66">
        <v>11800</v>
      </c>
      <c r="E50" s="66">
        <v>460.14100000000002</v>
      </c>
      <c r="F50" s="67">
        <v>1.0392059556283575E-2</v>
      </c>
      <c r="G50" s="68"/>
      <c r="H50" s="68"/>
      <c r="I50" s="63"/>
      <c r="J50" s="20"/>
    </row>
    <row r="51" spans="1:10">
      <c r="A51" s="65" t="s">
        <v>169</v>
      </c>
      <c r="B51" s="65" t="s">
        <v>170</v>
      </c>
      <c r="C51" s="65" t="s">
        <v>174</v>
      </c>
      <c r="D51" s="66">
        <v>16500</v>
      </c>
      <c r="E51" s="66">
        <v>422.76299999999998</v>
      </c>
      <c r="F51" s="67">
        <v>9.5478956976081542E-3</v>
      </c>
      <c r="G51" s="68"/>
      <c r="H51" s="68"/>
      <c r="I51" s="63"/>
      <c r="J51" s="19"/>
    </row>
    <row r="52" spans="1:10">
      <c r="A52" s="65" t="s">
        <v>153</v>
      </c>
      <c r="B52" s="65" t="s">
        <v>154</v>
      </c>
      <c r="C52" s="65" t="s">
        <v>193</v>
      </c>
      <c r="D52" s="66">
        <v>94069</v>
      </c>
      <c r="E52" s="66">
        <v>40.3932286</v>
      </c>
      <c r="F52" s="67">
        <v>9.1226132268538789E-4</v>
      </c>
      <c r="G52" s="68"/>
      <c r="H52" s="68"/>
      <c r="I52" s="63"/>
      <c r="J52" s="20"/>
    </row>
    <row r="53" spans="1:10">
      <c r="A53" s="65" t="s">
        <v>155</v>
      </c>
      <c r="B53" s="65" t="s">
        <v>156</v>
      </c>
      <c r="C53" s="65" t="s">
        <v>166</v>
      </c>
      <c r="D53" s="66">
        <v>25300</v>
      </c>
      <c r="E53" s="66">
        <v>6.6083600000000002</v>
      </c>
      <c r="F53" s="67">
        <v>1.4924658026422798E-4</v>
      </c>
      <c r="G53" s="68"/>
      <c r="H53" s="68"/>
      <c r="I53" s="63"/>
      <c r="J53" s="19"/>
    </row>
    <row r="54" spans="1:10">
      <c r="A54" s="69"/>
      <c r="B54" s="59" t="s">
        <v>56</v>
      </c>
      <c r="C54" s="69"/>
      <c r="D54" s="70"/>
      <c r="E54" s="71">
        <v>43447.634741599999</v>
      </c>
      <c r="F54" s="72">
        <v>0.98124359232140279</v>
      </c>
      <c r="G54" s="73"/>
      <c r="H54" s="74"/>
      <c r="I54" s="63"/>
      <c r="J54" s="19"/>
    </row>
    <row r="55" spans="1:10">
      <c r="A55" s="69"/>
      <c r="B55" s="59"/>
      <c r="C55" s="69"/>
      <c r="D55" s="70"/>
      <c r="E55" s="71"/>
      <c r="F55" s="72"/>
      <c r="G55" s="73"/>
      <c r="H55" s="74"/>
      <c r="I55" s="63"/>
      <c r="J55" s="19"/>
    </row>
    <row r="56" spans="1:10">
      <c r="A56" s="58"/>
      <c r="B56" s="59" t="s">
        <v>57</v>
      </c>
      <c r="C56" s="58"/>
      <c r="D56" s="60"/>
      <c r="E56" s="64" t="s">
        <v>13</v>
      </c>
      <c r="F56" s="64" t="s">
        <v>13</v>
      </c>
      <c r="G56" s="73"/>
      <c r="H56" s="74"/>
      <c r="I56" s="63"/>
      <c r="J56" s="20"/>
    </row>
    <row r="57" spans="1:10">
      <c r="A57" s="69"/>
      <c r="B57" s="59" t="s">
        <v>56</v>
      </c>
      <c r="C57" s="69"/>
      <c r="D57" s="70"/>
      <c r="E57" s="71" t="s">
        <v>13</v>
      </c>
      <c r="F57" s="72" t="s">
        <v>13</v>
      </c>
      <c r="G57" s="73"/>
      <c r="H57" s="74"/>
      <c r="I57" s="63"/>
      <c r="J57" s="19"/>
    </row>
    <row r="58" spans="1:10">
      <c r="A58" s="69"/>
      <c r="B58" s="59"/>
      <c r="C58" s="69"/>
      <c r="D58" s="70"/>
      <c r="E58" s="71"/>
      <c r="F58" s="72"/>
      <c r="G58" s="73"/>
      <c r="H58" s="74"/>
      <c r="I58" s="63"/>
      <c r="J58" s="19"/>
    </row>
    <row r="59" spans="1:10">
      <c r="A59" s="69"/>
      <c r="B59" s="59" t="s">
        <v>14</v>
      </c>
      <c r="C59" s="69"/>
      <c r="D59" s="70"/>
      <c r="E59" s="71">
        <f>+E54</f>
        <v>43447.634741599999</v>
      </c>
      <c r="F59" s="77">
        <f>+F54</f>
        <v>0.98124359232140279</v>
      </c>
      <c r="G59" s="73"/>
      <c r="H59" s="74"/>
      <c r="I59" s="63"/>
      <c r="J59" s="20"/>
    </row>
    <row r="60" spans="1:10">
      <c r="A60" s="69"/>
      <c r="B60" s="59"/>
      <c r="C60" s="69"/>
      <c r="D60" s="70"/>
      <c r="E60" s="71"/>
      <c r="F60" s="77"/>
      <c r="G60" s="73"/>
      <c r="H60" s="74"/>
      <c r="I60" s="63"/>
      <c r="J60" s="20"/>
    </row>
    <row r="61" spans="1:10">
      <c r="A61" s="58"/>
      <c r="B61" s="59" t="s">
        <v>58</v>
      </c>
      <c r="C61" s="58"/>
      <c r="D61" s="58"/>
      <c r="E61" s="58"/>
      <c r="F61" s="78"/>
      <c r="G61" s="79"/>
      <c r="H61" s="58"/>
      <c r="I61" s="63"/>
      <c r="J61" s="20"/>
    </row>
    <row r="62" spans="1:10">
      <c r="A62" s="65"/>
      <c r="B62" s="59" t="s">
        <v>59</v>
      </c>
      <c r="C62" s="65"/>
      <c r="D62" s="80"/>
      <c r="E62" s="71" t="s">
        <v>13</v>
      </c>
      <c r="F62" s="81" t="s">
        <v>13</v>
      </c>
      <c r="G62" s="63"/>
      <c r="H62" s="65"/>
      <c r="I62" s="63"/>
      <c r="J62" s="20"/>
    </row>
    <row r="63" spans="1:10">
      <c r="A63" s="58"/>
      <c r="B63" s="59" t="s">
        <v>56</v>
      </c>
      <c r="C63" s="58"/>
      <c r="D63" s="60"/>
      <c r="E63" s="82" t="s">
        <v>13</v>
      </c>
      <c r="F63" s="72" t="s">
        <v>13</v>
      </c>
      <c r="G63" s="76"/>
      <c r="H63" s="72"/>
      <c r="I63" s="63"/>
      <c r="J63" s="20"/>
    </row>
    <row r="64" spans="1:10">
      <c r="A64" s="69"/>
      <c r="B64" s="59" t="s">
        <v>15</v>
      </c>
      <c r="C64" s="69"/>
      <c r="D64" s="70"/>
      <c r="E64" s="64" t="s">
        <v>13</v>
      </c>
      <c r="F64" s="64" t="s">
        <v>13</v>
      </c>
      <c r="G64" s="76"/>
      <c r="H64" s="72"/>
      <c r="I64" s="63"/>
      <c r="J64" s="20"/>
    </row>
    <row r="65" spans="1:10">
      <c r="A65" s="83"/>
      <c r="B65" s="59" t="s">
        <v>56</v>
      </c>
      <c r="C65" s="83"/>
      <c r="D65" s="83"/>
      <c r="E65" s="82" t="s">
        <v>13</v>
      </c>
      <c r="F65" s="72" t="s">
        <v>13</v>
      </c>
      <c r="G65" s="84"/>
      <c r="H65" s="83"/>
      <c r="I65" s="63"/>
      <c r="J65" s="20"/>
    </row>
    <row r="66" spans="1:10">
      <c r="A66" s="83"/>
      <c r="B66" s="59" t="s">
        <v>60</v>
      </c>
      <c r="C66" s="83"/>
      <c r="D66" s="84"/>
      <c r="E66" s="64" t="s">
        <v>13</v>
      </c>
      <c r="F66" s="64" t="s">
        <v>13</v>
      </c>
      <c r="G66" s="85"/>
      <c r="H66" s="85"/>
      <c r="I66" s="63"/>
      <c r="J66" s="20"/>
    </row>
    <row r="67" spans="1:10">
      <c r="A67" s="69"/>
      <c r="B67" s="59" t="s">
        <v>56</v>
      </c>
      <c r="C67" s="69"/>
      <c r="D67" s="70"/>
      <c r="E67" s="82" t="s">
        <v>13</v>
      </c>
      <c r="F67" s="72" t="s">
        <v>13</v>
      </c>
      <c r="G67" s="86"/>
      <c r="H67" s="87"/>
      <c r="I67" s="63"/>
      <c r="J67" s="20"/>
    </row>
    <row r="68" spans="1:10">
      <c r="A68" s="69"/>
      <c r="B68" s="59" t="s">
        <v>61</v>
      </c>
      <c r="C68" s="69"/>
      <c r="D68" s="70"/>
      <c r="E68" s="64" t="s">
        <v>13</v>
      </c>
      <c r="F68" s="64" t="s">
        <v>13</v>
      </c>
      <c r="G68" s="86"/>
      <c r="H68" s="87"/>
      <c r="I68" s="63"/>
      <c r="J68" s="20"/>
    </row>
    <row r="69" spans="1:10">
      <c r="A69" s="69"/>
      <c r="B69" s="59" t="s">
        <v>56</v>
      </c>
      <c r="C69" s="69"/>
      <c r="D69" s="70"/>
      <c r="E69" s="82" t="s">
        <v>13</v>
      </c>
      <c r="F69" s="72" t="s">
        <v>13</v>
      </c>
      <c r="G69" s="76"/>
      <c r="H69" s="72"/>
      <c r="I69" s="63"/>
      <c r="J69" s="20"/>
    </row>
    <row r="70" spans="1:10">
      <c r="A70" s="69"/>
      <c r="B70" s="88" t="s">
        <v>14</v>
      </c>
      <c r="C70" s="69"/>
      <c r="D70" s="70"/>
      <c r="E70" s="82" t="s">
        <v>13</v>
      </c>
      <c r="F70" s="72" t="s">
        <v>13</v>
      </c>
      <c r="G70" s="76"/>
      <c r="H70" s="72"/>
      <c r="I70" s="63"/>
      <c r="J70" s="20"/>
    </row>
    <row r="71" spans="1:10">
      <c r="A71" s="83"/>
      <c r="B71" s="83"/>
      <c r="C71" s="83"/>
      <c r="D71" s="89"/>
      <c r="E71" s="89"/>
      <c r="F71" s="90"/>
      <c r="G71" s="85"/>
      <c r="H71" s="85"/>
      <c r="I71" s="63"/>
      <c r="J71" s="20"/>
    </row>
    <row r="72" spans="1:10">
      <c r="A72" s="69"/>
      <c r="B72" s="59" t="s">
        <v>62</v>
      </c>
      <c r="C72" s="69"/>
      <c r="D72" s="70"/>
      <c r="E72" s="91"/>
      <c r="F72" s="81"/>
      <c r="G72" s="76"/>
      <c r="H72" s="72"/>
      <c r="I72" s="63"/>
      <c r="J72" s="20"/>
    </row>
    <row r="73" spans="1:10">
      <c r="A73" s="69"/>
      <c r="B73" s="69" t="s">
        <v>14</v>
      </c>
      <c r="C73" s="69"/>
      <c r="D73" s="70"/>
      <c r="E73" s="71" t="s">
        <v>13</v>
      </c>
      <c r="F73" s="72" t="s">
        <v>13</v>
      </c>
      <c r="G73" s="76"/>
      <c r="H73" s="72"/>
      <c r="I73" s="63"/>
      <c r="J73" s="20"/>
    </row>
    <row r="74" spans="1:10" ht="39">
      <c r="A74" s="58" t="s">
        <v>157</v>
      </c>
      <c r="B74" s="105" t="s">
        <v>190</v>
      </c>
      <c r="C74" s="58" t="s">
        <v>158</v>
      </c>
      <c r="D74" s="60">
        <v>100000</v>
      </c>
      <c r="E74" s="75">
        <v>10.2723</v>
      </c>
      <c r="F74" s="86">
        <v>2.0000000000000001E-4</v>
      </c>
      <c r="G74" s="102">
        <v>46266</v>
      </c>
      <c r="H74" s="103"/>
      <c r="I74" s="104">
        <v>6.3299999999999995E-2</v>
      </c>
      <c r="J74" s="19"/>
    </row>
    <row r="75" spans="1:10">
      <c r="A75" s="69"/>
      <c r="B75" s="69" t="s">
        <v>14</v>
      </c>
      <c r="C75" s="69"/>
      <c r="D75" s="70"/>
      <c r="E75" s="71">
        <f>+E74</f>
        <v>10.2723</v>
      </c>
      <c r="F75" s="72">
        <f>+F74</f>
        <v>2.0000000000000001E-4</v>
      </c>
      <c r="G75" s="76"/>
      <c r="H75" s="72"/>
      <c r="I75" s="63"/>
      <c r="J75" s="20"/>
    </row>
    <row r="76" spans="1:10">
      <c r="A76" s="69"/>
      <c r="B76" s="69"/>
      <c r="C76" s="69"/>
      <c r="D76" s="70"/>
      <c r="E76" s="70"/>
      <c r="F76" s="81"/>
      <c r="G76" s="76"/>
      <c r="H76" s="72"/>
      <c r="I76" s="63"/>
      <c r="J76" s="20"/>
    </row>
    <row r="77" spans="1:10">
      <c r="A77" s="69"/>
      <c r="B77" s="92" t="s">
        <v>63</v>
      </c>
      <c r="C77" s="69"/>
      <c r="D77" s="70"/>
      <c r="E77" s="70"/>
      <c r="F77" s="81"/>
      <c r="G77" s="76"/>
      <c r="H77" s="72"/>
      <c r="I77" s="63"/>
      <c r="J77" s="20"/>
    </row>
    <row r="78" spans="1:10">
      <c r="A78" s="65"/>
      <c r="B78" s="65" t="s">
        <v>18</v>
      </c>
      <c r="C78" s="65"/>
      <c r="D78" s="66">
        <v>3598.5219999999999</v>
      </c>
      <c r="E78" s="66">
        <v>359.80374360000002</v>
      </c>
      <c r="F78" s="67">
        <v>8.1259916679126305E-3</v>
      </c>
      <c r="G78" s="76" t="s">
        <v>171</v>
      </c>
      <c r="H78" s="72"/>
      <c r="I78" s="93">
        <v>4.916943E-2</v>
      </c>
      <c r="J78" s="20"/>
    </row>
    <row r="79" spans="1:10" ht="13.5">
      <c r="A79" s="69"/>
      <c r="B79" s="92" t="s">
        <v>14</v>
      </c>
      <c r="C79" s="69"/>
      <c r="D79" s="70"/>
      <c r="E79" s="71">
        <v>359.80374360000002</v>
      </c>
      <c r="F79" s="72">
        <v>8.1259916679126305E-3</v>
      </c>
      <c r="G79" s="76"/>
      <c r="H79" s="72"/>
      <c r="I79" s="63"/>
      <c r="J79" s="21"/>
    </row>
    <row r="80" spans="1:10">
      <c r="A80" s="69"/>
      <c r="B80" s="92"/>
      <c r="C80" s="69"/>
      <c r="D80" s="70"/>
      <c r="E80" s="70"/>
      <c r="F80" s="81"/>
      <c r="G80" s="76"/>
      <c r="H80" s="72"/>
      <c r="I80" s="63"/>
      <c r="J80" s="20"/>
    </row>
    <row r="81" spans="1:10">
      <c r="A81" s="69"/>
      <c r="B81" s="92" t="s">
        <v>16</v>
      </c>
      <c r="C81" s="69"/>
      <c r="D81" s="70"/>
      <c r="E81" s="70"/>
      <c r="F81" s="81"/>
      <c r="G81" s="76"/>
      <c r="H81" s="72"/>
      <c r="I81" s="63"/>
      <c r="J81" s="20"/>
    </row>
    <row r="82" spans="1:10">
      <c r="A82" s="58"/>
      <c r="B82" s="92" t="s">
        <v>17</v>
      </c>
      <c r="C82" s="58"/>
      <c r="D82" s="60"/>
      <c r="E82" s="60">
        <v>460.42267889999999</v>
      </c>
      <c r="F82" s="67">
        <v>1.04E-2</v>
      </c>
      <c r="G82" s="76"/>
      <c r="H82" s="76"/>
      <c r="I82" s="63"/>
      <c r="J82" s="20"/>
    </row>
    <row r="83" spans="1:10" s="11" customFormat="1">
      <c r="A83" s="69"/>
      <c r="B83" s="92" t="s">
        <v>14</v>
      </c>
      <c r="C83" s="69"/>
      <c r="D83" s="70"/>
      <c r="E83" s="70">
        <v>460.42267889999999</v>
      </c>
      <c r="F83" s="72">
        <v>1.04E-2</v>
      </c>
      <c r="G83" s="94"/>
      <c r="H83" s="95"/>
      <c r="I83" s="63"/>
      <c r="J83" s="20"/>
    </row>
    <row r="84" spans="1:10" s="11" customFormat="1">
      <c r="A84" s="96"/>
      <c r="B84" s="92" t="s">
        <v>64</v>
      </c>
      <c r="C84" s="96"/>
      <c r="D84" s="96"/>
      <c r="E84" s="70">
        <f>E83+E79+E59+E75</f>
        <v>44278.133464099999</v>
      </c>
      <c r="F84" s="72">
        <v>1</v>
      </c>
      <c r="G84" s="97"/>
      <c r="H84" s="96"/>
      <c r="I84" s="63"/>
      <c r="J84" s="20"/>
    </row>
    <row r="85" spans="1:10">
      <c r="A85" s="22"/>
      <c r="B85" s="25"/>
      <c r="C85" s="22"/>
      <c r="D85" s="22"/>
      <c r="E85" s="26"/>
      <c r="F85" s="27"/>
      <c r="G85" s="28"/>
      <c r="H85" s="22"/>
      <c r="I85" s="31"/>
      <c r="J85" s="22"/>
    </row>
    <row r="86" spans="1:10">
      <c r="A86" s="22" t="s">
        <v>148</v>
      </c>
      <c r="B86" s="25"/>
      <c r="C86" s="22"/>
      <c r="D86" s="22"/>
      <c r="E86" s="26"/>
      <c r="F86" s="27"/>
      <c r="G86" s="28"/>
      <c r="H86" s="22"/>
      <c r="I86" s="22"/>
      <c r="J86" s="22"/>
    </row>
    <row r="87" spans="1:10">
      <c r="A87" s="22"/>
      <c r="B87" s="25"/>
      <c r="C87" s="22"/>
      <c r="D87" s="22"/>
      <c r="E87" s="26"/>
      <c r="F87" s="27"/>
      <c r="G87" s="28"/>
      <c r="H87" s="22"/>
      <c r="I87" s="22"/>
      <c r="J87" s="22"/>
    </row>
    <row r="88" spans="1:10" ht="13.5" customHeight="1">
      <c r="A88" s="12" t="s">
        <v>9</v>
      </c>
      <c r="B88" s="12"/>
      <c r="C88" s="12"/>
      <c r="D88" s="12"/>
      <c r="E88" s="12"/>
      <c r="F88" s="12"/>
      <c r="G88" s="12"/>
      <c r="H88" s="12"/>
      <c r="I88" s="22"/>
      <c r="J88" s="22"/>
    </row>
    <row r="89" spans="1:10" ht="13.5" customHeight="1">
      <c r="A89" s="12" t="s">
        <v>8</v>
      </c>
      <c r="B89" s="12"/>
      <c r="C89" s="12"/>
      <c r="D89" s="12"/>
      <c r="E89" s="12"/>
      <c r="F89" s="12"/>
      <c r="G89" s="12"/>
      <c r="H89" s="12"/>
      <c r="I89" s="22"/>
      <c r="J89" s="22"/>
    </row>
    <row r="90" spans="1:10" ht="13.5" customHeight="1">
      <c r="A90" s="13" t="s">
        <v>7</v>
      </c>
      <c r="B90" s="13"/>
      <c r="C90" s="13"/>
      <c r="D90" s="13"/>
      <c r="E90" s="13"/>
      <c r="F90" s="13"/>
      <c r="G90" s="14"/>
      <c r="H90" s="14"/>
      <c r="I90" s="22"/>
      <c r="J90" s="22"/>
    </row>
    <row r="91" spans="1:10" ht="24.75" customHeight="1">
      <c r="A91" s="122" t="s">
        <v>6</v>
      </c>
      <c r="B91" s="123"/>
      <c r="C91" s="123"/>
      <c r="D91" s="123"/>
      <c r="E91" s="123"/>
      <c r="F91" s="123"/>
      <c r="G91" s="123"/>
      <c r="H91" s="123"/>
      <c r="I91" s="123"/>
      <c r="J91" s="22"/>
    </row>
    <row r="92" spans="1:10">
      <c r="A92" s="123"/>
      <c r="B92" s="123"/>
      <c r="C92" s="123"/>
      <c r="D92" s="123"/>
      <c r="E92" s="123"/>
      <c r="F92" s="123"/>
      <c r="G92" s="123"/>
      <c r="H92" s="123"/>
      <c r="I92" s="123"/>
      <c r="J92" s="22"/>
    </row>
    <row r="93" spans="1:10">
      <c r="A93" s="22"/>
      <c r="B93" s="22"/>
      <c r="C93" s="22"/>
      <c r="D93" s="22"/>
      <c r="E93" s="22"/>
      <c r="F93" s="22"/>
      <c r="G93" s="22"/>
      <c r="H93" s="22"/>
      <c r="I93" s="22"/>
      <c r="J93" s="22"/>
    </row>
    <row r="94" spans="1:10">
      <c r="A94" s="32" t="s">
        <v>180</v>
      </c>
      <c r="B94" s="33"/>
      <c r="C94" s="34"/>
      <c r="D94" s="35"/>
      <c r="E94" s="35"/>
      <c r="F94" s="24"/>
      <c r="G94" s="22"/>
      <c r="H94" s="22"/>
      <c r="I94" s="22"/>
      <c r="J94" s="22"/>
    </row>
    <row r="95" spans="1:10" ht="38.25">
      <c r="A95" s="36" t="s">
        <v>175</v>
      </c>
      <c r="B95" s="37" t="s">
        <v>176</v>
      </c>
      <c r="C95" s="38" t="s">
        <v>10</v>
      </c>
      <c r="D95" s="36" t="s">
        <v>177</v>
      </c>
      <c r="E95" s="36" t="s">
        <v>178</v>
      </c>
      <c r="F95" s="39" t="s">
        <v>179</v>
      </c>
      <c r="G95" s="22"/>
      <c r="H95" s="22"/>
      <c r="I95" s="22"/>
      <c r="J95" s="22"/>
    </row>
    <row r="96" spans="1:10">
      <c r="A96" s="96" t="s">
        <v>172</v>
      </c>
      <c r="B96" s="96" t="s">
        <v>189</v>
      </c>
      <c r="C96" s="55">
        <v>-15000</v>
      </c>
      <c r="D96" s="98">
        <v>1207</v>
      </c>
      <c r="E96" s="98">
        <v>1208.3</v>
      </c>
      <c r="F96" s="99">
        <v>32.185274999999997</v>
      </c>
      <c r="G96" s="114"/>
      <c r="H96" s="22"/>
      <c r="I96" s="22"/>
      <c r="J96" s="22"/>
    </row>
    <row r="97" spans="1:10">
      <c r="A97" s="22"/>
      <c r="B97" s="22"/>
      <c r="C97" s="22"/>
      <c r="D97" s="22"/>
      <c r="E97" s="22"/>
      <c r="F97" s="22"/>
      <c r="G97" s="22"/>
      <c r="H97" s="22"/>
      <c r="I97" s="22"/>
      <c r="J97" s="22"/>
    </row>
    <row r="98" spans="1:10">
      <c r="A98" s="22"/>
      <c r="B98" s="22"/>
      <c r="C98" s="22"/>
      <c r="D98" s="22"/>
      <c r="E98" s="22"/>
      <c r="F98" s="22"/>
      <c r="G98" s="22"/>
      <c r="H98" s="22"/>
      <c r="I98" s="22"/>
      <c r="J98" s="22"/>
    </row>
    <row r="99" spans="1:10">
      <c r="A99" s="40" t="s">
        <v>191</v>
      </c>
      <c r="B99" s="22"/>
      <c r="C99" s="22"/>
      <c r="D99" s="22"/>
      <c r="E99" s="22"/>
      <c r="F99" s="22"/>
      <c r="G99" s="22"/>
      <c r="H99" s="22"/>
      <c r="I99" s="22"/>
      <c r="J99" s="22"/>
    </row>
    <row r="100" spans="1:10">
      <c r="A100" s="22"/>
      <c r="B100" s="22"/>
      <c r="C100" s="22"/>
      <c r="D100" s="22"/>
      <c r="E100" s="22"/>
      <c r="F100" s="22"/>
      <c r="G100" s="22"/>
      <c r="H100" s="22"/>
      <c r="I100" s="22"/>
      <c r="J100" s="22"/>
    </row>
    <row r="101" spans="1:10">
      <c r="A101" s="125" t="s">
        <v>192</v>
      </c>
      <c r="B101" s="125"/>
      <c r="C101" s="41"/>
      <c r="D101" s="42"/>
      <c r="E101" s="22"/>
      <c r="F101" s="22"/>
      <c r="G101" s="22"/>
      <c r="H101" s="22"/>
      <c r="I101" s="22"/>
      <c r="J101" s="22"/>
    </row>
    <row r="102" spans="1:10">
      <c r="A102" s="43" t="s">
        <v>187</v>
      </c>
      <c r="B102" s="43"/>
      <c r="C102" s="43"/>
      <c r="D102" s="43"/>
      <c r="E102" s="22"/>
      <c r="F102" s="22"/>
      <c r="G102" s="22"/>
      <c r="H102" s="22"/>
      <c r="I102" s="22"/>
      <c r="J102" s="22"/>
    </row>
    <row r="103" spans="1:10">
      <c r="A103" s="44" t="s">
        <v>181</v>
      </c>
      <c r="B103" s="45"/>
      <c r="C103" s="46"/>
      <c r="D103" s="47">
        <v>0</v>
      </c>
      <c r="E103" s="114"/>
      <c r="F103" s="115"/>
      <c r="G103" s="114"/>
      <c r="H103" s="22"/>
      <c r="I103" s="22"/>
      <c r="J103" s="22"/>
    </row>
    <row r="104" spans="1:10">
      <c r="A104" s="44" t="s">
        <v>182</v>
      </c>
      <c r="B104" s="45"/>
      <c r="C104" s="46"/>
      <c r="D104" s="47">
        <v>20</v>
      </c>
      <c r="E104" s="114"/>
      <c r="F104" s="115"/>
      <c r="G104" s="114"/>
      <c r="H104" s="22"/>
      <c r="I104" s="22"/>
      <c r="J104" s="22"/>
    </row>
    <row r="105" spans="1:10">
      <c r="A105" s="44" t="s">
        <v>183</v>
      </c>
      <c r="B105" s="45"/>
      <c r="C105" s="46"/>
      <c r="D105" s="56">
        <v>0</v>
      </c>
      <c r="E105" s="114"/>
      <c r="F105" s="115"/>
      <c r="G105" s="114"/>
      <c r="H105" s="22"/>
      <c r="I105" s="22"/>
      <c r="J105" s="22"/>
    </row>
    <row r="106" spans="1:10">
      <c r="A106" s="44" t="s">
        <v>184</v>
      </c>
      <c r="B106" s="45"/>
      <c r="C106" s="46"/>
      <c r="D106" s="48">
        <v>180.99568500000001</v>
      </c>
      <c r="E106" s="114"/>
      <c r="F106" s="114"/>
      <c r="G106" s="114"/>
      <c r="H106" s="114"/>
      <c r="I106" s="22"/>
      <c r="J106" s="22"/>
    </row>
    <row r="107" spans="1:10">
      <c r="A107" s="44" t="s">
        <v>185</v>
      </c>
      <c r="B107" s="45"/>
      <c r="C107" s="46"/>
      <c r="D107" s="49">
        <v>0</v>
      </c>
      <c r="E107" s="22"/>
      <c r="F107" s="22"/>
      <c r="G107" s="22"/>
      <c r="H107" s="22"/>
      <c r="I107" s="22"/>
      <c r="J107" s="22"/>
    </row>
    <row r="108" spans="1:10">
      <c r="A108" s="22"/>
      <c r="B108" s="22"/>
      <c r="C108" s="22"/>
      <c r="D108" s="22"/>
      <c r="E108" s="22"/>
      <c r="F108" s="22"/>
      <c r="G108" s="22"/>
      <c r="H108" s="22"/>
      <c r="I108" s="22"/>
      <c r="J108" s="22"/>
    </row>
    <row r="109" spans="1:10">
      <c r="A109" s="126" t="s">
        <v>186</v>
      </c>
      <c r="B109" s="126"/>
      <c r="C109" s="50"/>
      <c r="D109" s="6"/>
      <c r="E109" s="22"/>
      <c r="F109" s="22"/>
      <c r="G109" s="22"/>
      <c r="H109" s="22"/>
      <c r="I109" s="22"/>
      <c r="J109" s="22"/>
    </row>
    <row r="110" spans="1:10">
      <c r="A110" s="51" t="s">
        <v>188</v>
      </c>
      <c r="B110" s="52"/>
      <c r="C110" s="53"/>
      <c r="D110" s="54"/>
      <c r="E110" s="22"/>
      <c r="F110" s="22"/>
      <c r="G110" s="22"/>
      <c r="H110" s="22"/>
      <c r="I110" s="22"/>
      <c r="J110" s="22"/>
    </row>
    <row r="111" spans="1:10">
      <c r="A111" s="44" t="s">
        <v>181</v>
      </c>
      <c r="B111" s="45"/>
      <c r="C111" s="46"/>
      <c r="D111" s="47">
        <v>0</v>
      </c>
      <c r="E111" s="22"/>
      <c r="F111" s="22"/>
      <c r="G111" s="22"/>
      <c r="H111" s="22"/>
      <c r="I111" s="22"/>
      <c r="J111" s="22"/>
    </row>
    <row r="112" spans="1:10">
      <c r="A112" s="44" t="s">
        <v>182</v>
      </c>
      <c r="B112" s="45"/>
      <c r="C112" s="46"/>
      <c r="D112" s="47">
        <v>0</v>
      </c>
      <c r="E112" s="22"/>
      <c r="F112" s="22"/>
      <c r="G112" s="22"/>
      <c r="H112" s="22"/>
      <c r="I112" s="22"/>
      <c r="J112" s="22"/>
    </row>
    <row r="113" spans="1:10">
      <c r="A113" s="44" t="s">
        <v>183</v>
      </c>
      <c r="B113" s="45"/>
      <c r="C113" s="46"/>
      <c r="D113" s="47">
        <v>0</v>
      </c>
      <c r="E113" s="22"/>
      <c r="F113" s="22"/>
      <c r="G113" s="22"/>
      <c r="H113" s="22"/>
      <c r="I113" s="22"/>
      <c r="J113" s="22"/>
    </row>
    <row r="114" spans="1:10">
      <c r="A114" s="44" t="s">
        <v>184</v>
      </c>
      <c r="B114" s="45"/>
      <c r="C114" s="46"/>
      <c r="D114" s="47">
        <v>0</v>
      </c>
      <c r="E114" s="22"/>
      <c r="F114" s="106"/>
      <c r="G114" s="22"/>
      <c r="H114" s="22"/>
      <c r="I114" s="22"/>
      <c r="J114" s="22"/>
    </row>
    <row r="115" spans="1:10">
      <c r="A115" s="44" t="s">
        <v>185</v>
      </c>
      <c r="B115" s="45"/>
      <c r="C115" s="46"/>
      <c r="D115" s="49">
        <v>0</v>
      </c>
      <c r="E115" s="22"/>
      <c r="F115" s="22"/>
      <c r="G115" s="22"/>
      <c r="H115" s="22"/>
      <c r="I115" s="22"/>
      <c r="J115" s="22"/>
    </row>
    <row r="116" spans="1:10">
      <c r="A116" s="22"/>
      <c r="B116" s="22"/>
      <c r="C116" s="22"/>
      <c r="D116" s="22"/>
      <c r="E116" s="22"/>
      <c r="F116" s="22"/>
      <c r="G116" s="22"/>
      <c r="H116" s="22"/>
      <c r="I116" s="22"/>
      <c r="J116" s="22"/>
    </row>
    <row r="117" spans="1:10">
      <c r="A117" s="22"/>
      <c r="B117" s="22"/>
      <c r="C117" s="22"/>
      <c r="D117" s="22"/>
      <c r="E117" s="22"/>
      <c r="F117" s="22"/>
      <c r="G117" s="22"/>
      <c r="H117" s="22"/>
      <c r="I117" s="22"/>
      <c r="J117" s="22"/>
    </row>
    <row r="118" spans="1:10">
      <c r="A118" s="15" t="s">
        <v>5</v>
      </c>
      <c r="B118" s="16"/>
      <c r="C118" s="6"/>
      <c r="D118" s="16"/>
      <c r="E118" s="6"/>
      <c r="F118" s="6"/>
      <c r="G118" s="6"/>
      <c r="H118" s="6"/>
      <c r="I118" s="22"/>
    </row>
    <row r="119" spans="1:10">
      <c r="A119" s="17" t="s">
        <v>4</v>
      </c>
      <c r="B119" s="16"/>
      <c r="C119" s="16"/>
      <c r="D119" s="16"/>
      <c r="E119" s="6"/>
      <c r="F119" s="6"/>
      <c r="G119" s="6"/>
      <c r="H119" s="6"/>
      <c r="I119" s="22"/>
    </row>
    <row r="120" spans="1:10">
      <c r="A120" s="17" t="s">
        <v>3</v>
      </c>
      <c r="B120" s="16"/>
      <c r="C120" s="16"/>
      <c r="D120" s="16"/>
      <c r="E120" s="6"/>
      <c r="F120" s="6"/>
      <c r="G120" s="6"/>
      <c r="H120" s="6"/>
      <c r="I120" s="22"/>
    </row>
    <row r="121" spans="1:10">
      <c r="A121" s="17" t="s">
        <v>2</v>
      </c>
      <c r="B121" s="16"/>
      <c r="C121" s="16"/>
      <c r="D121" s="16"/>
      <c r="E121" s="6"/>
      <c r="F121" s="6"/>
      <c r="G121" s="6"/>
      <c r="H121" s="6"/>
      <c r="I121" s="22"/>
    </row>
    <row r="122" spans="1:10">
      <c r="A122" s="22"/>
      <c r="B122" s="5"/>
      <c r="C122" s="8"/>
      <c r="D122" s="7"/>
      <c r="E122" s="6"/>
      <c r="F122" s="6"/>
      <c r="G122" s="6"/>
      <c r="H122" s="6"/>
      <c r="I122" s="6"/>
      <c r="J122" s="22"/>
    </row>
    <row r="123" spans="1:10">
      <c r="A123" s="124" t="s">
        <v>145</v>
      </c>
      <c r="B123" s="124"/>
      <c r="C123" s="118" t="s">
        <v>1</v>
      </c>
      <c r="D123" s="118"/>
      <c r="E123" s="6"/>
      <c r="F123" s="6"/>
      <c r="G123" s="6"/>
      <c r="H123" s="6"/>
      <c r="I123" s="6"/>
      <c r="J123" s="22"/>
    </row>
    <row r="124" spans="1:10">
      <c r="A124" s="22"/>
      <c r="B124" s="9"/>
      <c r="C124" s="8"/>
      <c r="D124" s="7"/>
      <c r="E124" s="6"/>
      <c r="F124" s="6"/>
      <c r="G124" s="6"/>
      <c r="H124" s="6"/>
      <c r="I124" s="6"/>
      <c r="J124" s="22"/>
    </row>
    <row r="125" spans="1:10">
      <c r="A125" s="22"/>
      <c r="B125" s="5"/>
      <c r="C125" s="8"/>
      <c r="D125" s="7"/>
      <c r="E125" s="6"/>
      <c r="F125" s="6"/>
      <c r="G125" s="6"/>
      <c r="H125" s="6"/>
      <c r="I125" s="6"/>
      <c r="J125" s="22"/>
    </row>
    <row r="126" spans="1:10">
      <c r="A126" s="22"/>
      <c r="B126" s="5"/>
      <c r="C126" s="8"/>
      <c r="D126" s="7"/>
      <c r="E126" s="6"/>
      <c r="F126" s="6"/>
      <c r="G126" s="6"/>
      <c r="H126" s="6"/>
      <c r="I126" s="6"/>
      <c r="J126" s="23"/>
    </row>
    <row r="127" spans="1:10">
      <c r="A127" s="22"/>
      <c r="B127" s="5"/>
      <c r="C127" s="8"/>
      <c r="D127" s="7"/>
      <c r="E127" s="6"/>
      <c r="F127" s="6"/>
      <c r="G127" s="6"/>
      <c r="H127" s="6"/>
      <c r="I127" s="6"/>
      <c r="J127" s="24"/>
    </row>
    <row r="128" spans="1:10">
      <c r="A128" s="22"/>
      <c r="B128" s="5"/>
      <c r="C128" s="8"/>
      <c r="D128" s="7"/>
      <c r="E128" s="6"/>
      <c r="F128" s="6"/>
      <c r="G128" s="6"/>
      <c r="H128" s="6"/>
      <c r="I128" s="6"/>
      <c r="J128" s="24"/>
    </row>
    <row r="129" spans="1:10">
      <c r="A129" s="22"/>
      <c r="B129" s="5"/>
      <c r="C129" s="8"/>
      <c r="D129" s="7"/>
      <c r="E129" s="6"/>
      <c r="F129" s="6"/>
      <c r="G129" s="6"/>
      <c r="H129" s="6"/>
      <c r="I129" s="6"/>
      <c r="J129" s="24"/>
    </row>
    <row r="130" spans="1:10">
      <c r="A130" s="22"/>
      <c r="B130" s="5"/>
      <c r="C130" s="8"/>
      <c r="D130" s="7"/>
      <c r="E130" s="6"/>
      <c r="F130" s="6"/>
      <c r="G130" s="6"/>
      <c r="H130" s="6"/>
      <c r="I130" s="6"/>
      <c r="J130" s="24"/>
    </row>
    <row r="131" spans="1:10">
      <c r="A131" s="22"/>
      <c r="B131" s="5"/>
      <c r="C131" s="8"/>
      <c r="D131" s="7"/>
      <c r="E131" s="6"/>
      <c r="F131" s="6"/>
      <c r="G131" s="6"/>
      <c r="H131" s="6"/>
      <c r="I131" s="6"/>
      <c r="J131" s="24"/>
    </row>
    <row r="132" spans="1:10" ht="14.25" customHeight="1">
      <c r="A132" s="22"/>
      <c r="B132" s="5"/>
      <c r="C132" s="8"/>
      <c r="D132" s="7"/>
      <c r="E132" s="6"/>
      <c r="F132" s="6"/>
      <c r="G132" s="6"/>
      <c r="H132" s="6"/>
      <c r="I132" s="6"/>
      <c r="J132" s="24"/>
    </row>
    <row r="133" spans="1:10">
      <c r="A133" s="124" t="s">
        <v>146</v>
      </c>
      <c r="B133" s="124"/>
      <c r="C133" s="119" t="s">
        <v>0</v>
      </c>
      <c r="D133" s="119"/>
      <c r="E133" s="119"/>
      <c r="F133" s="119"/>
      <c r="G133" s="6"/>
      <c r="H133" s="6"/>
      <c r="I133" s="6"/>
    </row>
    <row r="134" spans="1:10">
      <c r="A134" s="22"/>
      <c r="B134" s="5"/>
      <c r="C134" s="8"/>
      <c r="D134" s="7"/>
      <c r="E134" s="6"/>
      <c r="F134" s="6"/>
      <c r="G134" s="6"/>
      <c r="H134" s="6"/>
      <c r="I134" s="6"/>
    </row>
    <row r="135" spans="1:10">
      <c r="A135" s="116" t="s">
        <v>147</v>
      </c>
      <c r="B135" s="117"/>
      <c r="C135" s="29"/>
      <c r="D135" s="7"/>
      <c r="E135" s="22"/>
      <c r="F135" s="22"/>
      <c r="G135" s="22"/>
      <c r="H135" s="22"/>
      <c r="I135" s="22"/>
    </row>
    <row r="136" spans="1:10">
      <c r="A136" s="57" t="s">
        <v>151</v>
      </c>
      <c r="B136" s="100"/>
      <c r="C136" s="29"/>
      <c r="D136" s="7"/>
      <c r="E136" s="22"/>
      <c r="F136" s="22"/>
      <c r="G136" s="22"/>
      <c r="H136" s="22"/>
      <c r="I136" s="22"/>
    </row>
    <row r="137" spans="1:10">
      <c r="A137" s="101" t="s">
        <v>149</v>
      </c>
      <c r="B137" s="101"/>
      <c r="C137" s="101"/>
      <c r="D137" s="7"/>
      <c r="E137" s="22"/>
      <c r="F137" s="22"/>
      <c r="G137" s="22"/>
      <c r="H137" s="22"/>
      <c r="I137" s="22"/>
    </row>
    <row r="138" spans="1:10">
      <c r="A138" s="101"/>
      <c r="B138" s="101"/>
      <c r="C138" s="101"/>
      <c r="D138" s="7"/>
      <c r="E138" s="22"/>
      <c r="F138" s="22"/>
      <c r="G138" s="22"/>
      <c r="H138" s="22"/>
      <c r="I138" s="22"/>
    </row>
    <row r="139" spans="1:10">
      <c r="A139" s="57" t="s">
        <v>152</v>
      </c>
      <c r="B139" s="101"/>
      <c r="C139" s="101"/>
      <c r="D139" s="7"/>
      <c r="E139" s="22"/>
      <c r="F139" s="22"/>
      <c r="G139" s="22"/>
      <c r="H139" s="22"/>
      <c r="I139" s="22"/>
    </row>
    <row r="140" spans="1:10">
      <c r="A140" s="101" t="s">
        <v>150</v>
      </c>
      <c r="B140" s="101"/>
      <c r="C140" s="101"/>
      <c r="D140" s="7"/>
      <c r="E140" s="22"/>
      <c r="F140" s="22"/>
      <c r="G140" s="22"/>
      <c r="H140" s="22"/>
      <c r="I140" s="22"/>
    </row>
    <row r="141" spans="1:10">
      <c r="A141" s="30"/>
      <c r="B141" s="30"/>
      <c r="C141" s="30"/>
    </row>
  </sheetData>
  <mergeCells count="11">
    <mergeCell ref="A135:B135"/>
    <mergeCell ref="C123:D123"/>
    <mergeCell ref="C133:F133"/>
    <mergeCell ref="B1:I1"/>
    <mergeCell ref="B2:I2"/>
    <mergeCell ref="B3:I3"/>
    <mergeCell ref="A91:I92"/>
    <mergeCell ref="A123:B123"/>
    <mergeCell ref="A133:B133"/>
    <mergeCell ref="A101:B101"/>
    <mergeCell ref="A109:B109"/>
  </mergeCells>
  <hyperlinks>
    <hyperlink ref="A137" r:id="rId1" xr:uid="{00000000-0004-0000-0000-000000000000}"/>
    <hyperlink ref="A140"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2026-03-07T12:22:59Z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