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SD" sheetId="1" r:id="rId1"/>
  </sheets>
  <definedNames>
    <definedName name="_xlnm._FilterDatabase" localSheetId="0" hidden="1">SD!$A$4:$F$49</definedName>
    <definedName name="Afs">#REF!</definedName>
    <definedName name="_xlnm.Database">#REF!</definedName>
    <definedName name="EBLDB">#REF!</definedName>
    <definedName name="fl">#REF!</definedName>
    <definedName name="_xlnm.Print_Area" localSheetId="0">SD!$A$1:$E$37</definedName>
  </definedNames>
  <calcPr calcId="162913"/>
</workbook>
</file>

<file path=xl/calcChain.xml><?xml version="1.0" encoding="utf-8"?>
<calcChain xmlns="http://schemas.openxmlformats.org/spreadsheetml/2006/main">
  <c r="D41" i="1" l="1"/>
  <c r="E40" i="1"/>
  <c r="E41" i="1" s="1"/>
  <c r="D38" i="1"/>
  <c r="E37" i="1"/>
  <c r="E36" i="1"/>
  <c r="E38" i="1" s="1"/>
  <c r="D32" i="1"/>
  <c r="E31" i="1"/>
  <c r="E30" i="1"/>
  <c r="E29" i="1"/>
  <c r="E28" i="1"/>
  <c r="E27" i="1"/>
  <c r="E26" i="1"/>
  <c r="E25" i="1"/>
  <c r="F15" i="1"/>
  <c r="F43" i="1"/>
  <c r="D11" i="1"/>
  <c r="D15" i="1"/>
  <c r="D43" i="1" s="1"/>
  <c r="D45" i="1" s="1"/>
  <c r="E45" i="1" s="1"/>
  <c r="E10" i="1"/>
  <c r="E9" i="1"/>
  <c r="E8" i="1"/>
  <c r="E7" i="1"/>
  <c r="E11" i="1" s="1"/>
  <c r="E15" i="1" s="1"/>
  <c r="E43" i="1" s="1"/>
  <c r="E47" i="1" s="1"/>
  <c r="E32" i="1"/>
</calcChain>
</file>

<file path=xl/sharedStrings.xml><?xml version="1.0" encoding="utf-8"?>
<sst xmlns="http://schemas.openxmlformats.org/spreadsheetml/2006/main" count="113" uniqueCount="88">
  <si>
    <t>JM Short Duration Fund (An open-ended short duration debt scheme investing in instruments such that the Macaulay duration of the portfolio is between 1 year and 3 years. A moderate interest rate risk and moderate credit risk.)</t>
  </si>
  <si>
    <t>Portfolio as on 31.03.2023</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</si>
  <si>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</si>
  <si>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</si>
  <si>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</si>
  <si>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</si>
  <si>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</si>
  <si>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</si>
  <si>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</si>
  <si>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</si>
  <si>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</si>
  <si>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</si>
  <si>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</si>
  <si>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</si>
  <si>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</si>
  <si>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Housing Development Finance Company Ltd.**</t>
  </si>
  <si>
    <t>INE001A07RJ2</t>
  </si>
  <si>
    <t>Indian Railway Finance Corporation Ltd.**</t>
  </si>
  <si>
    <t>INE053F07BB3</t>
  </si>
  <si>
    <t>National Housing Bank Ltd.**</t>
  </si>
  <si>
    <t>INE557F08FG1</t>
  </si>
  <si>
    <t>Sub Total:</t>
  </si>
  <si>
    <t>b) Privately Placed / Unlisted</t>
  </si>
  <si>
    <t>NIL</t>
  </si>
  <si>
    <t>Total:</t>
  </si>
  <si>
    <t>TERM DEPOSITS</t>
  </si>
  <si>
    <t>Deposits (Maturity not exceeding 91 days)</t>
  </si>
  <si>
    <t>Deposits (Placed as F &amp; O margin)</t>
  </si>
  <si>
    <t>GOVERNMENT SECURITIES</t>
  </si>
  <si>
    <t>5.63% Government of India Securities 2026 12/04/2026</t>
  </si>
  <si>
    <t>Sovereign</t>
  </si>
  <si>
    <t>IN0020210012</t>
  </si>
  <si>
    <t>7.38% Government of India Securities 2027 20/06/2027</t>
  </si>
  <si>
    <t>IN0020220037</t>
  </si>
  <si>
    <t>7.96% Gujarat SDL 2025 14/10/2025</t>
  </si>
  <si>
    <t>IN1520150062</t>
  </si>
  <si>
    <t>7.10% Government of India Securities 2029 18/04/2029</t>
  </si>
  <si>
    <t>IN0020220011</t>
  </si>
  <si>
    <t>5.22% Government of India Securities 2025 15/06/2025</t>
  </si>
  <si>
    <t>IN0020200112</t>
  </si>
  <si>
    <t>5.74% Government of India Securities 2026 15/11/2026</t>
  </si>
  <si>
    <t>IN0020210186</t>
  </si>
  <si>
    <t>6.69% Government of India Securities 2024 27/06/2024</t>
  </si>
  <si>
    <t>IN0020220052</t>
  </si>
  <si>
    <t>MONEY MARKET INSTRUMENTS</t>
  </si>
  <si>
    <t>Certificate of Deposit (CD) / Commercial Paper (CP)</t>
  </si>
  <si>
    <t>Kotak Mahindra Bank CD**</t>
  </si>
  <si>
    <t>CRISIL A1+</t>
  </si>
  <si>
    <t>INE237A162Q1</t>
  </si>
  <si>
    <t>Bank of Baroda CD</t>
  </si>
  <si>
    <t>IND A1+</t>
  </si>
  <si>
    <t>INE028A16CZ4</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</si>
  <si>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</si>
  <si>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</si>
  <si>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</si>
  <si>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</si>
  <si>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</si>
  <si>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</si>
  <si>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</si>
  <si>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</si>
  <si>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</si>
  <si>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</si>
  <si>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</si>
  <si>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</si>
  <si>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</si>
  <si>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</si>
  <si>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</si>
  <si>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</si>
  <si>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</si>
  <si>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</si>
  <si>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</si>
  <si>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</si>
  <si>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</si>
  <si>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</si>
  <si>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</si>
  <si>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B-II</t>
  </si>
  <si>
    <t>Relatively High Class (Class III)</t>
  </si>
  <si>
    <t>Portfolio Information</t>
  </si>
  <si>
    <t>Scheme Name :</t>
  </si>
  <si>
    <t>Description (if any)</t>
  </si>
  <si>
    <t>Annualised Portfolio YTM* :</t>
  </si>
  <si>
    <t>Macaulay Duration</t>
  </si>
  <si>
    <t>Residual Maturity</t>
  </si>
  <si>
    <t xml:space="preserve">As on (Date) </t>
  </si>
  <si>
    <t>31.03.2023</t>
  </si>
  <si>
    <t xml:space="preserve">* in case of semi annual YTM,  it will be annualised </t>
  </si>
  <si>
    <t>CRISIL Short Duration Fund BII Index #</t>
  </si>
  <si>
    <t>#The Benchmark of the scheme has been revised to CRISIL Short Duration Debt B-II Index w.e.f April 03,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</si>
</sst>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1"/>
      <color indexed="8"/>
      <name val="Times New Roman"/>
      <family val="1"/>
    </font>
    <font>
      <sz val="10"/>
      <color indexed="8"/>
      <name val="Arial"/>
      <family val="2"/>
    </font>
    <font>
      <b/>
      <sz val="11"/>
      <color indexed="8"/>
      <name val="Times New Roman"/>
      <family val="1"/>
    </font>
    <font>
      <sz val="11"/>
      <name val="Arial"/>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11"/>
      <color indexed="8"/>
      <name val="Trebuchet MS"/>
      <family val="2"/>
    </font>
    <font>
      <sz val="8"/>
      <name val="Arial"/>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86">
    <xf numFmtId="0" fontId="0" fillId="0" borderId="0" xfId="0"/>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5" fontId="4" fillId="0" borderId="2" xfId="1" applyNumberFormat="1" applyFont="1" applyFill="1" applyBorder="1" applyAlignment="1">
      <alignment horizontal="right"/>
    </xf>
    <xf numFmtId="0" fontId="3" fillId="0" borderId="2" xfId="0" applyFont="1" applyBorder="1"/>
    <xf numFmtId="4"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0" fontId="3" fillId="0" borderId="0" xfId="3" applyFont="1" applyFill="1" applyAlignment="1">
      <alignment horizontal="right"/>
    </xf>
    <xf numFmtId="0" fontId="3" fillId="0" borderId="0" xfId="3" applyFont="1"/>
    <xf numFmtId="0" fontId="3" fillId="0" borderId="0" xfId="0" applyFont="1" applyFill="1" applyBorder="1" applyAlignment="1">
      <alignment horizontal="right"/>
    </xf>
    <xf numFmtId="0" fontId="8" fillId="0" borderId="0" xfId="6" applyFont="1" applyBorder="1"/>
    <xf numFmtId="0" fontId="6" fillId="0" borderId="0" xfId="6" applyBorder="1"/>
    <xf numFmtId="0" fontId="2" fillId="0" borderId="0" xfId="3" applyFont="1" applyFill="1" applyBorder="1" applyAlignment="1">
      <alignment horizontal="left" wrapText="1"/>
    </xf>
    <xf numFmtId="0" fontId="1" fillId="0" borderId="0" xfId="3"/>
    <xf numFmtId="0" fontId="9" fillId="0" borderId="0" xfId="5" applyFont="1" applyBorder="1"/>
    <xf numFmtId="0" fontId="10" fillId="0" borderId="0" xfId="0" applyFont="1" applyAlignment="1">
      <alignment vertical="top" wrapText="1"/>
    </xf>
    <xf numFmtId="0" fontId="11" fillId="0" borderId="0" xfId="5" applyFont="1"/>
    <xf numFmtId="0" fontId="3" fillId="0" borderId="0" xfId="0" applyFont="1" applyAlignment="1">
      <alignment horizontal="left" wrapText="1"/>
    </xf>
    <xf numFmtId="0" fontId="4" fillId="0" borderId="0" xfId="0" applyFont="1"/>
    <xf numFmtId="0" fontId="4" fillId="0" borderId="0" xfId="0" applyFont="1" applyFill="1"/>
    <xf numFmtId="0" fontId="3" fillId="0" borderId="0" xfId="0" applyFont="1" applyAlignment="1">
      <alignment wrapText="1"/>
    </xf>
    <xf numFmtId="165" fontId="3" fillId="0" borderId="0" xfId="1" applyNumberFormat="1" applyFont="1"/>
    <xf numFmtId="0" fontId="12" fillId="0" borderId="0" xfId="0" applyFont="1" applyBorder="1" applyAlignment="1">
      <alignment horizontal="center"/>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0" fontId="13" fillId="0" borderId="3" xfId="0" applyFont="1" applyBorder="1" applyAlignment="1">
      <alignment vertical="center" wrapText="1"/>
    </xf>
    <xf numFmtId="0" fontId="15" fillId="0" borderId="3" xfId="0" applyFont="1" applyBorder="1" applyAlignment="1">
      <alignment vertical="center" wrapText="1"/>
    </xf>
    <xf numFmtId="0" fontId="16" fillId="0" borderId="4" xfId="0" applyFont="1" applyBorder="1" applyAlignment="1">
      <alignment vertical="center" wrapText="1"/>
    </xf>
    <xf numFmtId="0" fontId="17" fillId="3" borderId="4"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2" xfId="0" applyFont="1" applyBorder="1" applyAlignment="1">
      <alignment wrapText="1"/>
    </xf>
    <xf numFmtId="0" fontId="3" fillId="0" borderId="2" xfId="0" applyFont="1" applyBorder="1" applyAlignment="1">
      <alignment horizontal="left" wrapText="1"/>
    </xf>
    <xf numFmtId="166" fontId="3" fillId="0" borderId="2" xfId="0" applyNumberFormat="1" applyFont="1" applyFill="1" applyBorder="1" applyAlignment="1">
      <alignment horizontal="center" wrapText="1"/>
    </xf>
    <xf numFmtId="166" fontId="0" fillId="0" borderId="2" xfId="0" applyNumberFormat="1" applyBorder="1" applyAlignment="1">
      <alignment horizontal="center"/>
    </xf>
    <xf numFmtId="0" fontId="3" fillId="0" borderId="2" xfId="0" applyFont="1" applyFill="1" applyBorder="1" applyAlignment="1">
      <alignment horizontal="center" wrapText="1"/>
    </xf>
    <xf numFmtId="0" fontId="3" fillId="0" borderId="5" xfId="0" applyFont="1" applyBorder="1" applyAlignment="1">
      <alignment horizontal="left" wrapText="1"/>
    </xf>
    <xf numFmtId="0" fontId="3" fillId="0" borderId="6" xfId="0" applyFont="1" applyBorder="1" applyAlignment="1">
      <alignment horizontal="left" wrapText="1"/>
    </xf>
    <xf numFmtId="2" fontId="0" fillId="0" borderId="2" xfId="0" applyNumberFormat="1" applyFont="1" applyFill="1" applyBorder="1" applyAlignment="1">
      <alignment horizontal="center" wrapText="1"/>
    </xf>
    <xf numFmtId="0" fontId="2" fillId="2" borderId="0" xfId="0" applyFont="1" applyFill="1" applyBorder="1" applyAlignment="1">
      <alignment horizontal="left" wrapText="1"/>
    </xf>
    <xf numFmtId="0" fontId="2" fillId="2" borderId="1" xfId="0" applyFont="1" applyFill="1" applyBorder="1" applyAlignment="1">
      <alignment horizontal="left" wrapText="1"/>
    </xf>
    <xf numFmtId="0" fontId="2" fillId="2" borderId="7" xfId="0" applyFont="1" applyFill="1" applyBorder="1" applyAlignment="1">
      <alignment horizontal="left" wrapText="1"/>
    </xf>
    <xf numFmtId="0" fontId="5" fillId="0" borderId="0" xfId="4" applyFont="1" applyAlignment="1">
      <alignment horizontal="left"/>
    </xf>
    <xf numFmtId="0" fontId="12" fillId="0" borderId="0" xfId="0" applyFont="1" applyBorder="1" applyAlignment="1">
      <alignment horizontal="center"/>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 xfId="0" applyFont="1" applyBorder="1" applyAlignment="1">
      <alignment horizontal="left" vertical="center" wrapText="1"/>
    </xf>
    <xf numFmtId="0" fontId="13" fillId="0" borderId="11" xfId="0" applyFont="1" applyBorder="1" applyAlignment="1">
      <alignment horizontal="left" vertical="top" wrapText="1"/>
    </xf>
    <xf numFmtId="0" fontId="13" fillId="0" borderId="3" xfId="0" applyFont="1" applyBorder="1" applyAlignment="1">
      <alignment horizontal="left" vertical="top" wrapText="1"/>
    </xf>
    <xf numFmtId="0" fontId="5" fillId="0" borderId="0" xfId="4" applyFont="1" applyAlignment="1">
      <alignment horizontal="left" vertical="top" wrapText="1"/>
    </xf>
    <xf numFmtId="0" fontId="6" fillId="0" borderId="0" xfId="6" applyBorder="1" applyAlignment="1">
      <alignment horizontal="left" vertical="center"/>
    </xf>
    <xf numFmtId="0" fontId="7" fillId="0" borderId="0" xfId="6" applyFont="1" applyBorder="1" applyAlignment="1">
      <alignment horizontal="left" vertical="center" wrapText="1"/>
    </xf>
  </cellXfs>
  <cellStyles count="7">
    <cellStyle name="Comma" xfId="1" builtinId="3"/>
    <cellStyle name="Comma 4 2" xfId="2"/>
    <cellStyle name="Normal" xfId="0" builtinId="0"/>
    <cellStyle name="Normal 2 2" xfId="3"/>
    <cellStyle name="Normal 2 3 2" xfId="4"/>
    <cellStyle name="Normal 4_IF" xfId="5"/>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495300</xdr:colOff>
      <xdr:row>62</xdr:row>
      <xdr:rowOff>95250</xdr:rowOff>
    </xdr:from>
    <xdr:to>
      <xdr:col>5</xdr:col>
      <xdr:colOff>742950</xdr:colOff>
      <xdr:row>75</xdr:row>
      <xdr:rowOff>85725</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5667375" y="11725275"/>
          <a:ext cx="3667125" cy="2114550"/>
        </a:xfrm>
        <a:prstGeom prst="rect">
          <a:avLst/>
        </a:prstGeom>
        <a:noFill/>
        <a:ln w="9525">
          <a:noFill/>
          <a:miter lim="800000"/>
          <a:headEnd/>
          <a:tailEnd/>
        </a:ln>
      </xdr:spPr>
    </xdr:pic>
    <xdr:clientData/>
  </xdr:twoCellAnchor>
  <xdr:twoCellAnchor editAs="oneCell">
    <xdr:from>
      <xdr:col>0</xdr:col>
      <xdr:colOff>190500</xdr:colOff>
      <xdr:row>62</xdr:row>
      <xdr:rowOff>9525</xdr:rowOff>
    </xdr:from>
    <xdr:to>
      <xdr:col>0</xdr:col>
      <xdr:colOff>3952875</xdr:colOff>
      <xdr:row>75</xdr:row>
      <xdr:rowOff>57150</xdr:rowOff>
    </xdr:to>
    <xdr:pic>
      <xdr:nvPicPr>
        <xdr:cNvPr id="1026" name="Picture 3"/>
        <xdr:cNvPicPr>
          <a:picLocks noChangeAspect="1"/>
        </xdr:cNvPicPr>
      </xdr:nvPicPr>
      <xdr:blipFill>
        <a:blip xmlns:r="http://schemas.openxmlformats.org/officeDocument/2006/relationships" r:embed="rId2" cstate="print"/>
        <a:srcRect/>
        <a:stretch>
          <a:fillRect/>
        </a:stretch>
      </xdr:blipFill>
      <xdr:spPr bwMode="auto">
        <a:xfrm>
          <a:off x="190500" y="11639550"/>
          <a:ext cx="3762375" cy="21717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11"/>
    <pageSetUpPr fitToPage="1"/>
  </sheetPr>
  <dimension ref="A1:K100"/>
  <sheetViews>
    <sheetView tabSelected="1" zoomScaleNormal="100" workbookViewId="0">
      <pane xSplit="1" ySplit="4" topLeftCell="B50" activePane="bottomRight" state="frozen"/>
      <selection activeCell="A88" sqref="A88:E89"/>
      <selection pane="topRight" activeCell="A88" sqref="A88:E89"/>
      <selection pane="bottomLeft" activeCell="A88" sqref="A88:E89"/>
      <selection pane="bottomRight" activeCell="A100" sqref="A100"/>
    </sheetView>
  </sheetViews>
  <sheetFormatPr defaultRowHeight="12.75" x14ac:dyDescent="0.2"/>
  <cols>
    <col min="1" max="1" width="62.5703125" style="50" customWidth="1"/>
    <col min="2" max="2" width="15" style="47" customWidth="1"/>
    <col min="3" max="3" width="18.42578125" style="51" customWidth="1"/>
    <col min="4" max="4" width="17.1406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1" t="s">
        <v>0</v>
      </c>
      <c r="B1" s="71"/>
      <c r="C1" s="71"/>
      <c r="D1" s="71"/>
      <c r="E1" s="71"/>
      <c r="F1" s="71"/>
      <c r="G1" s="71"/>
      <c r="H1" s="71"/>
    </row>
    <row r="2" spans="1:8" x14ac:dyDescent="0.2">
      <c r="A2" s="72"/>
      <c r="B2" s="72"/>
      <c r="C2" s="72"/>
      <c r="D2" s="72"/>
      <c r="E2" s="72"/>
      <c r="F2" s="72"/>
      <c r="G2" s="72"/>
      <c r="H2" s="72"/>
    </row>
    <row r="3" spans="1:8" x14ac:dyDescent="0.2">
      <c r="A3" s="73" t="s">
        <v>1</v>
      </c>
      <c r="B3" s="73"/>
      <c r="C3" s="73"/>
      <c r="D3" s="73"/>
      <c r="E3" s="73"/>
      <c r="F3" s="73"/>
      <c r="G3" s="2"/>
      <c r="H3" s="2"/>
    </row>
    <row r="4" spans="1:8" s="8" customFormat="1" ht="38.25" x14ac:dyDescent="0.2">
      <c r="A4" s="3" t="s">
        <v>2</v>
      </c>
      <c r="B4" s="4" t="s">
        <v>3</v>
      </c>
      <c r="C4" s="5" t="s">
        <v>4</v>
      </c>
      <c r="D4" s="3" t="s">
        <v>5</v>
      </c>
      <c r="E4" s="3" t="s">
        <v>6</v>
      </c>
      <c r="F4" s="3" t="s">
        <v>7</v>
      </c>
      <c r="G4" s="6" t="s">
        <v>8</v>
      </c>
      <c r="H4" s="7" t="s">
        <v>9</v>
      </c>
    </row>
    <row r="5" spans="1:8" s="16" customFormat="1" x14ac:dyDescent="0.2">
      <c r="A5" s="9" t="s">
        <v>10</v>
      </c>
      <c r="B5" s="10"/>
      <c r="C5" s="11"/>
      <c r="D5" s="12"/>
      <c r="E5" s="12"/>
      <c r="F5" s="13"/>
      <c r="G5" s="14"/>
      <c r="H5" s="15"/>
    </row>
    <row r="6" spans="1:8" s="16" customFormat="1" x14ac:dyDescent="0.2">
      <c r="A6" s="9" t="s">
        <v>11</v>
      </c>
      <c r="B6" s="10"/>
      <c r="C6" s="11"/>
      <c r="D6" s="17"/>
      <c r="E6" s="17"/>
      <c r="F6" s="17"/>
      <c r="G6" s="14"/>
      <c r="H6" s="15"/>
    </row>
    <row r="7" spans="1:8" s="16" customFormat="1" x14ac:dyDescent="0.2">
      <c r="A7" s="18" t="s">
        <v>12</v>
      </c>
      <c r="B7" s="19" t="s">
        <v>13</v>
      </c>
      <c r="C7" s="20">
        <v>100</v>
      </c>
      <c r="D7" s="21">
        <v>1010.612</v>
      </c>
      <c r="E7" s="21">
        <f>(+D7/$D$47*100)</f>
        <v>9.234119374875517</v>
      </c>
      <c r="F7" s="21" t="s">
        <v>14</v>
      </c>
      <c r="G7" s="14">
        <v>7.45</v>
      </c>
      <c r="H7" s="15"/>
    </row>
    <row r="8" spans="1:8" s="16" customFormat="1" x14ac:dyDescent="0.2">
      <c r="A8" s="18" t="s">
        <v>15</v>
      </c>
      <c r="B8" s="19" t="s">
        <v>13</v>
      </c>
      <c r="C8" s="20">
        <v>100</v>
      </c>
      <c r="D8" s="21">
        <v>1006.665</v>
      </c>
      <c r="E8" s="21">
        <f>(+D8/$D$47*100)</f>
        <v>9.1980550206301359</v>
      </c>
      <c r="F8" s="21" t="s">
        <v>16</v>
      </c>
      <c r="G8" s="14">
        <v>7.7042999999999999</v>
      </c>
      <c r="H8" s="15"/>
    </row>
    <row r="9" spans="1:8" s="16" customFormat="1" x14ac:dyDescent="0.2">
      <c r="A9" s="18" t="s">
        <v>17</v>
      </c>
      <c r="B9" s="19" t="s">
        <v>13</v>
      </c>
      <c r="C9" s="20">
        <v>100</v>
      </c>
      <c r="D9" s="21">
        <v>1005.567</v>
      </c>
      <c r="E9" s="21">
        <f>(+D9/$D$47*100)</f>
        <v>9.1880224234775074</v>
      </c>
      <c r="F9" s="21" t="s">
        <v>18</v>
      </c>
      <c r="G9" s="14">
        <v>7.5857999999999999</v>
      </c>
      <c r="H9" s="15"/>
    </row>
    <row r="10" spans="1:8" s="16" customFormat="1" x14ac:dyDescent="0.2">
      <c r="A10" s="18" t="s">
        <v>19</v>
      </c>
      <c r="B10" s="19" t="s">
        <v>13</v>
      </c>
      <c r="C10" s="20">
        <v>100</v>
      </c>
      <c r="D10" s="21">
        <v>989.9</v>
      </c>
      <c r="E10" s="21">
        <f>(+D10/$D$47*100)</f>
        <v>9.0448706023570615</v>
      </c>
      <c r="F10" s="21" t="s">
        <v>20</v>
      </c>
      <c r="G10" s="14">
        <v>7.6668000000000003</v>
      </c>
      <c r="H10" s="15"/>
    </row>
    <row r="11" spans="1:8" s="16" customFormat="1" x14ac:dyDescent="0.2">
      <c r="A11" s="9" t="s">
        <v>21</v>
      </c>
      <c r="B11" s="10"/>
      <c r="C11" s="22"/>
      <c r="D11" s="12">
        <f>IF(ISERROR(SUM(D7:D10)),0,SUM(D7:D10))</f>
        <v>4012.7440000000001</v>
      </c>
      <c r="E11" s="12">
        <f>IF(ISERROR(SUM(E7:E10)),0,SUM(E7:E10))</f>
        <v>36.665067421340225</v>
      </c>
      <c r="F11" s="12"/>
      <c r="G11" s="23"/>
      <c r="H11" s="15"/>
    </row>
    <row r="12" spans="1:8" s="16" customFormat="1" x14ac:dyDescent="0.2">
      <c r="A12" s="9"/>
      <c r="B12" s="10"/>
      <c r="C12" s="22"/>
      <c r="D12" s="17"/>
      <c r="E12" s="17"/>
      <c r="F12" s="17"/>
      <c r="G12" s="23"/>
      <c r="H12" s="15"/>
    </row>
    <row r="13" spans="1:8" s="16" customFormat="1" x14ac:dyDescent="0.2">
      <c r="A13" s="9" t="s">
        <v>22</v>
      </c>
      <c r="B13" s="10"/>
      <c r="C13" s="22"/>
      <c r="D13" s="12" t="s">
        <v>23</v>
      </c>
      <c r="E13" s="12" t="s">
        <v>23</v>
      </c>
      <c r="F13" s="13"/>
      <c r="G13" s="23"/>
      <c r="H13" s="15"/>
    </row>
    <row r="14" spans="1:8" s="16" customFormat="1" x14ac:dyDescent="0.2">
      <c r="A14" s="9"/>
      <c r="B14" s="10"/>
      <c r="C14" s="22"/>
      <c r="D14" s="17"/>
      <c r="E14" s="17"/>
      <c r="F14" s="17"/>
      <c r="G14" s="23"/>
      <c r="H14" s="15"/>
    </row>
    <row r="15" spans="1:8" s="16" customFormat="1" x14ac:dyDescent="0.2">
      <c r="A15" s="9" t="s">
        <v>24</v>
      </c>
      <c r="B15" s="10"/>
      <c r="C15" s="22"/>
      <c r="D15" s="12">
        <f>IF(ISERROR(+D11),0,D11)+IF(ISERROR(+#REF!),0,#REF!)+IF(ISERROR(+#REF!),0,#REF!)</f>
        <v>4012.7440000000001</v>
      </c>
      <c r="E15" s="12">
        <f>IF(ISERROR(+E11),0,E11)+IF(ISERROR(+#REF!),0,#REF!)+IF(ISERROR(+#REF!),0,#REF!)</f>
        <v>36.665067421340225</v>
      </c>
      <c r="F15" s="12">
        <f>IF(ISERROR(+F11),0,F11)+IF(ISERROR(+#REF!),0,#REF!)+IF(ISERROR(+#REF!),0,#REF!)</f>
        <v>0</v>
      </c>
      <c r="G15" s="23"/>
      <c r="H15" s="15"/>
    </row>
    <row r="16" spans="1:8" s="16" customFormat="1" x14ac:dyDescent="0.2">
      <c r="A16" s="9"/>
      <c r="B16" s="10"/>
      <c r="C16" s="22"/>
      <c r="D16" s="12"/>
      <c r="E16" s="12"/>
      <c r="F16" s="12"/>
      <c r="G16" s="23"/>
      <c r="H16" s="15"/>
    </row>
    <row r="17" spans="1:8" s="16" customFormat="1" x14ac:dyDescent="0.2">
      <c r="A17" s="9" t="s">
        <v>25</v>
      </c>
      <c r="B17" s="10"/>
      <c r="C17" s="22"/>
      <c r="D17" s="12"/>
      <c r="E17" s="12"/>
      <c r="F17" s="12"/>
      <c r="G17" s="23"/>
      <c r="H17" s="15"/>
    </row>
    <row r="18" spans="1:8" s="16" customFormat="1" x14ac:dyDescent="0.2">
      <c r="A18" s="9"/>
      <c r="B18" s="10"/>
      <c r="C18" s="22"/>
      <c r="D18" s="12"/>
      <c r="E18" s="12"/>
      <c r="F18" s="12"/>
      <c r="G18" s="23"/>
      <c r="H18" s="15"/>
    </row>
    <row r="19" spans="1:8" s="16" customFormat="1" x14ac:dyDescent="0.2">
      <c r="A19" s="9" t="s">
        <v>26</v>
      </c>
      <c r="B19" s="10"/>
      <c r="C19" s="22"/>
      <c r="D19" s="12" t="s">
        <v>23</v>
      </c>
      <c r="E19" s="12" t="s">
        <v>23</v>
      </c>
      <c r="F19" s="12"/>
      <c r="G19" s="23"/>
      <c r="H19" s="15"/>
    </row>
    <row r="20" spans="1:8" s="16" customFormat="1" x14ac:dyDescent="0.2">
      <c r="A20" s="9"/>
      <c r="B20" s="10"/>
      <c r="C20" s="22"/>
      <c r="D20" s="12"/>
      <c r="E20" s="12"/>
      <c r="F20" s="12"/>
      <c r="G20" s="23"/>
      <c r="H20" s="15"/>
    </row>
    <row r="21" spans="1:8" s="16" customFormat="1" x14ac:dyDescent="0.2">
      <c r="A21" s="9" t="s">
        <v>27</v>
      </c>
      <c r="B21" s="10"/>
      <c r="C21" s="22"/>
      <c r="D21" s="12" t="s">
        <v>23</v>
      </c>
      <c r="E21" s="12" t="s">
        <v>23</v>
      </c>
      <c r="F21" s="12"/>
      <c r="G21" s="23"/>
      <c r="H21" s="15"/>
    </row>
    <row r="22" spans="1:8" s="16" customFormat="1" x14ac:dyDescent="0.2">
      <c r="A22" s="9"/>
      <c r="B22" s="10"/>
      <c r="C22" s="22"/>
      <c r="D22" s="12"/>
      <c r="E22" s="12"/>
      <c r="F22" s="12"/>
      <c r="G22" s="23"/>
      <c r="H22" s="15"/>
    </row>
    <row r="23" spans="1:8" s="16" customFormat="1" x14ac:dyDescent="0.2">
      <c r="A23" s="9"/>
      <c r="B23" s="10"/>
      <c r="C23" s="22"/>
      <c r="D23" s="12"/>
      <c r="E23" s="12"/>
      <c r="F23" s="12"/>
      <c r="G23" s="23"/>
      <c r="H23" s="15"/>
    </row>
    <row r="24" spans="1:8" s="16" customFormat="1" x14ac:dyDescent="0.2">
      <c r="A24" s="9" t="s">
        <v>28</v>
      </c>
      <c r="B24" s="10"/>
      <c r="C24" s="22"/>
      <c r="D24" s="12"/>
      <c r="E24" s="12"/>
      <c r="F24" s="12"/>
      <c r="G24" s="23"/>
      <c r="H24" s="15"/>
    </row>
    <row r="25" spans="1:8" s="16" customFormat="1" x14ac:dyDescent="0.2">
      <c r="A25" s="18" t="s">
        <v>29</v>
      </c>
      <c r="B25" s="19" t="s">
        <v>30</v>
      </c>
      <c r="C25" s="20">
        <v>1300000</v>
      </c>
      <c r="D25" s="21">
        <v>1246.7832000000001</v>
      </c>
      <c r="E25" s="21">
        <f t="shared" ref="E25:E31" si="0">(+D25/$D$47*100)</f>
        <v>11.392052442865609</v>
      </c>
      <c r="F25" s="21" t="s">
        <v>31</v>
      </c>
      <c r="G25" s="14">
        <v>7.1554000000000002</v>
      </c>
      <c r="H25" s="15"/>
    </row>
    <row r="26" spans="1:8" s="16" customFormat="1" x14ac:dyDescent="0.2">
      <c r="A26" s="18" t="s">
        <v>32</v>
      </c>
      <c r="B26" s="19" t="s">
        <v>30</v>
      </c>
      <c r="C26" s="20">
        <v>1100000</v>
      </c>
      <c r="D26" s="21">
        <v>1107.6713999999999</v>
      </c>
      <c r="E26" s="21">
        <f t="shared" si="0"/>
        <v>10.120966241975644</v>
      </c>
      <c r="F26" s="21" t="s">
        <v>33</v>
      </c>
      <c r="G26" s="14">
        <v>7.181</v>
      </c>
      <c r="H26" s="15"/>
    </row>
    <row r="27" spans="1:8" s="16" customFormat="1" x14ac:dyDescent="0.2">
      <c r="A27" s="18" t="s">
        <v>34</v>
      </c>
      <c r="B27" s="19" t="s">
        <v>30</v>
      </c>
      <c r="C27" s="20">
        <v>500000</v>
      </c>
      <c r="D27" s="21">
        <v>507.51900000000001</v>
      </c>
      <c r="E27" s="21">
        <f t="shared" si="0"/>
        <v>4.6372802133929225</v>
      </c>
      <c r="F27" s="21" t="s">
        <v>35</v>
      </c>
      <c r="G27" s="14">
        <v>7.2976999999999999</v>
      </c>
      <c r="H27" s="15"/>
    </row>
    <row r="28" spans="1:8" s="16" customFormat="1" x14ac:dyDescent="0.2">
      <c r="A28" s="18" t="s">
        <v>36</v>
      </c>
      <c r="B28" s="19" t="s">
        <v>30</v>
      </c>
      <c r="C28" s="20">
        <v>500000</v>
      </c>
      <c r="D28" s="21">
        <v>496.88900000000001</v>
      </c>
      <c r="E28" s="21">
        <f t="shared" si="0"/>
        <v>4.5401522464234754</v>
      </c>
      <c r="F28" s="21" t="s">
        <v>37</v>
      </c>
      <c r="G28" s="14">
        <v>7.2276999999999996</v>
      </c>
      <c r="H28" s="15"/>
    </row>
    <row r="29" spans="1:8" s="16" customFormat="1" x14ac:dyDescent="0.2">
      <c r="A29" s="18" t="s">
        <v>38</v>
      </c>
      <c r="B29" s="19" t="s">
        <v>30</v>
      </c>
      <c r="C29" s="20">
        <v>500000</v>
      </c>
      <c r="D29" s="21">
        <v>481.09750000000003</v>
      </c>
      <c r="E29" s="21">
        <f t="shared" si="0"/>
        <v>4.3958628493963801</v>
      </c>
      <c r="F29" s="21" t="s">
        <v>39</v>
      </c>
      <c r="G29" s="14">
        <v>7.0964</v>
      </c>
      <c r="H29" s="15"/>
    </row>
    <row r="30" spans="1:8" s="16" customFormat="1" x14ac:dyDescent="0.2">
      <c r="A30" s="18" t="s">
        <v>40</v>
      </c>
      <c r="B30" s="19" t="s">
        <v>30</v>
      </c>
      <c r="C30" s="20">
        <v>500000</v>
      </c>
      <c r="D30" s="21">
        <v>477.423</v>
      </c>
      <c r="E30" s="21">
        <f t="shared" si="0"/>
        <v>4.3622883701274029</v>
      </c>
      <c r="F30" s="21" t="s">
        <v>41</v>
      </c>
      <c r="G30" s="14">
        <v>7.1746999999999996</v>
      </c>
      <c r="H30" s="15"/>
    </row>
    <row r="31" spans="1:8" s="16" customFormat="1" x14ac:dyDescent="0.2">
      <c r="A31" s="18" t="s">
        <v>42</v>
      </c>
      <c r="B31" s="19" t="s">
        <v>30</v>
      </c>
      <c r="C31" s="20">
        <v>100000</v>
      </c>
      <c r="D31" s="21">
        <v>99.462699999999998</v>
      </c>
      <c r="E31" s="21">
        <f t="shared" si="0"/>
        <v>0.90880619381862782</v>
      </c>
      <c r="F31" s="21" t="s">
        <v>43</v>
      </c>
      <c r="G31" s="14">
        <v>7.1383000000000001</v>
      </c>
      <c r="H31" s="15"/>
    </row>
    <row r="32" spans="1:8" s="16" customFormat="1" x14ac:dyDescent="0.2">
      <c r="A32" s="9" t="s">
        <v>21</v>
      </c>
      <c r="B32" s="10"/>
      <c r="C32" s="22"/>
      <c r="D32" s="12">
        <f>IF(ISERROR(SUM(D25:D31)),0,SUM(D25:D31))</f>
        <v>4416.8458000000001</v>
      </c>
      <c r="E32" s="12">
        <f>IF(ISERROR(SUM(E25:E31)),0,SUM(E25:E31))</f>
        <v>40.35740855800006</v>
      </c>
      <c r="F32" s="24"/>
      <c r="G32" s="23"/>
      <c r="H32" s="15"/>
    </row>
    <row r="33" spans="1:8" s="16" customFormat="1" x14ac:dyDescent="0.2">
      <c r="A33" s="9"/>
      <c r="B33" s="10"/>
      <c r="C33" s="22"/>
      <c r="D33" s="12"/>
      <c r="E33" s="12"/>
      <c r="F33" s="12"/>
      <c r="G33" s="23"/>
      <c r="H33" s="15"/>
    </row>
    <row r="34" spans="1:8" s="16" customFormat="1" x14ac:dyDescent="0.2">
      <c r="A34" s="9" t="s">
        <v>44</v>
      </c>
      <c r="B34" s="10"/>
      <c r="C34" s="22"/>
      <c r="D34" s="12"/>
      <c r="E34" s="12"/>
      <c r="F34" s="13"/>
      <c r="G34" s="23"/>
      <c r="H34" s="15"/>
    </row>
    <row r="35" spans="1:8" s="16" customFormat="1" x14ac:dyDescent="0.2">
      <c r="A35" s="9" t="s">
        <v>45</v>
      </c>
      <c r="B35" s="10"/>
      <c r="C35" s="22"/>
      <c r="D35" s="12"/>
      <c r="E35" s="12"/>
      <c r="F35" s="13"/>
      <c r="G35" s="23"/>
      <c r="H35" s="15"/>
    </row>
    <row r="36" spans="1:8" s="16" customFormat="1" x14ac:dyDescent="0.2">
      <c r="A36" s="18" t="s">
        <v>46</v>
      </c>
      <c r="B36" s="19" t="s">
        <v>47</v>
      </c>
      <c r="C36" s="20">
        <v>240</v>
      </c>
      <c r="D36" s="21">
        <v>1164.3240000000001</v>
      </c>
      <c r="E36" s="21">
        <f>(+D36/$D$47*100)</f>
        <v>10.63860987899665</v>
      </c>
      <c r="F36" s="21" t="s">
        <v>48</v>
      </c>
      <c r="G36" s="14">
        <v>7.3098999999999998</v>
      </c>
      <c r="H36" s="15"/>
    </row>
    <row r="37" spans="1:8" s="16" customFormat="1" x14ac:dyDescent="0.2">
      <c r="A37" s="18" t="s">
        <v>49</v>
      </c>
      <c r="B37" s="19" t="s">
        <v>50</v>
      </c>
      <c r="C37" s="20">
        <v>220</v>
      </c>
      <c r="D37" s="21">
        <v>1048.0866000000001</v>
      </c>
      <c r="E37" s="21">
        <f>(+D37/$D$47*100)</f>
        <v>9.5765306364929437</v>
      </c>
      <c r="F37" s="21" t="s">
        <v>51</v>
      </c>
      <c r="G37" s="14">
        <v>7.4398999999999997</v>
      </c>
      <c r="H37" s="15"/>
    </row>
    <row r="38" spans="1:8" s="16" customFormat="1" x14ac:dyDescent="0.2">
      <c r="A38" s="9" t="s">
        <v>21</v>
      </c>
      <c r="B38" s="25"/>
      <c r="C38" s="26"/>
      <c r="D38" s="12">
        <f>IF(ISERROR(SUM(D36:D37)),0,SUM(D36:D37))</f>
        <v>2212.4106000000002</v>
      </c>
      <c r="E38" s="12">
        <f>IF(ISERROR(SUM(E36:E37)),0,SUM(E36:E37))</f>
        <v>20.215140515489594</v>
      </c>
      <c r="F38" s="27"/>
      <c r="G38" s="23"/>
      <c r="H38" s="15"/>
    </row>
    <row r="39" spans="1:8" s="16" customFormat="1" x14ac:dyDescent="0.2">
      <c r="A39" s="9"/>
      <c r="B39" s="25"/>
      <c r="C39" s="26"/>
      <c r="D39" s="12"/>
      <c r="E39" s="12"/>
      <c r="F39" s="27"/>
      <c r="G39" s="23"/>
      <c r="H39" s="15"/>
    </row>
    <row r="40" spans="1:8" s="16" customFormat="1" x14ac:dyDescent="0.2">
      <c r="A40" s="18" t="s">
        <v>52</v>
      </c>
      <c r="B40" s="19"/>
      <c r="C40" s="20">
        <v>0</v>
      </c>
      <c r="D40" s="21">
        <v>198.98172170000001</v>
      </c>
      <c r="E40" s="21">
        <f>(+D40/$D$47*100)</f>
        <v>1.8181270077893972</v>
      </c>
      <c r="F40" s="21" t="s">
        <v>53</v>
      </c>
      <c r="G40" s="23">
        <v>6.7727000000000004</v>
      </c>
      <c r="H40" s="15"/>
    </row>
    <row r="41" spans="1:8" s="16" customFormat="1" x14ac:dyDescent="0.2">
      <c r="A41" s="9" t="s">
        <v>21</v>
      </c>
      <c r="B41" s="10"/>
      <c r="C41" s="22"/>
      <c r="D41" s="12">
        <f>IF(ISERROR(SUM(D40:D40)),0,SUM(D40:D40))</f>
        <v>198.98172170000001</v>
      </c>
      <c r="E41" s="12">
        <f>IF(ISERROR(SUM(E40:E40)),0,SUM(E40:E40))</f>
        <v>1.8181270077893972</v>
      </c>
      <c r="F41" s="21"/>
      <c r="G41" s="23"/>
      <c r="H41" s="15"/>
    </row>
    <row r="42" spans="1:8" s="16" customFormat="1" x14ac:dyDescent="0.2">
      <c r="A42" s="9"/>
      <c r="B42" s="10"/>
      <c r="C42" s="22"/>
      <c r="D42" s="12"/>
      <c r="E42" s="12"/>
      <c r="F42" s="13"/>
      <c r="G42" s="23"/>
      <c r="H42" s="15"/>
    </row>
    <row r="43" spans="1:8" s="16" customFormat="1" x14ac:dyDescent="0.2">
      <c r="A43" s="9" t="s">
        <v>24</v>
      </c>
      <c r="B43" s="10"/>
      <c r="C43" s="22" t="s">
        <v>54</v>
      </c>
      <c r="D43" s="12">
        <f>+IF(ISERROR(D15),0,D15)+IF(ISERROR(D41),0,D41)+IF(ISERROR(#REF!),0,#REF!)+IF(ISERROR(#REF!),0,#REF!)+IF(ISERROR(D32),0,D32)+IF(ISERROR(D38),0,D38)+IF(ISERROR(#REF!),0,#REF!)+IF(ISERROR(#REF!),0,#REF!)+IF(ISERROR(#REF!),0,#REF!)</f>
        <v>10840.982121699999</v>
      </c>
      <c r="E43" s="12">
        <f>+IF(ISERROR(E15),0,E15)+IF(ISERROR(E41),0,E41)+IF(ISERROR(#REF!),0,#REF!)+IF(ISERROR(#REF!),0,#REF!)+IF(ISERROR(E32),0,E32)+IF(ISERROR(E38),0,E38)+IF(ISERROR(#REF!),0,#REF!)+IF(ISERROR(#REF!),0,#REF!)+IF(ISERROR(#REF!),0,#REF!)</f>
        <v>99.055743502619279</v>
      </c>
      <c r="F43" s="12">
        <f>+IF(ISERROR(F15),0,F15)+IF(ISERROR(F41),0,F41)+IF(ISERROR(#REF!),0,#REF!)+IF(ISERROR(#REF!),0,#REF!)+IF(ISERROR(#REF!),0,#REF!)+IF(ISERROR(F38),0,F38)+IF(ISERROR(#REF!),0,#REF!)</f>
        <v>0</v>
      </c>
      <c r="G43" s="23"/>
      <c r="H43" s="15"/>
    </row>
    <row r="44" spans="1:8" s="16" customFormat="1" x14ac:dyDescent="0.2">
      <c r="A44" s="9"/>
      <c r="B44" s="10"/>
      <c r="C44" s="22"/>
      <c r="D44" s="12"/>
      <c r="E44" s="12"/>
      <c r="F44" s="28"/>
      <c r="G44" s="28"/>
      <c r="H44" s="28"/>
    </row>
    <row r="45" spans="1:8" s="16" customFormat="1" x14ac:dyDescent="0.2">
      <c r="A45" s="9" t="s">
        <v>55</v>
      </c>
      <c r="B45" s="10"/>
      <c r="C45" s="22"/>
      <c r="D45" s="12">
        <f>+D47-D43</f>
        <v>103.34249629990336</v>
      </c>
      <c r="E45" s="12">
        <f>D45/$D$47*100</f>
        <v>0.9442564973807348</v>
      </c>
      <c r="F45" s="28"/>
      <c r="G45" s="28"/>
      <c r="H45" s="28"/>
    </row>
    <row r="46" spans="1:8" s="16" customFormat="1" x14ac:dyDescent="0.2">
      <c r="A46" s="9"/>
      <c r="B46" s="10"/>
      <c r="C46" s="22"/>
      <c r="D46" s="17"/>
      <c r="E46" s="17"/>
      <c r="F46" s="28"/>
      <c r="G46" s="28"/>
      <c r="H46" s="28"/>
    </row>
    <row r="47" spans="1:8" s="16" customFormat="1" x14ac:dyDescent="0.2">
      <c r="A47" s="9" t="s">
        <v>56</v>
      </c>
      <c r="B47" s="10"/>
      <c r="C47" s="22"/>
      <c r="D47" s="12">
        <v>10944.324617999902</v>
      </c>
      <c r="E47" s="12">
        <f>+E43+E45</f>
        <v>100.00000000000001</v>
      </c>
      <c r="F47" s="28"/>
      <c r="G47" s="28"/>
      <c r="H47" s="28"/>
    </row>
    <row r="48" spans="1:8" s="16" customFormat="1" x14ac:dyDescent="0.2">
      <c r="A48" s="29"/>
      <c r="B48" s="30"/>
      <c r="C48" s="31"/>
      <c r="D48" s="32"/>
      <c r="E48" s="32"/>
      <c r="F48" s="28"/>
      <c r="G48" s="28"/>
      <c r="H48" s="28"/>
    </row>
    <row r="49" spans="1:8" s="16" customFormat="1" x14ac:dyDescent="0.2">
      <c r="A49" s="33" t="s">
        <v>57</v>
      </c>
      <c r="B49" s="30"/>
      <c r="C49" s="31"/>
      <c r="D49" s="32"/>
      <c r="E49" s="32"/>
      <c r="F49" s="28"/>
      <c r="G49" s="28"/>
      <c r="H49" s="28"/>
    </row>
    <row r="50" spans="1:8" ht="15" x14ac:dyDescent="0.25">
      <c r="A50" s="74" t="s">
        <v>58</v>
      </c>
      <c r="B50" s="74"/>
      <c r="C50" s="74"/>
      <c r="D50" s="74"/>
      <c r="E50" s="74"/>
      <c r="F50" s="74"/>
      <c r="G50" s="74"/>
      <c r="H50" s="74"/>
    </row>
    <row r="51" spans="1:8" ht="36.75" customHeight="1" x14ac:dyDescent="0.2">
      <c r="A51" s="83" t="s">
        <v>59</v>
      </c>
      <c r="B51" s="83"/>
      <c r="C51" s="83"/>
      <c r="D51" s="83"/>
      <c r="E51" s="83"/>
      <c r="F51" s="83"/>
      <c r="G51" s="83"/>
      <c r="H51" s="83"/>
    </row>
    <row r="52" spans="1:8" ht="17.25" customHeight="1" x14ac:dyDescent="0.2">
      <c r="A52" s="84" t="s">
        <v>60</v>
      </c>
      <c r="B52" s="84"/>
      <c r="C52" s="84"/>
      <c r="D52" s="84"/>
      <c r="E52" s="84"/>
      <c r="F52" s="84"/>
      <c r="G52" s="84"/>
      <c r="H52" s="84"/>
    </row>
    <row r="53" spans="1:8" ht="71.25" customHeight="1" x14ac:dyDescent="0.2">
      <c r="A53" s="85" t="s">
        <v>61</v>
      </c>
      <c r="B53" s="85"/>
      <c r="C53" s="85"/>
      <c r="D53" s="85"/>
      <c r="E53" s="85"/>
      <c r="F53" s="85"/>
      <c r="G53" s="85"/>
      <c r="H53" s="85"/>
    </row>
    <row r="54" spans="1:8" x14ac:dyDescent="0.2">
      <c r="A54" s="34"/>
      <c r="B54" s="35"/>
      <c r="C54" s="36"/>
      <c r="D54" s="37"/>
      <c r="E54" s="38"/>
      <c r="F54" s="39"/>
    </row>
    <row r="55" spans="1:8" ht="15" x14ac:dyDescent="0.25">
      <c r="A55" s="40" t="s">
        <v>62</v>
      </c>
      <c r="B55" s="35"/>
      <c r="C55" s="36"/>
      <c r="D55" s="38"/>
      <c r="E55" s="16"/>
      <c r="F55" s="16"/>
    </row>
    <row r="56" spans="1:8" ht="15" x14ac:dyDescent="0.25">
      <c r="A56" s="41" t="s">
        <v>63</v>
      </c>
      <c r="B56" s="42"/>
      <c r="C56" s="42"/>
      <c r="D56" s="38"/>
      <c r="E56" s="16"/>
      <c r="F56" s="16"/>
    </row>
    <row r="57" spans="1:8" ht="15" x14ac:dyDescent="0.25">
      <c r="A57" s="41" t="s">
        <v>64</v>
      </c>
      <c r="B57" s="41"/>
      <c r="C57" s="41"/>
      <c r="D57" s="43"/>
      <c r="E57" s="16"/>
      <c r="F57" s="16"/>
    </row>
    <row r="58" spans="1:8" ht="15" x14ac:dyDescent="0.25">
      <c r="A58" s="44" t="s">
        <v>65</v>
      </c>
      <c r="B58" s="42"/>
      <c r="C58" s="42"/>
      <c r="D58" s="43"/>
      <c r="E58" s="16"/>
      <c r="F58" s="16"/>
    </row>
    <row r="59" spans="1:8" x14ac:dyDescent="0.2">
      <c r="A59" s="45"/>
      <c r="B59" s="45"/>
      <c r="C59" s="45"/>
      <c r="D59" s="45"/>
      <c r="E59" s="16"/>
      <c r="F59" s="16"/>
    </row>
    <row r="60" spans="1:8" ht="14.25" x14ac:dyDescent="0.2">
      <c r="A60" s="46" t="s">
        <v>66</v>
      </c>
      <c r="C60" s="48"/>
      <c r="D60" s="48" t="s">
        <v>86</v>
      </c>
      <c r="E60" s="49"/>
      <c r="F60" s="16"/>
    </row>
    <row r="61" spans="1:8" x14ac:dyDescent="0.2">
      <c r="E61" s="16"/>
      <c r="F61" s="16"/>
    </row>
    <row r="62" spans="1:8" x14ac:dyDescent="0.2">
      <c r="E62" s="16"/>
      <c r="F62" s="16"/>
    </row>
    <row r="63" spans="1:8" x14ac:dyDescent="0.2">
      <c r="E63" s="16"/>
      <c r="F63" s="16"/>
    </row>
    <row r="64" spans="1:8" x14ac:dyDescent="0.2">
      <c r="E64" s="16"/>
      <c r="F64" s="16"/>
    </row>
    <row r="65" spans="1:6" x14ac:dyDescent="0.2">
      <c r="E65" s="16"/>
      <c r="F65" s="16"/>
    </row>
    <row r="66" spans="1:6" x14ac:dyDescent="0.2">
      <c r="E66" s="16"/>
      <c r="F66" s="16"/>
    </row>
    <row r="67" spans="1:6" x14ac:dyDescent="0.2">
      <c r="E67" s="16"/>
      <c r="F67" s="16"/>
    </row>
    <row r="68" spans="1:6" x14ac:dyDescent="0.2">
      <c r="E68" s="16"/>
      <c r="F68" s="16"/>
    </row>
    <row r="69" spans="1:6" x14ac:dyDescent="0.2">
      <c r="E69" s="16"/>
      <c r="F69" s="16"/>
    </row>
    <row r="70" spans="1:6" x14ac:dyDescent="0.2">
      <c r="E70" s="16"/>
      <c r="F70" s="16"/>
    </row>
    <row r="71" spans="1:6" x14ac:dyDescent="0.2">
      <c r="E71" s="16"/>
      <c r="F71" s="16"/>
    </row>
    <row r="72" spans="1:6" x14ac:dyDescent="0.2">
      <c r="E72" s="16"/>
      <c r="F72" s="16"/>
    </row>
    <row r="73" spans="1:6" x14ac:dyDescent="0.2">
      <c r="E73" s="16"/>
      <c r="F73" s="16"/>
    </row>
    <row r="74" spans="1:6" x14ac:dyDescent="0.2">
      <c r="E74" s="16"/>
      <c r="F74" s="16"/>
    </row>
    <row r="75" spans="1:6" ht="14.25" x14ac:dyDescent="0.2">
      <c r="A75" s="75"/>
      <c r="B75" s="75"/>
      <c r="C75" s="75"/>
      <c r="E75" s="16"/>
      <c r="F75" s="16"/>
    </row>
    <row r="76" spans="1:6" ht="14.25" x14ac:dyDescent="0.2">
      <c r="A76" s="52"/>
      <c r="B76" s="52"/>
      <c r="C76" s="52"/>
      <c r="E76" s="16"/>
      <c r="F76" s="16"/>
    </row>
    <row r="77" spans="1:6" x14ac:dyDescent="0.2">
      <c r="A77" s="53"/>
      <c r="B77" s="54"/>
      <c r="C77" s="55"/>
      <c r="D77" s="16"/>
      <c r="E77" s="16"/>
      <c r="F77" s="16"/>
    </row>
    <row r="78" spans="1:6" ht="13.5" thickBot="1" x14ac:dyDescent="0.25">
      <c r="A78" s="53"/>
      <c r="B78" s="54"/>
      <c r="C78" s="55"/>
      <c r="D78" s="16"/>
      <c r="E78" s="16"/>
      <c r="F78" s="16"/>
    </row>
    <row r="79" spans="1:6" ht="13.5" thickBot="1" x14ac:dyDescent="0.25">
      <c r="A79" s="76" t="s">
        <v>67</v>
      </c>
      <c r="B79" s="77"/>
      <c r="C79" s="77"/>
      <c r="D79" s="78"/>
      <c r="E79" s="16"/>
      <c r="F79" s="16"/>
    </row>
    <row r="80" spans="1:6" ht="13.5" customHeight="1" thickBot="1" x14ac:dyDescent="0.25">
      <c r="A80" s="56" t="s">
        <v>68</v>
      </c>
      <c r="B80" s="79" t="s">
        <v>69</v>
      </c>
      <c r="C80" s="81" t="s">
        <v>70</v>
      </c>
      <c r="D80" s="79" t="s">
        <v>71</v>
      </c>
      <c r="E80" s="16"/>
      <c r="F80" s="16"/>
    </row>
    <row r="81" spans="1:11" ht="13.5" thickBot="1" x14ac:dyDescent="0.25">
      <c r="A81" s="56" t="s">
        <v>72</v>
      </c>
      <c r="B81" s="80"/>
      <c r="C81" s="82"/>
      <c r="D81" s="80"/>
      <c r="E81" s="16"/>
      <c r="F81" s="16"/>
    </row>
    <row r="82" spans="1:11" ht="15.75" thickBot="1" x14ac:dyDescent="0.25">
      <c r="A82" s="57" t="s">
        <v>73</v>
      </c>
      <c r="B82" s="58"/>
      <c r="C82" s="58"/>
      <c r="D82" s="58"/>
      <c r="E82" s="16"/>
      <c r="F82" s="16"/>
    </row>
    <row r="83" spans="1:11" ht="17.25" thickBot="1" x14ac:dyDescent="0.25">
      <c r="A83" s="57" t="s">
        <v>74</v>
      </c>
      <c r="B83" s="58"/>
      <c r="C83" s="59" t="s">
        <v>75</v>
      </c>
      <c r="D83" s="58"/>
      <c r="E83" s="16"/>
      <c r="F83" s="16"/>
    </row>
    <row r="84" spans="1:11" ht="15.75" thickBot="1" x14ac:dyDescent="0.25">
      <c r="A84" s="57" t="s">
        <v>76</v>
      </c>
      <c r="B84" s="58"/>
      <c r="C84" s="60"/>
      <c r="D84" s="58"/>
      <c r="E84" s="16"/>
      <c r="F84" s="16"/>
    </row>
    <row r="85" spans="1:11" x14ac:dyDescent="0.2">
      <c r="E85" s="16"/>
      <c r="F85" s="16"/>
    </row>
    <row r="86" spans="1:11" x14ac:dyDescent="0.2">
      <c r="A86" s="53"/>
      <c r="B86" s="54"/>
      <c r="C86" s="55"/>
      <c r="D86" s="16"/>
      <c r="E86" s="16"/>
      <c r="F86" s="16"/>
    </row>
    <row r="88" spans="1:11" ht="25.5" x14ac:dyDescent="0.2">
      <c r="A88" s="61" t="s">
        <v>54</v>
      </c>
      <c r="B88" s="62" t="s">
        <v>77</v>
      </c>
    </row>
    <row r="89" spans="1:11" x14ac:dyDescent="0.2">
      <c r="A89" s="63" t="s">
        <v>78</v>
      </c>
      <c r="B89" s="64" t="s">
        <v>54</v>
      </c>
    </row>
    <row r="90" spans="1:11" x14ac:dyDescent="0.2">
      <c r="A90" s="63" t="s">
        <v>79</v>
      </c>
      <c r="B90" s="64"/>
    </row>
    <row r="91" spans="1:11" x14ac:dyDescent="0.2">
      <c r="A91" s="63"/>
      <c r="B91" s="64" t="s">
        <v>54</v>
      </c>
    </row>
    <row r="92" spans="1:11" x14ac:dyDescent="0.2">
      <c r="A92" s="63" t="s">
        <v>80</v>
      </c>
      <c r="B92" s="70">
        <v>7.4279999999999999</v>
      </c>
    </row>
    <row r="93" spans="1:11" x14ac:dyDescent="0.2">
      <c r="A93" s="63" t="s">
        <v>54</v>
      </c>
      <c r="B93" s="65" t="s">
        <v>54</v>
      </c>
    </row>
    <row r="94" spans="1:11" s="51" customFormat="1" x14ac:dyDescent="0.2">
      <c r="A94" s="63" t="s">
        <v>81</v>
      </c>
      <c r="B94" s="66">
        <v>1.8534999999999999</v>
      </c>
      <c r="D94" s="1"/>
      <c r="E94" s="1"/>
      <c r="F94" s="1"/>
      <c r="G94" s="1"/>
      <c r="H94" s="1"/>
      <c r="I94" s="1"/>
      <c r="J94" s="1"/>
      <c r="K94" s="1"/>
    </row>
    <row r="95" spans="1:11" s="51" customFormat="1" x14ac:dyDescent="0.2">
      <c r="A95" s="63" t="s">
        <v>82</v>
      </c>
      <c r="B95" s="66">
        <v>2.0587</v>
      </c>
      <c r="D95" s="1"/>
      <c r="E95" s="1"/>
      <c r="F95" s="1"/>
      <c r="G95" s="1"/>
      <c r="H95" s="1"/>
      <c r="I95" s="1"/>
      <c r="J95" s="1"/>
      <c r="K95" s="1"/>
    </row>
    <row r="96" spans="1:11" s="51" customFormat="1" x14ac:dyDescent="0.2">
      <c r="A96" s="63" t="s">
        <v>54</v>
      </c>
      <c r="B96" s="25" t="s">
        <v>54</v>
      </c>
      <c r="D96" s="1"/>
      <c r="E96" s="1"/>
      <c r="F96" s="1"/>
      <c r="G96" s="1"/>
      <c r="H96" s="1"/>
      <c r="I96" s="1"/>
      <c r="J96" s="1"/>
      <c r="K96" s="1"/>
    </row>
    <row r="97" spans="1:11" s="51" customFormat="1" x14ac:dyDescent="0.2">
      <c r="A97" s="63" t="s">
        <v>83</v>
      </c>
      <c r="B97" s="67" t="s">
        <v>84</v>
      </c>
      <c r="D97" s="1"/>
      <c r="E97" s="1"/>
      <c r="F97" s="1"/>
      <c r="G97" s="1"/>
      <c r="H97" s="1"/>
      <c r="I97" s="1"/>
      <c r="J97" s="1"/>
      <c r="K97" s="1"/>
    </row>
    <row r="98" spans="1:11" s="51" customFormat="1" x14ac:dyDescent="0.2">
      <c r="A98" s="68" t="s">
        <v>85</v>
      </c>
      <c r="B98" s="69"/>
      <c r="D98" s="1"/>
      <c r="E98" s="1"/>
      <c r="F98" s="1"/>
      <c r="G98" s="1"/>
      <c r="H98" s="1"/>
      <c r="I98" s="1"/>
      <c r="J98" s="1"/>
      <c r="K98" s="1"/>
    </row>
    <row r="100" spans="1:11" ht="25.5" x14ac:dyDescent="0.2">
      <c r="A100" s="50" t="s">
        <v>87</v>
      </c>
    </row>
  </sheetData>
  <mergeCells count="11">
    <mergeCell ref="B80:B81"/>
    <mergeCell ref="C80:C81"/>
    <mergeCell ref="D80:D81"/>
    <mergeCell ref="A51:H51"/>
    <mergeCell ref="A52:H52"/>
    <mergeCell ref="A53:H53"/>
    <mergeCell ref="A1:H2"/>
    <mergeCell ref="A3:F3"/>
    <mergeCell ref="A50:H50"/>
    <mergeCell ref="A75:C75"/>
    <mergeCell ref="A79:D79"/>
  </mergeCells>
  <phoneticPr fontId="18" type="noConversion"/>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2023-04-04T08:45:38Z</dcterms:created>
  <dcterms:modified xsi:type="dcterms:W3CDTF">2023-04-04T09:59:31Z</dcterms:modified>
</cp:coreProperties>
</file>