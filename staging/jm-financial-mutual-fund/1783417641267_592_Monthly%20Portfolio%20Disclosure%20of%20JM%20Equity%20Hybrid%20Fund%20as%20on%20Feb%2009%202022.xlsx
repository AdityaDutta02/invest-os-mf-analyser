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650"/>
  </bookViews>
  <sheets>
    <sheet name="BF" sheetId="1" r:id="rId1"/>
  </sheets>
  <definedNames>
    <definedName name="_xlnm._FilterDatabase" localSheetId="0" hidden="1">BF!$A$1:$N$57</definedName>
    <definedName name="Afs">#REF!</definedName>
    <definedName name="_xlnm.Database">#REF!</definedName>
    <definedName name="EBLDB">#REF!</definedName>
    <definedName name="fl">#REF!</definedName>
    <definedName name="_xlnm.Print_Area" localSheetId="0">BF!$A$1:$E$46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1" i="1" l="1"/>
  <c r="D49" i="1"/>
  <c r="E48" i="1"/>
  <c r="E49" i="1" s="1"/>
  <c r="E33" i="1"/>
  <c r="D33" i="1"/>
  <c r="D26" i="1"/>
  <c r="D30" i="1" s="1"/>
  <c r="E25" i="1"/>
  <c r="E24" i="1"/>
  <c r="E23" i="1"/>
  <c r="E22" i="1"/>
  <c r="E21" i="1"/>
  <c r="E20" i="1"/>
  <c r="E19" i="1"/>
  <c r="E18" i="1"/>
  <c r="E17" i="1"/>
  <c r="E16" i="1"/>
  <c r="E15" i="1"/>
  <c r="E14" i="1"/>
  <c r="E13" i="1"/>
  <c r="E12" i="1"/>
  <c r="E11" i="1"/>
  <c r="E10" i="1"/>
  <c r="E9" i="1"/>
  <c r="E8" i="1"/>
  <c r="E7" i="1"/>
  <c r="E6" i="1"/>
  <c r="E26" i="1" l="1"/>
  <c r="E30" i="1" s="1"/>
  <c r="E51" i="1" s="1"/>
  <c r="D51" i="1"/>
  <c r="D53" i="1" s="1"/>
  <c r="E53" i="1" s="1"/>
  <c r="E55" i="1" l="1"/>
</calcChain>
</file>

<file path=xl/sharedStrings.xml><?xml version="1.0" encoding="utf-8"?>
<sst xmlns="http://schemas.openxmlformats.org/spreadsheetml/2006/main" count="111" uniqueCount="92">
  <si>
    <t>JM Equity Hybrid Fund (An open ended hybrid scheme investing predominantly in equity and equity related instruments).</t>
  </si>
  <si>
    <t>Portfolio as on 31.01.2023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</si>
  <si>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</si>
  <si>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</si>
  <si>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</si>
  <si>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</si>
  <si>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</si>
  <si>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</si>
  <si>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</si>
  <si>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</si>
  <si>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</si>
  <si>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</si>
  <si>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</si>
  <si>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</si>
  <si>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</si>
  <si>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</si>
  <si>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</si>
  <si>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</si>
  <si>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ICICI Bank Ltd.</t>
  </si>
  <si>
    <t>INE090A01021</t>
  </si>
  <si>
    <t>Balrampur Chini Mills Ltd.</t>
  </si>
  <si>
    <t>Agricultural Food &amp; other Products</t>
  </si>
  <si>
    <t>INE119A01028</t>
  </si>
  <si>
    <t>REC Ltd.</t>
  </si>
  <si>
    <t>Finance</t>
  </si>
  <si>
    <t>INE020B01018</t>
  </si>
  <si>
    <t>Larsen &amp; Toubro Ltd.</t>
  </si>
  <si>
    <t>Construction</t>
  </si>
  <si>
    <t>INE018A01030</t>
  </si>
  <si>
    <t>Bharat Forge Ltd.</t>
  </si>
  <si>
    <t>Industrial Products</t>
  </si>
  <si>
    <t>INE465A01025</t>
  </si>
  <si>
    <t>Britannia Industries Ltd.</t>
  </si>
  <si>
    <t>Food Products</t>
  </si>
  <si>
    <t>INE216A01030</t>
  </si>
  <si>
    <t>Reliance Industries Ltd.</t>
  </si>
  <si>
    <t>Petroleum Products</t>
  </si>
  <si>
    <t>INE002A01018</t>
  </si>
  <si>
    <t>Gujarat Gas Ltd.</t>
  </si>
  <si>
    <t>Gas</t>
  </si>
  <si>
    <t>INE844O01030</t>
  </si>
  <si>
    <t>L&amp;T Technology Services Ltd.</t>
  </si>
  <si>
    <t>IT - Services</t>
  </si>
  <si>
    <t>INE010V01017</t>
  </si>
  <si>
    <t>Mahindra &amp; Mahindra Financial Services Ltd.</t>
  </si>
  <si>
    <t>INE774D01024</t>
  </si>
  <si>
    <t>Ultratech Cement Ltd.</t>
  </si>
  <si>
    <t>Cement &amp; Cement Products</t>
  </si>
  <si>
    <t>INE481G01011</t>
  </si>
  <si>
    <t>ICRA Ltd.</t>
  </si>
  <si>
    <t>Capital Markets</t>
  </si>
  <si>
    <t>INE725G01011</t>
  </si>
  <si>
    <t>SKF India Ltd.</t>
  </si>
  <si>
    <t>INE640A01023</t>
  </si>
  <si>
    <t>Cummins India Ltd.</t>
  </si>
  <si>
    <t>INE298A01020</t>
  </si>
  <si>
    <t>Axis Bank Ltd.</t>
  </si>
  <si>
    <t>INE238A01034</t>
  </si>
  <si>
    <t>Dr. Reddy's Laboratories Ltd.</t>
  </si>
  <si>
    <t>Pharmaceuticals &amp; Biotechnology</t>
  </si>
  <si>
    <t>INE089A01023</t>
  </si>
  <si>
    <t>State Bank of India</t>
  </si>
  <si>
    <t>INE062A01020</t>
  </si>
  <si>
    <t>Tata Steel Ltd.</t>
  </si>
  <si>
    <t>Ferrous Metals</t>
  </si>
  <si>
    <t>INE081A01020</t>
  </si>
  <si>
    <t>Sub Total:</t>
  </si>
  <si>
    <t>b) Unlisted</t>
  </si>
  <si>
    <t>NIL</t>
  </si>
  <si>
    <t>Total:</t>
  </si>
  <si>
    <t>Listed Preference Shares</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</si>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</sst>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3" fillId="0" borderId="3" xfId="1" applyFont="1" applyFill="1" applyBorder="1" applyAlignment="1">
      <alignment horizontal="right"/>
    </xf>
    <xf numFmtId="164" fontId="3" fillId="0" borderId="4" xfId="1" applyFont="1" applyFill="1" applyBorder="1"/>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6" fillId="0" borderId="0" xfId="3" applyBorder="1" applyAlignment="1">
      <alignment vertical="center"/>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0" applyFont="1" applyAlignment="1">
      <alignment vertical="top" wrapText="1"/>
    </xf>
    <xf numFmtId="0" fontId="10" fillId="0" borderId="0" xfId="6" applyFont="1"/>
    <xf numFmtId="0" fontId="4"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1" xfId="0" applyFont="1" applyFill="1" applyBorder="1" applyAlignment="1">
      <alignment horizontal="left"/>
    </xf>
    <xf numFmtId="0" fontId="2"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6" fillId="0" borderId="0" xfId="5" applyBorder="1" applyAlignment="1">
      <alignment wrapText="1"/>
    </xf>
  </cellXfs>
  <cellStyles count="7">
    <cellStyle name="Comma" xfId="1" builtinId="3"/>
    <cellStyle name="Comma 4" xfId="4"/>
    <cellStyle name="Normal" xfId="0" builtinId="0"/>
    <cellStyle name="Normal 2 3 2" xfId="2"/>
    <cellStyle name="Normal 4_BF"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69</xdr:row>
      <xdr:rowOff>133350</xdr:rowOff>
    </xdr:from>
    <xdr:to>
      <xdr:col>1</xdr:col>
      <xdr:colOff>638175</xdr:colOff>
      <xdr:row>83</xdr:row>
      <xdr:rowOff>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3763625"/>
          <a:ext cx="3505200" cy="2133600"/>
        </a:xfrm>
        <a:prstGeom prst="rect">
          <a:avLst/>
        </a:prstGeom>
        <a:noFill/>
        <a:ln w="9525">
          <a:noFill/>
          <a:miter lim="800000"/>
          <a:headEnd/>
          <a:tailEnd/>
        </a:ln>
      </xdr:spPr>
    </xdr:pic>
    <xdr:clientData/>
  </xdr:twoCellAnchor>
  <xdr:twoCellAnchor editAs="oneCell">
    <xdr:from>
      <xdr:col>3</xdr:col>
      <xdr:colOff>0</xdr:colOff>
      <xdr:row>69</xdr:row>
      <xdr:rowOff>95250</xdr:rowOff>
    </xdr:from>
    <xdr:to>
      <xdr:col>5</xdr:col>
      <xdr:colOff>990600</xdr:colOff>
      <xdr:row>83</xdr:row>
      <xdr:rowOff>38100</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629400" y="13725525"/>
          <a:ext cx="3429000" cy="2209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8"/>
  <sheetViews>
    <sheetView tabSelected="1" zoomScaleNormal="100" workbookViewId="0">
      <pane xSplit="1" ySplit="3" topLeftCell="B40" activePane="bottomRight" state="frozen"/>
      <selection activeCell="A2" sqref="A2"/>
      <selection pane="topRight" activeCell="A2" sqref="A2"/>
      <selection pane="bottomLeft" activeCell="A2" sqref="A2"/>
      <selection pane="bottomRight" activeCell="D55" sqref="D55"/>
    </sheetView>
  </sheetViews>
  <sheetFormatPr defaultRowHeight="12.75" x14ac:dyDescent="0.2"/>
  <cols>
    <col min="1" max="1" width="43" style="52" customWidth="1"/>
    <col min="2" max="2" width="23.85546875" style="53" customWidth="1"/>
    <col min="3" max="3" width="13.42578125" style="54" customWidth="1"/>
    <col min="4" max="4" width="20.85546875" style="1" customWidth="1"/>
    <col min="5" max="5" width="15.7109375" style="1" customWidth="1"/>
    <col min="6" max="6" width="16.28515625" style="1" customWidth="1"/>
    <col min="7" max="7" width="11" style="1" customWidth="1"/>
    <col min="8" max="8" width="12.28515625" style="1" customWidth="1"/>
    <col min="9" max="16384" width="9.140625" style="1"/>
  </cols>
  <sheetData>
    <row r="1" spans="1:8" x14ac:dyDescent="0.2">
      <c r="A1" s="55" t="s">
        <v>0</v>
      </c>
      <c r="B1" s="55"/>
      <c r="C1" s="55"/>
      <c r="D1" s="55"/>
      <c r="E1" s="55"/>
      <c r="F1" s="55"/>
      <c r="G1" s="55"/>
      <c r="H1" s="55"/>
    </row>
    <row r="2" spans="1:8" x14ac:dyDescent="0.2">
      <c r="A2" s="56" t="s">
        <v>1</v>
      </c>
      <c r="B2" s="56"/>
      <c r="C2" s="56"/>
      <c r="D2" s="56"/>
      <c r="E2" s="56"/>
      <c r="F2" s="56"/>
      <c r="G2" s="56"/>
      <c r="H2" s="56"/>
    </row>
    <row r="3" spans="1:8" s="7" customFormat="1" ht="38.25" x14ac:dyDescent="0.2">
      <c r="A3" s="2" t="s">
        <v>2</v>
      </c>
      <c r="B3" s="3" t="s">
        <v>3</v>
      </c>
      <c r="C3" s="4" t="s">
        <v>4</v>
      </c>
      <c r="D3" s="2" t="s">
        <v>5</v>
      </c>
      <c r="E3" s="2" t="s">
        <v>6</v>
      </c>
      <c r="F3" s="2" t="s">
        <v>7</v>
      </c>
      <c r="G3" s="5" t="s">
        <v>8</v>
      </c>
      <c r="H3" s="6" t="s">
        <v>9</v>
      </c>
    </row>
    <row r="4" spans="1:8" x14ac:dyDescent="0.2">
      <c r="A4" s="8" t="s">
        <v>10</v>
      </c>
      <c r="B4" s="9"/>
      <c r="C4" s="10"/>
      <c r="D4" s="11"/>
      <c r="E4" s="11"/>
      <c r="F4" s="12"/>
      <c r="G4" s="13"/>
      <c r="H4" s="14"/>
    </row>
    <row r="5" spans="1:8" x14ac:dyDescent="0.2">
      <c r="A5" s="15" t="s">
        <v>11</v>
      </c>
      <c r="B5" s="9"/>
      <c r="C5" s="10"/>
      <c r="D5" s="11"/>
      <c r="E5" s="11"/>
      <c r="F5" s="12"/>
      <c r="G5" s="13"/>
      <c r="H5" s="14"/>
    </row>
    <row r="6" spans="1:8" s="20" customFormat="1" x14ac:dyDescent="0.2">
      <c r="A6" s="16" t="s">
        <v>12</v>
      </c>
      <c r="B6" s="17" t="s">
        <v>13</v>
      </c>
      <c r="C6" s="18">
        <v>5180</v>
      </c>
      <c r="D6" s="19">
        <v>83.061300000000003</v>
      </c>
      <c r="E6" s="19">
        <f t="shared" ref="E6:E25" si="0">(+D6/$D$55*100)</f>
        <v>7.4002409744440776</v>
      </c>
      <c r="F6" s="19" t="s">
        <v>14</v>
      </c>
      <c r="G6" s="14"/>
      <c r="H6" s="14"/>
    </row>
    <row r="7" spans="1:8" s="20" customFormat="1" x14ac:dyDescent="0.2">
      <c r="A7" s="16" t="s">
        <v>15</v>
      </c>
      <c r="B7" s="17" t="s">
        <v>16</v>
      </c>
      <c r="C7" s="18">
        <v>3875</v>
      </c>
      <c r="D7" s="19">
        <v>59.432812499999997</v>
      </c>
      <c r="E7" s="19">
        <f t="shared" si="0"/>
        <v>5.295090906221696</v>
      </c>
      <c r="F7" s="19" t="s">
        <v>17</v>
      </c>
      <c r="G7" s="14"/>
      <c r="H7" s="21"/>
    </row>
    <row r="8" spans="1:8" s="20" customFormat="1" x14ac:dyDescent="0.2">
      <c r="A8" s="16" t="s">
        <v>18</v>
      </c>
      <c r="B8" s="17" t="s">
        <v>13</v>
      </c>
      <c r="C8" s="18">
        <v>6400</v>
      </c>
      <c r="D8" s="19">
        <v>53.241599999999998</v>
      </c>
      <c r="E8" s="19">
        <f t="shared" si="0"/>
        <v>4.7434926959361556</v>
      </c>
      <c r="F8" s="19" t="s">
        <v>19</v>
      </c>
      <c r="G8" s="14"/>
      <c r="H8" s="14"/>
    </row>
    <row r="9" spans="1:8" s="20" customFormat="1" x14ac:dyDescent="0.2">
      <c r="A9" s="16" t="s">
        <v>20</v>
      </c>
      <c r="B9" s="17" t="s">
        <v>21</v>
      </c>
      <c r="C9" s="18">
        <v>12500</v>
      </c>
      <c r="D9" s="19">
        <v>47.262500000000003</v>
      </c>
      <c r="E9" s="19">
        <f t="shared" si="0"/>
        <v>4.2107923792989421</v>
      </c>
      <c r="F9" s="19" t="s">
        <v>22</v>
      </c>
      <c r="G9" s="14"/>
      <c r="H9" s="14"/>
    </row>
    <row r="10" spans="1:8" s="20" customFormat="1" x14ac:dyDescent="0.2">
      <c r="A10" s="16" t="s">
        <v>23</v>
      </c>
      <c r="B10" s="17" t="s">
        <v>24</v>
      </c>
      <c r="C10" s="18">
        <v>38000</v>
      </c>
      <c r="D10" s="19">
        <v>46.265000000000001</v>
      </c>
      <c r="E10" s="19">
        <f t="shared" si="0"/>
        <v>4.1219213843589646</v>
      </c>
      <c r="F10" s="19" t="s">
        <v>25</v>
      </c>
      <c r="G10" s="14"/>
      <c r="H10" s="13"/>
    </row>
    <row r="11" spans="1:8" s="20" customFormat="1" x14ac:dyDescent="0.2">
      <c r="A11" s="16" t="s">
        <v>26</v>
      </c>
      <c r="B11" s="17" t="s">
        <v>27</v>
      </c>
      <c r="C11" s="18">
        <v>2100</v>
      </c>
      <c r="D11" s="19">
        <v>44.612400000000001</v>
      </c>
      <c r="E11" s="19">
        <f t="shared" si="0"/>
        <v>3.9746850873787065</v>
      </c>
      <c r="F11" s="19" t="s">
        <v>28</v>
      </c>
      <c r="G11" s="14"/>
      <c r="H11" s="13"/>
    </row>
    <row r="12" spans="1:8" s="20" customFormat="1" x14ac:dyDescent="0.2">
      <c r="A12" s="16" t="s">
        <v>29</v>
      </c>
      <c r="B12" s="17" t="s">
        <v>30</v>
      </c>
      <c r="C12" s="18">
        <v>5000</v>
      </c>
      <c r="D12" s="19">
        <v>43.704999999999998</v>
      </c>
      <c r="E12" s="19">
        <f t="shared" si="0"/>
        <v>3.8938414374453374</v>
      </c>
      <c r="F12" s="19" t="s">
        <v>31</v>
      </c>
      <c r="G12" s="14"/>
      <c r="H12" s="14"/>
    </row>
    <row r="13" spans="1:8" s="20" customFormat="1" x14ac:dyDescent="0.2">
      <c r="A13" s="16" t="s">
        <v>32</v>
      </c>
      <c r="B13" s="17" t="s">
        <v>33</v>
      </c>
      <c r="C13" s="18">
        <v>1000</v>
      </c>
      <c r="D13" s="19">
        <v>43.176000000000002</v>
      </c>
      <c r="E13" s="19">
        <f t="shared" si="0"/>
        <v>3.846710854665139</v>
      </c>
      <c r="F13" s="19" t="s">
        <v>34</v>
      </c>
      <c r="G13" s="14"/>
      <c r="H13" s="14"/>
    </row>
    <row r="14" spans="1:8" s="20" customFormat="1" x14ac:dyDescent="0.2">
      <c r="A14" s="16" t="s">
        <v>35</v>
      </c>
      <c r="B14" s="17" t="s">
        <v>36</v>
      </c>
      <c r="C14" s="18">
        <v>1700</v>
      </c>
      <c r="D14" s="19">
        <v>40.015450000000001</v>
      </c>
      <c r="E14" s="19">
        <f t="shared" si="0"/>
        <v>3.5651256686425361</v>
      </c>
      <c r="F14" s="19" t="s">
        <v>37</v>
      </c>
      <c r="G14" s="14"/>
      <c r="H14" s="13"/>
    </row>
    <row r="15" spans="1:8" s="20" customFormat="1" x14ac:dyDescent="0.2">
      <c r="A15" s="16" t="s">
        <v>38</v>
      </c>
      <c r="B15" s="17" t="s">
        <v>39</v>
      </c>
      <c r="C15" s="18">
        <v>8500</v>
      </c>
      <c r="D15" s="19">
        <v>38.84075</v>
      </c>
      <c r="E15" s="19">
        <f t="shared" si="0"/>
        <v>3.4604672648771304</v>
      </c>
      <c r="F15" s="19" t="s">
        <v>40</v>
      </c>
      <c r="G15" s="14"/>
      <c r="H15" s="14"/>
    </row>
    <row r="16" spans="1:8" s="20" customFormat="1" x14ac:dyDescent="0.2">
      <c r="A16" s="16" t="s">
        <v>41</v>
      </c>
      <c r="B16" s="17" t="s">
        <v>42</v>
      </c>
      <c r="C16" s="18">
        <v>1100</v>
      </c>
      <c r="D16" s="19">
        <v>36.694899999999997</v>
      </c>
      <c r="E16" s="19">
        <f t="shared" si="0"/>
        <v>3.2692854859378313</v>
      </c>
      <c r="F16" s="19" t="s">
        <v>43</v>
      </c>
      <c r="G16" s="14"/>
      <c r="H16" s="13"/>
    </row>
    <row r="17" spans="1:8" s="20" customFormat="1" x14ac:dyDescent="0.2">
      <c r="A17" s="16" t="s">
        <v>44</v>
      </c>
      <c r="B17" s="17" t="s">
        <v>24</v>
      </c>
      <c r="C17" s="18">
        <v>14500</v>
      </c>
      <c r="D17" s="19">
        <v>33.748750000000001</v>
      </c>
      <c r="E17" s="19">
        <f t="shared" si="0"/>
        <v>3.0068019954692446</v>
      </c>
      <c r="F17" s="19" t="s">
        <v>45</v>
      </c>
      <c r="G17" s="14"/>
      <c r="H17" s="13"/>
    </row>
    <row r="18" spans="1:8" s="20" customFormat="1" x14ac:dyDescent="0.2">
      <c r="A18" s="16" t="s">
        <v>46</v>
      </c>
      <c r="B18" s="17" t="s">
        <v>47</v>
      </c>
      <c r="C18" s="18">
        <v>460</v>
      </c>
      <c r="D18" s="19">
        <v>32.593530000000001</v>
      </c>
      <c r="E18" s="19">
        <f t="shared" si="0"/>
        <v>2.9038791375498851</v>
      </c>
      <c r="F18" s="19" t="s">
        <v>48</v>
      </c>
      <c r="G18" s="14"/>
      <c r="H18" s="13"/>
    </row>
    <row r="19" spans="1:8" s="20" customFormat="1" x14ac:dyDescent="0.2">
      <c r="A19" s="16" t="s">
        <v>49</v>
      </c>
      <c r="B19" s="17" t="s">
        <v>50</v>
      </c>
      <c r="C19" s="18">
        <v>725</v>
      </c>
      <c r="D19" s="19">
        <v>32.520600000000002</v>
      </c>
      <c r="E19" s="19">
        <f t="shared" si="0"/>
        <v>2.8973815318747249</v>
      </c>
      <c r="F19" s="19" t="s">
        <v>51</v>
      </c>
      <c r="G19" s="14"/>
      <c r="H19" s="14"/>
    </row>
    <row r="20" spans="1:8" s="20" customFormat="1" x14ac:dyDescent="0.2">
      <c r="A20" s="16" t="s">
        <v>52</v>
      </c>
      <c r="B20" s="17" t="s">
        <v>30</v>
      </c>
      <c r="C20" s="18">
        <v>720</v>
      </c>
      <c r="D20" s="19">
        <v>31.636800000000001</v>
      </c>
      <c r="E20" s="19">
        <f t="shared" si="0"/>
        <v>2.8186404939519654</v>
      </c>
      <c r="F20" s="19" t="s">
        <v>53</v>
      </c>
      <c r="G20" s="14"/>
      <c r="H20" s="13"/>
    </row>
    <row r="21" spans="1:8" s="20" customFormat="1" x14ac:dyDescent="0.2">
      <c r="A21" s="16" t="s">
        <v>54</v>
      </c>
      <c r="B21" s="17" t="s">
        <v>30</v>
      </c>
      <c r="C21" s="18">
        <v>2000</v>
      </c>
      <c r="D21" s="19">
        <v>28.716000000000001</v>
      </c>
      <c r="E21" s="19">
        <f t="shared" si="0"/>
        <v>2.5584155295201993</v>
      </c>
      <c r="F21" s="19" t="s">
        <v>55</v>
      </c>
      <c r="G21" s="14"/>
      <c r="H21" s="14"/>
    </row>
    <row r="22" spans="1:8" s="20" customFormat="1" x14ac:dyDescent="0.2">
      <c r="A22" s="16" t="s">
        <v>56</v>
      </c>
      <c r="B22" s="17" t="s">
        <v>13</v>
      </c>
      <c r="C22" s="18">
        <v>3150</v>
      </c>
      <c r="D22" s="19">
        <v>27.455400000000001</v>
      </c>
      <c r="E22" s="19">
        <f t="shared" si="0"/>
        <v>2.4461039744110908</v>
      </c>
      <c r="F22" s="19" t="s">
        <v>57</v>
      </c>
      <c r="G22" s="14"/>
      <c r="H22" s="14"/>
    </row>
    <row r="23" spans="1:8" s="20" customFormat="1" x14ac:dyDescent="0.2">
      <c r="A23" s="16" t="s">
        <v>58</v>
      </c>
      <c r="B23" s="17" t="s">
        <v>59</v>
      </c>
      <c r="C23" s="18">
        <v>625</v>
      </c>
      <c r="D23" s="19">
        <v>27.025937500000001</v>
      </c>
      <c r="E23" s="19">
        <f t="shared" si="0"/>
        <v>2.4078415587074216</v>
      </c>
      <c r="F23" s="19" t="s">
        <v>60</v>
      </c>
      <c r="G23" s="14"/>
      <c r="H23" s="14"/>
    </row>
    <row r="24" spans="1:8" s="20" customFormat="1" x14ac:dyDescent="0.2">
      <c r="A24" s="16" t="s">
        <v>61</v>
      </c>
      <c r="B24" s="17" t="s">
        <v>13</v>
      </c>
      <c r="C24" s="18">
        <v>4500</v>
      </c>
      <c r="D24" s="19">
        <v>24.907499999999999</v>
      </c>
      <c r="E24" s="19">
        <f t="shared" si="0"/>
        <v>2.2191020616215478</v>
      </c>
      <c r="F24" s="19" t="s">
        <v>62</v>
      </c>
      <c r="G24" s="14"/>
      <c r="H24" s="13"/>
    </row>
    <row r="25" spans="1:8" s="20" customFormat="1" x14ac:dyDescent="0.2">
      <c r="A25" s="16" t="s">
        <v>63</v>
      </c>
      <c r="B25" s="17" t="s">
        <v>64</v>
      </c>
      <c r="C25" s="18">
        <v>20000</v>
      </c>
      <c r="D25" s="19">
        <v>23.94</v>
      </c>
      <c r="E25" s="19">
        <f t="shared" si="0"/>
        <v>2.1329038785594645</v>
      </c>
      <c r="F25" s="19" t="s">
        <v>65</v>
      </c>
      <c r="G25" s="14"/>
      <c r="H25" s="13"/>
    </row>
    <row r="26" spans="1:8" s="20" customFormat="1" x14ac:dyDescent="0.2">
      <c r="A26" s="15" t="s">
        <v>66</v>
      </c>
      <c r="B26" s="17"/>
      <c r="C26" s="18"/>
      <c r="D26" s="22">
        <f>IF(ISERROR(SUM(D6:D25)),0,SUM(D6:D25))</f>
        <v>798.85223000000008</v>
      </c>
      <c r="E26" s="22">
        <f>IF(ISERROR(SUM(E6:E25)),0,SUM(E6:E25))</f>
        <v>71.172724300872034</v>
      </c>
      <c r="F26" s="22"/>
      <c r="G26" s="14"/>
      <c r="H26" s="13"/>
    </row>
    <row r="27" spans="1:8" s="20" customFormat="1" x14ac:dyDescent="0.2">
      <c r="A27" s="15"/>
      <c r="B27" s="15"/>
      <c r="C27" s="23"/>
      <c r="D27" s="24"/>
      <c r="E27" s="24"/>
      <c r="F27" s="24"/>
      <c r="G27" s="14"/>
      <c r="H27" s="13"/>
    </row>
    <row r="28" spans="1:8" s="20" customFormat="1" x14ac:dyDescent="0.2">
      <c r="A28" s="15" t="s">
        <v>67</v>
      </c>
      <c r="B28" s="15"/>
      <c r="C28" s="23"/>
      <c r="D28" s="25" t="s">
        <v>68</v>
      </c>
      <c r="E28" s="25" t="s">
        <v>68</v>
      </c>
      <c r="F28" s="25"/>
      <c r="G28" s="14"/>
      <c r="H28" s="13"/>
    </row>
    <row r="29" spans="1:8" s="20" customFormat="1" x14ac:dyDescent="0.2">
      <c r="A29" s="15"/>
      <c r="B29" s="8"/>
      <c r="C29" s="23"/>
      <c r="D29" s="25"/>
      <c r="E29" s="25"/>
      <c r="F29" s="26"/>
      <c r="G29" s="14"/>
      <c r="H29" s="13"/>
    </row>
    <row r="30" spans="1:8" s="20" customFormat="1" x14ac:dyDescent="0.2">
      <c r="A30" s="15" t="s">
        <v>69</v>
      </c>
      <c r="B30" s="15"/>
      <c r="C30" s="23"/>
      <c r="D30" s="22">
        <f>IF(ISERROR(+D26),0,D26)+IF(ISERROR(+#REF!),0,#REF!)</f>
        <v>798.85223000000008</v>
      </c>
      <c r="E30" s="22">
        <f>IF(ISERROR(+E26),0,E26)+IF(ISERROR(+#REF!),0,#REF!)</f>
        <v>71.172724300872034</v>
      </c>
      <c r="F30" s="27"/>
      <c r="G30" s="14"/>
      <c r="H30" s="13"/>
    </row>
    <row r="31" spans="1:8" s="20" customFormat="1" x14ac:dyDescent="0.2">
      <c r="A31" s="15"/>
      <c r="B31" s="8"/>
      <c r="C31" s="23"/>
      <c r="D31" s="25"/>
      <c r="E31" s="25"/>
      <c r="F31" s="26"/>
      <c r="G31" s="14"/>
      <c r="H31" s="13"/>
    </row>
    <row r="32" spans="1:8" s="20" customFormat="1" x14ac:dyDescent="0.2">
      <c r="A32" s="15" t="s">
        <v>70</v>
      </c>
      <c r="B32" s="8"/>
      <c r="C32" s="28"/>
      <c r="D32" s="25"/>
      <c r="E32" s="25"/>
      <c r="F32" s="26"/>
      <c r="G32" s="14"/>
      <c r="H32" s="13"/>
    </row>
    <row r="33" spans="1:8" s="20" customFormat="1" x14ac:dyDescent="0.2">
      <c r="A33" s="15" t="s">
        <v>66</v>
      </c>
      <c r="B33" s="8"/>
      <c r="C33" s="28"/>
      <c r="D33" s="25">
        <f>IF(ISERROR(SUM(D32:D32)),0,SUM(D32:D32))</f>
        <v>0</v>
      </c>
      <c r="E33" s="25">
        <f>IF(ISERROR(SUM(E32:E32)),0,SUM(E32:E32))</f>
        <v>0</v>
      </c>
      <c r="F33" s="29"/>
      <c r="G33" s="14"/>
      <c r="H33" s="13"/>
    </row>
    <row r="34" spans="1:8" s="20" customFormat="1" x14ac:dyDescent="0.2">
      <c r="A34" s="15"/>
      <c r="B34" s="8"/>
      <c r="C34" s="23"/>
      <c r="D34" s="25"/>
      <c r="E34" s="25"/>
      <c r="F34" s="26"/>
      <c r="G34" s="14"/>
      <c r="H34" s="13"/>
    </row>
    <row r="35" spans="1:8" s="20" customFormat="1" x14ac:dyDescent="0.2">
      <c r="A35" s="15" t="s">
        <v>71</v>
      </c>
      <c r="B35" s="8"/>
      <c r="C35" s="23"/>
      <c r="D35" s="25"/>
      <c r="E35" s="25"/>
      <c r="F35" s="26"/>
      <c r="G35" s="14"/>
      <c r="H35" s="13"/>
    </row>
    <row r="36" spans="1:8" s="20" customFormat="1" x14ac:dyDescent="0.2">
      <c r="A36" s="15" t="s">
        <v>11</v>
      </c>
      <c r="B36" s="8"/>
      <c r="C36" s="23"/>
      <c r="D36" s="25" t="s">
        <v>68</v>
      </c>
      <c r="E36" s="25" t="s">
        <v>68</v>
      </c>
      <c r="F36" s="30"/>
      <c r="G36" s="14"/>
      <c r="H36" s="13"/>
    </row>
    <row r="37" spans="1:8" s="20" customFormat="1" x14ac:dyDescent="0.2">
      <c r="A37" s="15"/>
      <c r="B37" s="8"/>
      <c r="C37" s="28"/>
      <c r="D37" s="30"/>
      <c r="E37" s="30"/>
      <c r="F37" s="30"/>
      <c r="G37" s="14"/>
      <c r="H37" s="13"/>
    </row>
    <row r="38" spans="1:8" s="20" customFormat="1" x14ac:dyDescent="0.2">
      <c r="A38" s="15" t="s">
        <v>72</v>
      </c>
      <c r="B38" s="8"/>
      <c r="C38" s="28"/>
      <c r="D38" s="25" t="s">
        <v>68</v>
      </c>
      <c r="E38" s="25" t="s">
        <v>68</v>
      </c>
      <c r="F38" s="26"/>
      <c r="G38" s="14"/>
      <c r="H38" s="13"/>
    </row>
    <row r="39" spans="1:8" s="20" customFormat="1" x14ac:dyDescent="0.2">
      <c r="A39" s="15"/>
      <c r="B39" s="8"/>
      <c r="C39" s="28"/>
      <c r="D39" s="25"/>
      <c r="E39" s="25"/>
      <c r="F39" s="25"/>
      <c r="G39" s="14"/>
      <c r="H39" s="13"/>
    </row>
    <row r="40" spans="1:8" s="20" customFormat="1" x14ac:dyDescent="0.2">
      <c r="A40" s="15" t="s">
        <v>73</v>
      </c>
      <c r="B40" s="8"/>
      <c r="C40" s="28"/>
      <c r="D40" s="25"/>
      <c r="E40" s="25"/>
      <c r="F40" s="25"/>
      <c r="G40" s="14"/>
      <c r="H40" s="13"/>
    </row>
    <row r="41" spans="1:8" s="20" customFormat="1" x14ac:dyDescent="0.2">
      <c r="A41" s="15"/>
      <c r="B41" s="8"/>
      <c r="C41" s="28"/>
      <c r="D41" s="19"/>
      <c r="E41" s="19"/>
      <c r="F41" s="31"/>
      <c r="G41" s="14"/>
      <c r="H41" s="13"/>
    </row>
    <row r="42" spans="1:8" s="20" customFormat="1" x14ac:dyDescent="0.2">
      <c r="A42" s="15" t="s">
        <v>74</v>
      </c>
      <c r="B42" s="8"/>
      <c r="C42" s="28"/>
      <c r="D42" s="25" t="s">
        <v>68</v>
      </c>
      <c r="E42" s="25" t="s">
        <v>68</v>
      </c>
      <c r="F42" s="25"/>
      <c r="G42" s="14"/>
      <c r="H42" s="13"/>
    </row>
    <row r="43" spans="1:8" s="20" customFormat="1" x14ac:dyDescent="0.2">
      <c r="A43" s="15"/>
      <c r="B43" s="8"/>
      <c r="C43" s="28"/>
      <c r="D43" s="25"/>
      <c r="E43" s="25"/>
      <c r="F43" s="25"/>
      <c r="G43" s="14"/>
      <c r="H43" s="13"/>
    </row>
    <row r="44" spans="1:8" s="20" customFormat="1" x14ac:dyDescent="0.2">
      <c r="A44" s="15" t="s">
        <v>75</v>
      </c>
      <c r="B44" s="8"/>
      <c r="C44" s="28"/>
      <c r="D44" s="25" t="s">
        <v>68</v>
      </c>
      <c r="E44" s="25" t="s">
        <v>68</v>
      </c>
      <c r="F44" s="25"/>
      <c r="G44" s="14"/>
      <c r="H44" s="13"/>
    </row>
    <row r="45" spans="1:8" s="20" customFormat="1" x14ac:dyDescent="0.2">
      <c r="A45" s="15"/>
      <c r="B45" s="8"/>
      <c r="C45" s="28"/>
      <c r="D45" s="25"/>
      <c r="E45" s="25"/>
      <c r="F45" s="25"/>
      <c r="G45" s="14"/>
      <c r="H45" s="13"/>
    </row>
    <row r="46" spans="1:8" s="20" customFormat="1" x14ac:dyDescent="0.2">
      <c r="A46" s="15" t="s">
        <v>76</v>
      </c>
      <c r="B46" s="8"/>
      <c r="C46" s="28"/>
      <c r="D46" s="25"/>
      <c r="E46" s="25"/>
      <c r="F46" s="26"/>
      <c r="G46" s="14"/>
      <c r="H46" s="13"/>
    </row>
    <row r="47" spans="1:8" s="20" customFormat="1" x14ac:dyDescent="0.2">
      <c r="A47" s="15"/>
      <c r="B47" s="32"/>
      <c r="C47" s="33"/>
      <c r="D47" s="30"/>
      <c r="E47" s="30"/>
      <c r="F47" s="34"/>
      <c r="G47" s="14"/>
      <c r="H47" s="13"/>
    </row>
    <row r="48" spans="1:8" s="20" customFormat="1" x14ac:dyDescent="0.2">
      <c r="A48" s="16" t="s">
        <v>77</v>
      </c>
      <c r="B48" s="17"/>
      <c r="C48" s="18">
        <v>0</v>
      </c>
      <c r="D48" s="19">
        <v>293.62916999999999</v>
      </c>
      <c r="E48" s="19">
        <f>(+D48/$D$55*100)</f>
        <v>26.160517775739191</v>
      </c>
      <c r="F48" s="19" t="s">
        <v>78</v>
      </c>
      <c r="G48" s="14">
        <v>6.4188000000000001</v>
      </c>
      <c r="H48" s="13"/>
    </row>
    <row r="49" spans="1:8" s="20" customFormat="1" x14ac:dyDescent="0.2">
      <c r="A49" s="15" t="s">
        <v>66</v>
      </c>
      <c r="B49" s="8"/>
      <c r="C49" s="28"/>
      <c r="D49" s="25">
        <f>IF(ISERROR(SUM(D48:D48)),0,SUM(D48:D48))</f>
        <v>293.62916999999999</v>
      </c>
      <c r="E49" s="25">
        <f>IF(ISERROR(SUM(E48:E48)),0,SUM(E48:E48))</f>
        <v>26.160517775739191</v>
      </c>
      <c r="F49" s="19"/>
      <c r="G49" s="14"/>
      <c r="H49" s="13"/>
    </row>
    <row r="50" spans="1:8" s="20" customFormat="1" x14ac:dyDescent="0.2">
      <c r="A50" s="15"/>
      <c r="B50" s="8"/>
      <c r="C50" s="28"/>
      <c r="D50" s="25"/>
      <c r="E50" s="25"/>
      <c r="F50" s="25"/>
      <c r="G50" s="14"/>
      <c r="H50" s="13"/>
    </row>
    <row r="51" spans="1:8" s="20" customFormat="1" x14ac:dyDescent="0.2">
      <c r="A51" s="15" t="s">
        <v>69</v>
      </c>
      <c r="B51" s="8"/>
      <c r="C51" s="28" t="s">
        <v>79</v>
      </c>
      <c r="D51" s="25">
        <f>+IF(ISERROR(#REF!),0,#REF!)+IF(ISERROR(D49),0,D49)+IF(ISERROR(D30),0,D30)+IF(ISERROR(#REF!),0,#REF!)+IF(ISERROR(#REF!),0,#REF!)+IF(ISERROR(#REF!),0,#REF!)+IF(ISERROR(#REF!),0,#REF!)+IF(ISERROR(#REF!),0,#REF!)+IF(ISERROR(D33),0,D33)</f>
        <v>1092.4814000000001</v>
      </c>
      <c r="E51" s="25">
        <f>+IF(ISERROR(#REF!),0,#REF!)+IF(ISERROR(E49),0,E49)+IF(ISERROR(E30),0,E30)+IF(ISERROR(#REF!),0,#REF!)+IF(ISERROR(#REF!),0,#REF!)+IF(ISERROR(#REF!),0,#REF!)+IF(ISERROR(#REF!),0,#REF!)+IF(ISERROR(#REF!),0,#REF!)+IF(ISERROR(E33),0,E33)</f>
        <v>97.333242076611228</v>
      </c>
      <c r="F51" s="25">
        <f>+IF(ISERROR(#REF!),0,#REF!)+IF(ISERROR(F49),0,F49)+IF(ISERROR(F30),0,F30)+IF(ISERROR(#REF!),0,#REF!)+IF(ISERROR(#REF!),0,#REF!)+IF(ISERROR(#REF!),0,#REF!)+IF(ISERROR(#REF!),0,#REF!)</f>
        <v>0</v>
      </c>
      <c r="G51" s="14"/>
      <c r="H51" s="13"/>
    </row>
    <row r="52" spans="1:8" s="20" customFormat="1" x14ac:dyDescent="0.2">
      <c r="A52" s="15"/>
      <c r="B52" s="8"/>
      <c r="C52" s="28"/>
      <c r="D52" s="25"/>
      <c r="E52" s="25"/>
      <c r="F52" s="35"/>
      <c r="H52" s="1"/>
    </row>
    <row r="53" spans="1:8" s="20" customFormat="1" x14ac:dyDescent="0.2">
      <c r="A53" s="15" t="s">
        <v>80</v>
      </c>
      <c r="B53" s="8"/>
      <c r="C53" s="28"/>
      <c r="D53" s="25">
        <f>+D55-D51</f>
        <v>29.932049600399523</v>
      </c>
      <c r="E53" s="25">
        <f>D53/$D$55*100</f>
        <v>2.6667579233887384</v>
      </c>
      <c r="F53" s="35"/>
      <c r="H53" s="1"/>
    </row>
    <row r="54" spans="1:8" s="20" customFormat="1" x14ac:dyDescent="0.2">
      <c r="A54" s="15"/>
      <c r="B54" s="8"/>
      <c r="C54" s="28"/>
      <c r="D54" s="30"/>
      <c r="E54" s="30"/>
      <c r="F54" s="35"/>
      <c r="H54" s="1"/>
    </row>
    <row r="55" spans="1:8" s="20" customFormat="1" x14ac:dyDescent="0.2">
      <c r="A55" s="15" t="s">
        <v>81</v>
      </c>
      <c r="B55" s="8"/>
      <c r="C55" s="28"/>
      <c r="D55" s="25">
        <v>1122.4134496003996</v>
      </c>
      <c r="E55" s="25">
        <f>+E51+E53</f>
        <v>99.999999999999972</v>
      </c>
      <c r="F55" s="35"/>
      <c r="H55" s="1"/>
    </row>
    <row r="56" spans="1:8" s="20" customFormat="1" x14ac:dyDescent="0.2">
      <c r="A56" s="36"/>
      <c r="B56" s="37"/>
      <c r="C56" s="38"/>
      <c r="D56" s="39"/>
      <c r="E56" s="39"/>
      <c r="F56" s="35"/>
      <c r="H56" s="1"/>
    </row>
    <row r="57" spans="1:8" s="20" customFormat="1" x14ac:dyDescent="0.2">
      <c r="A57" s="40"/>
      <c r="B57" s="37"/>
      <c r="C57" s="38"/>
      <c r="D57" s="39"/>
      <c r="E57" s="39"/>
      <c r="F57" s="41"/>
      <c r="H57" s="1"/>
    </row>
    <row r="58" spans="1:8" ht="15" x14ac:dyDescent="0.25">
      <c r="A58" s="57" t="s">
        <v>82</v>
      </c>
      <c r="B58" s="57"/>
      <c r="C58" s="57"/>
      <c r="D58" s="57"/>
      <c r="E58" s="57"/>
      <c r="F58" s="57"/>
    </row>
    <row r="59" spans="1:8" ht="35.25" customHeight="1" x14ac:dyDescent="0.2">
      <c r="A59" s="58" t="s">
        <v>83</v>
      </c>
      <c r="B59" s="58"/>
      <c r="C59" s="58"/>
      <c r="D59" s="58"/>
      <c r="E59" s="58"/>
      <c r="F59" s="58"/>
    </row>
    <row r="60" spans="1:8" ht="15" x14ac:dyDescent="0.2">
      <c r="A60" s="42" t="s">
        <v>84</v>
      </c>
      <c r="B60" s="42"/>
      <c r="C60" s="42"/>
      <c r="D60" s="42"/>
      <c r="E60" s="42"/>
      <c r="F60" s="42"/>
    </row>
    <row r="61" spans="1:8" ht="85.5" customHeight="1" x14ac:dyDescent="0.2">
      <c r="A61" s="59" t="s">
        <v>85</v>
      </c>
      <c r="B61" s="59"/>
      <c r="C61" s="59"/>
      <c r="D61" s="59"/>
      <c r="E61" s="59"/>
      <c r="F61" s="59"/>
    </row>
    <row r="62" spans="1:8" x14ac:dyDescent="0.2">
      <c r="A62" s="40"/>
      <c r="B62" s="43"/>
      <c r="C62" s="44"/>
      <c r="D62" s="45"/>
      <c r="E62" s="35"/>
    </row>
    <row r="63" spans="1:8" ht="15" x14ac:dyDescent="0.25">
      <c r="A63" s="46" t="s">
        <v>86</v>
      </c>
      <c r="B63" s="47"/>
      <c r="C63" s="47"/>
      <c r="D63" s="47"/>
    </row>
    <row r="64" spans="1:8" ht="15" x14ac:dyDescent="0.25">
      <c r="A64" s="48" t="s">
        <v>87</v>
      </c>
      <c r="B64" s="47"/>
      <c r="C64" s="47"/>
    </row>
    <row r="65" spans="1:6" ht="15" x14ac:dyDescent="0.25">
      <c r="A65" s="60" t="s">
        <v>88</v>
      </c>
      <c r="B65" s="60"/>
      <c r="C65" s="60"/>
      <c r="D65" s="47"/>
      <c r="F65" s="49"/>
    </row>
    <row r="66" spans="1:6" ht="15" x14ac:dyDescent="0.25">
      <c r="A66" s="48" t="s">
        <v>89</v>
      </c>
      <c r="B66" s="47"/>
      <c r="C66" s="47"/>
      <c r="D66" s="47"/>
    </row>
    <row r="67" spans="1:6" ht="15" x14ac:dyDescent="0.25">
      <c r="A67" s="48"/>
      <c r="B67" s="47"/>
      <c r="C67" s="47"/>
    </row>
    <row r="68" spans="1:6" ht="14.25" x14ac:dyDescent="0.2">
      <c r="A68" s="50" t="s">
        <v>90</v>
      </c>
      <c r="B68" s="47"/>
      <c r="C68" s="47"/>
      <c r="D68" s="51" t="s">
        <v>91</v>
      </c>
    </row>
  </sheetData>
  <mergeCells count="6">
    <mergeCell ref="A65:C65"/>
    <mergeCell ref="A1:H1"/>
    <mergeCell ref="A2:H2"/>
    <mergeCell ref="A58:F58"/>
    <mergeCell ref="A59:F59"/>
    <mergeCell ref="A61:F6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Parab</dc:creator>
  <cp:lastModifiedBy>Tejasvi Gupta</cp:lastModifiedBy>
  <dcterms:created xsi:type="dcterms:W3CDTF">2023-02-07T10:26:20Z</dcterms:created>
  <dcterms:modified xsi:type="dcterms:W3CDTF">2023-02-07T11:59:59Z</dcterms:modified>
</cp:coreProperties>
</file>