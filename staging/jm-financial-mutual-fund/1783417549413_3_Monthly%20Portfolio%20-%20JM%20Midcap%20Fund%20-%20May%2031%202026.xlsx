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23580596-1351-4573-9048-E0C394B0662B}" xr6:coauthVersionLast="47" xr6:coauthVersionMax="47" xr10:uidLastSave="{00000000-0000-0000-0000-000000000000}"/>
  <bookViews>
    <workbookView xWindow="-110" yWindow="-110" windowWidth="19420" windowHeight="11500" xr2:uid="{00000000-000D-0000-FFFF-FFFF00000000}"/>
  </bookViews>
  <sheets>
    <sheet name="JM Midcap Fund" sheetId="1" r:id="rId1"/>
  </sheets>
  <definedNames>
    <definedName name="_xlnm._FilterDatabase" localSheetId="0" hidden="1">'JM Midcap Fund'!$B$4:$I$102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1" l="1"/>
  <c r="E78" i="1"/>
  <c r="F71" i="1"/>
  <c r="E71" i="1"/>
  <c r="F74" i="1"/>
  <c r="E74" i="1"/>
</calcChain>
</file>

<file path=xl/sharedStrings.xml><?xml version="1.0" encoding="utf-8"?>
<sst xmlns="http://schemas.openxmlformats.org/spreadsheetml/2006/main" count="306" uniqueCount="230">
  <si>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</si>
  <si>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</si>
  <si>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</si>
  <si>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</si>
  <si>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</si>
  <si>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</si>
  <si>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</si>
  <si>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</si>
  <si>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</si>
  <si>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</si>
  <si>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</si>
  <si>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</si>
  <si>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</si>
  <si>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</si>
  <si>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</si>
  <si>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</si>
  <si>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</si>
  <si>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</si>
  <si>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</si>
  <si>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</si>
  <si>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</si>
  <si>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</si>
  <si>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</si>
  <si>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</si>
  <si>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</si>
  <si>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</si>
  <si>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</si>
  <si>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</si>
  <si>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</si>
  <si>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AVALON TECHNOLOGIES LIMITED</t>
  </si>
  <si>
    <t>Cummins India Limited</t>
  </si>
  <si>
    <t>One Source Specialty Pharma Ltd</t>
  </si>
  <si>
    <t>Devyani International Limited</t>
  </si>
  <si>
    <t>TUBE INVESTMENTS OF INDIA LTD</t>
  </si>
  <si>
    <t>KPIT Technologies Limited</t>
  </si>
  <si>
    <t>Jana Small Finance Bank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</si>
  <si>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</si>
  <si>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</si>
  <si>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</si>
  <si>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</si>
  <si>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</si>
  <si>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</si>
  <si>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</si>
  <si>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</si>
  <si>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</si>
  <si>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</si>
  <si>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</si>
  <si>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</si>
  <si>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</si>
  <si>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</si>
  <si>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</si>
  <si>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</si>
  <si>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</si>
  <si>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</si>
  <si>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</si>
  <si>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</si>
  <si>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</si>
  <si>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</si>
  <si>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</si>
  <si>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</si>
  <si>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</si>
  <si>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</si>
  <si>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</si>
  <si>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</si>
  <si>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</si>
  <si>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INE974X01010</t>
  </si>
  <si>
    <t>INE196A01026</t>
  </si>
  <si>
    <t>INE258G01013</t>
  </si>
  <si>
    <t>INE872J01023</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</si>
  <si>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</si>
  <si>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</si>
  <si>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</si>
  <si>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</si>
  <si>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</si>
  <si>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</si>
  <si>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</si>
  <si>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</si>
  <si>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</si>
  <si>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</si>
  <si>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</si>
  <si>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</si>
  <si>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</si>
  <si>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</si>
  <si>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</si>
  <si>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</si>
  <si>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</si>
  <si>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</si>
  <si>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</si>
  <si>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</si>
  <si>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</si>
  <si>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</si>
  <si>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</si>
  <si>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</si>
  <si>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</si>
  <si>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</si>
  <si>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</si>
  <si>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</si>
  <si>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</si>
  <si>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</si>
  <si>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</si>
  <si>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</si>
  <si>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</si>
  <si>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</si>
  <si>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</si>
  <si>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</si>
  <si>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</si>
  <si>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</si>
  <si>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</si>
  <si>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</si>
  <si>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</si>
  <si>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</si>
  <si>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</si>
  <si>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</si>
  <si>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</si>
  <si>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</si>
  <si>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</si>
  <si>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</si>
  <si>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</si>
  <si>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</si>
  <si>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</si>
  <si>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</si>
  <si>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</si>
  <si>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</si>
  <si>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</si>
  <si>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</si>
  <si>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</si>
  <si>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</si>
  <si>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</si>
  <si>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</si>
  <si>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</si>
  <si>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</si>
  <si>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</si>
  <si>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</si>
  <si>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</si>
  <si>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</si>
  <si>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</si>
  <si>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</si>
  <si>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</si>
  <si>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</si>
  <si>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</si>
  <si>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</si>
  <si>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</si>
  <si>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</si>
  <si>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</si>
  <si>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</si>
  <si>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</si>
  <si>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</si>
  <si>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</si>
  <si>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</si>
  <si>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</si>
  <si>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</si>
  <si>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</si>
  <si>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</si>
  <si>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</si>
  <si>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</si>
  <si>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INE061F01013</t>
  </si>
  <si>
    <t>Fortis Healthcare Limited</t>
  </si>
  <si>
    <t>Healthcare Services</t>
  </si>
  <si>
    <t>Jindal Steel Limited</t>
  </si>
  <si>
    <t>INE073K01018</t>
  </si>
  <si>
    <t>Sona BLW Precision Forgings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</si>
  <si>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</si>
  <si>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</si>
  <si>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</si>
  <si>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</si>
  <si>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</si>
  <si>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</si>
  <si>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</si>
  <si>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</si>
  <si>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</si>
  <si>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</si>
  <si>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</si>
  <si>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</si>
  <si>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</si>
  <si>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</si>
  <si>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</si>
  <si>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</si>
  <si>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</si>
  <si>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</si>
  <si>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</si>
  <si>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INE372A01015</t>
  </si>
  <si>
    <t>APAR INDUSTRIES LTD</t>
  </si>
  <si>
    <t>INE139A01034</t>
  </si>
  <si>
    <t>National Aluminium Company Limited</t>
  </si>
  <si>
    <t>INE745G01043</t>
  </si>
  <si>
    <t>Multi Commodity Exchange of India Ltd.</t>
  </si>
  <si>
    <t>INE152A01029</t>
  </si>
  <si>
    <t>Thermax Limited</t>
  </si>
  <si>
    <t>MonthlyPortfolio Statement for the period ended 31.05.2026</t>
  </si>
  <si>
    <t>INE121J01017</t>
  </si>
  <si>
    <t>Indus Towers Limited</t>
  </si>
  <si>
    <t>01-JUN-2026</t>
  </si>
  <si>
    <t>INE913H01037</t>
  </si>
  <si>
    <t>Endurance Technologies Limited</t>
  </si>
  <si>
    <t>INE2OVN25015</t>
  </si>
  <si>
    <t>Bagmane Prime Office REIT</t>
  </si>
  <si>
    <t>Cigarettes &amp; Tobacco Products</t>
  </si>
  <si>
    <t>Auto Components</t>
  </si>
  <si>
    <t>Electrical Equipment</t>
  </si>
  <si>
    <t>Agricultural Food &amp; other Products</t>
  </si>
  <si>
    <t>Capital Markets</t>
  </si>
  <si>
    <t>Pharmaceuticals &amp; Biotechnology</t>
  </si>
  <si>
    <t>Industrial Products</t>
  </si>
  <si>
    <t>Banks</t>
  </si>
  <si>
    <t>Textiles &amp; Apparels</t>
  </si>
  <si>
    <t>Ferrous Metals</t>
  </si>
  <si>
    <t>Chemicals &amp; Petrochemicals</t>
  </si>
  <si>
    <t>Cement &amp; Cement Products</t>
  </si>
  <si>
    <t>IT - Software</t>
  </si>
  <si>
    <t>Consumer Durables</t>
  </si>
  <si>
    <t>Automobiles</t>
  </si>
  <si>
    <t>Agricultural, Commercial &amp; Construction Vehicles</t>
  </si>
  <si>
    <t>Finance</t>
  </si>
  <si>
    <t>Financial Technology (Fintech)</t>
  </si>
  <si>
    <t>Industrial Manufacturing</t>
  </si>
  <si>
    <t>Commercial Services &amp; Supplies</t>
  </si>
  <si>
    <t>Fertilizers &amp; Agrochemicals</t>
  </si>
  <si>
    <t>Realty</t>
  </si>
  <si>
    <t>IT - Services</t>
  </si>
  <si>
    <t>Retailing</t>
  </si>
  <si>
    <t>Leisure Services</t>
  </si>
  <si>
    <t>Transport Services</t>
  </si>
  <si>
    <t>Telecom - Services</t>
  </si>
  <si>
    <t>Non - Ferrous Metals</t>
  </si>
  <si>
    <t>Petroleum Products</t>
  </si>
  <si>
    <t>IDCW declared during the period (Gross)-Plan</t>
  </si>
  <si>
    <t>As on ***</t>
  </si>
  <si>
    <t>***  Nav has been considered as of 29 MAY 2026 (Last Business Day).</t>
  </si>
  <si>
    <t>Portfolio Turnover  Ratio is 0.0.8807times</t>
  </si>
  <si>
    <t xml:space="preserve">b. UNITS ISSUED BY REIT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</si>
</sst>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3" fontId="2" fillId="0" borderId="0" applyFont="0" applyFill="0" applyBorder="0" applyAlignment="0" applyProtection="0"/>
    <xf numFmtId="164" fontId="2" fillId="0" borderId="0" applyFont="0" applyFill="0" applyBorder="0" applyAlignment="0" applyProtection="0"/>
  </cellStyleXfs>
  <cellXfs count="11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5"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6" fillId="0" borderId="1" xfId="0" applyFont="1" applyBorder="1" applyAlignment="1">
      <alignment horizontal="right" vertical="top"/>
    </xf>
    <xf numFmtId="4" fontId="8"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6"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4" fontId="16" fillId="4" borderId="1" xfId="0" applyNumberFormat="1" applyFont="1" applyFill="1" applyBorder="1" applyAlignment="1">
      <alignment horizontal="right" vertical="top"/>
    </xf>
    <xf numFmtId="166" fontId="16" fillId="4" borderId="1" xfId="0" applyNumberFormat="1" applyFont="1" applyFill="1" applyBorder="1" applyAlignment="1">
      <alignment horizontal="right" vertical="top"/>
    </xf>
    <xf numFmtId="166" fontId="3" fillId="4" borderId="1" xfId="0" applyNumberFormat="1" applyFont="1" applyFill="1" applyBorder="1" applyAlignment="1">
      <alignment horizontal="right" vertical="top"/>
    </xf>
    <xf numFmtId="4" fontId="8" fillId="4" borderId="1" xfId="0" applyNumberFormat="1" applyFont="1" applyFill="1" applyBorder="1"/>
    <xf numFmtId="4" fontId="7" fillId="4" borderId="1" xfId="0" applyNumberFormat="1" applyFont="1" applyFill="1" applyBorder="1" applyAlignment="1">
      <alignment horizontal="right" vertical="top"/>
    </xf>
    <xf numFmtId="166" fontId="7" fillId="4" borderId="1" xfId="0"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10" fontId="8" fillId="0" borderId="1" xfId="8" applyNumberFormat="1" applyFont="1" applyBorder="1"/>
    <xf numFmtId="0" fontId="3" fillId="0" borderId="1" xfId="0" applyFont="1" applyBorder="1" applyAlignment="1">
      <alignment horizontal="right"/>
    </xf>
    <xf numFmtId="4" fontId="8" fillId="0" borderId="0" xfId="0" applyNumberFormat="1" applyFont="1"/>
    <xf numFmtId="9" fontId="8" fillId="0" borderId="0" xfId="8" applyFont="1" applyBorder="1"/>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3" fillId="0" borderId="0" xfId="2" applyFont="1" applyAlignment="1">
      <alignment horizontal="center" wrapText="1"/>
    </xf>
    <xf numFmtId="0" fontId="3" fillId="0" borderId="0" xfId="2" applyFont="1" applyAlignment="1">
      <alignment horizontal="center"/>
    </xf>
    <xf numFmtId="15" fontId="7" fillId="0" borderId="0" xfId="0" applyNumberFormat="1" applyFont="1" applyAlignment="1">
      <alignment horizontal="center"/>
    </xf>
    <xf numFmtId="171" fontId="7" fillId="0" borderId="0" xfId="1" applyNumberFormat="1" applyFont="1" applyFill="1" applyBorder="1" applyAlignment="1">
      <alignment horizontal="right"/>
    </xf>
    <xf numFmtId="172"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165" fontId="3" fillId="0" borderId="0" xfId="1" applyNumberFormat="1" applyFont="1" applyAlignment="1"/>
    <xf numFmtId="0" fontId="3" fillId="0" borderId="0" xfId="7" applyFont="1" applyAlignment="1">
      <alignment horizontal="left" vertical="top"/>
    </xf>
    <xf numFmtId="0" fontId="3" fillId="0" borderId="0" xfId="7" applyFont="1" applyAlignment="1">
      <alignment vertical="top"/>
    </xf>
    <xf numFmtId="0" fontId="6" fillId="0" borderId="0" xfId="6" applyFont="1" applyAlignment="1">
      <alignment horizontal="left" vertical="top"/>
    </xf>
    <xf numFmtId="170" fontId="3" fillId="0" borderId="0" xfId="0" applyNumberFormat="1" applyFont="1" applyAlignment="1">
      <alignment horizontal="center"/>
    </xf>
    <xf numFmtId="0" fontId="20" fillId="0" borderId="0" xfId="0" applyFont="1" applyAlignment="1">
      <alignment vertical="center" wrapText="1"/>
    </xf>
    <xf numFmtId="0" fontId="20" fillId="0" borderId="0" xfId="0" applyFont="1" applyAlignment="1">
      <alignment wrapText="1"/>
    </xf>
    <xf numFmtId="0" fontId="7" fillId="0" borderId="1" xfId="0" applyFont="1" applyBorder="1" applyAlignment="1">
      <alignment horizontal="left" vertical="top"/>
    </xf>
    <xf numFmtId="10" fontId="7" fillId="0" borderId="1" xfId="8" applyNumberFormat="1" applyFont="1" applyBorder="1" applyAlignment="1">
      <alignment horizontal="right" vertical="top"/>
    </xf>
    <xf numFmtId="4" fontId="3" fillId="0" borderId="0" xfId="12" applyNumberFormat="1" applyFont="1" applyFill="1" applyBorder="1" applyAlignment="1">
      <alignment horizontal="center"/>
    </xf>
    <xf numFmtId="4" fontId="3" fillId="0" borderId="0" xfId="1" applyNumberFormat="1" applyFont="1" applyFill="1" applyBorder="1" applyAlignment="1">
      <alignment horizontal="center"/>
    </xf>
    <xf numFmtId="15" fontId="3" fillId="0" borderId="0" xfId="0" applyNumberFormat="1" applyFont="1" applyAlignment="1">
      <alignment horizontal="center"/>
    </xf>
    <xf numFmtId="0" fontId="9" fillId="0" borderId="0" xfId="6" applyFont="1" applyAlignment="1">
      <alignment horizontal="left" vertical="top" wrapText="1"/>
    </xf>
    <xf numFmtId="0" fontId="0" fillId="0" borderId="0" xfId="0" applyAlignment="1">
      <alignment horizontal="left" vertical="top" wrapText="1"/>
    </xf>
    <xf numFmtId="0" fontId="8" fillId="0" borderId="0" xfId="4" applyFont="1" applyAlignment="1">
      <alignment horizontal="center" wrapText="1"/>
    </xf>
    <xf numFmtId="0" fontId="0" fillId="0" borderId="0" xfId="0" applyAlignment="1">
      <alignment horizontal="center"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20" fillId="0" borderId="0" xfId="0" applyFont="1" applyAlignment="1">
      <alignment vertical="center" wrapText="1"/>
    </xf>
    <xf numFmtId="0" fontId="20" fillId="0" borderId="0" xfId="0" applyFont="1" applyAlignment="1">
      <alignment wrapText="1"/>
    </xf>
  </cellXfs>
  <cellStyles count="13">
    <cellStyle name="Comma" xfId="1" builtinId="3"/>
    <cellStyle name="Comma 3" xfId="12" xr:uid="{713248B7-1598-42F8-AE47-3ECF6FDC9098}"/>
    <cellStyle name="Comma 4" xfId="5" xr:uid="{00000000-0005-0000-0000-000001000000}"/>
    <cellStyle name="Comma_Template Portfolio Disclosure - 30.09.2013" xfId="11" xr:uid="{F2E7993F-97BA-4388-A4BA-AC75DC3BE0FA}"/>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266700</xdr:colOff>
      <xdr:row>146</xdr:row>
      <xdr:rowOff>47625</xdr:rowOff>
    </xdr:from>
    <xdr:ext cx="2651125" cy="1546225"/>
    <xdr:pic>
      <xdr:nvPicPr>
        <xdr:cNvPr id="4" name="Picture 5">
          <a:extLst>
            <a:ext uri="{FF2B5EF4-FFF2-40B4-BE49-F238E27FC236}">
              <a16:creationId xmlns:a16="http://schemas.microsoft.com/office/drawing/2014/main" id="{62930688-3507-47A2-BF0B-2C156648E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25288875"/>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866776</xdr:colOff>
      <xdr:row>145</xdr:row>
      <xdr:rowOff>57149</xdr:rowOff>
    </xdr:from>
    <xdr:ext cx="2866304" cy="1676401"/>
    <xdr:pic>
      <xdr:nvPicPr>
        <xdr:cNvPr id="5" name="Picture 6">
          <a:extLst>
            <a:ext uri="{FF2B5EF4-FFF2-40B4-BE49-F238E27FC236}">
              <a16:creationId xmlns:a16="http://schemas.microsoft.com/office/drawing/2014/main" id="{0C47234D-9827-473B-8D62-55DD56041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05451" y="2511742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71"/>
  <sheetViews>
    <sheetView tabSelected="1" zoomScaleNormal="100" workbookViewId="0"/>
  </sheetViews>
  <sheetFormatPr defaultColWidth="9.1796875" defaultRowHeight="13" x14ac:dyDescent="0.3"/>
  <cols>
    <col min="1" max="1" width="20.81640625" style="1" customWidth="1"/>
    <col min="2" max="2" width="47.81640625" style="4" customWidth="1"/>
    <col min="3" max="3" width="35.81640625" style="3" customWidth="1"/>
    <col min="4" max="4" width="13.453125" style="2" customWidth="1"/>
    <col min="5" max="5" width="12" style="1" customWidth="1"/>
    <col min="6" max="6" width="10.7265625" style="1" customWidth="1"/>
    <col min="7" max="7" width="16.26953125" style="1" customWidth="1"/>
    <col min="8" max="8" width="9.54296875" style="1" bestFit="1" customWidth="1"/>
    <col min="9" max="9" width="12.26953125" style="1" customWidth="1"/>
    <col min="10" max="10" width="15.81640625" style="5" customWidth="1"/>
    <col min="11" max="16384" width="9.1796875" style="1"/>
  </cols>
  <sheetData>
    <row r="1" spans="1:10" x14ac:dyDescent="0.3">
      <c r="A1" s="21"/>
      <c r="B1" s="114" t="s">
        <v>12</v>
      </c>
      <c r="C1" s="114"/>
      <c r="D1" s="114"/>
      <c r="E1" s="114"/>
      <c r="F1" s="114"/>
      <c r="G1" s="114"/>
      <c r="H1" s="114"/>
      <c r="I1" s="114"/>
      <c r="J1" s="22"/>
    </row>
    <row r="2" spans="1:10" ht="13.5" customHeight="1" x14ac:dyDescent="0.3">
      <c r="A2" s="21"/>
      <c r="B2" s="114" t="s">
        <v>11</v>
      </c>
      <c r="C2" s="114"/>
      <c r="D2" s="114"/>
      <c r="E2" s="114"/>
      <c r="F2" s="114"/>
      <c r="G2" s="114"/>
      <c r="H2" s="114"/>
      <c r="I2" s="114"/>
      <c r="J2" s="22"/>
    </row>
    <row r="3" spans="1:10" ht="12.75" customHeight="1" x14ac:dyDescent="0.3">
      <c r="A3" s="21"/>
      <c r="B3" s="115" t="s">
        <v>188</v>
      </c>
      <c r="C3" s="115"/>
      <c r="D3" s="115"/>
      <c r="E3" s="115"/>
      <c r="F3" s="115"/>
      <c r="G3" s="115"/>
      <c r="H3" s="115"/>
      <c r="I3" s="115"/>
      <c r="J3" s="22"/>
    </row>
    <row r="4" spans="1:10" s="33" customFormat="1" ht="20" x14ac:dyDescent="0.3">
      <c r="A4" s="27" t="s">
        <v>80</v>
      </c>
      <c r="B4" s="28" t="s">
        <v>49</v>
      </c>
      <c r="C4" s="29" t="s">
        <v>50</v>
      </c>
      <c r="D4" s="30" t="s">
        <v>10</v>
      </c>
      <c r="E4" s="31" t="s">
        <v>51</v>
      </c>
      <c r="F4" s="32" t="s">
        <v>52</v>
      </c>
      <c r="G4" s="27" t="s">
        <v>53</v>
      </c>
      <c r="H4" s="27" t="s">
        <v>54</v>
      </c>
      <c r="I4" s="27" t="s">
        <v>55</v>
      </c>
      <c r="J4" s="27" t="s">
        <v>129</v>
      </c>
    </row>
    <row r="5" spans="1:10" x14ac:dyDescent="0.3">
      <c r="A5" s="34"/>
      <c r="B5" s="35" t="s">
        <v>36</v>
      </c>
      <c r="C5" s="34"/>
      <c r="D5" s="36"/>
      <c r="E5" s="36"/>
      <c r="F5" s="37"/>
      <c r="G5" s="38"/>
      <c r="H5" s="37"/>
      <c r="I5" s="39"/>
      <c r="J5" s="23"/>
    </row>
    <row r="6" spans="1:10" x14ac:dyDescent="0.3">
      <c r="A6" s="34"/>
      <c r="B6" s="35" t="s">
        <v>37</v>
      </c>
      <c r="C6" s="34"/>
      <c r="D6" s="36"/>
      <c r="E6" s="40"/>
      <c r="F6" s="40"/>
      <c r="G6" s="38"/>
      <c r="H6" s="37"/>
      <c r="I6" s="39"/>
      <c r="J6" s="23"/>
    </row>
    <row r="7" spans="1:10" x14ac:dyDescent="0.3">
      <c r="A7" s="41" t="s">
        <v>57</v>
      </c>
      <c r="B7" s="41" t="s">
        <v>21</v>
      </c>
      <c r="C7" s="41" t="s">
        <v>196</v>
      </c>
      <c r="D7" s="42">
        <v>192151</v>
      </c>
      <c r="E7" s="42">
        <v>4386.4230280000002</v>
      </c>
      <c r="F7" s="43">
        <v>3.6042613603785724E-2</v>
      </c>
      <c r="G7" s="44"/>
      <c r="H7" s="44"/>
      <c r="I7" s="39"/>
      <c r="J7" s="24"/>
    </row>
    <row r="8" spans="1:10" x14ac:dyDescent="0.3">
      <c r="A8" s="41" t="s">
        <v>87</v>
      </c>
      <c r="B8" s="41" t="s">
        <v>88</v>
      </c>
      <c r="C8" s="41" t="s">
        <v>197</v>
      </c>
      <c r="D8" s="42">
        <v>219500</v>
      </c>
      <c r="E8" s="42">
        <v>4296.0540000000001</v>
      </c>
      <c r="F8" s="43">
        <v>3.5300064164946306E-2</v>
      </c>
      <c r="G8" s="44"/>
      <c r="H8" s="44"/>
      <c r="I8" s="39"/>
      <c r="J8" s="24"/>
    </row>
    <row r="9" spans="1:10" x14ac:dyDescent="0.3">
      <c r="A9" s="41" t="s">
        <v>65</v>
      </c>
      <c r="B9" s="41" t="s">
        <v>33</v>
      </c>
      <c r="C9" s="41" t="s">
        <v>197</v>
      </c>
      <c r="D9" s="42">
        <v>130000</v>
      </c>
      <c r="E9" s="42">
        <v>4083.82</v>
      </c>
      <c r="F9" s="43">
        <v>3.3556167598938702E-2</v>
      </c>
      <c r="G9" s="44"/>
      <c r="H9" s="44"/>
      <c r="I9" s="39"/>
      <c r="J9" s="23"/>
    </row>
    <row r="10" spans="1:10" x14ac:dyDescent="0.3">
      <c r="A10" s="41" t="s">
        <v>64</v>
      </c>
      <c r="B10" s="41" t="s">
        <v>29</v>
      </c>
      <c r="C10" s="41" t="s">
        <v>198</v>
      </c>
      <c r="D10" s="42">
        <v>258351</v>
      </c>
      <c r="E10" s="42">
        <v>3928.2269550000001</v>
      </c>
      <c r="F10" s="43">
        <v>3.2277681697197393E-2</v>
      </c>
      <c r="G10" s="44"/>
      <c r="H10" s="44"/>
      <c r="I10" s="39"/>
      <c r="J10" s="23"/>
    </row>
    <row r="11" spans="1:10" x14ac:dyDescent="0.3">
      <c r="A11" s="41" t="s">
        <v>66</v>
      </c>
      <c r="B11" s="41" t="s">
        <v>27</v>
      </c>
      <c r="C11" s="41" t="s">
        <v>199</v>
      </c>
      <c r="D11" s="42">
        <v>454981</v>
      </c>
      <c r="E11" s="42">
        <v>3738.5788769999999</v>
      </c>
      <c r="F11" s="43">
        <v>3.0719370437106448E-2</v>
      </c>
      <c r="G11" s="44"/>
      <c r="H11" s="44"/>
      <c r="I11" s="39"/>
      <c r="J11" s="24"/>
    </row>
    <row r="12" spans="1:10" x14ac:dyDescent="0.3">
      <c r="A12" s="41" t="s">
        <v>81</v>
      </c>
      <c r="B12" s="41" t="s">
        <v>82</v>
      </c>
      <c r="C12" s="41" t="s">
        <v>200</v>
      </c>
      <c r="D12" s="42">
        <v>85000</v>
      </c>
      <c r="E12" s="42">
        <v>3524.1849999999999</v>
      </c>
      <c r="F12" s="43">
        <v>2.8957726469253247E-2</v>
      </c>
      <c r="G12" s="44"/>
      <c r="H12" s="44"/>
      <c r="I12" s="39"/>
      <c r="J12" s="24"/>
    </row>
    <row r="13" spans="1:10" x14ac:dyDescent="0.3">
      <c r="A13" s="41" t="s">
        <v>79</v>
      </c>
      <c r="B13" s="41" t="s">
        <v>105</v>
      </c>
      <c r="C13" s="41" t="s">
        <v>201</v>
      </c>
      <c r="D13" s="42">
        <v>110000</v>
      </c>
      <c r="E13" s="42">
        <v>3445.75</v>
      </c>
      <c r="F13" s="43">
        <v>2.8313237239653816E-2</v>
      </c>
      <c r="G13" s="44"/>
      <c r="H13" s="44"/>
      <c r="I13" s="39"/>
      <c r="J13" s="24"/>
    </row>
    <row r="14" spans="1:10" x14ac:dyDescent="0.3">
      <c r="A14" s="41" t="s">
        <v>70</v>
      </c>
      <c r="B14" s="41" t="s">
        <v>30</v>
      </c>
      <c r="C14" s="41" t="s">
        <v>202</v>
      </c>
      <c r="D14" s="42">
        <v>56829</v>
      </c>
      <c r="E14" s="42">
        <v>3342.1134900000002</v>
      </c>
      <c r="F14" s="43">
        <v>2.7461670789876623E-2</v>
      </c>
      <c r="G14" s="44"/>
      <c r="H14" s="44"/>
      <c r="I14" s="39"/>
      <c r="J14" s="24"/>
    </row>
    <row r="15" spans="1:10" x14ac:dyDescent="0.3">
      <c r="A15" s="41" t="s">
        <v>101</v>
      </c>
      <c r="B15" s="41" t="s">
        <v>100</v>
      </c>
      <c r="C15" s="41" t="s">
        <v>201</v>
      </c>
      <c r="D15" s="42">
        <v>146223</v>
      </c>
      <c r="E15" s="42">
        <v>3326.4270270000002</v>
      </c>
      <c r="F15" s="43">
        <v>2.7332777356409294E-2</v>
      </c>
      <c r="G15" s="44"/>
      <c r="H15" s="44"/>
      <c r="I15" s="39"/>
      <c r="J15" s="23"/>
    </row>
    <row r="16" spans="1:10" x14ac:dyDescent="0.3">
      <c r="A16" s="41" t="s">
        <v>63</v>
      </c>
      <c r="B16" s="41" t="s">
        <v>25</v>
      </c>
      <c r="C16" s="41" t="s">
        <v>203</v>
      </c>
      <c r="D16" s="42">
        <v>4167515</v>
      </c>
      <c r="E16" s="42">
        <v>3303.5891405000002</v>
      </c>
      <c r="F16" s="43">
        <v>2.714512169406386E-2</v>
      </c>
      <c r="G16" s="44"/>
      <c r="H16" s="44"/>
      <c r="I16" s="39"/>
      <c r="J16" s="24"/>
    </row>
    <row r="17" spans="1:10" x14ac:dyDescent="0.3">
      <c r="A17" s="41" t="s">
        <v>62</v>
      </c>
      <c r="B17" s="41" t="s">
        <v>26</v>
      </c>
      <c r="C17" s="41" t="s">
        <v>204</v>
      </c>
      <c r="D17" s="42">
        <v>672379</v>
      </c>
      <c r="E17" s="42">
        <v>3182.7059964999999</v>
      </c>
      <c r="F17" s="43">
        <v>2.6151842107806227E-2</v>
      </c>
      <c r="G17" s="44"/>
      <c r="H17" s="44"/>
      <c r="I17" s="39"/>
      <c r="J17" s="24"/>
    </row>
    <row r="18" spans="1:10" x14ac:dyDescent="0.3">
      <c r="A18" s="41" t="s">
        <v>71</v>
      </c>
      <c r="B18" s="41" t="s">
        <v>158</v>
      </c>
      <c r="C18" s="41" t="s">
        <v>205</v>
      </c>
      <c r="D18" s="42">
        <v>231653</v>
      </c>
      <c r="E18" s="42">
        <v>2796.5150159999998</v>
      </c>
      <c r="F18" s="43">
        <v>2.2978565796201781E-2</v>
      </c>
      <c r="G18" s="44"/>
      <c r="H18" s="44"/>
      <c r="I18" s="39"/>
      <c r="J18" s="24"/>
    </row>
    <row r="19" spans="1:10" x14ac:dyDescent="0.3">
      <c r="A19" s="41" t="s">
        <v>58</v>
      </c>
      <c r="B19" s="41" t="s">
        <v>20</v>
      </c>
      <c r="C19" s="41" t="s">
        <v>203</v>
      </c>
      <c r="D19" s="42">
        <v>320000</v>
      </c>
      <c r="E19" s="42">
        <v>2665.6</v>
      </c>
      <c r="F19" s="43">
        <v>2.1902855745779933E-2</v>
      </c>
      <c r="G19" s="44"/>
      <c r="H19" s="44"/>
      <c r="I19" s="39"/>
      <c r="J19" s="24"/>
    </row>
    <row r="20" spans="1:10" x14ac:dyDescent="0.3">
      <c r="A20" s="41" t="s">
        <v>137</v>
      </c>
      <c r="B20" s="41" t="s">
        <v>138</v>
      </c>
      <c r="C20" s="41" t="s">
        <v>206</v>
      </c>
      <c r="D20" s="42">
        <v>98049</v>
      </c>
      <c r="E20" s="42">
        <v>2662.814742</v>
      </c>
      <c r="F20" s="43">
        <v>2.1879969677281744E-2</v>
      </c>
      <c r="G20" s="44"/>
      <c r="H20" s="44"/>
      <c r="I20" s="39"/>
      <c r="J20" s="23"/>
    </row>
    <row r="21" spans="1:10" x14ac:dyDescent="0.3">
      <c r="A21" s="41" t="s">
        <v>60</v>
      </c>
      <c r="B21" s="41" t="s">
        <v>24</v>
      </c>
      <c r="C21" s="41" t="s">
        <v>207</v>
      </c>
      <c r="D21" s="42">
        <v>48420</v>
      </c>
      <c r="E21" s="42">
        <v>2503.7982000000002</v>
      </c>
      <c r="F21" s="43">
        <v>2.057335338803401E-2</v>
      </c>
      <c r="G21" s="44"/>
      <c r="H21" s="44"/>
      <c r="I21" s="39"/>
      <c r="J21" s="24"/>
    </row>
    <row r="22" spans="1:10" x14ac:dyDescent="0.3">
      <c r="A22" s="41" t="s">
        <v>99</v>
      </c>
      <c r="B22" s="41" t="s">
        <v>85</v>
      </c>
      <c r="C22" s="41" t="s">
        <v>208</v>
      </c>
      <c r="D22" s="42">
        <v>175000</v>
      </c>
      <c r="E22" s="42">
        <v>2488.15</v>
      </c>
      <c r="F22" s="43">
        <v>2.0444774356190857E-2</v>
      </c>
      <c r="G22" s="44"/>
      <c r="H22" s="44"/>
      <c r="I22" s="39"/>
      <c r="J22" s="24"/>
    </row>
    <row r="23" spans="1:10" x14ac:dyDescent="0.3">
      <c r="A23" s="41" t="s">
        <v>149</v>
      </c>
      <c r="B23" s="41" t="s">
        <v>150</v>
      </c>
      <c r="C23" s="41" t="s">
        <v>209</v>
      </c>
      <c r="D23" s="42">
        <v>20105</v>
      </c>
      <c r="E23" s="42">
        <v>2316.9002</v>
      </c>
      <c r="F23" s="43">
        <v>1.9037639127389212E-2</v>
      </c>
      <c r="G23" s="44"/>
      <c r="H23" s="44"/>
      <c r="I23" s="39"/>
      <c r="J23" s="24"/>
    </row>
    <row r="24" spans="1:10" x14ac:dyDescent="0.3">
      <c r="A24" s="41" t="s">
        <v>74</v>
      </c>
      <c r="B24" s="41" t="s">
        <v>112</v>
      </c>
      <c r="C24" s="41" t="s">
        <v>200</v>
      </c>
      <c r="D24" s="42">
        <v>263427</v>
      </c>
      <c r="E24" s="42">
        <v>2316.8404650000002</v>
      </c>
      <c r="F24" s="43">
        <v>1.9037148293397622E-2</v>
      </c>
      <c r="G24" s="44"/>
      <c r="H24" s="44"/>
      <c r="I24" s="39"/>
      <c r="J24" s="24"/>
    </row>
    <row r="25" spans="1:10" x14ac:dyDescent="0.3">
      <c r="A25" s="41" t="s">
        <v>117</v>
      </c>
      <c r="B25" s="41" t="s">
        <v>118</v>
      </c>
      <c r="C25" s="41" t="s">
        <v>210</v>
      </c>
      <c r="D25" s="42">
        <v>46613</v>
      </c>
      <c r="E25" s="42">
        <v>2285.4353900000001</v>
      </c>
      <c r="F25" s="43">
        <v>1.8779097262706448E-2</v>
      </c>
      <c r="G25" s="44"/>
      <c r="H25" s="44"/>
      <c r="I25" s="39"/>
      <c r="J25" s="23"/>
    </row>
    <row r="26" spans="1:10" x14ac:dyDescent="0.3">
      <c r="A26" s="41" t="s">
        <v>72</v>
      </c>
      <c r="B26" s="41" t="s">
        <v>38</v>
      </c>
      <c r="C26" s="41" t="s">
        <v>203</v>
      </c>
      <c r="D26" s="42">
        <v>3050000</v>
      </c>
      <c r="E26" s="42">
        <v>2175.2600000000002</v>
      </c>
      <c r="F26" s="43">
        <v>1.7873801766793689E-2</v>
      </c>
      <c r="G26" s="44"/>
      <c r="H26" s="44"/>
      <c r="I26" s="39"/>
      <c r="J26" s="24"/>
    </row>
    <row r="27" spans="1:10" x14ac:dyDescent="0.3">
      <c r="A27" s="41" t="s">
        <v>69</v>
      </c>
      <c r="B27" s="41" t="s">
        <v>31</v>
      </c>
      <c r="C27" s="41" t="s">
        <v>201</v>
      </c>
      <c r="D27" s="42">
        <v>114904</v>
      </c>
      <c r="E27" s="42">
        <v>2096.538384</v>
      </c>
      <c r="F27" s="43">
        <v>1.7226957454322695E-2</v>
      </c>
      <c r="G27" s="44"/>
      <c r="H27" s="44"/>
      <c r="I27" s="39"/>
      <c r="J27" s="23"/>
    </row>
    <row r="28" spans="1:10" x14ac:dyDescent="0.3">
      <c r="A28" s="41" t="s">
        <v>153</v>
      </c>
      <c r="B28" s="41" t="s">
        <v>154</v>
      </c>
      <c r="C28" s="41" t="s">
        <v>198</v>
      </c>
      <c r="D28" s="42">
        <v>5450</v>
      </c>
      <c r="E28" s="42">
        <v>2095.2525000000001</v>
      </c>
      <c r="F28" s="43">
        <v>1.7216391528543207E-2</v>
      </c>
      <c r="G28" s="44"/>
      <c r="H28" s="44"/>
      <c r="I28" s="39"/>
      <c r="J28" s="24"/>
    </row>
    <row r="29" spans="1:10" x14ac:dyDescent="0.3">
      <c r="A29" s="41" t="s">
        <v>77</v>
      </c>
      <c r="B29" s="41" t="s">
        <v>102</v>
      </c>
      <c r="C29" s="41" t="s">
        <v>202</v>
      </c>
      <c r="D29" s="42">
        <v>34128</v>
      </c>
      <c r="E29" s="42">
        <v>2087.9169120000001</v>
      </c>
      <c r="F29" s="43">
        <v>1.7156116046184836E-2</v>
      </c>
      <c r="G29" s="44"/>
      <c r="H29" s="44"/>
      <c r="I29" s="39"/>
      <c r="J29" s="23"/>
    </row>
    <row r="30" spans="1:10" x14ac:dyDescent="0.3">
      <c r="A30" s="41" t="s">
        <v>61</v>
      </c>
      <c r="B30" s="41" t="s">
        <v>23</v>
      </c>
      <c r="C30" s="41" t="s">
        <v>201</v>
      </c>
      <c r="D30" s="42">
        <v>143836</v>
      </c>
      <c r="E30" s="42">
        <v>2051.676704</v>
      </c>
      <c r="F30" s="43">
        <v>1.6858335415924835E-2</v>
      </c>
      <c r="G30" s="44"/>
      <c r="H30" s="44"/>
      <c r="I30" s="39"/>
      <c r="J30" s="23"/>
    </row>
    <row r="31" spans="1:10" x14ac:dyDescent="0.3">
      <c r="A31" s="41" t="s">
        <v>135</v>
      </c>
      <c r="B31" s="41" t="s">
        <v>136</v>
      </c>
      <c r="C31" s="41" t="s">
        <v>211</v>
      </c>
      <c r="D31" s="42">
        <v>1269314</v>
      </c>
      <c r="E31" s="42">
        <v>1973.0216816</v>
      </c>
      <c r="F31" s="43">
        <v>1.621203829358529E-2</v>
      </c>
      <c r="G31" s="44"/>
      <c r="H31" s="44"/>
      <c r="I31" s="39"/>
      <c r="J31" s="23"/>
    </row>
    <row r="32" spans="1:10" x14ac:dyDescent="0.3">
      <c r="A32" s="41" t="s">
        <v>143</v>
      </c>
      <c r="B32" s="41" t="s">
        <v>144</v>
      </c>
      <c r="C32" s="41" t="s">
        <v>212</v>
      </c>
      <c r="D32" s="42">
        <v>512061</v>
      </c>
      <c r="E32" s="42">
        <v>1960.4255384999999</v>
      </c>
      <c r="F32" s="43">
        <v>1.6108537578822198E-2</v>
      </c>
      <c r="G32" s="44"/>
      <c r="H32" s="44"/>
      <c r="I32" s="39"/>
      <c r="J32" s="23"/>
    </row>
    <row r="33" spans="1:10" x14ac:dyDescent="0.3">
      <c r="A33" s="41" t="s">
        <v>56</v>
      </c>
      <c r="B33" s="41" t="s">
        <v>19</v>
      </c>
      <c r="C33" s="41" t="s">
        <v>198</v>
      </c>
      <c r="D33" s="42">
        <v>470000</v>
      </c>
      <c r="E33" s="42">
        <v>1958.7249999999999</v>
      </c>
      <c r="F33" s="43">
        <v>1.6094564496043219E-2</v>
      </c>
      <c r="G33" s="44"/>
      <c r="H33" s="44"/>
      <c r="I33" s="39"/>
      <c r="J33" s="24"/>
    </row>
    <row r="34" spans="1:10" x14ac:dyDescent="0.3">
      <c r="A34" s="41" t="s">
        <v>89</v>
      </c>
      <c r="B34" s="41" t="s">
        <v>90</v>
      </c>
      <c r="C34" s="41" t="s">
        <v>213</v>
      </c>
      <c r="D34" s="42">
        <v>167764</v>
      </c>
      <c r="E34" s="42">
        <v>1876.943632</v>
      </c>
      <c r="F34" s="43">
        <v>1.5422578636950878E-2</v>
      </c>
      <c r="G34" s="44"/>
      <c r="H34" s="44"/>
      <c r="I34" s="39"/>
      <c r="J34" s="23"/>
    </row>
    <row r="35" spans="1:10" x14ac:dyDescent="0.3">
      <c r="A35" s="41" t="s">
        <v>78</v>
      </c>
      <c r="B35" s="41" t="s">
        <v>39</v>
      </c>
      <c r="C35" s="41" t="s">
        <v>198</v>
      </c>
      <c r="D35" s="42">
        <v>59285</v>
      </c>
      <c r="E35" s="42">
        <v>1862.0232800000001</v>
      </c>
      <c r="F35" s="43">
        <v>1.5299980228512906E-2</v>
      </c>
      <c r="G35" s="44"/>
      <c r="H35" s="44"/>
      <c r="I35" s="39"/>
      <c r="J35" s="24"/>
    </row>
    <row r="36" spans="1:10" x14ac:dyDescent="0.3">
      <c r="A36" s="41" t="s">
        <v>108</v>
      </c>
      <c r="B36" s="41" t="s">
        <v>109</v>
      </c>
      <c r="C36" s="41" t="s">
        <v>214</v>
      </c>
      <c r="D36" s="42">
        <v>165000</v>
      </c>
      <c r="E36" s="42">
        <v>1796.1075000000001</v>
      </c>
      <c r="F36" s="43">
        <v>1.4758359647514043E-2</v>
      </c>
      <c r="G36" s="44"/>
      <c r="H36" s="44"/>
      <c r="I36" s="39"/>
      <c r="J36" s="24"/>
    </row>
    <row r="37" spans="1:10" x14ac:dyDescent="0.3">
      <c r="A37" s="41" t="s">
        <v>110</v>
      </c>
      <c r="B37" s="41" t="s">
        <v>111</v>
      </c>
      <c r="C37" s="41" t="s">
        <v>213</v>
      </c>
      <c r="D37" s="42">
        <v>103892</v>
      </c>
      <c r="E37" s="42">
        <v>1768.7612999999999</v>
      </c>
      <c r="F37" s="43">
        <v>1.4533659814907783E-2</v>
      </c>
      <c r="G37" s="44"/>
      <c r="H37" s="44"/>
      <c r="I37" s="39"/>
      <c r="J37" s="24"/>
    </row>
    <row r="38" spans="1:10" x14ac:dyDescent="0.3">
      <c r="A38" s="41" t="s">
        <v>125</v>
      </c>
      <c r="B38" s="41" t="s">
        <v>126</v>
      </c>
      <c r="C38" s="41" t="s">
        <v>201</v>
      </c>
      <c r="D38" s="42">
        <v>77000</v>
      </c>
      <c r="E38" s="42">
        <v>1746.1289999999999</v>
      </c>
      <c r="F38" s="43">
        <v>1.4347693427567141E-2</v>
      </c>
      <c r="G38" s="44"/>
      <c r="H38" s="44"/>
      <c r="I38" s="39"/>
      <c r="J38" s="24"/>
    </row>
    <row r="39" spans="1:10" x14ac:dyDescent="0.3">
      <c r="A39" s="41" t="s">
        <v>121</v>
      </c>
      <c r="B39" s="41" t="s">
        <v>122</v>
      </c>
      <c r="C39" s="41" t="s">
        <v>215</v>
      </c>
      <c r="D39" s="42">
        <v>289688</v>
      </c>
      <c r="E39" s="42">
        <v>1740.445504</v>
      </c>
      <c r="F39" s="43">
        <v>1.4300992949993718E-2</v>
      </c>
      <c r="G39" s="44"/>
      <c r="H39" s="44"/>
      <c r="I39" s="39"/>
      <c r="J39" s="24"/>
    </row>
    <row r="40" spans="1:10" x14ac:dyDescent="0.3">
      <c r="A40" s="41" t="s">
        <v>98</v>
      </c>
      <c r="B40" s="41" t="s">
        <v>97</v>
      </c>
      <c r="C40" s="41" t="s">
        <v>203</v>
      </c>
      <c r="D40" s="42">
        <v>170000</v>
      </c>
      <c r="E40" s="42">
        <v>1673.99</v>
      </c>
      <c r="F40" s="43">
        <v>1.3754937533717794E-2</v>
      </c>
      <c r="G40" s="44"/>
      <c r="H40" s="44"/>
      <c r="I40" s="39"/>
      <c r="J40" s="24"/>
    </row>
    <row r="41" spans="1:10" x14ac:dyDescent="0.3">
      <c r="A41" s="41" t="s">
        <v>67</v>
      </c>
      <c r="B41" s="41" t="s">
        <v>28</v>
      </c>
      <c r="C41" s="41" t="s">
        <v>216</v>
      </c>
      <c r="D41" s="42">
        <v>316890</v>
      </c>
      <c r="E41" s="42">
        <v>1589.361795</v>
      </c>
      <c r="F41" s="43">
        <v>1.3059559620250173E-2</v>
      </c>
      <c r="G41" s="44"/>
      <c r="H41" s="44"/>
      <c r="I41" s="39"/>
      <c r="J41" s="24"/>
    </row>
    <row r="42" spans="1:10" x14ac:dyDescent="0.3">
      <c r="A42" s="41" t="s">
        <v>147</v>
      </c>
      <c r="B42" s="41" t="s">
        <v>148</v>
      </c>
      <c r="C42" s="41" t="s">
        <v>200</v>
      </c>
      <c r="D42" s="42">
        <v>841667</v>
      </c>
      <c r="E42" s="42">
        <v>1556.1581163000001</v>
      </c>
      <c r="F42" s="43">
        <v>1.2786729718991422E-2</v>
      </c>
      <c r="G42" s="44"/>
      <c r="H42" s="44"/>
      <c r="I42" s="39"/>
      <c r="J42" s="24"/>
    </row>
    <row r="43" spans="1:10" x14ac:dyDescent="0.3">
      <c r="A43" s="41" t="s">
        <v>119</v>
      </c>
      <c r="B43" s="41" t="s">
        <v>120</v>
      </c>
      <c r="C43" s="41" t="s">
        <v>212</v>
      </c>
      <c r="D43" s="42">
        <v>475000</v>
      </c>
      <c r="E43" s="42">
        <v>1442.3375000000001</v>
      </c>
      <c r="F43" s="43">
        <v>1.1851481917477816E-2</v>
      </c>
      <c r="G43" s="44"/>
      <c r="H43" s="44"/>
      <c r="I43" s="39"/>
      <c r="J43" s="24"/>
    </row>
    <row r="44" spans="1:10" x14ac:dyDescent="0.3">
      <c r="A44" s="41" t="s">
        <v>94</v>
      </c>
      <c r="B44" s="41" t="s">
        <v>93</v>
      </c>
      <c r="C44" s="41" t="s">
        <v>214</v>
      </c>
      <c r="D44" s="42">
        <v>170425</v>
      </c>
      <c r="E44" s="42">
        <v>1407.9661375000001</v>
      </c>
      <c r="F44" s="43">
        <v>1.156905732465691E-2</v>
      </c>
      <c r="G44" s="44"/>
      <c r="H44" s="44"/>
      <c r="I44" s="39"/>
      <c r="J44" s="24"/>
    </row>
    <row r="45" spans="1:10" x14ac:dyDescent="0.3">
      <c r="A45" s="41" t="s">
        <v>145</v>
      </c>
      <c r="B45" s="41" t="s">
        <v>146</v>
      </c>
      <c r="C45" s="41" t="s">
        <v>208</v>
      </c>
      <c r="D45" s="42">
        <v>61627</v>
      </c>
      <c r="E45" s="42">
        <v>1399.795678</v>
      </c>
      <c r="F45" s="43">
        <v>1.1501921822028895E-2</v>
      </c>
      <c r="G45" s="44"/>
      <c r="H45" s="44"/>
      <c r="I45" s="39"/>
      <c r="J45" s="24"/>
    </row>
    <row r="46" spans="1:10" x14ac:dyDescent="0.3">
      <c r="A46" s="41" t="s">
        <v>155</v>
      </c>
      <c r="B46" s="41" t="s">
        <v>156</v>
      </c>
      <c r="C46" s="41" t="s">
        <v>157</v>
      </c>
      <c r="D46" s="42">
        <v>150000</v>
      </c>
      <c r="E46" s="42">
        <v>1392.675</v>
      </c>
      <c r="F46" s="43">
        <v>1.1443412224547596E-2</v>
      </c>
      <c r="G46" s="44"/>
      <c r="H46" s="44"/>
      <c r="I46" s="39"/>
      <c r="J46" s="24"/>
    </row>
    <row r="47" spans="1:10" x14ac:dyDescent="0.3">
      <c r="A47" s="41" t="s">
        <v>96</v>
      </c>
      <c r="B47" s="41" t="s">
        <v>95</v>
      </c>
      <c r="C47" s="41" t="s">
        <v>200</v>
      </c>
      <c r="D47" s="42">
        <v>123088</v>
      </c>
      <c r="E47" s="42">
        <v>1359.5069599999999</v>
      </c>
      <c r="F47" s="43">
        <v>1.1170875161413496E-2</v>
      </c>
      <c r="G47" s="44"/>
      <c r="H47" s="44"/>
      <c r="I47" s="39"/>
      <c r="J47" s="24"/>
    </row>
    <row r="48" spans="1:10" x14ac:dyDescent="0.3">
      <c r="A48" s="41" t="s">
        <v>73</v>
      </c>
      <c r="B48" s="41" t="s">
        <v>35</v>
      </c>
      <c r="C48" s="41" t="s">
        <v>203</v>
      </c>
      <c r="D48" s="42">
        <v>265000</v>
      </c>
      <c r="E48" s="42">
        <v>1312.4124999999999</v>
      </c>
      <c r="F48" s="43">
        <v>1.0783906687596942E-2</v>
      </c>
      <c r="G48" s="44"/>
      <c r="H48" s="44"/>
      <c r="I48" s="39"/>
      <c r="J48" s="24"/>
    </row>
    <row r="49" spans="1:10" x14ac:dyDescent="0.3">
      <c r="A49" s="41" t="s">
        <v>184</v>
      </c>
      <c r="B49" s="41" t="s">
        <v>185</v>
      </c>
      <c r="C49" s="41" t="s">
        <v>200</v>
      </c>
      <c r="D49" s="42">
        <v>44000</v>
      </c>
      <c r="E49" s="42">
        <v>1299.98</v>
      </c>
      <c r="F49" s="43">
        <v>1.0681750604891582E-2</v>
      </c>
      <c r="G49" s="44"/>
      <c r="H49" s="44"/>
      <c r="I49" s="39"/>
      <c r="J49" s="24"/>
    </row>
    <row r="50" spans="1:10" x14ac:dyDescent="0.3">
      <c r="A50" s="41" t="s">
        <v>75</v>
      </c>
      <c r="B50" s="41" t="s">
        <v>34</v>
      </c>
      <c r="C50" s="41" t="s">
        <v>208</v>
      </c>
      <c r="D50" s="42">
        <v>155000</v>
      </c>
      <c r="E50" s="42">
        <v>1196.5225</v>
      </c>
      <c r="F50" s="43">
        <v>9.8316550548019094E-3</v>
      </c>
      <c r="G50" s="44"/>
      <c r="H50" s="44"/>
      <c r="I50" s="39"/>
      <c r="J50" s="24"/>
    </row>
    <row r="51" spans="1:10" x14ac:dyDescent="0.3">
      <c r="A51" s="41" t="s">
        <v>103</v>
      </c>
      <c r="B51" s="41" t="s">
        <v>104</v>
      </c>
      <c r="C51" s="41" t="s">
        <v>202</v>
      </c>
      <c r="D51" s="42">
        <v>152335</v>
      </c>
      <c r="E51" s="42">
        <v>1188.8985075000001</v>
      </c>
      <c r="F51" s="43">
        <v>9.7690097937220745E-3</v>
      </c>
      <c r="G51" s="44"/>
      <c r="H51" s="44"/>
      <c r="I51" s="39"/>
      <c r="J51" s="24"/>
    </row>
    <row r="52" spans="1:10" x14ac:dyDescent="0.3">
      <c r="A52" s="41" t="s">
        <v>83</v>
      </c>
      <c r="B52" s="41" t="s">
        <v>84</v>
      </c>
      <c r="C52" s="41" t="s">
        <v>217</v>
      </c>
      <c r="D52" s="42">
        <v>86000</v>
      </c>
      <c r="E52" s="42">
        <v>1177.5119999999999</v>
      </c>
      <c r="F52" s="43">
        <v>9.6754484824898047E-3</v>
      </c>
      <c r="G52" s="44"/>
      <c r="H52" s="44"/>
      <c r="I52" s="39"/>
      <c r="J52" s="24"/>
    </row>
    <row r="53" spans="1:10" x14ac:dyDescent="0.3">
      <c r="A53" s="41" t="s">
        <v>115</v>
      </c>
      <c r="B53" s="41" t="s">
        <v>116</v>
      </c>
      <c r="C53" s="41" t="s">
        <v>218</v>
      </c>
      <c r="D53" s="42">
        <v>29025</v>
      </c>
      <c r="E53" s="42">
        <v>1138.4766</v>
      </c>
      <c r="F53" s="43">
        <v>9.354700157467739E-3</v>
      </c>
      <c r="G53" s="44"/>
      <c r="H53" s="44"/>
      <c r="I53" s="39"/>
      <c r="J53" s="24"/>
    </row>
    <row r="54" spans="1:10" x14ac:dyDescent="0.3">
      <c r="A54" s="41" t="s">
        <v>180</v>
      </c>
      <c r="B54" s="41" t="s">
        <v>181</v>
      </c>
      <c r="C54" s="41" t="s">
        <v>198</v>
      </c>
      <c r="D54" s="42">
        <v>8528</v>
      </c>
      <c r="E54" s="42">
        <v>1118.7030400000001</v>
      </c>
      <c r="F54" s="43">
        <v>9.1922236297589579E-3</v>
      </c>
      <c r="G54" s="44"/>
      <c r="H54" s="44"/>
      <c r="I54" s="39"/>
      <c r="J54" s="23"/>
    </row>
    <row r="55" spans="1:10" x14ac:dyDescent="0.3">
      <c r="A55" s="41" t="s">
        <v>113</v>
      </c>
      <c r="B55" s="41" t="s">
        <v>114</v>
      </c>
      <c r="C55" s="41" t="s">
        <v>219</v>
      </c>
      <c r="D55" s="42">
        <v>63230</v>
      </c>
      <c r="E55" s="42">
        <v>1097.16696</v>
      </c>
      <c r="F55" s="43">
        <v>9.0152647261089076E-3</v>
      </c>
      <c r="G55" s="44"/>
      <c r="H55" s="44"/>
      <c r="I55" s="39"/>
      <c r="J55" s="23"/>
    </row>
    <row r="56" spans="1:10" x14ac:dyDescent="0.3">
      <c r="A56" s="41" t="s">
        <v>59</v>
      </c>
      <c r="B56" s="41" t="s">
        <v>22</v>
      </c>
      <c r="C56" s="41" t="s">
        <v>220</v>
      </c>
      <c r="D56" s="42">
        <v>249028</v>
      </c>
      <c r="E56" s="42">
        <v>1064.5947000000001</v>
      </c>
      <c r="F56" s="43">
        <v>8.7476231024241694E-3</v>
      </c>
      <c r="G56" s="44"/>
      <c r="H56" s="44"/>
      <c r="I56" s="39"/>
      <c r="J56" s="24"/>
    </row>
    <row r="57" spans="1:10" x14ac:dyDescent="0.3">
      <c r="A57" s="41" t="s">
        <v>159</v>
      </c>
      <c r="B57" s="41" t="s">
        <v>160</v>
      </c>
      <c r="C57" s="41" t="s">
        <v>197</v>
      </c>
      <c r="D57" s="42">
        <v>165071</v>
      </c>
      <c r="E57" s="42">
        <v>1002.7237895</v>
      </c>
      <c r="F57" s="43">
        <v>8.2392386383104387E-3</v>
      </c>
      <c r="G57" s="44"/>
      <c r="H57" s="44"/>
      <c r="I57" s="39"/>
      <c r="J57" s="23"/>
    </row>
    <row r="58" spans="1:10" x14ac:dyDescent="0.3">
      <c r="A58" s="41" t="s">
        <v>123</v>
      </c>
      <c r="B58" s="41" t="s">
        <v>124</v>
      </c>
      <c r="C58" s="41" t="s">
        <v>221</v>
      </c>
      <c r="D58" s="42">
        <v>221000</v>
      </c>
      <c r="E58" s="42">
        <v>999.69349999999997</v>
      </c>
      <c r="F58" s="43">
        <v>8.2143391808575383E-3</v>
      </c>
      <c r="G58" s="44"/>
      <c r="H58" s="44"/>
      <c r="I58" s="39"/>
      <c r="J58" s="24"/>
    </row>
    <row r="59" spans="1:10" x14ac:dyDescent="0.3">
      <c r="A59" s="41" t="s">
        <v>189</v>
      </c>
      <c r="B59" s="41" t="s">
        <v>190</v>
      </c>
      <c r="C59" s="41" t="s">
        <v>222</v>
      </c>
      <c r="D59" s="42">
        <v>225000</v>
      </c>
      <c r="E59" s="42">
        <v>994.61249999999995</v>
      </c>
      <c r="F59" s="43">
        <v>8.1725893271494387E-3</v>
      </c>
      <c r="G59" s="44"/>
      <c r="H59" s="44"/>
      <c r="I59" s="39"/>
      <c r="J59" s="23"/>
    </row>
    <row r="60" spans="1:10" x14ac:dyDescent="0.3">
      <c r="A60" s="41" t="s">
        <v>127</v>
      </c>
      <c r="B60" s="41" t="s">
        <v>128</v>
      </c>
      <c r="C60" s="41" t="s">
        <v>219</v>
      </c>
      <c r="D60" s="42">
        <v>330000</v>
      </c>
      <c r="E60" s="42">
        <v>865.59</v>
      </c>
      <c r="F60" s="43">
        <v>7.1124298112956383E-3</v>
      </c>
      <c r="G60" s="44"/>
      <c r="H60" s="44"/>
      <c r="I60" s="39"/>
      <c r="J60" s="24"/>
    </row>
    <row r="61" spans="1:10" x14ac:dyDescent="0.3">
      <c r="A61" s="41" t="s">
        <v>139</v>
      </c>
      <c r="B61" s="41" t="s">
        <v>140</v>
      </c>
      <c r="C61" s="41" t="s">
        <v>206</v>
      </c>
      <c r="D61" s="42">
        <v>11930</v>
      </c>
      <c r="E61" s="42">
        <v>859.49684999999999</v>
      </c>
      <c r="F61" s="43">
        <v>7.0623632651193929E-3</v>
      </c>
      <c r="G61" s="44"/>
      <c r="H61" s="44"/>
      <c r="I61" s="39"/>
      <c r="J61" s="23"/>
    </row>
    <row r="62" spans="1:10" x14ac:dyDescent="0.3">
      <c r="A62" s="41" t="s">
        <v>106</v>
      </c>
      <c r="B62" s="41" t="s">
        <v>107</v>
      </c>
      <c r="C62" s="41" t="s">
        <v>207</v>
      </c>
      <c r="D62" s="42">
        <v>223711</v>
      </c>
      <c r="E62" s="42">
        <v>854.46416450000004</v>
      </c>
      <c r="F62" s="43">
        <v>7.0210104047801159E-3</v>
      </c>
      <c r="G62" s="44"/>
      <c r="H62" s="44"/>
      <c r="I62" s="39"/>
      <c r="J62" s="24"/>
    </row>
    <row r="63" spans="1:10" x14ac:dyDescent="0.3">
      <c r="A63" s="41" t="s">
        <v>76</v>
      </c>
      <c r="B63" s="41" t="s">
        <v>86</v>
      </c>
      <c r="C63" s="41" t="s">
        <v>201</v>
      </c>
      <c r="D63" s="42">
        <v>181278</v>
      </c>
      <c r="E63" s="42">
        <v>782.21456999999998</v>
      </c>
      <c r="F63" s="43">
        <v>6.4273457716676474E-3</v>
      </c>
      <c r="G63" s="44"/>
      <c r="H63" s="44"/>
      <c r="I63" s="39"/>
      <c r="J63" s="24"/>
    </row>
    <row r="64" spans="1:10" x14ac:dyDescent="0.3">
      <c r="A64" s="41" t="s">
        <v>182</v>
      </c>
      <c r="B64" s="41" t="s">
        <v>183</v>
      </c>
      <c r="C64" s="41" t="s">
        <v>223</v>
      </c>
      <c r="D64" s="42">
        <v>180000</v>
      </c>
      <c r="E64" s="42">
        <v>764.01</v>
      </c>
      <c r="F64" s="43">
        <v>6.277761411439574E-3</v>
      </c>
      <c r="G64" s="44"/>
      <c r="H64" s="44"/>
      <c r="I64" s="39"/>
      <c r="J64" s="23"/>
    </row>
    <row r="65" spans="1:10" x14ac:dyDescent="0.3">
      <c r="A65" s="41" t="s">
        <v>186</v>
      </c>
      <c r="B65" s="41" t="s">
        <v>187</v>
      </c>
      <c r="C65" s="41" t="s">
        <v>198</v>
      </c>
      <c r="D65" s="42">
        <v>14241</v>
      </c>
      <c r="E65" s="42">
        <v>709.58630700000003</v>
      </c>
      <c r="F65" s="43">
        <v>5.8305696733950011E-3</v>
      </c>
      <c r="G65" s="44"/>
      <c r="H65" s="44"/>
      <c r="I65" s="39"/>
      <c r="J65" s="24"/>
    </row>
    <row r="66" spans="1:10" x14ac:dyDescent="0.3">
      <c r="A66" s="41" t="s">
        <v>151</v>
      </c>
      <c r="B66" s="41" t="s">
        <v>152</v>
      </c>
      <c r="C66" s="41" t="s">
        <v>224</v>
      </c>
      <c r="D66" s="42">
        <v>151364</v>
      </c>
      <c r="E66" s="42">
        <v>596.14711399999999</v>
      </c>
      <c r="F66" s="43">
        <v>4.8984559728410208E-3</v>
      </c>
      <c r="G66" s="44"/>
      <c r="H66" s="44"/>
      <c r="I66" s="39"/>
      <c r="J66" s="24"/>
    </row>
    <row r="67" spans="1:10" x14ac:dyDescent="0.3">
      <c r="A67" s="41" t="s">
        <v>92</v>
      </c>
      <c r="B67" s="41" t="s">
        <v>91</v>
      </c>
      <c r="C67" s="41" t="s">
        <v>214</v>
      </c>
      <c r="D67" s="42">
        <v>84227</v>
      </c>
      <c r="E67" s="42">
        <v>501.99292000000003</v>
      </c>
      <c r="F67" s="43">
        <v>4.12480436380659E-3</v>
      </c>
      <c r="G67" s="44"/>
      <c r="H67" s="44"/>
      <c r="I67" s="39"/>
      <c r="J67" s="24"/>
    </row>
    <row r="68" spans="1:10" x14ac:dyDescent="0.3">
      <c r="A68" s="41" t="s">
        <v>141</v>
      </c>
      <c r="B68" s="41" t="s">
        <v>142</v>
      </c>
      <c r="C68" s="41" t="s">
        <v>216</v>
      </c>
      <c r="D68" s="42">
        <v>28310</v>
      </c>
      <c r="E68" s="42">
        <v>496.44416000000001</v>
      </c>
      <c r="F68" s="43">
        <v>4.079210992765191E-3</v>
      </c>
      <c r="G68" s="44"/>
      <c r="H68" s="44"/>
      <c r="I68" s="39"/>
      <c r="J68" s="24"/>
    </row>
    <row r="69" spans="1:10" x14ac:dyDescent="0.3">
      <c r="A69" s="41" t="s">
        <v>192</v>
      </c>
      <c r="B69" s="41" t="s">
        <v>193</v>
      </c>
      <c r="C69" s="41" t="s">
        <v>197</v>
      </c>
      <c r="D69" s="42">
        <v>15949</v>
      </c>
      <c r="E69" s="42">
        <v>434.22747399999997</v>
      </c>
      <c r="F69" s="43">
        <v>3.5679853405898888E-3</v>
      </c>
      <c r="G69" s="44"/>
      <c r="H69" s="44"/>
      <c r="I69" s="39"/>
      <c r="J69" s="24"/>
    </row>
    <row r="70" spans="1:10" x14ac:dyDescent="0.3">
      <c r="A70" s="41" t="s">
        <v>68</v>
      </c>
      <c r="B70" s="41" t="s">
        <v>32</v>
      </c>
      <c r="C70" s="41" t="s">
        <v>220</v>
      </c>
      <c r="D70" s="42">
        <v>360000</v>
      </c>
      <c r="E70" s="42">
        <v>415.29599999999999</v>
      </c>
      <c r="F70" s="43">
        <v>3.4124281136702519E-3</v>
      </c>
      <c r="G70" s="44"/>
      <c r="H70" s="44"/>
      <c r="I70" s="39"/>
      <c r="J70" s="24"/>
    </row>
    <row r="71" spans="1:10" x14ac:dyDescent="0.3">
      <c r="A71" s="45"/>
      <c r="B71" s="35" t="s">
        <v>40</v>
      </c>
      <c r="C71" s="45"/>
      <c r="D71" s="46"/>
      <c r="E71" s="47">
        <f>SUM(E7:E70)</f>
        <v>120475.71180639997</v>
      </c>
      <c r="F71" s="105">
        <f>SUM(F7:F70)</f>
        <v>0.98993177392171983</v>
      </c>
      <c r="G71" s="49"/>
      <c r="H71" s="50"/>
      <c r="I71" s="39"/>
      <c r="J71" s="23"/>
    </row>
    <row r="72" spans="1:10" x14ac:dyDescent="0.3">
      <c r="A72" s="45"/>
      <c r="B72" s="104" t="s">
        <v>229</v>
      </c>
      <c r="C72" s="45"/>
      <c r="D72" s="46"/>
      <c r="E72" s="47"/>
      <c r="F72" s="48"/>
      <c r="G72" s="49"/>
      <c r="H72" s="50"/>
      <c r="I72" s="39"/>
      <c r="J72" s="23"/>
    </row>
    <row r="73" spans="1:10" x14ac:dyDescent="0.3">
      <c r="A73" s="41" t="s">
        <v>194</v>
      </c>
      <c r="B73" s="41" t="s">
        <v>195</v>
      </c>
      <c r="C73" s="41" t="s">
        <v>217</v>
      </c>
      <c r="D73" s="42">
        <v>9451</v>
      </c>
      <c r="E73" s="42">
        <v>9.7713888999999998</v>
      </c>
      <c r="F73" s="43">
        <v>8.0290111611875482E-5</v>
      </c>
      <c r="G73" s="44"/>
      <c r="H73" s="44"/>
      <c r="I73" s="39"/>
      <c r="J73" s="23"/>
    </row>
    <row r="74" spans="1:10" x14ac:dyDescent="0.3">
      <c r="A74" s="45"/>
      <c r="B74" s="35" t="s">
        <v>40</v>
      </c>
      <c r="C74" s="45"/>
      <c r="D74" s="46"/>
      <c r="E74" s="47">
        <f>+E73</f>
        <v>9.7713888999999998</v>
      </c>
      <c r="F74" s="105">
        <f>+F73</f>
        <v>8.0290111611875482E-5</v>
      </c>
      <c r="G74" s="49"/>
      <c r="H74" s="50"/>
      <c r="I74" s="39"/>
      <c r="J74" s="23"/>
    </row>
    <row r="75" spans="1:10" x14ac:dyDescent="0.3">
      <c r="A75" s="45"/>
      <c r="B75" s="35"/>
      <c r="C75" s="45"/>
      <c r="D75" s="46"/>
      <c r="E75" s="47"/>
      <c r="F75" s="105"/>
      <c r="G75" s="49"/>
      <c r="H75" s="50"/>
      <c r="I75" s="39"/>
      <c r="J75" s="23"/>
    </row>
    <row r="76" spans="1:10" x14ac:dyDescent="0.3">
      <c r="A76" s="34"/>
      <c r="B76" s="35" t="s">
        <v>41</v>
      </c>
      <c r="C76" s="34"/>
      <c r="D76" s="36"/>
      <c r="E76" s="40" t="s">
        <v>13</v>
      </c>
      <c r="F76" s="40" t="s">
        <v>13</v>
      </c>
      <c r="G76" s="49"/>
      <c r="H76" s="50"/>
      <c r="I76" s="39"/>
      <c r="J76" s="24"/>
    </row>
    <row r="77" spans="1:10" x14ac:dyDescent="0.3">
      <c r="A77" s="45"/>
      <c r="B77" s="35" t="s">
        <v>40</v>
      </c>
      <c r="C77" s="45"/>
      <c r="D77" s="46"/>
      <c r="E77" s="47" t="s">
        <v>13</v>
      </c>
      <c r="F77" s="48" t="s">
        <v>13</v>
      </c>
      <c r="G77" s="49"/>
      <c r="H77" s="50"/>
      <c r="I77" s="39"/>
      <c r="J77" s="24"/>
    </row>
    <row r="78" spans="1:10" x14ac:dyDescent="0.3">
      <c r="A78" s="45"/>
      <c r="B78" s="35" t="s">
        <v>14</v>
      </c>
      <c r="C78" s="45"/>
      <c r="D78" s="46"/>
      <c r="E78" s="47">
        <f>+E71+E74</f>
        <v>120485.48319529997</v>
      </c>
      <c r="F78" s="105">
        <f>+F71+F74</f>
        <v>0.99001206403333175</v>
      </c>
      <c r="G78" s="49"/>
      <c r="H78" s="50"/>
      <c r="I78" s="39"/>
      <c r="J78" s="24"/>
    </row>
    <row r="79" spans="1:10" x14ac:dyDescent="0.3">
      <c r="A79" s="51"/>
      <c r="B79" s="35"/>
      <c r="C79" s="51"/>
      <c r="D79" s="52"/>
      <c r="E79" s="52"/>
      <c r="F79" s="53"/>
      <c r="G79" s="38"/>
      <c r="H79" s="37"/>
      <c r="I79" s="39"/>
      <c r="J79" s="24"/>
    </row>
    <row r="80" spans="1:10" x14ac:dyDescent="0.3">
      <c r="A80" s="34"/>
      <c r="B80" s="35" t="s">
        <v>42</v>
      </c>
      <c r="C80" s="34"/>
      <c r="D80" s="34"/>
      <c r="E80" s="34"/>
      <c r="F80" s="54"/>
      <c r="G80" s="55"/>
      <c r="H80" s="34"/>
      <c r="I80" s="39"/>
      <c r="J80" s="24"/>
    </row>
    <row r="81" spans="1:10" x14ac:dyDescent="0.3">
      <c r="A81" s="41"/>
      <c r="B81" s="35" t="s">
        <v>43</v>
      </c>
      <c r="C81" s="41"/>
      <c r="D81" s="56"/>
      <c r="E81" s="47" t="s">
        <v>13</v>
      </c>
      <c r="F81" s="57" t="s">
        <v>13</v>
      </c>
      <c r="G81" s="39"/>
      <c r="H81" s="41"/>
      <c r="I81" s="39"/>
      <c r="J81" s="24"/>
    </row>
    <row r="82" spans="1:10" x14ac:dyDescent="0.3">
      <c r="A82" s="34"/>
      <c r="B82" s="35" t="s">
        <v>40</v>
      </c>
      <c r="C82" s="34"/>
      <c r="D82" s="36"/>
      <c r="E82" s="58" t="s">
        <v>13</v>
      </c>
      <c r="F82" s="48" t="s">
        <v>13</v>
      </c>
      <c r="G82" s="59"/>
      <c r="H82" s="48"/>
      <c r="I82" s="39"/>
      <c r="J82" s="24"/>
    </row>
    <row r="83" spans="1:10" x14ac:dyDescent="0.3">
      <c r="A83" s="45"/>
      <c r="B83" s="35" t="s">
        <v>15</v>
      </c>
      <c r="C83" s="45"/>
      <c r="D83" s="46"/>
      <c r="E83" s="40" t="s">
        <v>13</v>
      </c>
      <c r="F83" s="40" t="s">
        <v>13</v>
      </c>
      <c r="G83" s="59"/>
      <c r="H83" s="48"/>
      <c r="I83" s="39"/>
      <c r="J83" s="24"/>
    </row>
    <row r="84" spans="1:10" x14ac:dyDescent="0.3">
      <c r="A84" s="60"/>
      <c r="B84" s="35" t="s">
        <v>40</v>
      </c>
      <c r="C84" s="60"/>
      <c r="D84" s="60"/>
      <c r="E84" s="58" t="s">
        <v>13</v>
      </c>
      <c r="F84" s="48" t="s">
        <v>13</v>
      </c>
      <c r="G84" s="61"/>
      <c r="H84" s="60"/>
      <c r="I84" s="39"/>
      <c r="J84" s="24"/>
    </row>
    <row r="85" spans="1:10" x14ac:dyDescent="0.3">
      <c r="A85" s="60"/>
      <c r="B85" s="35" t="s">
        <v>44</v>
      </c>
      <c r="C85" s="60"/>
      <c r="D85" s="61"/>
      <c r="E85" s="40" t="s">
        <v>13</v>
      </c>
      <c r="F85" s="40" t="s">
        <v>13</v>
      </c>
      <c r="G85" s="62"/>
      <c r="H85" s="62"/>
      <c r="I85" s="39"/>
      <c r="J85" s="24"/>
    </row>
    <row r="86" spans="1:10" x14ac:dyDescent="0.3">
      <c r="A86" s="45"/>
      <c r="B86" s="35" t="s">
        <v>40</v>
      </c>
      <c r="C86" s="45"/>
      <c r="D86" s="46"/>
      <c r="E86" s="58" t="s">
        <v>13</v>
      </c>
      <c r="F86" s="48" t="s">
        <v>13</v>
      </c>
      <c r="G86" s="63"/>
      <c r="H86" s="64"/>
      <c r="I86" s="39"/>
      <c r="J86" s="24"/>
    </row>
    <row r="87" spans="1:10" x14ac:dyDescent="0.3">
      <c r="A87" s="45"/>
      <c r="B87" s="35" t="s">
        <v>45</v>
      </c>
      <c r="C87" s="45"/>
      <c r="D87" s="46"/>
      <c r="E87" s="40" t="s">
        <v>13</v>
      </c>
      <c r="F87" s="40" t="s">
        <v>13</v>
      </c>
      <c r="G87" s="63"/>
      <c r="H87" s="64"/>
      <c r="I87" s="39"/>
      <c r="J87" s="24"/>
    </row>
    <row r="88" spans="1:10" x14ac:dyDescent="0.3">
      <c r="A88" s="45"/>
      <c r="B88" s="35" t="s">
        <v>40</v>
      </c>
      <c r="C88" s="45"/>
      <c r="D88" s="46"/>
      <c r="E88" s="58" t="s">
        <v>13</v>
      </c>
      <c r="F88" s="48" t="s">
        <v>13</v>
      </c>
      <c r="G88" s="59"/>
      <c r="H88" s="48"/>
      <c r="I88" s="39"/>
      <c r="J88" s="24"/>
    </row>
    <row r="89" spans="1:10" x14ac:dyDescent="0.3">
      <c r="A89" s="45"/>
      <c r="B89" s="65" t="s">
        <v>14</v>
      </c>
      <c r="C89" s="45"/>
      <c r="D89" s="46"/>
      <c r="E89" s="58" t="s">
        <v>13</v>
      </c>
      <c r="F89" s="48" t="s">
        <v>13</v>
      </c>
      <c r="G89" s="59"/>
      <c r="H89" s="48"/>
      <c r="I89" s="39"/>
      <c r="J89" s="24"/>
    </row>
    <row r="90" spans="1:10" x14ac:dyDescent="0.3">
      <c r="A90" s="60"/>
      <c r="B90" s="60"/>
      <c r="C90" s="60"/>
      <c r="D90" s="66"/>
      <c r="E90" s="66"/>
      <c r="F90" s="67"/>
      <c r="G90" s="62"/>
      <c r="H90" s="62"/>
      <c r="I90" s="39"/>
      <c r="J90" s="24"/>
    </row>
    <row r="91" spans="1:10" x14ac:dyDescent="0.3">
      <c r="A91" s="45"/>
      <c r="B91" s="35" t="s">
        <v>46</v>
      </c>
      <c r="C91" s="45"/>
      <c r="D91" s="46"/>
      <c r="E91" s="68"/>
      <c r="F91" s="57"/>
      <c r="G91" s="59"/>
      <c r="H91" s="48"/>
      <c r="I91" s="39"/>
      <c r="J91" s="24"/>
    </row>
    <row r="92" spans="1:10" x14ac:dyDescent="0.3">
      <c r="A92" s="45"/>
      <c r="B92" s="45" t="s">
        <v>14</v>
      </c>
      <c r="C92" s="45"/>
      <c r="D92" s="46"/>
      <c r="E92" s="47" t="s">
        <v>13</v>
      </c>
      <c r="F92" s="48" t="s">
        <v>13</v>
      </c>
      <c r="G92" s="59"/>
      <c r="H92" s="48"/>
      <c r="I92" s="39"/>
      <c r="J92" s="24"/>
    </row>
    <row r="93" spans="1:10" x14ac:dyDescent="0.3">
      <c r="A93" s="45"/>
      <c r="B93" s="45"/>
      <c r="C93" s="45"/>
      <c r="D93" s="46"/>
      <c r="E93" s="46"/>
      <c r="F93" s="57"/>
      <c r="G93" s="59"/>
      <c r="H93" s="48"/>
      <c r="I93" s="39"/>
      <c r="J93" s="24"/>
    </row>
    <row r="94" spans="1:10" x14ac:dyDescent="0.3">
      <c r="A94" s="45"/>
      <c r="B94" s="69" t="s">
        <v>47</v>
      </c>
      <c r="C94" s="45"/>
      <c r="D94" s="46"/>
      <c r="E94" s="46"/>
      <c r="F94" s="57"/>
      <c r="G94" s="59"/>
      <c r="H94" s="48"/>
      <c r="I94" s="39"/>
      <c r="J94" s="24"/>
    </row>
    <row r="95" spans="1:10" x14ac:dyDescent="0.3">
      <c r="A95" s="41"/>
      <c r="B95" s="41" t="s">
        <v>18</v>
      </c>
      <c r="C95" s="41"/>
      <c r="D95" s="70">
        <v>7610.4164000000001</v>
      </c>
      <c r="E95" s="70">
        <v>761.04164000000003</v>
      </c>
      <c r="F95" s="71">
        <v>6.2533708198723682E-3</v>
      </c>
      <c r="G95" s="72" t="s">
        <v>191</v>
      </c>
      <c r="H95" s="48"/>
      <c r="I95" s="59">
        <v>5.3279310000000003E-2</v>
      </c>
      <c r="J95" s="24"/>
    </row>
    <row r="96" spans="1:10" x14ac:dyDescent="0.3">
      <c r="A96" s="45"/>
      <c r="B96" s="69" t="s">
        <v>14</v>
      </c>
      <c r="C96" s="45"/>
      <c r="D96" s="73"/>
      <c r="E96" s="74">
        <v>761.04164000000003</v>
      </c>
      <c r="F96" s="75">
        <v>6.2533708198723682E-3</v>
      </c>
      <c r="G96" s="72"/>
      <c r="H96" s="48"/>
      <c r="I96" s="48"/>
      <c r="J96" s="24"/>
    </row>
    <row r="97" spans="1:10" x14ac:dyDescent="0.3">
      <c r="A97" s="45"/>
      <c r="B97" s="69"/>
      <c r="C97" s="45"/>
      <c r="D97" s="46"/>
      <c r="E97" s="46"/>
      <c r="F97" s="57"/>
      <c r="G97" s="59"/>
      <c r="H97" s="48"/>
      <c r="I97" s="39"/>
      <c r="J97" s="24"/>
    </row>
    <row r="98" spans="1:10" x14ac:dyDescent="0.3">
      <c r="A98" s="45"/>
      <c r="B98" s="69" t="s">
        <v>16</v>
      </c>
      <c r="C98" s="45"/>
      <c r="D98" s="46"/>
      <c r="E98" s="46"/>
      <c r="F98" s="57"/>
      <c r="G98" s="59"/>
      <c r="H98" s="48"/>
      <c r="I98" s="39"/>
      <c r="J98" s="24"/>
    </row>
    <row r="99" spans="1:10" x14ac:dyDescent="0.3">
      <c r="A99" s="34"/>
      <c r="B99" s="69" t="s">
        <v>17</v>
      </c>
      <c r="C99" s="34"/>
      <c r="D99" s="36"/>
      <c r="E99" s="36">
        <v>454.50040719999998</v>
      </c>
      <c r="F99" s="43">
        <v>3.7345651467961586E-3</v>
      </c>
      <c r="G99" s="59"/>
      <c r="H99" s="59"/>
      <c r="I99" s="39"/>
      <c r="J99" s="24"/>
    </row>
    <row r="100" spans="1:10" x14ac:dyDescent="0.3">
      <c r="A100" s="45"/>
      <c r="B100" s="69" t="s">
        <v>14</v>
      </c>
      <c r="C100" s="45"/>
      <c r="D100" s="46"/>
      <c r="E100" s="46">
        <v>454.50040719999998</v>
      </c>
      <c r="F100" s="48">
        <v>3.7345651467961586E-3</v>
      </c>
      <c r="G100" s="76"/>
      <c r="H100" s="77"/>
      <c r="I100" s="39"/>
      <c r="J100" s="24"/>
    </row>
    <row r="101" spans="1:10" x14ac:dyDescent="0.3">
      <c r="A101" s="51"/>
      <c r="B101" s="69" t="s">
        <v>48</v>
      </c>
      <c r="C101" s="51"/>
      <c r="D101" s="51"/>
      <c r="E101" s="46">
        <v>121701.02524249996</v>
      </c>
      <c r="F101" s="78">
        <v>1</v>
      </c>
      <c r="G101" s="79"/>
      <c r="H101" s="51"/>
      <c r="I101" s="39"/>
      <c r="J101" s="24"/>
    </row>
    <row r="102" spans="1:10" x14ac:dyDescent="0.3">
      <c r="A102" s="15"/>
      <c r="B102" s="20"/>
      <c r="C102" s="15"/>
      <c r="D102" s="15"/>
      <c r="E102" s="80"/>
      <c r="F102" s="81"/>
      <c r="G102" s="16"/>
      <c r="H102" s="15"/>
      <c r="I102" s="82"/>
    </row>
    <row r="103" spans="1:10" x14ac:dyDescent="0.3">
      <c r="A103" s="15"/>
      <c r="B103" s="83"/>
      <c r="C103" s="84"/>
      <c r="D103" s="25"/>
      <c r="E103" s="15"/>
      <c r="F103" s="15"/>
      <c r="G103" s="15"/>
      <c r="H103" s="15"/>
      <c r="I103" s="15"/>
    </row>
    <row r="104" spans="1:10" x14ac:dyDescent="0.3">
      <c r="A104" s="20" t="s">
        <v>161</v>
      </c>
      <c r="B104" s="19"/>
      <c r="C104" s="18"/>
      <c r="D104" s="17"/>
      <c r="E104" s="17"/>
      <c r="F104" s="16"/>
      <c r="G104" s="16"/>
      <c r="H104" s="15"/>
      <c r="I104" s="15"/>
      <c r="J104" s="11"/>
    </row>
    <row r="105" spans="1:10" x14ac:dyDescent="0.3">
      <c r="A105" s="14"/>
      <c r="B105" s="89"/>
      <c r="C105" s="106" t="s">
        <v>226</v>
      </c>
      <c r="D105" s="107" t="s">
        <v>162</v>
      </c>
      <c r="E105" s="17"/>
      <c r="F105" s="16"/>
      <c r="G105" s="16"/>
      <c r="H105" s="15"/>
      <c r="I105" s="15"/>
      <c r="J105" s="11"/>
    </row>
    <row r="106" spans="1:10" x14ac:dyDescent="0.3">
      <c r="A106" s="8" t="s">
        <v>163</v>
      </c>
      <c r="B106" s="90"/>
      <c r="C106" s="108">
        <v>46171</v>
      </c>
      <c r="D106" s="108">
        <v>46142</v>
      </c>
      <c r="E106" s="91"/>
      <c r="F106" s="16"/>
      <c r="G106" s="16"/>
      <c r="H106" s="15"/>
      <c r="I106" s="15"/>
      <c r="J106" s="11"/>
    </row>
    <row r="107" spans="1:10" x14ac:dyDescent="0.3">
      <c r="A107" s="5" t="s">
        <v>164</v>
      </c>
      <c r="B107" s="90" t="s">
        <v>165</v>
      </c>
      <c r="C107" s="101">
        <v>19.973500000000001</v>
      </c>
      <c r="D107" s="101">
        <v>18.967300000000002</v>
      </c>
      <c r="E107" s="92"/>
      <c r="F107" s="16"/>
      <c r="G107" s="16"/>
      <c r="H107" s="15"/>
      <c r="I107" s="15"/>
      <c r="J107" s="11"/>
    </row>
    <row r="108" spans="1:10" x14ac:dyDescent="0.3">
      <c r="A108" s="5" t="s">
        <v>166</v>
      </c>
      <c r="B108" s="90" t="s">
        <v>165</v>
      </c>
      <c r="C108" s="101">
        <v>19.973500000000001</v>
      </c>
      <c r="D108" s="101">
        <v>18.967300000000002</v>
      </c>
      <c r="E108" s="92"/>
      <c r="F108" s="16"/>
      <c r="G108" s="16"/>
      <c r="H108" s="15"/>
      <c r="I108" s="15"/>
      <c r="J108" s="11"/>
    </row>
    <row r="109" spans="1:10" x14ac:dyDescent="0.3">
      <c r="A109" s="5" t="s">
        <v>167</v>
      </c>
      <c r="B109" s="90" t="s">
        <v>165</v>
      </c>
      <c r="C109" s="101">
        <v>21.229600000000001</v>
      </c>
      <c r="D109" s="101">
        <v>20.135899999999999</v>
      </c>
      <c r="E109" s="92"/>
      <c r="F109" s="16"/>
      <c r="G109" s="16"/>
      <c r="H109" s="15"/>
      <c r="I109" s="15"/>
      <c r="J109" s="11"/>
    </row>
    <row r="110" spans="1:10" x14ac:dyDescent="0.3">
      <c r="A110" s="5" t="s">
        <v>168</v>
      </c>
      <c r="B110" s="90" t="s">
        <v>165</v>
      </c>
      <c r="C110" s="101">
        <v>21.229700000000001</v>
      </c>
      <c r="D110" s="101">
        <v>20.135999999999999</v>
      </c>
      <c r="E110" s="92"/>
      <c r="F110" s="16"/>
      <c r="G110" s="16"/>
      <c r="H110" s="15"/>
      <c r="I110" s="15"/>
      <c r="J110" s="11"/>
    </row>
    <row r="111" spans="1:10" x14ac:dyDescent="0.3">
      <c r="A111" s="5"/>
      <c r="B111" s="90"/>
      <c r="C111" s="101"/>
      <c r="D111" s="101"/>
      <c r="E111" s="92"/>
      <c r="F111" s="16"/>
      <c r="G111" s="16"/>
      <c r="H111" s="15"/>
      <c r="I111" s="15"/>
      <c r="J111" s="11"/>
    </row>
    <row r="112" spans="1:10" x14ac:dyDescent="0.3">
      <c r="A112" s="116" t="s">
        <v>227</v>
      </c>
      <c r="B112" s="117"/>
      <c r="C112" s="117"/>
      <c r="D112" s="117"/>
      <c r="E112" s="17"/>
      <c r="F112" s="16"/>
      <c r="G112" s="16"/>
      <c r="H112" s="15"/>
      <c r="I112" s="15"/>
      <c r="J112" s="11"/>
    </row>
    <row r="113" spans="1:10" x14ac:dyDescent="0.3">
      <c r="A113" s="102"/>
      <c r="B113" s="103"/>
      <c r="C113" s="103"/>
      <c r="D113" s="103"/>
      <c r="E113" s="17"/>
      <c r="F113" s="16"/>
      <c r="G113" s="16"/>
      <c r="H113" s="15"/>
      <c r="I113" s="15"/>
      <c r="J113" s="11"/>
    </row>
    <row r="114" spans="1:10" x14ac:dyDescent="0.3">
      <c r="A114" s="8" t="s">
        <v>225</v>
      </c>
      <c r="B114" s="5"/>
      <c r="C114" s="93"/>
      <c r="D114" s="5"/>
      <c r="E114" s="17"/>
      <c r="F114" s="16"/>
      <c r="G114" s="16"/>
      <c r="H114" s="15"/>
      <c r="I114" s="15"/>
      <c r="J114" s="11"/>
    </row>
    <row r="115" spans="1:10" x14ac:dyDescent="0.3">
      <c r="A115" s="5" t="s">
        <v>164</v>
      </c>
      <c r="B115" s="90" t="s">
        <v>169</v>
      </c>
      <c r="C115" s="93" t="s">
        <v>13</v>
      </c>
      <c r="D115" s="5"/>
      <c r="E115" s="17"/>
      <c r="F115" s="16"/>
      <c r="G115" s="16"/>
      <c r="H115" s="15"/>
      <c r="I115" s="15"/>
      <c r="J115" s="11"/>
    </row>
    <row r="116" spans="1:10" x14ac:dyDescent="0.3">
      <c r="A116" s="5" t="s">
        <v>167</v>
      </c>
      <c r="B116" s="90" t="s">
        <v>169</v>
      </c>
      <c r="C116" s="93" t="s">
        <v>13</v>
      </c>
      <c r="D116" s="5"/>
      <c r="E116" s="17"/>
      <c r="F116" s="16"/>
      <c r="G116" s="16"/>
      <c r="H116" s="15"/>
      <c r="I116" s="15"/>
      <c r="J116" s="11"/>
    </row>
    <row r="117" spans="1:10" x14ac:dyDescent="0.3">
      <c r="A117" s="5"/>
      <c r="B117" s="5"/>
      <c r="C117" s="5"/>
      <c r="D117" s="5"/>
      <c r="E117" s="17"/>
      <c r="F117" s="16"/>
      <c r="G117" s="16"/>
      <c r="H117" s="15"/>
      <c r="I117" s="15"/>
      <c r="J117" s="11"/>
    </row>
    <row r="118" spans="1:10" x14ac:dyDescent="0.3">
      <c r="A118" s="15" t="s">
        <v>170</v>
      </c>
      <c r="B118" s="5"/>
      <c r="C118" s="5"/>
      <c r="D118" s="5"/>
      <c r="E118" s="17"/>
      <c r="F118" s="16"/>
      <c r="G118" s="16"/>
      <c r="H118" s="15"/>
      <c r="I118" s="15"/>
      <c r="J118" s="11"/>
    </row>
    <row r="119" spans="1:10" x14ac:dyDescent="0.3">
      <c r="A119" s="5"/>
      <c r="B119" s="5"/>
      <c r="C119" s="5"/>
      <c r="D119" s="5"/>
      <c r="E119" s="17"/>
      <c r="F119" s="16"/>
      <c r="G119" s="16"/>
      <c r="H119" s="15"/>
      <c r="I119" s="15"/>
      <c r="J119" s="11"/>
    </row>
    <row r="120" spans="1:10" x14ac:dyDescent="0.3">
      <c r="A120" s="5" t="s">
        <v>171</v>
      </c>
      <c r="B120" s="5"/>
      <c r="C120" s="5"/>
      <c r="D120" s="5"/>
      <c r="E120" s="17"/>
      <c r="F120" s="16"/>
      <c r="G120" s="16"/>
      <c r="H120" s="15"/>
      <c r="I120" s="15"/>
      <c r="J120" s="11"/>
    </row>
    <row r="121" spans="1:10" x14ac:dyDescent="0.3">
      <c r="A121" s="5"/>
      <c r="B121" s="5"/>
      <c r="C121" s="5"/>
      <c r="D121" s="5"/>
      <c r="E121" s="17"/>
      <c r="F121" s="16"/>
      <c r="G121" s="16"/>
      <c r="H121" s="15"/>
      <c r="I121" s="15"/>
      <c r="J121" s="11"/>
    </row>
    <row r="122" spans="1:10" x14ac:dyDescent="0.3">
      <c r="A122" s="5" t="s">
        <v>172</v>
      </c>
      <c r="B122" s="5"/>
      <c r="C122" s="5"/>
      <c r="D122" s="5"/>
      <c r="E122" s="17"/>
      <c r="F122" s="16"/>
      <c r="G122" s="16"/>
      <c r="H122" s="15"/>
      <c r="I122" s="15"/>
      <c r="J122" s="11"/>
    </row>
    <row r="123" spans="1:10" x14ac:dyDescent="0.3">
      <c r="A123" s="5"/>
      <c r="B123" s="5"/>
      <c r="C123" s="5"/>
      <c r="D123" s="5"/>
      <c r="E123" s="17"/>
      <c r="F123" s="16"/>
      <c r="G123" s="16"/>
      <c r="H123" s="15"/>
      <c r="I123" s="15"/>
      <c r="J123" s="11"/>
    </row>
    <row r="124" spans="1:10" x14ac:dyDescent="0.3">
      <c r="A124" s="5" t="s">
        <v>173</v>
      </c>
      <c r="B124" s="5"/>
      <c r="C124" s="5"/>
      <c r="D124" s="5"/>
      <c r="E124" s="17"/>
      <c r="F124" s="16"/>
      <c r="G124" s="16"/>
      <c r="H124" s="15"/>
      <c r="I124" s="15"/>
      <c r="J124" s="11"/>
    </row>
    <row r="125" spans="1:10" x14ac:dyDescent="0.3">
      <c r="A125" s="5"/>
      <c r="B125" s="5"/>
      <c r="C125" s="5"/>
      <c r="D125" s="5"/>
      <c r="E125" s="17"/>
      <c r="F125" s="16"/>
      <c r="G125" s="16"/>
      <c r="H125" s="15"/>
      <c r="I125" s="15"/>
      <c r="J125" s="11"/>
    </row>
    <row r="126" spans="1:10" x14ac:dyDescent="0.3">
      <c r="A126" s="15" t="s">
        <v>228</v>
      </c>
      <c r="B126" s="5"/>
      <c r="C126" s="5"/>
      <c r="D126" s="5"/>
      <c r="E126" s="17"/>
      <c r="F126" s="16"/>
      <c r="G126" s="16"/>
      <c r="H126" s="15"/>
      <c r="I126" s="15"/>
      <c r="J126" s="11"/>
    </row>
    <row r="127" spans="1:10" x14ac:dyDescent="0.3">
      <c r="A127" s="5"/>
      <c r="B127" s="94"/>
      <c r="C127" s="95"/>
      <c r="D127" s="5"/>
      <c r="E127" s="17"/>
      <c r="F127" s="16"/>
      <c r="G127" s="16"/>
      <c r="H127" s="15"/>
      <c r="I127" s="15"/>
      <c r="J127" s="11"/>
    </row>
    <row r="128" spans="1:10" x14ac:dyDescent="0.3">
      <c r="A128" s="5" t="s">
        <v>174</v>
      </c>
      <c r="B128" s="94"/>
      <c r="C128" s="95"/>
      <c r="D128" s="5"/>
      <c r="E128" s="17"/>
      <c r="F128" s="16"/>
      <c r="G128" s="16"/>
      <c r="H128" s="15"/>
      <c r="I128" s="15"/>
      <c r="J128" s="11"/>
    </row>
    <row r="129" spans="1:10" x14ac:dyDescent="0.3">
      <c r="A129" s="5"/>
      <c r="B129" s="94"/>
      <c r="C129" s="95"/>
      <c r="D129" s="5"/>
      <c r="E129" s="17"/>
      <c r="F129" s="16"/>
      <c r="G129" s="16"/>
      <c r="H129" s="15"/>
      <c r="I129" s="15"/>
      <c r="J129" s="11"/>
    </row>
    <row r="130" spans="1:10" x14ac:dyDescent="0.3">
      <c r="A130" s="5" t="s">
        <v>175</v>
      </c>
      <c r="B130" s="94"/>
      <c r="C130" s="95"/>
      <c r="D130" s="5"/>
      <c r="E130" s="17"/>
      <c r="F130" s="16"/>
      <c r="G130" s="16"/>
      <c r="H130" s="15"/>
      <c r="I130" s="15"/>
      <c r="J130" s="11"/>
    </row>
    <row r="131" spans="1:10" x14ac:dyDescent="0.3">
      <c r="A131" s="5"/>
      <c r="B131" s="94"/>
      <c r="C131" s="96"/>
      <c r="D131" s="5"/>
      <c r="E131" s="17"/>
      <c r="F131" s="16"/>
      <c r="G131" s="16"/>
      <c r="H131" s="15"/>
      <c r="I131" s="15"/>
      <c r="J131" s="11"/>
    </row>
    <row r="132" spans="1:10" x14ac:dyDescent="0.3">
      <c r="A132" s="5" t="s">
        <v>176</v>
      </c>
      <c r="B132" s="94"/>
      <c r="C132" s="96"/>
      <c r="D132" s="5"/>
      <c r="E132" s="17"/>
      <c r="F132" s="16"/>
      <c r="G132" s="16"/>
      <c r="H132" s="15"/>
      <c r="I132" s="15"/>
      <c r="J132" s="11"/>
    </row>
    <row r="133" spans="1:10" x14ac:dyDescent="0.3">
      <c r="A133" s="5"/>
      <c r="B133" s="94"/>
      <c r="C133" s="97"/>
      <c r="D133" s="5"/>
      <c r="E133" s="17"/>
      <c r="F133" s="16"/>
      <c r="G133" s="16"/>
      <c r="H133" s="15"/>
      <c r="I133" s="15"/>
      <c r="J133" s="11"/>
    </row>
    <row r="134" spans="1:10" x14ac:dyDescent="0.3">
      <c r="A134" s="5" t="s">
        <v>177</v>
      </c>
      <c r="B134" s="94"/>
      <c r="C134" s="97"/>
      <c r="D134" s="5"/>
      <c r="E134" s="17"/>
      <c r="F134" s="16"/>
      <c r="G134" s="16"/>
      <c r="H134" s="15"/>
      <c r="I134" s="15"/>
      <c r="J134" s="11"/>
    </row>
    <row r="135" spans="1:10" x14ac:dyDescent="0.3">
      <c r="A135" s="15"/>
      <c r="B135" s="20"/>
      <c r="C135" s="19"/>
      <c r="D135" s="18"/>
      <c r="E135" s="17"/>
      <c r="F135" s="17"/>
      <c r="G135" s="16"/>
      <c r="H135" s="15"/>
      <c r="I135" s="15"/>
      <c r="J135" s="11"/>
    </row>
    <row r="136" spans="1:10" x14ac:dyDescent="0.3">
      <c r="A136" s="98" t="s">
        <v>9</v>
      </c>
      <c r="B136" s="98"/>
      <c r="C136" s="98"/>
      <c r="D136" s="98"/>
      <c r="E136" s="98"/>
      <c r="F136" s="98"/>
      <c r="G136" s="98"/>
      <c r="H136" s="98"/>
      <c r="I136" s="98"/>
      <c r="J136" s="11"/>
    </row>
    <row r="137" spans="1:10" x14ac:dyDescent="0.3">
      <c r="A137" s="99" t="s">
        <v>8</v>
      </c>
      <c r="B137" s="99"/>
      <c r="C137" s="99"/>
      <c r="D137" s="99"/>
      <c r="E137" s="99"/>
      <c r="F137" s="99"/>
      <c r="G137" s="99"/>
      <c r="H137" s="99"/>
      <c r="I137" s="99"/>
    </row>
    <row r="138" spans="1:10" x14ac:dyDescent="0.3">
      <c r="A138" s="100" t="s">
        <v>7</v>
      </c>
      <c r="B138" s="100"/>
      <c r="C138" s="100"/>
      <c r="D138" s="100"/>
      <c r="E138" s="100"/>
      <c r="F138" s="100"/>
      <c r="G138" s="100"/>
      <c r="H138" s="100"/>
      <c r="I138" s="100"/>
    </row>
    <row r="139" spans="1:10" ht="51.75" customHeight="1" x14ac:dyDescent="0.3">
      <c r="A139" s="109" t="s">
        <v>6</v>
      </c>
      <c r="B139" s="110"/>
      <c r="C139" s="110"/>
      <c r="D139" s="110"/>
      <c r="E139" s="110"/>
      <c r="F139" s="110"/>
      <c r="G139" s="110"/>
      <c r="H139" s="110"/>
      <c r="I139" s="110"/>
      <c r="J139" s="14"/>
    </row>
    <row r="140" spans="1:10" x14ac:dyDescent="0.3">
      <c r="A140" s="12" t="s">
        <v>5</v>
      </c>
      <c r="B140" s="6"/>
      <c r="C140" s="6"/>
      <c r="D140" s="5"/>
      <c r="E140" s="5"/>
      <c r="F140" s="15"/>
      <c r="G140" s="15"/>
      <c r="H140" s="15"/>
      <c r="I140" s="15"/>
    </row>
    <row r="141" spans="1:10" x14ac:dyDescent="0.3">
      <c r="A141" s="7" t="s">
        <v>4</v>
      </c>
      <c r="B141" s="6"/>
      <c r="C141" s="5"/>
      <c r="D141" s="5"/>
      <c r="E141" s="5"/>
      <c r="F141" s="15"/>
      <c r="G141" s="15"/>
      <c r="H141" s="15"/>
      <c r="I141" s="15"/>
    </row>
    <row r="142" spans="1:10" x14ac:dyDescent="0.3">
      <c r="A142" s="7" t="s">
        <v>3</v>
      </c>
      <c r="B142" s="10"/>
      <c r="C142" s="10"/>
      <c r="D142" s="5"/>
      <c r="E142" s="5"/>
      <c r="F142" s="15"/>
      <c r="G142" s="15"/>
      <c r="H142" s="15"/>
      <c r="I142" s="15"/>
    </row>
    <row r="143" spans="1:10" x14ac:dyDescent="0.3">
      <c r="A143" s="7" t="s">
        <v>2</v>
      </c>
      <c r="B143" s="6"/>
      <c r="C143" s="6"/>
      <c r="D143" s="5"/>
      <c r="E143" s="5"/>
      <c r="F143" s="15"/>
      <c r="G143" s="15"/>
      <c r="H143" s="15"/>
      <c r="I143" s="15"/>
    </row>
    <row r="144" spans="1:10" x14ac:dyDescent="0.3">
      <c r="A144" s="7"/>
      <c r="B144" s="6"/>
      <c r="C144" s="6"/>
      <c r="D144" s="5"/>
      <c r="E144" s="5"/>
      <c r="F144" s="15"/>
      <c r="G144" s="15"/>
      <c r="H144" s="15"/>
      <c r="I144" s="15"/>
    </row>
    <row r="145" spans="1:9" x14ac:dyDescent="0.3">
      <c r="A145" s="111" t="s">
        <v>178</v>
      </c>
      <c r="B145" s="112"/>
      <c r="C145" s="9" t="s">
        <v>1</v>
      </c>
      <c r="D145" s="8"/>
      <c r="E145" s="5"/>
      <c r="F145" s="15"/>
      <c r="G145" s="15"/>
      <c r="H145" s="15"/>
      <c r="I145" s="15"/>
    </row>
    <row r="146" spans="1:9" x14ac:dyDescent="0.3">
      <c r="A146" s="7"/>
      <c r="B146" s="6"/>
      <c r="C146" s="6"/>
      <c r="D146" s="5"/>
      <c r="E146" s="5"/>
      <c r="F146" s="15"/>
      <c r="G146" s="15"/>
      <c r="H146" s="15"/>
      <c r="I146" s="15"/>
    </row>
    <row r="147" spans="1:9" x14ac:dyDescent="0.3">
      <c r="A147" s="7"/>
      <c r="B147" s="6"/>
      <c r="C147" s="6"/>
      <c r="D147" s="5"/>
      <c r="E147" s="5"/>
      <c r="F147" s="15"/>
      <c r="G147" s="15"/>
      <c r="H147" s="15"/>
      <c r="I147" s="15"/>
    </row>
    <row r="148" spans="1:9" x14ac:dyDescent="0.3">
      <c r="A148" s="6"/>
      <c r="B148" s="6"/>
      <c r="C148" s="6"/>
      <c r="D148" s="5"/>
      <c r="E148" s="5"/>
      <c r="F148" s="15"/>
      <c r="G148" s="15"/>
      <c r="H148" s="15"/>
      <c r="I148" s="15"/>
    </row>
    <row r="149" spans="1:9" x14ac:dyDescent="0.3">
      <c r="A149" s="6"/>
      <c r="B149" s="6"/>
      <c r="C149" s="6"/>
      <c r="D149" s="5"/>
      <c r="E149" s="5"/>
      <c r="F149" s="15"/>
      <c r="G149" s="15"/>
      <c r="H149" s="15"/>
      <c r="I149" s="15"/>
    </row>
    <row r="150" spans="1:9" x14ac:dyDescent="0.3">
      <c r="A150" s="6"/>
      <c r="B150" s="6"/>
      <c r="C150" s="6"/>
      <c r="D150" s="5"/>
      <c r="E150" s="5"/>
      <c r="F150" s="15"/>
      <c r="G150" s="15"/>
      <c r="H150" s="15"/>
      <c r="I150" s="15"/>
    </row>
    <row r="151" spans="1:9" x14ac:dyDescent="0.3">
      <c r="A151" s="6"/>
      <c r="B151" s="6"/>
      <c r="C151" s="6"/>
      <c r="D151" s="5"/>
      <c r="E151" s="5"/>
      <c r="F151" s="15"/>
      <c r="G151" s="15"/>
      <c r="H151" s="15"/>
      <c r="I151" s="15"/>
    </row>
    <row r="152" spans="1:9" x14ac:dyDescent="0.3">
      <c r="A152" s="14"/>
      <c r="B152" s="13"/>
      <c r="C152" s="25"/>
      <c r="D152" s="5"/>
      <c r="E152" s="5"/>
      <c r="F152" s="15"/>
      <c r="G152" s="15"/>
      <c r="H152" s="15"/>
      <c r="I152" s="15"/>
    </row>
    <row r="153" spans="1:9" x14ac:dyDescent="0.3">
      <c r="A153" s="14"/>
      <c r="B153" s="13"/>
      <c r="C153" s="25"/>
      <c r="D153" s="5"/>
      <c r="E153" s="5"/>
      <c r="F153" s="15"/>
      <c r="G153" s="15"/>
      <c r="H153" s="15"/>
      <c r="I153" s="15"/>
    </row>
    <row r="154" spans="1:9" x14ac:dyDescent="0.3">
      <c r="A154" s="14"/>
      <c r="B154" s="13"/>
      <c r="C154" s="25"/>
      <c r="D154" s="5"/>
      <c r="E154" s="5"/>
      <c r="F154" s="15"/>
      <c r="G154" s="15"/>
      <c r="H154" s="15"/>
      <c r="I154" s="15"/>
    </row>
    <row r="155" spans="1:9" x14ac:dyDescent="0.3">
      <c r="A155" s="14"/>
      <c r="B155" s="13"/>
      <c r="C155" s="25"/>
      <c r="D155" s="5"/>
      <c r="E155" s="5"/>
      <c r="F155" s="15"/>
      <c r="G155" s="15"/>
      <c r="H155" s="15"/>
      <c r="I155" s="15"/>
    </row>
    <row r="156" spans="1:9" x14ac:dyDescent="0.3">
      <c r="A156" s="14"/>
      <c r="B156" s="13"/>
      <c r="C156" s="25"/>
      <c r="D156" s="5"/>
      <c r="E156" s="5"/>
      <c r="F156" s="15"/>
      <c r="G156" s="15"/>
      <c r="H156" s="15"/>
      <c r="I156" s="15"/>
    </row>
    <row r="157" spans="1:9" x14ac:dyDescent="0.3">
      <c r="A157" s="9"/>
      <c r="B157" s="9" t="s">
        <v>179</v>
      </c>
      <c r="C157" s="113" t="s">
        <v>0</v>
      </c>
      <c r="D157" s="112"/>
      <c r="E157" s="112"/>
      <c r="F157" s="15"/>
      <c r="G157" s="15"/>
      <c r="H157" s="15"/>
      <c r="I157" s="15"/>
    </row>
    <row r="158" spans="1:9" x14ac:dyDescent="0.3">
      <c r="A158" s="83"/>
      <c r="B158" s="84"/>
      <c r="C158" s="25"/>
      <c r="D158" s="15"/>
      <c r="E158" s="15"/>
      <c r="F158" s="15"/>
      <c r="G158" s="15"/>
      <c r="H158" s="15"/>
      <c r="I158" s="15"/>
    </row>
    <row r="159" spans="1:9" x14ac:dyDescent="0.3">
      <c r="A159" s="26" t="s">
        <v>130</v>
      </c>
      <c r="B159" s="84"/>
      <c r="C159" s="25"/>
      <c r="D159" s="15"/>
      <c r="E159" s="15"/>
      <c r="F159" s="15"/>
      <c r="G159" s="15"/>
      <c r="H159" s="15"/>
      <c r="I159" s="15"/>
    </row>
    <row r="160" spans="1:9" x14ac:dyDescent="0.3">
      <c r="A160" s="83"/>
      <c r="B160" s="84"/>
      <c r="C160" s="25"/>
      <c r="D160" s="15"/>
      <c r="E160" s="15"/>
      <c r="F160" s="15"/>
      <c r="G160" s="15"/>
      <c r="H160" s="15"/>
      <c r="I160" s="15"/>
    </row>
    <row r="161" spans="1:9" x14ac:dyDescent="0.3">
      <c r="A161" s="85" t="s">
        <v>133</v>
      </c>
      <c r="B161" s="86"/>
      <c r="C161" s="86"/>
      <c r="D161" s="15"/>
      <c r="E161" s="15"/>
      <c r="F161" s="15"/>
      <c r="G161" s="15"/>
      <c r="H161" s="15"/>
      <c r="I161" s="15"/>
    </row>
    <row r="162" spans="1:9" x14ac:dyDescent="0.3">
      <c r="A162" s="87" t="s">
        <v>131</v>
      </c>
      <c r="B162" s="86"/>
      <c r="C162" s="86"/>
      <c r="D162" s="15"/>
      <c r="E162" s="15"/>
      <c r="F162" s="15"/>
      <c r="G162" s="15"/>
      <c r="H162" s="15"/>
      <c r="I162" s="15"/>
    </row>
    <row r="163" spans="1:9" x14ac:dyDescent="0.3">
      <c r="A163" s="87"/>
      <c r="B163" s="86"/>
      <c r="C163" s="86"/>
      <c r="D163" s="15"/>
      <c r="E163" s="15"/>
      <c r="F163" s="15"/>
      <c r="G163" s="15"/>
      <c r="H163" s="15"/>
      <c r="I163" s="15"/>
    </row>
    <row r="164" spans="1:9" x14ac:dyDescent="0.3">
      <c r="A164" s="88" t="s">
        <v>134</v>
      </c>
      <c r="B164" s="84"/>
      <c r="C164" s="25"/>
      <c r="D164" s="15"/>
      <c r="E164" s="15"/>
      <c r="F164" s="15"/>
      <c r="G164" s="15"/>
      <c r="H164" s="15"/>
      <c r="I164" s="15"/>
    </row>
    <row r="165" spans="1:9" x14ac:dyDescent="0.3">
      <c r="A165" s="87" t="s">
        <v>132</v>
      </c>
      <c r="B165" s="84"/>
      <c r="C165" s="25"/>
      <c r="D165" s="15"/>
      <c r="E165" s="15"/>
      <c r="F165" s="15"/>
      <c r="G165" s="15"/>
      <c r="H165" s="15"/>
      <c r="I165" s="15"/>
    </row>
    <row r="166" spans="1:9" x14ac:dyDescent="0.3">
      <c r="A166" s="83"/>
      <c r="B166" s="84"/>
      <c r="C166" s="25"/>
      <c r="D166" s="15"/>
      <c r="E166" s="15"/>
      <c r="F166" s="15"/>
      <c r="G166" s="15"/>
      <c r="H166" s="15"/>
      <c r="I166" s="15"/>
    </row>
    <row r="167" spans="1:9" x14ac:dyDescent="0.3">
      <c r="A167" s="83"/>
      <c r="B167" s="84"/>
      <c r="C167" s="25"/>
      <c r="D167" s="15"/>
      <c r="E167" s="15"/>
      <c r="F167" s="15"/>
      <c r="G167" s="15"/>
      <c r="H167" s="15"/>
      <c r="I167" s="15"/>
    </row>
    <row r="168" spans="1:9" x14ac:dyDescent="0.3">
      <c r="A168" s="83"/>
      <c r="B168" s="84"/>
      <c r="C168" s="25"/>
      <c r="D168" s="15"/>
      <c r="E168" s="15"/>
      <c r="F168" s="15"/>
      <c r="G168" s="15"/>
      <c r="H168" s="15"/>
      <c r="I168" s="15"/>
    </row>
    <row r="169" spans="1:9" x14ac:dyDescent="0.3">
      <c r="A169" s="83"/>
      <c r="B169" s="84"/>
      <c r="C169" s="25"/>
      <c r="D169" s="15"/>
      <c r="E169" s="15"/>
      <c r="F169" s="15"/>
      <c r="G169" s="15"/>
      <c r="H169" s="15"/>
      <c r="I169" s="15"/>
    </row>
    <row r="170" spans="1:9" x14ac:dyDescent="0.3">
      <c r="A170" s="83"/>
      <c r="B170" s="84"/>
      <c r="C170" s="25"/>
      <c r="D170" s="15"/>
      <c r="E170" s="15"/>
      <c r="F170" s="15"/>
      <c r="G170" s="15"/>
      <c r="H170" s="15"/>
      <c r="I170" s="15"/>
    </row>
    <row r="171" spans="1:9" x14ac:dyDescent="0.3">
      <c r="A171" s="83"/>
      <c r="B171" s="84"/>
      <c r="C171" s="25"/>
      <c r="D171" s="15"/>
      <c r="E171" s="15"/>
      <c r="F171" s="15"/>
      <c r="G171" s="15"/>
      <c r="H171" s="15"/>
      <c r="I171" s="15"/>
    </row>
  </sheetData>
  <mergeCells count="7">
    <mergeCell ref="A139:I139"/>
    <mergeCell ref="A145:B145"/>
    <mergeCell ref="C157:E157"/>
    <mergeCell ref="B1:I1"/>
    <mergeCell ref="B2:I2"/>
    <mergeCell ref="B3:I3"/>
    <mergeCell ref="A112:D112"/>
  </mergeCells>
  <hyperlinks>
    <hyperlink ref="A162" r:id="rId1" xr:uid="{11853BB9-5C9E-41B9-A722-D589CA4CDA58}"/>
    <hyperlink ref="A165" r:id="rId2" xr:uid="{3C3EE38D-BA91-4648-8D33-F743D250745C}"/>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2026-06-08T11:29:50Z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