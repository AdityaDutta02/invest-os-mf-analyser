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Fund'!$A$1:$H$161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8" i="1" l="1"/>
  <c r="D80" i="1" s="1"/>
  <c r="D82" i="1" s="1"/>
  <c r="E82" i="1" s="1"/>
  <c r="G77" i="1"/>
  <c r="E77" i="1"/>
  <c r="E78" i="1" s="1"/>
  <c r="D59" i="1"/>
  <c r="D63" i="1" s="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9" i="1" l="1"/>
  <c r="E63" i="1" s="1"/>
  <c r="E80" i="1" s="1"/>
  <c r="E84" i="1" s="1"/>
</calcChain>
</file>

<file path=xl/sharedStrings.xml><?xml version="1.0" encoding="utf-8"?>
<sst xmlns="http://schemas.openxmlformats.org/spreadsheetml/2006/main" count="206" uniqueCount="167">
  <si>
    <t>JM Financial Mutual Fund</t>
  </si>
  <si>
    <t xml:space="preserve">JM Value Fund (An open ended equity scheme following a value investment strategy). </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</si>
  <si>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</si>
  <si>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</si>
  <si>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</si>
  <si>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</si>
  <si>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</si>
  <si>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</si>
  <si>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</si>
  <si>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</si>
  <si>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</si>
  <si>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</si>
  <si>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</si>
  <si>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</si>
  <si>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</si>
  <si>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</si>
  <si>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ITC Ltd.</t>
  </si>
  <si>
    <t>Diversified FMCG</t>
  </si>
  <si>
    <t>INE154A01025</t>
  </si>
  <si>
    <t>NTPC Ltd.</t>
  </si>
  <si>
    <t>Power</t>
  </si>
  <si>
    <t>INE733E01010</t>
  </si>
  <si>
    <t>REC Ltd.</t>
  </si>
  <si>
    <t>Finance</t>
  </si>
  <si>
    <t>INE020B01018</t>
  </si>
  <si>
    <t>HDFC Bank Ltd.</t>
  </si>
  <si>
    <t>Banks</t>
  </si>
  <si>
    <t>INE040A01034</t>
  </si>
  <si>
    <t>Sobha Ltd.</t>
  </si>
  <si>
    <t>Realty</t>
  </si>
  <si>
    <t>INE671H01015</t>
  </si>
  <si>
    <t>ICICI Bank Ltd.</t>
  </si>
  <si>
    <t>INE090A01021</t>
  </si>
  <si>
    <t>Jyothy Labs Ltd.</t>
  </si>
  <si>
    <t>Household Products</t>
  </si>
  <si>
    <t>INE668F01031</t>
  </si>
  <si>
    <t>Kalpataru Projects International Ltd.</t>
  </si>
  <si>
    <t>INE220B01022</t>
  </si>
  <si>
    <t>Ultratech Cement Ltd.</t>
  </si>
  <si>
    <t>Cement &amp; Cement Products</t>
  </si>
  <si>
    <t>INE481G01011</t>
  </si>
  <si>
    <t>Dhanuka Agritech Ltd.</t>
  </si>
  <si>
    <t>Fertilizers &amp; Agrochemicals</t>
  </si>
  <si>
    <t>INE435G01025</t>
  </si>
  <si>
    <t>Infosys Ltd.</t>
  </si>
  <si>
    <t>IT - Software</t>
  </si>
  <si>
    <t>INE009A01021</t>
  </si>
  <si>
    <t>Tata Motors Ltd.</t>
  </si>
  <si>
    <t>Automobiles</t>
  </si>
  <si>
    <t>IN9155A01020</t>
  </si>
  <si>
    <t>State Bank of India</t>
  </si>
  <si>
    <t>INE062A01020</t>
  </si>
  <si>
    <t>Gokaldas Exports Ltd.</t>
  </si>
  <si>
    <t>Textiles &amp; Apparels</t>
  </si>
  <si>
    <t>INE887G01027</t>
  </si>
  <si>
    <t>One 97 Communications Ltd.</t>
  </si>
  <si>
    <t>Financial Technology (Fintech)</t>
  </si>
  <si>
    <t>INE982J01020</t>
  </si>
  <si>
    <t>Amara Raja Energy &amp; Mobility Ltd.</t>
  </si>
  <si>
    <t>Auto Components</t>
  </si>
  <si>
    <t>INE885A01032</t>
  </si>
  <si>
    <t>Aurobindo Pharma Ltd.</t>
  </si>
  <si>
    <t>Pharmaceuticals &amp; Biotechnology</t>
  </si>
  <si>
    <t>INE406A01037</t>
  </si>
  <si>
    <t>Bank of Baroda</t>
  </si>
  <si>
    <t>INE028A01039</t>
  </si>
  <si>
    <t>Equitas Small Finance Bank Ltd.</t>
  </si>
  <si>
    <t>INE063P01018</t>
  </si>
  <si>
    <t>Coal India Ltd.</t>
  </si>
  <si>
    <t>Consumable Fuels</t>
  </si>
  <si>
    <t>INE522F01014</t>
  </si>
  <si>
    <t>Poonawalla Fincorp Ltd.</t>
  </si>
  <si>
    <t>INE511C01022</t>
  </si>
  <si>
    <t>The Phoenix Mills Ltd.</t>
  </si>
  <si>
    <t>INE211B01039</t>
  </si>
  <si>
    <t>Thomas Cook  (India)  Ltd.</t>
  </si>
  <si>
    <t>Leisure Services</t>
  </si>
  <si>
    <t>INE332A01027</t>
  </si>
  <si>
    <t>Gulf Oil Lubricants India Ltd.</t>
  </si>
  <si>
    <t>Petroleum Products</t>
  </si>
  <si>
    <t>INE635Q01029</t>
  </si>
  <si>
    <t>Natco Pharma Ltd.</t>
  </si>
  <si>
    <t>INE987B01026</t>
  </si>
  <si>
    <t>Birlasoft Ltd.</t>
  </si>
  <si>
    <t>INE836A01035</t>
  </si>
  <si>
    <t>SKF India Ltd.</t>
  </si>
  <si>
    <t>Industrial Products</t>
  </si>
  <si>
    <t>INE640A01023</t>
  </si>
  <si>
    <t>Birla Corporation Ltd.</t>
  </si>
  <si>
    <t>INE340A01012</t>
  </si>
  <si>
    <t>Kirloskar Oil Engines Ltd.</t>
  </si>
  <si>
    <t>INE146L01010</t>
  </si>
  <si>
    <t>Fortis Healthcare Ltd.</t>
  </si>
  <si>
    <t>Healthcare Services</t>
  </si>
  <si>
    <t>INE061F01013</t>
  </si>
  <si>
    <t>Zomato Ltd.</t>
  </si>
  <si>
    <t>Retailing</t>
  </si>
  <si>
    <t>INE758T01015</t>
  </si>
  <si>
    <t>CESC Ltd.</t>
  </si>
  <si>
    <t>INE486A01021</t>
  </si>
  <si>
    <t>HCL Technologies Ltd.</t>
  </si>
  <si>
    <t>INE860A01027</t>
  </si>
  <si>
    <t>Welspun India Ltd.</t>
  </si>
  <si>
    <t>INE192B01031</t>
  </si>
  <si>
    <t>Finolex Industries Ltd.</t>
  </si>
  <si>
    <t>INE183A01024</t>
  </si>
  <si>
    <t>Voltas Ltd.</t>
  </si>
  <si>
    <t>Consumer Durables</t>
  </si>
  <si>
    <t>INE226A01021</t>
  </si>
  <si>
    <t>Maruti Suzuki India Ltd.</t>
  </si>
  <si>
    <t>INE585B01010</t>
  </si>
  <si>
    <t>Prince Pipes And Fittings Ltd.</t>
  </si>
  <si>
    <t>INE689W01016</t>
  </si>
  <si>
    <t>Amber Enterprises India Ltd.</t>
  </si>
  <si>
    <t>INE371P01015</t>
  </si>
  <si>
    <t>Tech Mahindra Ltd.</t>
  </si>
  <si>
    <t>INE669C01036</t>
  </si>
  <si>
    <t>Biocon Ltd.</t>
  </si>
  <si>
    <t>INE376G01013</t>
  </si>
  <si>
    <t>Arvind Ltd.</t>
  </si>
  <si>
    <t>INE034A01011</t>
  </si>
  <si>
    <t>Firstsource Solutions Ltd.</t>
  </si>
  <si>
    <t>Commercial Services &amp; Supplies</t>
  </si>
  <si>
    <t>INE684F01012</t>
  </si>
  <si>
    <t>Vardhman Textiles Ltd.</t>
  </si>
  <si>
    <t>INE825A01020</t>
  </si>
  <si>
    <t>MphasiS Ltd.</t>
  </si>
  <si>
    <t>INE356A01018</t>
  </si>
  <si>
    <t>Jagran Prakashan Ltd.</t>
  </si>
  <si>
    <t>Media</t>
  </si>
  <si>
    <t>INE199G01027</t>
  </si>
  <si>
    <t>Kirloskar Ferrous Industries Ltd</t>
  </si>
  <si>
    <t>Ferrous Metals</t>
  </si>
  <si>
    <t>INE884B01025</t>
  </si>
  <si>
    <t>Crompton Greaves Consumer Electricals Ltd.</t>
  </si>
  <si>
    <t>INE299U01018</t>
  </si>
  <si>
    <t>EID Parry India Ltd.</t>
  </si>
  <si>
    <t>INE126A01031</t>
  </si>
  <si>
    <t>Timken India Ltd.</t>
  </si>
  <si>
    <t>INE325A01013</t>
  </si>
  <si>
    <t>Kalyani Steels Ltd.</t>
  </si>
  <si>
    <t>INE907A01026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</si>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</sst>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u/>
      <sz val="10"/>
      <color indexed="9"/>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2">
    <xf numFmtId="0" fontId="0" fillId="0" borderId="0" xfId="0"/>
    <xf numFmtId="0" fontId="2" fillId="2" borderId="1" xfId="2" applyFont="1" applyFill="1" applyBorder="1" applyAlignment="1">
      <alignment horizontal="center" vertical="center"/>
    </xf>
    <xf numFmtId="0" fontId="3" fillId="0" borderId="0" xfId="2" applyFont="1"/>
    <xf numFmtId="0" fontId="4" fillId="2" borderId="1" xfId="2" applyFont="1" applyFill="1" applyBorder="1" applyAlignment="1">
      <alignment horizontal="center" vertical="top"/>
    </xf>
    <xf numFmtId="0" fontId="2" fillId="2" borderId="2" xfId="2" applyFont="1" applyFill="1" applyBorder="1" applyAlignment="1">
      <alignment horizontal="center" vertical="center" wrapText="1"/>
    </xf>
    <xf numFmtId="0" fontId="3" fillId="0" borderId="0" xfId="2" applyFont="1" applyAlignment="1">
      <alignment horizontal="center"/>
    </xf>
    <xf numFmtId="0" fontId="5"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5"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6" fillId="0" borderId="3" xfId="2" applyFont="1" applyFill="1" applyBorder="1"/>
    <xf numFmtId="0" fontId="3" fillId="0" borderId="0" xfId="2" applyFont="1" applyFill="1"/>
    <xf numFmtId="164" fontId="5" fillId="0" borderId="3" xfId="1" applyFont="1" applyFill="1" applyBorder="1"/>
    <xf numFmtId="165" fontId="5" fillId="0" borderId="3" xfId="1" applyNumberFormat="1" applyFont="1" applyFill="1" applyBorder="1"/>
    <xf numFmtId="164" fontId="6" fillId="0" borderId="3" xfId="1" applyFont="1" applyFill="1" applyBorder="1" applyAlignment="1">
      <alignment horizontal="center"/>
    </xf>
    <xf numFmtId="164" fontId="5" fillId="0" borderId="3" xfId="1" applyFont="1" applyFill="1" applyBorder="1" applyAlignment="1">
      <alignment horizontal="right"/>
    </xf>
    <xf numFmtId="0" fontId="6" fillId="0" borderId="3" xfId="2" applyFont="1" applyFill="1" applyBorder="1" applyAlignment="1">
      <alignment horizontal="right"/>
    </xf>
    <xf numFmtId="4" fontId="5" fillId="0" borderId="3" xfId="1" applyNumberFormat="1" applyFont="1" applyFill="1" applyBorder="1"/>
    <xf numFmtId="164" fontId="6" fillId="0" borderId="3" xfId="1" applyFont="1" applyFill="1" applyBorder="1" applyAlignment="1">
      <alignment horizontal="right"/>
    </xf>
    <xf numFmtId="165" fontId="5" fillId="0" borderId="3" xfId="1" applyNumberFormat="1" applyFont="1" applyFill="1" applyBorder="1" applyAlignment="1">
      <alignment horizontal="right"/>
    </xf>
    <xf numFmtId="164" fontId="6" fillId="0" borderId="4" xfId="1" applyFont="1" applyFill="1" applyBorder="1"/>
    <xf numFmtId="0" fontId="6" fillId="0" borderId="0" xfId="2" applyFont="1" applyFill="1" applyBorder="1" applyAlignment="1">
      <alignment horizontal="right"/>
    </xf>
    <xf numFmtId="0" fontId="6" fillId="0" borderId="0" xfId="2" applyFont="1" applyFill="1"/>
    <xf numFmtId="0" fontId="6" fillId="0" borderId="0" xfId="2" applyFont="1"/>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wrapText="1"/>
    </xf>
    <xf numFmtId="0" fontId="6" fillId="0" borderId="0" xfId="2" applyFont="1" applyAlignment="1">
      <alignment wrapText="1"/>
    </xf>
    <xf numFmtId="0" fontId="6" fillId="0" borderId="0" xfId="2" applyFont="1" applyFill="1" applyAlignment="1">
      <alignment wrapText="1"/>
    </xf>
    <xf numFmtId="0" fontId="6" fillId="0" borderId="0" xfId="2" applyFont="1" applyFill="1" applyAlignment="1">
      <alignment horizontal="left" wrapText="1"/>
    </xf>
    <xf numFmtId="165" fontId="6" fillId="0" borderId="0" xfId="5" applyNumberFormat="1" applyFont="1" applyFill="1"/>
    <xf numFmtId="164" fontId="6" fillId="0" borderId="0" xfId="5" applyFont="1" applyFill="1" applyAlignment="1">
      <alignment horizontal="right"/>
    </xf>
    <xf numFmtId="0" fontId="6" fillId="0" borderId="0" xfId="2" applyFont="1" applyFill="1" applyAlignment="1">
      <alignment horizontal="right"/>
    </xf>
    <xf numFmtId="164" fontId="6" fillId="0" borderId="0" xfId="1" applyFont="1" applyFill="1" applyBorder="1" applyAlignment="1">
      <alignment horizontal="right"/>
    </xf>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6" fillId="0" borderId="0" xfId="2" applyFont="1" applyAlignment="1">
      <alignment horizontal="left" wrapText="1"/>
    </xf>
    <xf numFmtId="0" fontId="5" fillId="0" borderId="0" xfId="2" applyFont="1" applyFill="1" applyBorder="1" applyAlignment="1"/>
    <xf numFmtId="165" fontId="6" fillId="0" borderId="0" xfId="1" applyNumberFormat="1" applyFont="1"/>
    <xf numFmtId="0" fontId="6" fillId="0" borderId="0" xfId="2" applyFont="1" applyAlignment="1">
      <alignment wrapText="1"/>
    </xf>
    <xf numFmtId="164" fontId="6"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5" fillId="0" borderId="3" xfId="2"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0" xfId="2" applyFont="1" applyFill="1" applyBorder="1" applyAlignment="1">
      <alignment horizontal="center"/>
    </xf>
  </cellXfs>
  <cellStyles count="8">
    <cellStyle name="Comma" xfId="1" builtinId="3"/>
    <cellStyle name="Comma 4" xfId="5"/>
    <cellStyle name="Normal" xfId="0" builtinId="0"/>
    <cellStyle name="Normal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409575</xdr:colOff>
      <xdr:row>96</xdr:row>
      <xdr:rowOff>57150</xdr:rowOff>
    </xdr:from>
    <xdr:to>
      <xdr:col>0</xdr:col>
      <xdr:colOff>2409825</xdr:colOff>
      <xdr:row>102</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18307050"/>
          <a:ext cx="200025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96</xdr:row>
      <xdr:rowOff>66675</xdr:rowOff>
    </xdr:from>
    <xdr:to>
      <xdr:col>2</xdr:col>
      <xdr:colOff>266700</xdr:colOff>
      <xdr:row>102</xdr:row>
      <xdr:rowOff>66675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86075" y="18316575"/>
          <a:ext cx="20383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U2" t="str">
            <v>IN0020220052</v>
          </cell>
          <cell r="V2" t="str">
            <v>GOVERNMENT OF INDIA</v>
          </cell>
          <cell r="W2" t="str">
            <v>30/11/2023</v>
          </cell>
          <cell r="X2">
            <v>7.101</v>
          </cell>
        </row>
        <row r="3">
          <cell r="U3" t="str">
            <v>IN0020230010</v>
          </cell>
          <cell r="V3" t="str">
            <v>GOVERNMENT OF INDIA</v>
          </cell>
          <cell r="W3" t="str">
            <v>30/11/2023</v>
          </cell>
          <cell r="X3">
            <v>7.2602000000000002</v>
          </cell>
        </row>
        <row r="4">
          <cell r="U4" t="str">
            <v>IN0020220011</v>
          </cell>
          <cell r="V4" t="str">
            <v>GOVERNMENT OF INDIA</v>
          </cell>
          <cell r="W4" t="str">
            <v>30/11/2023</v>
          </cell>
          <cell r="X4">
            <v>7.2891000000000004</v>
          </cell>
        </row>
        <row r="5">
          <cell r="U5" t="str">
            <v>IN0020230085</v>
          </cell>
          <cell r="V5" t="str">
            <v>GOVERNMENT OF INDIA</v>
          </cell>
          <cell r="W5" t="str">
            <v>30/11/2023</v>
          </cell>
          <cell r="X5">
            <v>7.2809999999999997</v>
          </cell>
        </row>
        <row r="6">
          <cell r="U6" t="str">
            <v>IN0020220151</v>
          </cell>
          <cell r="V6" t="str">
            <v>GOVERNMENT OF INDIA</v>
          </cell>
          <cell r="W6" t="str">
            <v>30/11/2023</v>
          </cell>
          <cell r="X6">
            <v>7.3249000000000004</v>
          </cell>
        </row>
        <row r="7">
          <cell r="U7" t="str">
            <v>IN0020230119</v>
          </cell>
          <cell r="V7" t="str">
            <v>GOVERNMENT OF INDIA</v>
          </cell>
          <cell r="W7" t="str">
            <v>30/11/2023</v>
          </cell>
          <cell r="X7">
            <v>7.2473000000000001</v>
          </cell>
        </row>
        <row r="8">
          <cell r="U8" t="str">
            <v>IN0020230101</v>
          </cell>
          <cell r="V8" t="str">
            <v>GOVERNMENT OF INDIA</v>
          </cell>
          <cell r="W8" t="str">
            <v>30/11/2023</v>
          </cell>
          <cell r="X8">
            <v>7.2529000000000003</v>
          </cell>
        </row>
        <row r="9">
          <cell r="U9" t="str">
            <v>IN0020220037</v>
          </cell>
          <cell r="V9" t="str">
            <v>GOVERNMENT OF INDIA</v>
          </cell>
          <cell r="W9" t="str">
            <v>30/11/2023</v>
          </cell>
          <cell r="X9">
            <v>7.2644000000000002</v>
          </cell>
        </row>
        <row r="10">
          <cell r="U10" t="str">
            <v>INE012A01025</v>
          </cell>
          <cell r="V10" t="str">
            <v>ACC Limited</v>
          </cell>
          <cell r="W10" t="str">
            <v>30/11/2023</v>
          </cell>
          <cell r="X10">
            <v>0</v>
          </cell>
        </row>
        <row r="11">
          <cell r="U11" t="str">
            <v>INE742F01042</v>
          </cell>
          <cell r="V11" t="str">
            <v>Adani Ports and SEZ Ltd</v>
          </cell>
          <cell r="W11" t="str">
            <v>30/11/2023</v>
          </cell>
          <cell r="X11">
            <v>0</v>
          </cell>
        </row>
        <row r="12">
          <cell r="U12" t="str">
            <v>INE758C01029</v>
          </cell>
          <cell r="V12" t="str">
            <v>Ahluwalia Contracts (India) Ltd.</v>
          </cell>
          <cell r="W12" t="str">
            <v>30/11/2023</v>
          </cell>
          <cell r="X12">
            <v>0</v>
          </cell>
        </row>
        <row r="13">
          <cell r="U13" t="str">
            <v>INE371P01015</v>
          </cell>
          <cell r="V13" t="str">
            <v>Amber Enterprises India Ltd.</v>
          </cell>
          <cell r="W13" t="str">
            <v>30/11/2023</v>
          </cell>
          <cell r="X13">
            <v>0</v>
          </cell>
        </row>
        <row r="14">
          <cell r="U14" t="str">
            <v>INE079A01024</v>
          </cell>
          <cell r="V14" t="str">
            <v>Ambuja Cements Limited</v>
          </cell>
          <cell r="W14" t="str">
            <v>30/11/2023</v>
          </cell>
          <cell r="X14">
            <v>0</v>
          </cell>
        </row>
        <row r="15">
          <cell r="U15" t="str">
            <v>INE885A01032</v>
          </cell>
          <cell r="V15" t="str">
            <v>Amara Raja Energy &amp; Mobility Limited</v>
          </cell>
          <cell r="W15" t="str">
            <v>30/11/2023</v>
          </cell>
          <cell r="X15">
            <v>0</v>
          </cell>
        </row>
        <row r="16">
          <cell r="U16" t="str">
            <v>INE034A01011</v>
          </cell>
          <cell r="V16" t="str">
            <v>Arvind Limited</v>
          </cell>
          <cell r="W16" t="str">
            <v>30/11/2023</v>
          </cell>
          <cell r="X16">
            <v>0</v>
          </cell>
        </row>
        <row r="17">
          <cell r="U17" t="str">
            <v>INE406A01037</v>
          </cell>
          <cell r="V17" t="str">
            <v>Aurobindo Pharma Limited</v>
          </cell>
          <cell r="W17" t="str">
            <v>30/11/2023</v>
          </cell>
          <cell r="X17">
            <v>0</v>
          </cell>
        </row>
        <row r="18">
          <cell r="U18" t="str">
            <v>INE238A01034</v>
          </cell>
          <cell r="V18" t="str">
            <v>AXIS Bank Ltd</v>
          </cell>
          <cell r="W18" t="str">
            <v>30/11/2023</v>
          </cell>
          <cell r="X18">
            <v>0</v>
          </cell>
        </row>
        <row r="19">
          <cell r="U19" t="str">
            <v>INE917I01010</v>
          </cell>
          <cell r="V19" t="str">
            <v>Bajaj Auto Limited</v>
          </cell>
          <cell r="W19" t="str">
            <v>30/11/2023</v>
          </cell>
          <cell r="X19">
            <v>0</v>
          </cell>
        </row>
        <row r="20">
          <cell r="U20" t="str">
            <v>INE787D01026</v>
          </cell>
          <cell r="V20" t="str">
            <v>Balkrishna Industries Limited</v>
          </cell>
          <cell r="W20" t="str">
            <v>30/11/2023</v>
          </cell>
          <cell r="X20">
            <v>0</v>
          </cell>
        </row>
        <row r="21">
          <cell r="U21" t="str">
            <v>INE119A01028</v>
          </cell>
          <cell r="V21" t="str">
            <v>Balrampur Chini Mills Limited</v>
          </cell>
          <cell r="W21" t="str">
            <v>30/11/2023</v>
          </cell>
          <cell r="X21">
            <v>0</v>
          </cell>
        </row>
        <row r="22">
          <cell r="U22" t="str">
            <v>INE545U01014</v>
          </cell>
          <cell r="V22" t="str">
            <v>Bandhan Bank Ltd.</v>
          </cell>
          <cell r="W22" t="str">
            <v>30/11/2023</v>
          </cell>
          <cell r="X22">
            <v>0</v>
          </cell>
        </row>
        <row r="23">
          <cell r="U23" t="str">
            <v>INE028A01039</v>
          </cell>
          <cell r="V23" t="str">
            <v>Bank of Baroda</v>
          </cell>
          <cell r="W23" t="str">
            <v>30/11/2023</v>
          </cell>
          <cell r="X23">
            <v>0</v>
          </cell>
        </row>
        <row r="24">
          <cell r="U24" t="str">
            <v>INE176A01028</v>
          </cell>
          <cell r="V24" t="str">
            <v>Bata India Ltd.</v>
          </cell>
          <cell r="W24" t="str">
            <v>30/11/2023</v>
          </cell>
          <cell r="X24">
            <v>0</v>
          </cell>
        </row>
        <row r="25">
          <cell r="U25" t="str">
            <v>INE465A01025</v>
          </cell>
          <cell r="V25" t="str">
            <v>Bharat Forge Limited</v>
          </cell>
          <cell r="W25" t="str">
            <v>30/11/2023</v>
          </cell>
          <cell r="X25">
            <v>0</v>
          </cell>
        </row>
        <row r="26">
          <cell r="U26" t="str">
            <v>INE257A01026</v>
          </cell>
          <cell r="V26" t="str">
            <v>Bharat Heavy Electricals Ltd</v>
          </cell>
          <cell r="W26" t="str">
            <v>30/11/2023</v>
          </cell>
          <cell r="X26">
            <v>0</v>
          </cell>
        </row>
        <row r="27">
          <cell r="U27" t="str">
            <v>INE376G01013</v>
          </cell>
          <cell r="V27" t="str">
            <v>Biocon Limited</v>
          </cell>
          <cell r="W27" t="str">
            <v>30/11/2023</v>
          </cell>
          <cell r="X27">
            <v>0</v>
          </cell>
        </row>
        <row r="28">
          <cell r="U28" t="str">
            <v>INE340A01012</v>
          </cell>
          <cell r="V28" t="str">
            <v>Birla Corporation Limited</v>
          </cell>
          <cell r="W28" t="str">
            <v>30/11/2023</v>
          </cell>
          <cell r="X28">
            <v>0</v>
          </cell>
        </row>
        <row r="29">
          <cell r="U29" t="str">
            <v>INE472A01039</v>
          </cell>
          <cell r="V29" t="str">
            <v>Blue Star Limited</v>
          </cell>
          <cell r="W29" t="str">
            <v>30/11/2023</v>
          </cell>
          <cell r="X29">
            <v>0</v>
          </cell>
        </row>
        <row r="30">
          <cell r="U30" t="str">
            <v>INE216A01030</v>
          </cell>
          <cell r="V30" t="str">
            <v>Britannia Industries Limited</v>
          </cell>
          <cell r="W30" t="str">
            <v>30/11/2023</v>
          </cell>
          <cell r="X30">
            <v>0</v>
          </cell>
        </row>
        <row r="31">
          <cell r="U31" t="str">
            <v>INE836A01035</v>
          </cell>
          <cell r="V31" t="str">
            <v>Birlasoft Limited</v>
          </cell>
          <cell r="W31" t="str">
            <v>30/11/2023</v>
          </cell>
          <cell r="X31">
            <v>0</v>
          </cell>
        </row>
        <row r="32">
          <cell r="U32" t="str">
            <v>INE486A01021</v>
          </cell>
          <cell r="V32" t="str">
            <v>CESC Ltd.</v>
          </cell>
          <cell r="W32" t="str">
            <v>30/11/2023</v>
          </cell>
          <cell r="X32">
            <v>0</v>
          </cell>
        </row>
        <row r="33">
          <cell r="U33" t="str">
            <v>INE149A01033</v>
          </cell>
          <cell r="V33" t="str">
            <v>Cholamandalam Financial Holdings Ltd</v>
          </cell>
          <cell r="W33" t="str">
            <v>30/11/2023</v>
          </cell>
          <cell r="X33">
            <v>0</v>
          </cell>
        </row>
        <row r="34">
          <cell r="U34" t="str">
            <v>INE522F01014</v>
          </cell>
          <cell r="V34" t="str">
            <v>Coal India Limited</v>
          </cell>
          <cell r="W34" t="str">
            <v>30/11/2023</v>
          </cell>
          <cell r="X34">
            <v>0</v>
          </cell>
        </row>
        <row r="35">
          <cell r="U35" t="str">
            <v>INE111A01025</v>
          </cell>
          <cell r="V35" t="str">
            <v>Container Corp of India Ltd</v>
          </cell>
          <cell r="W35" t="str">
            <v>30/11/2023</v>
          </cell>
          <cell r="X35">
            <v>0</v>
          </cell>
        </row>
        <row r="36">
          <cell r="U36" t="str">
            <v>INE169A01031</v>
          </cell>
          <cell r="V36" t="str">
            <v>Coromandel International Ltd.</v>
          </cell>
          <cell r="W36" t="str">
            <v>30/11/2023</v>
          </cell>
          <cell r="X36">
            <v>0</v>
          </cell>
        </row>
        <row r="37">
          <cell r="U37" t="str">
            <v>INE299U01018</v>
          </cell>
          <cell r="V37" t="str">
            <v>Crompton Greaves Cons Elec Ltd</v>
          </cell>
          <cell r="W37" t="str">
            <v>30/11/2023</v>
          </cell>
          <cell r="X37">
            <v>0</v>
          </cell>
        </row>
        <row r="38">
          <cell r="U38" t="str">
            <v>INE491A01021</v>
          </cell>
          <cell r="V38" t="str">
            <v>City Union Bank Limited</v>
          </cell>
          <cell r="W38" t="str">
            <v>30/11/2023</v>
          </cell>
          <cell r="X38">
            <v>0</v>
          </cell>
        </row>
        <row r="39">
          <cell r="U39" t="str">
            <v>INE298A01020</v>
          </cell>
          <cell r="V39" t="str">
            <v>Cummins India Limited</v>
          </cell>
          <cell r="W39" t="str">
            <v>30/11/2023</v>
          </cell>
          <cell r="X39">
            <v>0</v>
          </cell>
        </row>
        <row r="40">
          <cell r="U40" t="str">
            <v>INE00R701025</v>
          </cell>
          <cell r="V40" t="str">
            <v>Dalmia Bharat Ltd.</v>
          </cell>
          <cell r="W40" t="str">
            <v>30/11/2023</v>
          </cell>
          <cell r="X40">
            <v>0</v>
          </cell>
        </row>
        <row r="41">
          <cell r="U41" t="str">
            <v>INE872J01023</v>
          </cell>
          <cell r="V41" t="str">
            <v>Devyani International Ltd.</v>
          </cell>
          <cell r="W41" t="str">
            <v>30/11/2023</v>
          </cell>
          <cell r="X41">
            <v>0</v>
          </cell>
        </row>
        <row r="42">
          <cell r="U42" t="str">
            <v>INE435G01025</v>
          </cell>
          <cell r="V42" t="str">
            <v>Dhanuka Agritech Ltd</v>
          </cell>
          <cell r="W42" t="str">
            <v>30/11/2023</v>
          </cell>
          <cell r="X42">
            <v>0</v>
          </cell>
        </row>
        <row r="43">
          <cell r="U43" t="str">
            <v>INE271C01023</v>
          </cell>
          <cell r="V43" t="str">
            <v>DLF Limited</v>
          </cell>
          <cell r="W43" t="str">
            <v>30/11/2023</v>
          </cell>
          <cell r="X43">
            <v>0</v>
          </cell>
        </row>
        <row r="44">
          <cell r="U44" t="str">
            <v>INE089A01023</v>
          </cell>
          <cell r="V44" t="str">
            <v>Dr. Reddy's Laboratories Ltd</v>
          </cell>
          <cell r="W44" t="str">
            <v>30/11/2023</v>
          </cell>
          <cell r="X44">
            <v>0</v>
          </cell>
        </row>
        <row r="45">
          <cell r="U45" t="str">
            <v>INE126A01031</v>
          </cell>
          <cell r="V45" t="str">
            <v>EID Parry India Limited</v>
          </cell>
          <cell r="W45" t="str">
            <v>30/11/2023</v>
          </cell>
          <cell r="X45">
            <v>0</v>
          </cell>
        </row>
        <row r="46">
          <cell r="U46" t="str">
            <v>INE063P01018</v>
          </cell>
          <cell r="V46" t="str">
            <v>Equitas Small Finance Bank Ltd.</v>
          </cell>
          <cell r="W46" t="str">
            <v>30/11/2023</v>
          </cell>
          <cell r="X46">
            <v>0</v>
          </cell>
        </row>
        <row r="47">
          <cell r="U47" t="str">
            <v>INE042A01014</v>
          </cell>
          <cell r="V47" t="str">
            <v>Escorts Kubota Limited</v>
          </cell>
          <cell r="W47" t="str">
            <v>30/11/2023</v>
          </cell>
          <cell r="X47">
            <v>0</v>
          </cell>
        </row>
        <row r="48">
          <cell r="U48" t="str">
            <v>INE302A01020</v>
          </cell>
          <cell r="V48" t="str">
            <v>Exide Industries Limited</v>
          </cell>
          <cell r="W48" t="str">
            <v>30/11/2023</v>
          </cell>
          <cell r="X48">
            <v>0</v>
          </cell>
        </row>
        <row r="49">
          <cell r="U49" t="str">
            <v>INE171A01029</v>
          </cell>
          <cell r="V49" t="str">
            <v>The Federal Bank Limited</v>
          </cell>
          <cell r="W49" t="str">
            <v>30/11/2023</v>
          </cell>
          <cell r="X49">
            <v>0</v>
          </cell>
        </row>
        <row r="50">
          <cell r="U50" t="str">
            <v>INE183A01024</v>
          </cell>
          <cell r="V50" t="str">
            <v>Finolex Industries Limited</v>
          </cell>
          <cell r="W50" t="str">
            <v>30/11/2023</v>
          </cell>
          <cell r="X50">
            <v>0</v>
          </cell>
        </row>
        <row r="51">
          <cell r="U51" t="str">
            <v>INE061F01013</v>
          </cell>
          <cell r="V51" t="str">
            <v>Fortis Healthcare Limited</v>
          </cell>
          <cell r="W51" t="str">
            <v>30/11/2023</v>
          </cell>
          <cell r="X51">
            <v>0</v>
          </cell>
        </row>
        <row r="52">
          <cell r="U52" t="str">
            <v>INE684F01012</v>
          </cell>
          <cell r="V52" t="str">
            <v>Firstsource Solutions Limited</v>
          </cell>
          <cell r="W52" t="str">
            <v>30/11/2023</v>
          </cell>
          <cell r="X52">
            <v>0</v>
          </cell>
        </row>
        <row r="53">
          <cell r="U53" t="str">
            <v>INE129A01019</v>
          </cell>
          <cell r="V53" t="str">
            <v>GAIL (India) Limited</v>
          </cell>
          <cell r="W53" t="str">
            <v>30/11/2023</v>
          </cell>
          <cell r="X53">
            <v>0</v>
          </cell>
        </row>
        <row r="54">
          <cell r="U54" t="str">
            <v>INE200A01026</v>
          </cell>
          <cell r="V54" t="str">
            <v>GE T&amp;D India Limited</v>
          </cell>
          <cell r="W54" t="str">
            <v>30/11/2023</v>
          </cell>
          <cell r="X54">
            <v>0</v>
          </cell>
        </row>
        <row r="55">
          <cell r="U55" t="str">
            <v>INE102D01028</v>
          </cell>
          <cell r="V55" t="str">
            <v>Godrej Consumer Products Ltd</v>
          </cell>
          <cell r="W55" t="str">
            <v>30/11/2023</v>
          </cell>
          <cell r="X55">
            <v>0</v>
          </cell>
        </row>
        <row r="56">
          <cell r="U56" t="str">
            <v>INE484J01027</v>
          </cell>
          <cell r="V56" t="str">
            <v>Godrej Properties Limited</v>
          </cell>
          <cell r="W56" t="str">
            <v>30/11/2023</v>
          </cell>
          <cell r="X56">
            <v>0</v>
          </cell>
        </row>
        <row r="57">
          <cell r="U57" t="str">
            <v>INE887G01027</v>
          </cell>
          <cell r="V57" t="str">
            <v>Gokaldas Exports Limited</v>
          </cell>
          <cell r="W57" t="str">
            <v>30/11/2023</v>
          </cell>
          <cell r="X57">
            <v>0</v>
          </cell>
        </row>
        <row r="58">
          <cell r="U58" t="str">
            <v>INE101D01020</v>
          </cell>
          <cell r="V58" t="str">
            <v>Granules India Ltd.</v>
          </cell>
          <cell r="W58" t="str">
            <v>30/11/2023</v>
          </cell>
          <cell r="X58">
            <v>0</v>
          </cell>
        </row>
        <row r="59">
          <cell r="U59" t="str">
            <v>INE047A01021</v>
          </cell>
          <cell r="V59" t="str">
            <v>Grasim Industries Limited</v>
          </cell>
          <cell r="W59" t="str">
            <v>30/11/2023</v>
          </cell>
          <cell r="X59">
            <v>0</v>
          </cell>
        </row>
        <row r="60">
          <cell r="U60" t="str">
            <v>INE635Q01029</v>
          </cell>
          <cell r="V60" t="str">
            <v>Gulf Oil Lubricants India Ltd.</v>
          </cell>
          <cell r="W60" t="str">
            <v>30/11/2023</v>
          </cell>
          <cell r="X60">
            <v>0</v>
          </cell>
        </row>
        <row r="61">
          <cell r="U61" t="str">
            <v>INE860A01027</v>
          </cell>
          <cell r="V61" t="str">
            <v>HCL Technologies Limited</v>
          </cell>
          <cell r="W61" t="str">
            <v>30/11/2023</v>
          </cell>
          <cell r="X61">
            <v>0</v>
          </cell>
        </row>
        <row r="62">
          <cell r="U62" t="str">
            <v>INE040A01034</v>
          </cell>
          <cell r="V62" t="str">
            <v>HDFC Bank Ltd.</v>
          </cell>
          <cell r="W62" t="str">
            <v>30/11/2023</v>
          </cell>
          <cell r="X62">
            <v>0</v>
          </cell>
        </row>
        <row r="63">
          <cell r="U63" t="str">
            <v>INE545A01016</v>
          </cell>
          <cell r="V63" t="str">
            <v>HEG Limited</v>
          </cell>
          <cell r="W63" t="str">
            <v>30/11/2023</v>
          </cell>
          <cell r="X63">
            <v>0</v>
          </cell>
        </row>
        <row r="64">
          <cell r="U64" t="str">
            <v>INE531E01026</v>
          </cell>
          <cell r="V64" t="str">
            <v>Hindustan Copper Ltd.</v>
          </cell>
          <cell r="W64" t="str">
            <v>30/11/2023</v>
          </cell>
          <cell r="X64">
            <v>0</v>
          </cell>
        </row>
        <row r="65">
          <cell r="U65" t="str">
            <v>INE094A01015</v>
          </cell>
          <cell r="V65" t="str">
            <v>Hindustan Petroleum Corp Ltd</v>
          </cell>
          <cell r="W65" t="str">
            <v>30/11/2023</v>
          </cell>
          <cell r="X65">
            <v>0</v>
          </cell>
        </row>
        <row r="66">
          <cell r="U66" t="str">
            <v>INE030A01027</v>
          </cell>
          <cell r="V66" t="str">
            <v>Hindustan Unilever Limited</v>
          </cell>
          <cell r="W66" t="str">
            <v>30/11/2023</v>
          </cell>
          <cell r="X66">
            <v>0</v>
          </cell>
        </row>
        <row r="67">
          <cell r="U67" t="str">
            <v>INE090A01021</v>
          </cell>
          <cell r="V67" t="str">
            <v>ICICI Bank Ltd</v>
          </cell>
          <cell r="W67" t="str">
            <v>30/11/2023</v>
          </cell>
          <cell r="X67">
            <v>0</v>
          </cell>
        </row>
        <row r="68">
          <cell r="U68" t="str">
            <v>INE725G01011</v>
          </cell>
          <cell r="V68" t="str">
            <v>ICRA Limited</v>
          </cell>
          <cell r="W68" t="str">
            <v>30/11/2023</v>
          </cell>
          <cell r="X68">
            <v>0</v>
          </cell>
        </row>
        <row r="69">
          <cell r="U69" t="str">
            <v>INE669E01016</v>
          </cell>
          <cell r="V69" t="str">
            <v>Vodafone Idea Limited</v>
          </cell>
          <cell r="W69" t="str">
            <v>30/11/2023</v>
          </cell>
          <cell r="X69">
            <v>0</v>
          </cell>
        </row>
        <row r="70">
          <cell r="U70" t="str">
            <v>INE043D01016</v>
          </cell>
          <cell r="V70" t="str">
            <v>IDFC Limited</v>
          </cell>
          <cell r="W70" t="str">
            <v>30/11/2023</v>
          </cell>
          <cell r="X70">
            <v>0</v>
          </cell>
        </row>
        <row r="71">
          <cell r="U71" t="str">
            <v>INE022Q01020</v>
          </cell>
          <cell r="V71" t="str">
            <v>Indian Energy Exchange Ltd.</v>
          </cell>
          <cell r="W71" t="str">
            <v>30/11/2023</v>
          </cell>
          <cell r="X71">
            <v>0</v>
          </cell>
        </row>
        <row r="72">
          <cell r="U72" t="str">
            <v>INE053A01029</v>
          </cell>
          <cell r="V72" t="str">
            <v>Indian Hotels Co. Ltd.</v>
          </cell>
          <cell r="W72" t="str">
            <v>30/11/2023</v>
          </cell>
          <cell r="X72">
            <v>0</v>
          </cell>
        </row>
        <row r="73">
          <cell r="U73" t="str">
            <v>INE383A01012</v>
          </cell>
          <cell r="V73" t="str">
            <v>The India Cements Limited</v>
          </cell>
          <cell r="W73" t="str">
            <v>30/11/2023</v>
          </cell>
          <cell r="X73">
            <v>0</v>
          </cell>
        </row>
        <row r="74">
          <cell r="U74" t="str">
            <v>INE121J01017</v>
          </cell>
          <cell r="V74" t="str">
            <v>Indus Towers Limited</v>
          </cell>
          <cell r="W74" t="str">
            <v>30/11/2023</v>
          </cell>
          <cell r="X74">
            <v>0</v>
          </cell>
        </row>
        <row r="75">
          <cell r="U75" t="str">
            <v>INE009A01021</v>
          </cell>
          <cell r="V75" t="str">
            <v>Infosys Limited</v>
          </cell>
          <cell r="W75" t="str">
            <v>30/11/2023</v>
          </cell>
          <cell r="X75">
            <v>0</v>
          </cell>
        </row>
        <row r="76">
          <cell r="U76" t="str">
            <v>INE242A01010</v>
          </cell>
          <cell r="V76" t="str">
            <v>Indian Oil Corporation Ltd</v>
          </cell>
          <cell r="W76" t="str">
            <v>30/11/2023</v>
          </cell>
          <cell r="X76">
            <v>0</v>
          </cell>
        </row>
        <row r="77">
          <cell r="U77" t="str">
            <v>INE154A01025</v>
          </cell>
          <cell r="V77" t="str">
            <v>ITC Limited</v>
          </cell>
          <cell r="W77" t="str">
            <v>30/11/2023</v>
          </cell>
          <cell r="X77">
            <v>0</v>
          </cell>
        </row>
        <row r="78">
          <cell r="U78" t="str">
            <v>INE199G01027</v>
          </cell>
          <cell r="V78" t="str">
            <v>Jagran Prakashan Limited</v>
          </cell>
          <cell r="W78" t="str">
            <v>30/11/2023</v>
          </cell>
          <cell r="X78">
            <v>0</v>
          </cell>
        </row>
        <row r="79">
          <cell r="U79" t="str">
            <v>INE019A01038</v>
          </cell>
          <cell r="V79" t="str">
            <v>JSW Steel Limited</v>
          </cell>
          <cell r="W79" t="str">
            <v>30/11/2023</v>
          </cell>
          <cell r="X79">
            <v>0</v>
          </cell>
        </row>
        <row r="80">
          <cell r="U80" t="str">
            <v>INE797F01020</v>
          </cell>
          <cell r="V80" t="str">
            <v>Jubilant Foodworks Ltd.</v>
          </cell>
          <cell r="W80" t="str">
            <v>30/11/2023</v>
          </cell>
          <cell r="X80">
            <v>0</v>
          </cell>
        </row>
        <row r="81">
          <cell r="U81" t="str">
            <v>INE668F01031</v>
          </cell>
          <cell r="V81" t="str">
            <v>Jyothy Labs Limited</v>
          </cell>
          <cell r="W81" t="str">
            <v>30/11/2023</v>
          </cell>
          <cell r="X81">
            <v>0</v>
          </cell>
        </row>
        <row r="82">
          <cell r="U82" t="str">
            <v>INE884B01025</v>
          </cell>
          <cell r="V82" t="str">
            <v>Kirloskar Ferrous Industries Ltd.</v>
          </cell>
          <cell r="W82" t="str">
            <v>30/11/2023</v>
          </cell>
          <cell r="X82">
            <v>0</v>
          </cell>
        </row>
        <row r="83">
          <cell r="U83" t="str">
            <v>INE146L01010</v>
          </cell>
          <cell r="V83" t="str">
            <v>Kirloskar Oil Engines Ltd</v>
          </cell>
          <cell r="W83" t="str">
            <v>30/11/2023</v>
          </cell>
          <cell r="X83">
            <v>0</v>
          </cell>
        </row>
        <row r="84">
          <cell r="U84" t="str">
            <v>INE237A01028</v>
          </cell>
          <cell r="V84" t="str">
            <v>Kotak Mahindra Bank</v>
          </cell>
          <cell r="W84" t="str">
            <v>30/11/2023</v>
          </cell>
          <cell r="X84">
            <v>0</v>
          </cell>
        </row>
        <row r="85">
          <cell r="U85" t="str">
            <v>INE220B01022</v>
          </cell>
          <cell r="V85" t="str">
            <v>Kalpataru Projects International Limited</v>
          </cell>
          <cell r="W85" t="str">
            <v>30/11/2023</v>
          </cell>
          <cell r="X85">
            <v>0</v>
          </cell>
        </row>
        <row r="86">
          <cell r="U86" t="str">
            <v>INE930H01031</v>
          </cell>
          <cell r="V86" t="str">
            <v>K.P.R. Mill Ltd.</v>
          </cell>
          <cell r="W86" t="str">
            <v>30/11/2023</v>
          </cell>
          <cell r="X86">
            <v>0</v>
          </cell>
        </row>
        <row r="87">
          <cell r="U87" t="str">
            <v>INE907A01026</v>
          </cell>
          <cell r="V87" t="str">
            <v>Kalyani Steels Ltd</v>
          </cell>
          <cell r="W87" t="str">
            <v>30/11/2023</v>
          </cell>
          <cell r="X87">
            <v>0</v>
          </cell>
        </row>
        <row r="88">
          <cell r="U88" t="str">
            <v>INE600L01024</v>
          </cell>
          <cell r="V88" t="str">
            <v>Dr. Lal Path Labs Ltd.</v>
          </cell>
          <cell r="W88" t="str">
            <v>30/11/2023</v>
          </cell>
          <cell r="X88">
            <v>0</v>
          </cell>
        </row>
        <row r="89">
          <cell r="U89" t="str">
            <v>INE115A01026</v>
          </cell>
          <cell r="V89" t="str">
            <v>LIC Housing Finance Ltd</v>
          </cell>
          <cell r="W89" t="str">
            <v>30/11/2023</v>
          </cell>
          <cell r="X89">
            <v>0</v>
          </cell>
        </row>
        <row r="90">
          <cell r="U90" t="str">
            <v>INE473A01011</v>
          </cell>
          <cell r="V90" t="str">
            <v>Linde India Limited</v>
          </cell>
          <cell r="W90" t="str">
            <v>30/11/2023</v>
          </cell>
          <cell r="X90">
            <v>0</v>
          </cell>
        </row>
        <row r="91">
          <cell r="U91" t="str">
            <v>INE018A01030</v>
          </cell>
          <cell r="V91" t="str">
            <v>Larsen &amp; Toubro Limited</v>
          </cell>
          <cell r="W91" t="str">
            <v>30/11/2023</v>
          </cell>
          <cell r="X91">
            <v>0</v>
          </cell>
        </row>
        <row r="92">
          <cell r="U92" t="str">
            <v>INE457A01014</v>
          </cell>
          <cell r="V92" t="str">
            <v>Bank of Maharashtra</v>
          </cell>
          <cell r="W92" t="str">
            <v>30/11/2023</v>
          </cell>
          <cell r="X92">
            <v>0</v>
          </cell>
        </row>
        <row r="93">
          <cell r="U93" t="str">
            <v>INE585B01010</v>
          </cell>
          <cell r="V93" t="str">
            <v>Maruti Suzuki India Limited</v>
          </cell>
          <cell r="W93" t="str">
            <v>30/11/2023</v>
          </cell>
          <cell r="X93">
            <v>0</v>
          </cell>
        </row>
        <row r="94">
          <cell r="U94" t="str">
            <v>INE759A01021</v>
          </cell>
          <cell r="V94" t="str">
            <v>Mastek Limited</v>
          </cell>
          <cell r="W94" t="str">
            <v>30/11/2023</v>
          </cell>
          <cell r="X94">
            <v>0</v>
          </cell>
        </row>
        <row r="95">
          <cell r="U95" t="str">
            <v>INE854D01024</v>
          </cell>
          <cell r="V95" t="str">
            <v>United Spirits Limited</v>
          </cell>
          <cell r="W95" t="str">
            <v>30/11/2023</v>
          </cell>
          <cell r="X95">
            <v>0</v>
          </cell>
        </row>
        <row r="96">
          <cell r="U96" t="str">
            <v>INE474Q01031</v>
          </cell>
          <cell r="V96" t="str">
            <v>Global Health Ltd.</v>
          </cell>
          <cell r="W96" t="str">
            <v>30/11/2023</v>
          </cell>
          <cell r="X96">
            <v>0</v>
          </cell>
        </row>
        <row r="97">
          <cell r="U97" t="str">
            <v>INE112L01020</v>
          </cell>
          <cell r="V97" t="str">
            <v>Metropolis Healthcare Ltd.</v>
          </cell>
          <cell r="W97" t="str">
            <v>30/11/2023</v>
          </cell>
          <cell r="X97">
            <v>0</v>
          </cell>
        </row>
        <row r="98">
          <cell r="U98" t="str">
            <v>INE356A01018</v>
          </cell>
          <cell r="V98" t="str">
            <v>MphasiS Limited</v>
          </cell>
          <cell r="W98" t="str">
            <v>30/11/2023</v>
          </cell>
          <cell r="X98">
            <v>0</v>
          </cell>
        </row>
        <row r="99">
          <cell r="U99" t="str">
            <v>INE304A01026</v>
          </cell>
          <cell r="V99" t="str">
            <v>Mukand Ltd.</v>
          </cell>
          <cell r="W99" t="str">
            <v>30/11/2023</v>
          </cell>
          <cell r="X99">
            <v>0</v>
          </cell>
        </row>
        <row r="100">
          <cell r="U100" t="str">
            <v>INE987B01026</v>
          </cell>
          <cell r="V100" t="str">
            <v>Natco Pharma Ltd.</v>
          </cell>
          <cell r="W100" t="str">
            <v>30/11/2023</v>
          </cell>
          <cell r="X100">
            <v>0</v>
          </cell>
        </row>
        <row r="101">
          <cell r="U101" t="str">
            <v>INE139A01034</v>
          </cell>
          <cell r="V101" t="str">
            <v>National Aluminium Company Ltd</v>
          </cell>
          <cell r="W101" t="str">
            <v>30/11/2023</v>
          </cell>
          <cell r="X101">
            <v>0</v>
          </cell>
        </row>
        <row r="102">
          <cell r="U102" t="str">
            <v>INE048G01026</v>
          </cell>
          <cell r="V102" t="str">
            <v>Navin Fluorine International Ltd.</v>
          </cell>
          <cell r="W102" t="str">
            <v>30/11/2023</v>
          </cell>
          <cell r="X102">
            <v>0</v>
          </cell>
        </row>
        <row r="103">
          <cell r="U103" t="str">
            <v>INE619B01017</v>
          </cell>
          <cell r="V103" t="str">
            <v>Newgen Software Technologies Ltd.</v>
          </cell>
          <cell r="W103" t="str">
            <v>30/11/2023</v>
          </cell>
          <cell r="X103">
            <v>0</v>
          </cell>
        </row>
        <row r="104">
          <cell r="U104" t="str">
            <v>INE410P01011</v>
          </cell>
          <cell r="V104" t="str">
            <v>Narayana Hrudayalaya Limited</v>
          </cell>
          <cell r="W104" t="str">
            <v>30/11/2023</v>
          </cell>
          <cell r="X104">
            <v>0</v>
          </cell>
        </row>
        <row r="105">
          <cell r="U105" t="str">
            <v>INE584A01023</v>
          </cell>
          <cell r="V105" t="str">
            <v>NMDC Limited</v>
          </cell>
          <cell r="W105" t="str">
            <v>30/11/2023</v>
          </cell>
          <cell r="X105">
            <v>0</v>
          </cell>
        </row>
        <row r="106">
          <cell r="U106" t="str">
            <v>INE733E01010</v>
          </cell>
          <cell r="V106" t="str">
            <v>NTPC Limited</v>
          </cell>
          <cell r="W106" t="str">
            <v>30/11/2023</v>
          </cell>
          <cell r="X106">
            <v>0</v>
          </cell>
        </row>
        <row r="107">
          <cell r="U107" t="str">
            <v>INE118D01016</v>
          </cell>
          <cell r="V107" t="str">
            <v>Nuvoco Vistas Corporation Ltd.</v>
          </cell>
          <cell r="W107" t="str">
            <v>30/11/2023</v>
          </cell>
          <cell r="X107">
            <v>0</v>
          </cell>
        </row>
        <row r="108">
          <cell r="U108" t="str">
            <v>INE982J01020</v>
          </cell>
          <cell r="V108" t="str">
            <v>One 97 Communications Ltd.</v>
          </cell>
          <cell r="W108" t="str">
            <v>30/11/2023</v>
          </cell>
          <cell r="X108">
            <v>0</v>
          </cell>
        </row>
        <row r="109">
          <cell r="U109" t="str">
            <v>INE347G01014</v>
          </cell>
          <cell r="V109" t="str">
            <v>Petronet LNG Limited</v>
          </cell>
          <cell r="W109" t="str">
            <v>30/11/2023</v>
          </cell>
          <cell r="X109">
            <v>0</v>
          </cell>
        </row>
        <row r="110">
          <cell r="U110" t="str">
            <v>INE134E01011</v>
          </cell>
          <cell r="V110" t="str">
            <v>Power Finance Corporation Ltd</v>
          </cell>
          <cell r="W110" t="str">
            <v>30/11/2023</v>
          </cell>
          <cell r="X110">
            <v>0</v>
          </cell>
        </row>
        <row r="111">
          <cell r="U111" t="str">
            <v>INE211B01039</v>
          </cell>
          <cell r="V111" t="str">
            <v>The Phoenix Mills Limited</v>
          </cell>
          <cell r="W111" t="str">
            <v>30/11/2023</v>
          </cell>
          <cell r="X111">
            <v>0</v>
          </cell>
        </row>
        <row r="112">
          <cell r="U112" t="str">
            <v>INE160A01022</v>
          </cell>
          <cell r="V112" t="str">
            <v>Punjab National Bank</v>
          </cell>
          <cell r="W112" t="str">
            <v>30/11/2023</v>
          </cell>
          <cell r="X112">
            <v>0</v>
          </cell>
        </row>
        <row r="113">
          <cell r="U113" t="str">
            <v>INE417T01026</v>
          </cell>
          <cell r="V113" t="str">
            <v>PB Fintech Ltd.</v>
          </cell>
          <cell r="W113" t="str">
            <v>30/11/2023</v>
          </cell>
          <cell r="X113">
            <v>0</v>
          </cell>
        </row>
        <row r="114">
          <cell r="U114" t="str">
            <v>INE511C01022</v>
          </cell>
          <cell r="V114" t="str">
            <v>Poonawalla Fincorp Ltd.</v>
          </cell>
          <cell r="W114" t="str">
            <v>30/11/2023</v>
          </cell>
          <cell r="X114">
            <v>0</v>
          </cell>
        </row>
        <row r="115">
          <cell r="U115" t="str">
            <v>INE752E01010</v>
          </cell>
          <cell r="V115" t="str">
            <v>Power Grid Corp of India Ltd</v>
          </cell>
          <cell r="W115" t="str">
            <v>30/11/2023</v>
          </cell>
          <cell r="X115">
            <v>0</v>
          </cell>
        </row>
        <row r="116">
          <cell r="U116" t="str">
            <v>INE07Y701011</v>
          </cell>
          <cell r="V116" t="str">
            <v>Hitachi Energy India Ltd.</v>
          </cell>
          <cell r="W116" t="str">
            <v>30/11/2023</v>
          </cell>
          <cell r="X116">
            <v>0</v>
          </cell>
        </row>
        <row r="117">
          <cell r="U117" t="str">
            <v>INE689W01016</v>
          </cell>
          <cell r="V117" t="str">
            <v>Prince Pipes and Fittings Ltd.</v>
          </cell>
          <cell r="W117" t="str">
            <v>30/11/2023</v>
          </cell>
          <cell r="X117">
            <v>0</v>
          </cell>
        </row>
        <row r="118">
          <cell r="U118" t="str">
            <v>INE191H01014</v>
          </cell>
          <cell r="V118" t="str">
            <v>PVR INOX Limited</v>
          </cell>
          <cell r="W118" t="str">
            <v>30/11/2023</v>
          </cell>
          <cell r="X118">
            <v>0</v>
          </cell>
        </row>
        <row r="119">
          <cell r="U119" t="str">
            <v>INE020B01018</v>
          </cell>
          <cell r="V119" t="str">
            <v>REC Limited</v>
          </cell>
          <cell r="W119" t="str">
            <v>30/11/2023</v>
          </cell>
          <cell r="X119">
            <v>0</v>
          </cell>
        </row>
        <row r="120">
          <cell r="U120" t="str">
            <v>INE002A01018</v>
          </cell>
          <cell r="V120" t="str">
            <v>Reliance Industries Limited</v>
          </cell>
          <cell r="W120" t="str">
            <v>30/11/2023</v>
          </cell>
          <cell r="X120">
            <v>0</v>
          </cell>
        </row>
        <row r="121">
          <cell r="U121" t="str">
            <v>INE058A01010</v>
          </cell>
          <cell r="V121" t="str">
            <v>Sanofi India Limited</v>
          </cell>
          <cell r="W121" t="str">
            <v>30/11/2023</v>
          </cell>
          <cell r="X121">
            <v>0</v>
          </cell>
        </row>
        <row r="122">
          <cell r="U122" t="str">
            <v>INE062A01020</v>
          </cell>
          <cell r="V122" t="str">
            <v>State Bank of India</v>
          </cell>
          <cell r="W122" t="str">
            <v>30/11/2023</v>
          </cell>
          <cell r="X122">
            <v>0</v>
          </cell>
        </row>
        <row r="123">
          <cell r="U123" t="str">
            <v>INE513A01022</v>
          </cell>
          <cell r="V123" t="str">
            <v>Schaeffler India Ltd.</v>
          </cell>
          <cell r="W123" t="str">
            <v>30/11/2023</v>
          </cell>
          <cell r="X123">
            <v>0</v>
          </cell>
        </row>
        <row r="124">
          <cell r="U124" t="str">
            <v>INE003A01024</v>
          </cell>
          <cell r="V124" t="str">
            <v>Siemens Limited</v>
          </cell>
          <cell r="W124" t="str">
            <v>30/11/2023</v>
          </cell>
          <cell r="X124">
            <v>0</v>
          </cell>
        </row>
        <row r="125">
          <cell r="U125" t="str">
            <v>INE640A01023</v>
          </cell>
          <cell r="V125" t="str">
            <v>SKF India Limited</v>
          </cell>
          <cell r="W125" t="str">
            <v>30/11/2023</v>
          </cell>
          <cell r="X125">
            <v>0</v>
          </cell>
        </row>
        <row r="126">
          <cell r="U126" t="str">
            <v>INE671H01015</v>
          </cell>
          <cell r="V126" t="str">
            <v>Sobha Limited</v>
          </cell>
          <cell r="W126" t="str">
            <v>30/11/2023</v>
          </cell>
          <cell r="X126">
            <v>0</v>
          </cell>
        </row>
        <row r="127">
          <cell r="U127" t="str">
            <v>INE575P01011</v>
          </cell>
          <cell r="V127" t="str">
            <v>Star Health and Allied Insurance Company Ltd.</v>
          </cell>
          <cell r="W127" t="str">
            <v>30/11/2023</v>
          </cell>
          <cell r="X127">
            <v>0</v>
          </cell>
        </row>
        <row r="128">
          <cell r="U128" t="str">
            <v>INE258G01013</v>
          </cell>
          <cell r="V128" t="str">
            <v>Sumitomo Chemical India Ltd.</v>
          </cell>
          <cell r="W128" t="str">
            <v>30/11/2023</v>
          </cell>
          <cell r="X128">
            <v>0</v>
          </cell>
        </row>
        <row r="129">
          <cell r="U129" t="str">
            <v>INE387A01021</v>
          </cell>
          <cell r="V129" t="str">
            <v>Sundram Fasteners Limited</v>
          </cell>
          <cell r="W129" t="str">
            <v>30/11/2023</v>
          </cell>
          <cell r="X129">
            <v>0</v>
          </cell>
        </row>
        <row r="130">
          <cell r="U130" t="str">
            <v>INE044A01036</v>
          </cell>
          <cell r="V130" t="str">
            <v>Sun Pharmaceuticals Inds Ltd</v>
          </cell>
          <cell r="W130" t="str">
            <v>30/11/2023</v>
          </cell>
          <cell r="X130">
            <v>0</v>
          </cell>
        </row>
        <row r="131">
          <cell r="U131" t="str">
            <v>INE424H01027</v>
          </cell>
          <cell r="V131" t="str">
            <v>Sun TV Network Limited</v>
          </cell>
          <cell r="W131" t="str">
            <v>30/11/2023</v>
          </cell>
          <cell r="X131">
            <v>0</v>
          </cell>
        </row>
        <row r="132">
          <cell r="U132" t="str">
            <v>IN9155A01020</v>
          </cell>
          <cell r="V132" t="str">
            <v>Tata Motors Limited - DVR</v>
          </cell>
          <cell r="W132" t="str">
            <v>30/11/2023</v>
          </cell>
          <cell r="X132">
            <v>0</v>
          </cell>
        </row>
        <row r="133">
          <cell r="U133" t="str">
            <v>INE081A01020</v>
          </cell>
          <cell r="V133" t="str">
            <v>Tata Steel Limited</v>
          </cell>
          <cell r="W133" t="str">
            <v>30/11/2023</v>
          </cell>
          <cell r="X133">
            <v>0</v>
          </cell>
        </row>
        <row r="134">
          <cell r="U134" t="str">
            <v>INE142M01025</v>
          </cell>
          <cell r="V134" t="str">
            <v>Tata Technologies Limited</v>
          </cell>
          <cell r="W134" t="str">
            <v>30/11/2023</v>
          </cell>
          <cell r="X134">
            <v>0</v>
          </cell>
        </row>
        <row r="135">
          <cell r="U135" t="str">
            <v>INE467B01029</v>
          </cell>
          <cell r="V135" t="str">
            <v>Tata Consultancy Services Ltd</v>
          </cell>
          <cell r="W135" t="str">
            <v>30/11/2023</v>
          </cell>
          <cell r="X135">
            <v>0</v>
          </cell>
        </row>
        <row r="136">
          <cell r="U136" t="str">
            <v>INE669C01036</v>
          </cell>
          <cell r="V136" t="str">
            <v>Tech Mahindra Limited</v>
          </cell>
          <cell r="W136" t="str">
            <v>30/11/2023</v>
          </cell>
          <cell r="X136">
            <v>0</v>
          </cell>
        </row>
        <row r="137">
          <cell r="U137" t="str">
            <v>INE332A01027</v>
          </cell>
          <cell r="V137" t="str">
            <v>Thomas Cook (India) Ltd.</v>
          </cell>
          <cell r="W137" t="str">
            <v>30/11/2023</v>
          </cell>
          <cell r="X137">
            <v>0</v>
          </cell>
        </row>
        <row r="138">
          <cell r="U138" t="str">
            <v>INE974X01010</v>
          </cell>
          <cell r="V138" t="str">
            <v>Tube Investments of India Ltd</v>
          </cell>
          <cell r="W138" t="str">
            <v>30/11/2023</v>
          </cell>
          <cell r="X138">
            <v>0</v>
          </cell>
        </row>
        <row r="139">
          <cell r="U139" t="str">
            <v>INE325A01013</v>
          </cell>
          <cell r="V139" t="str">
            <v>Timken India Ltd.</v>
          </cell>
          <cell r="W139" t="str">
            <v>30/11/2023</v>
          </cell>
          <cell r="X139">
            <v>0</v>
          </cell>
        </row>
        <row r="140">
          <cell r="U140" t="str">
            <v>INE280A01028</v>
          </cell>
          <cell r="V140" t="str">
            <v>Titan Company Limited</v>
          </cell>
          <cell r="W140" t="str">
            <v>30/11/2023</v>
          </cell>
          <cell r="X140">
            <v>0</v>
          </cell>
        </row>
        <row r="141">
          <cell r="U141" t="str">
            <v>INE685A01028</v>
          </cell>
          <cell r="V141" t="str">
            <v>Torrent Pharmaceuticals Ltd</v>
          </cell>
          <cell r="W141" t="str">
            <v>30/11/2023</v>
          </cell>
          <cell r="X141">
            <v>0</v>
          </cell>
        </row>
        <row r="142">
          <cell r="U142" t="str">
            <v>INE849A01020</v>
          </cell>
          <cell r="V142" t="str">
            <v>Trent Ltd.</v>
          </cell>
          <cell r="W142" t="str">
            <v>30/11/2023</v>
          </cell>
          <cell r="X142">
            <v>0</v>
          </cell>
        </row>
        <row r="143">
          <cell r="U143" t="str">
            <v>INE494B01023</v>
          </cell>
          <cell r="V143" t="str">
            <v>TVS Motor Company Limited</v>
          </cell>
          <cell r="W143" t="str">
            <v>30/11/2023</v>
          </cell>
          <cell r="X143">
            <v>0</v>
          </cell>
        </row>
        <row r="144">
          <cell r="U144" t="str">
            <v>INE481G01011</v>
          </cell>
          <cell r="V144" t="str">
            <v>UltraTech Cement Limited</v>
          </cell>
          <cell r="W144" t="str">
            <v>30/11/2023</v>
          </cell>
          <cell r="X144">
            <v>0</v>
          </cell>
        </row>
        <row r="145">
          <cell r="U145" t="str">
            <v>INE200M01021</v>
          </cell>
          <cell r="V145" t="str">
            <v>Varun Beverages Ltd.</v>
          </cell>
          <cell r="W145" t="str">
            <v>30/11/2023</v>
          </cell>
          <cell r="X145">
            <v>0</v>
          </cell>
        </row>
        <row r="146">
          <cell r="U146" t="str">
            <v>INE226A01021</v>
          </cell>
          <cell r="V146" t="str">
            <v>Voltas Limited</v>
          </cell>
          <cell r="W146" t="str">
            <v>30/11/2023</v>
          </cell>
          <cell r="X146">
            <v>0</v>
          </cell>
        </row>
        <row r="147">
          <cell r="U147" t="str">
            <v>INE825A01020</v>
          </cell>
          <cell r="V147" t="str">
            <v>Vardhman Textiles Ltd.</v>
          </cell>
          <cell r="W147" t="str">
            <v>30/11/2023</v>
          </cell>
          <cell r="X147">
            <v>0</v>
          </cell>
        </row>
        <row r="148">
          <cell r="U148" t="str">
            <v>INE192B01031</v>
          </cell>
          <cell r="V148" t="str">
            <v>Welspun India Ltd.</v>
          </cell>
          <cell r="W148" t="str">
            <v>30/11/2023</v>
          </cell>
          <cell r="X148">
            <v>0</v>
          </cell>
        </row>
        <row r="149">
          <cell r="U149" t="str">
            <v>INE256A01028</v>
          </cell>
          <cell r="V149" t="str">
            <v>Zee Entertainment Entprise Ltd</v>
          </cell>
          <cell r="W149" t="str">
            <v>30/11/2023</v>
          </cell>
          <cell r="X149">
            <v>0</v>
          </cell>
        </row>
        <row r="150">
          <cell r="U150" t="str">
            <v>INE758T01015</v>
          </cell>
          <cell r="V150" t="str">
            <v>Zomato Ltd.</v>
          </cell>
          <cell r="W150" t="str">
            <v>30/11/2023</v>
          </cell>
          <cell r="X150">
            <v>0</v>
          </cell>
        </row>
        <row r="151">
          <cell r="U151" t="str">
            <v>INE238AD6306</v>
          </cell>
          <cell r="V151" t="str">
            <v>AXIS Bank Ltd</v>
          </cell>
          <cell r="W151" t="str">
            <v>30/11/2023</v>
          </cell>
          <cell r="X151">
            <v>7.3502000000000001</v>
          </cell>
        </row>
        <row r="152">
          <cell r="U152" t="str">
            <v>INE238AD6215</v>
          </cell>
          <cell r="V152" t="str">
            <v>AXIS Bank Ltd</v>
          </cell>
          <cell r="W152" t="str">
            <v>30/11/2023</v>
          </cell>
          <cell r="X152">
            <v>7.0696000000000003</v>
          </cell>
        </row>
        <row r="153">
          <cell r="U153" t="str">
            <v>INE028A16DT5</v>
          </cell>
          <cell r="V153" t="str">
            <v>Bank of Baroda</v>
          </cell>
          <cell r="W153" t="str">
            <v>30/11/2023</v>
          </cell>
          <cell r="X153">
            <v>7.0251999999999999</v>
          </cell>
        </row>
        <row r="154">
          <cell r="U154" t="str">
            <v>INE028A16EE5</v>
          </cell>
          <cell r="V154" t="str">
            <v>Bank of Baroda</v>
          </cell>
          <cell r="W154" t="str">
            <v>30/11/2023</v>
          </cell>
          <cell r="X154">
            <v>7.3098999999999998</v>
          </cell>
        </row>
        <row r="155">
          <cell r="U155" t="str">
            <v>INE476A16UL7</v>
          </cell>
          <cell r="V155" t="str">
            <v>Canara Bank</v>
          </cell>
          <cell r="W155" t="str">
            <v>30/11/2023</v>
          </cell>
          <cell r="X155">
            <v>7.0505000000000004</v>
          </cell>
        </row>
        <row r="156">
          <cell r="U156" t="str">
            <v>INE040A16DT0</v>
          </cell>
          <cell r="V156" t="str">
            <v>HDFC Bank Ltd.</v>
          </cell>
          <cell r="W156" t="str">
            <v>30/11/2023</v>
          </cell>
          <cell r="X156">
            <v>7.3448000000000002</v>
          </cell>
        </row>
        <row r="157">
          <cell r="U157" t="str">
            <v>INE090A161Z0</v>
          </cell>
          <cell r="V157" t="str">
            <v>ICICI Bank Ltd</v>
          </cell>
          <cell r="W157" t="str">
            <v>30/11/2023</v>
          </cell>
          <cell r="X157">
            <v>7.0495000000000001</v>
          </cell>
        </row>
        <row r="158">
          <cell r="U158" t="str">
            <v>INE237A164R5</v>
          </cell>
          <cell r="V158" t="str">
            <v>Kotak Mahindra Bank</v>
          </cell>
          <cell r="W158" t="str">
            <v>30/11/2023</v>
          </cell>
          <cell r="X158">
            <v>7.0141999999999998</v>
          </cell>
        </row>
        <row r="159">
          <cell r="U159" t="str">
            <v>INE237A162R9</v>
          </cell>
          <cell r="V159" t="str">
            <v>Kotak Mahindra Bank</v>
          </cell>
          <cell r="W159" t="str">
            <v>30/11/2023</v>
          </cell>
          <cell r="X159">
            <v>7.0147000000000004</v>
          </cell>
        </row>
        <row r="160">
          <cell r="U160" t="str">
            <v>INE160A16NW9</v>
          </cell>
          <cell r="V160" t="str">
            <v>Punjab National Bank</v>
          </cell>
          <cell r="W160" t="str">
            <v>30/11/2023</v>
          </cell>
          <cell r="X160">
            <v>7.3598999999999997</v>
          </cell>
        </row>
        <row r="161">
          <cell r="U161" t="str">
            <v>INE160A16NO6</v>
          </cell>
          <cell r="V161" t="str">
            <v>Punjab National Bank</v>
          </cell>
          <cell r="W161" t="str">
            <v>30/11/2023</v>
          </cell>
          <cell r="X161">
            <v>7.0972999999999997</v>
          </cell>
        </row>
        <row r="162">
          <cell r="U162" t="str">
            <v>INE556F16AD4</v>
          </cell>
          <cell r="V162" t="str">
            <v>SIDBI Ltd</v>
          </cell>
          <cell r="W162" t="str">
            <v>30/11/2023</v>
          </cell>
          <cell r="X162">
            <v>7.1097999999999999</v>
          </cell>
        </row>
        <row r="163">
          <cell r="U163" t="str">
            <v>INE248U14NW5</v>
          </cell>
          <cell r="V163" t="str">
            <v>360 ONE Prime Limited</v>
          </cell>
          <cell r="W163" t="str">
            <v>30/11/2023</v>
          </cell>
          <cell r="X163">
            <v>8.5289000000000001</v>
          </cell>
        </row>
        <row r="164">
          <cell r="U164" t="str">
            <v>INE296A14VR9</v>
          </cell>
          <cell r="V164" t="str">
            <v>Bajaj Finance Limited</v>
          </cell>
          <cell r="W164" t="str">
            <v>30/11/2023</v>
          </cell>
          <cell r="X164">
            <v>7.6005000000000003</v>
          </cell>
        </row>
        <row r="165">
          <cell r="U165" t="str">
            <v>INE377Y14AN0</v>
          </cell>
          <cell r="V165" t="str">
            <v>Bajaj Housing Finance Limited</v>
          </cell>
          <cell r="W165" t="str">
            <v>30/11/2023</v>
          </cell>
          <cell r="X165">
            <v>7.3</v>
          </cell>
        </row>
        <row r="166">
          <cell r="U166" t="str">
            <v>INE040A14169</v>
          </cell>
          <cell r="V166" t="str">
            <v>HDFC Bank Ltd.</v>
          </cell>
          <cell r="W166" t="str">
            <v>30/11/2023</v>
          </cell>
          <cell r="X166">
            <v>7.6006999999999998</v>
          </cell>
        </row>
        <row r="167">
          <cell r="U167" t="str">
            <v>INE040A14144</v>
          </cell>
          <cell r="V167" t="str">
            <v>HDFC Bank Ltd.</v>
          </cell>
          <cell r="W167" t="str">
            <v>30/11/2023</v>
          </cell>
          <cell r="X167">
            <v>7.5983000000000001</v>
          </cell>
        </row>
        <row r="168">
          <cell r="U168" t="str">
            <v>INE763G14RK8</v>
          </cell>
          <cell r="V168" t="str">
            <v>ICICI Securities Ltd.</v>
          </cell>
          <cell r="W168" t="str">
            <v>30/11/2023</v>
          </cell>
          <cell r="X168">
            <v>7.9249000000000001</v>
          </cell>
        </row>
        <row r="169">
          <cell r="U169" t="str">
            <v>INE975F14ZE6</v>
          </cell>
          <cell r="V169" t="str">
            <v>Kotak Mahindra Investments Ltd</v>
          </cell>
          <cell r="W169" t="str">
            <v>30/11/2023</v>
          </cell>
          <cell r="X169">
            <v>8.2119999999999997</v>
          </cell>
        </row>
        <row r="170">
          <cell r="U170" t="str">
            <v>INE028E14MJ4</v>
          </cell>
          <cell r="V170" t="str">
            <v>Kotak Securities Ltd.</v>
          </cell>
          <cell r="W170" t="str">
            <v>30/11/2023</v>
          </cell>
          <cell r="X170">
            <v>7.6746999999999996</v>
          </cell>
        </row>
        <row r="171">
          <cell r="U171" t="str">
            <v>INE018A14JZ5</v>
          </cell>
          <cell r="V171" t="str">
            <v>Larsen &amp; Toubro Limited</v>
          </cell>
          <cell r="W171" t="str">
            <v>30/11/2023</v>
          </cell>
          <cell r="X171">
            <v>7.1505000000000001</v>
          </cell>
        </row>
        <row r="172">
          <cell r="U172" t="str">
            <v>INE929O14BD8</v>
          </cell>
          <cell r="V172" t="str">
            <v>Reliance Retail Ventures Ltd.</v>
          </cell>
          <cell r="W172" t="str">
            <v>30/11/2023</v>
          </cell>
          <cell r="X172">
            <v>7.4099000000000004</v>
          </cell>
        </row>
        <row r="173">
          <cell r="U173" t="str">
            <v>INE929O14AW0</v>
          </cell>
          <cell r="V173" t="str">
            <v>Reliance Retail Ventures Ltd.</v>
          </cell>
          <cell r="W173" t="str">
            <v>30/11/2023</v>
          </cell>
          <cell r="X173">
            <v>6.8632999999999997</v>
          </cell>
        </row>
        <row r="174">
          <cell r="U174" t="str">
            <v>INE403G14QZ1</v>
          </cell>
          <cell r="V174" t="str">
            <v>Standard Chartered Capital Ltd</v>
          </cell>
          <cell r="W174" t="str">
            <v>30/11/2023</v>
          </cell>
          <cell r="X174">
            <v>7.9330999999999996</v>
          </cell>
        </row>
        <row r="175">
          <cell r="U175" t="str">
            <v>INE721A14DJ1</v>
          </cell>
          <cell r="V175" t="str">
            <v>Shriram Finance Limited</v>
          </cell>
          <cell r="W175" t="str">
            <v>30/11/2023</v>
          </cell>
          <cell r="X175">
            <v>8.3199000000000005</v>
          </cell>
        </row>
        <row r="176">
          <cell r="U176" t="str">
            <v>INE245A14JD1</v>
          </cell>
          <cell r="V176" t="str">
            <v>The Tata Power Company Limited</v>
          </cell>
          <cell r="W176" t="str">
            <v>30/11/2023</v>
          </cell>
          <cell r="X176">
            <v>7.42</v>
          </cell>
        </row>
        <row r="177">
          <cell r="U177" t="str">
            <v>IN002023Y243</v>
          </cell>
          <cell r="V177" t="str">
            <v>GOVERNMENT OF INDIA</v>
          </cell>
          <cell r="W177" t="str">
            <v>30/11/2023</v>
          </cell>
          <cell r="X177">
            <v>7.0750000000000002</v>
          </cell>
        </row>
        <row r="178">
          <cell r="U178" t="str">
            <v>IN002023Y102</v>
          </cell>
          <cell r="V178" t="str">
            <v>GOVERNMENT OF INDIA</v>
          </cell>
          <cell r="W178" t="str">
            <v>30/11/2023</v>
          </cell>
          <cell r="X178">
            <v>6.8514999999999997</v>
          </cell>
        </row>
        <row r="179">
          <cell r="U179" t="str">
            <v>IN002023Y151</v>
          </cell>
          <cell r="V179" t="str">
            <v>GOVERNMENT OF INDIA</v>
          </cell>
          <cell r="W179" t="str">
            <v>30/11/2023</v>
          </cell>
          <cell r="X179">
            <v>6.9099000000000004</v>
          </cell>
        </row>
        <row r="180">
          <cell r="U180" t="str">
            <v>IN002023Y110</v>
          </cell>
          <cell r="V180" t="str">
            <v>GOVERNMENT OF INDIA</v>
          </cell>
          <cell r="W180" t="str">
            <v>30/11/2023</v>
          </cell>
          <cell r="X180">
            <v>6.8308</v>
          </cell>
        </row>
        <row r="181">
          <cell r="U181" t="str">
            <v>IN002023Y128</v>
          </cell>
          <cell r="V181" t="str">
            <v>GOVERNMENT OF INDIA</v>
          </cell>
          <cell r="W181" t="str">
            <v>30/11/2023</v>
          </cell>
          <cell r="X181">
            <v>6.8198999999999996</v>
          </cell>
        </row>
        <row r="182">
          <cell r="U182" t="str">
            <v>IN002023Y235</v>
          </cell>
          <cell r="V182" t="str">
            <v>GOVERNMENT OF INDIA</v>
          </cell>
          <cell r="W182" t="str">
            <v>30/11/2023</v>
          </cell>
          <cell r="X182">
            <v>6.9649999999999999</v>
          </cell>
        </row>
        <row r="183">
          <cell r="U183" t="str">
            <v>IN002022Z432</v>
          </cell>
          <cell r="V183" t="str">
            <v>GOVERNMENT OF INDIA</v>
          </cell>
          <cell r="W183" t="str">
            <v>30/11/2023</v>
          </cell>
          <cell r="X183">
            <v>6.8747999999999996</v>
          </cell>
        </row>
        <row r="184">
          <cell r="U184" t="str">
            <v>IN002023X245</v>
          </cell>
          <cell r="V184" t="str">
            <v>GOVERNMENT OF INDIA</v>
          </cell>
          <cell r="W184" t="str">
            <v>30/11/2023</v>
          </cell>
          <cell r="X184">
            <v>6.8514999999999997</v>
          </cell>
        </row>
        <row r="185">
          <cell r="U185" t="str">
            <v>IN002023X336</v>
          </cell>
          <cell r="V185" t="str">
            <v>GOVERNMENT OF INDIA</v>
          </cell>
          <cell r="W185" t="str">
            <v>30/11/2023</v>
          </cell>
          <cell r="X185">
            <v>6.9001000000000001</v>
          </cell>
        </row>
        <row r="186">
          <cell r="U186" t="str">
            <v>IN002023X260</v>
          </cell>
          <cell r="V186" t="str">
            <v>GOVERNMENT OF INDIA</v>
          </cell>
          <cell r="W186" t="str">
            <v>30/11/2023</v>
          </cell>
          <cell r="X186">
            <v>6.8198999999999996</v>
          </cell>
        </row>
        <row r="187">
          <cell r="U187" t="str">
            <v>IN002023X351</v>
          </cell>
          <cell r="V187" t="str">
            <v>GOVERNMENT OF INDIA</v>
          </cell>
          <cell r="W187" t="str">
            <v>30/11/2023</v>
          </cell>
          <cell r="X187">
            <v>6.9560000000000004</v>
          </cell>
        </row>
        <row r="188">
          <cell r="U188" t="str">
            <v>INF0RQ622028</v>
          </cell>
          <cell r="V188" t="str">
            <v>Corporate Debt Market Development Fund</v>
          </cell>
          <cell r="W188" t="str">
            <v>30/11/2023</v>
          </cell>
          <cell r="X188">
            <v>0</v>
          </cell>
        </row>
        <row r="189">
          <cell r="U189" t="str">
            <v>INE012A01025</v>
          </cell>
          <cell r="V189" t="str">
            <v>ACC Limited</v>
          </cell>
          <cell r="W189" t="str">
            <v>30/11/2023</v>
          </cell>
          <cell r="X189">
            <v>0</v>
          </cell>
        </row>
        <row r="190">
          <cell r="U190" t="str">
            <v>INE406A01037</v>
          </cell>
          <cell r="V190" t="str">
            <v>Aurobindo Pharma Limited</v>
          </cell>
          <cell r="W190" t="str">
            <v>30/11/2023</v>
          </cell>
          <cell r="X190">
            <v>0</v>
          </cell>
        </row>
        <row r="191">
          <cell r="U191" t="str">
            <v>INE545U01014</v>
          </cell>
          <cell r="V191" t="str">
            <v>Bandhan Bank Ltd.</v>
          </cell>
          <cell r="W191" t="str">
            <v>30/11/2023</v>
          </cell>
          <cell r="X191">
            <v>0</v>
          </cell>
        </row>
        <row r="192">
          <cell r="U192" t="str">
            <v>INE028A01039</v>
          </cell>
          <cell r="V192" t="str">
            <v>Bank of Baroda</v>
          </cell>
          <cell r="W192" t="str">
            <v>30/11/2023</v>
          </cell>
          <cell r="X192">
            <v>0</v>
          </cell>
        </row>
        <row r="193">
          <cell r="U193" t="str">
            <v>INE111A01025</v>
          </cell>
          <cell r="V193" t="str">
            <v>Container Corp of India Ltd</v>
          </cell>
          <cell r="W193" t="str">
            <v>30/11/2023</v>
          </cell>
          <cell r="X193">
            <v>0</v>
          </cell>
        </row>
        <row r="194">
          <cell r="U194" t="str">
            <v>INE491A01021</v>
          </cell>
          <cell r="V194" t="str">
            <v>City Union Bank Limited</v>
          </cell>
          <cell r="W194" t="str">
            <v>30/11/2023</v>
          </cell>
          <cell r="X194">
            <v>0</v>
          </cell>
        </row>
        <row r="195">
          <cell r="U195" t="str">
            <v>INE271C01023</v>
          </cell>
          <cell r="V195" t="str">
            <v>DLF Limited</v>
          </cell>
          <cell r="W195" t="str">
            <v>30/11/2023</v>
          </cell>
          <cell r="X195">
            <v>0</v>
          </cell>
        </row>
        <row r="196">
          <cell r="U196" t="str">
            <v>INE302A01020</v>
          </cell>
          <cell r="V196" t="str">
            <v>Exide Industries Limited</v>
          </cell>
          <cell r="W196" t="str">
            <v>30/11/2023</v>
          </cell>
          <cell r="X196">
            <v>0</v>
          </cell>
        </row>
        <row r="197">
          <cell r="U197" t="str">
            <v>INE129A01019</v>
          </cell>
          <cell r="V197" t="str">
            <v>GAIL (India) Limited</v>
          </cell>
          <cell r="W197" t="str">
            <v>30/11/2023</v>
          </cell>
          <cell r="X197">
            <v>0</v>
          </cell>
        </row>
        <row r="198">
          <cell r="U198" t="str">
            <v>INE101D01020</v>
          </cell>
          <cell r="V198" t="str">
            <v>Granules India Ltd.</v>
          </cell>
          <cell r="W198" t="str">
            <v>30/11/2023</v>
          </cell>
          <cell r="X198">
            <v>0</v>
          </cell>
        </row>
        <row r="199">
          <cell r="U199" t="str">
            <v>INE047A01021</v>
          </cell>
          <cell r="V199" t="str">
            <v>Grasim Industries Limited</v>
          </cell>
          <cell r="W199" t="str">
            <v>30/11/2023</v>
          </cell>
          <cell r="X199">
            <v>0</v>
          </cell>
        </row>
        <row r="200">
          <cell r="U200" t="str">
            <v>INE531E01026</v>
          </cell>
          <cell r="V200" t="str">
            <v>Hindustan Copper Ltd.</v>
          </cell>
          <cell r="W200" t="str">
            <v>30/11/2023</v>
          </cell>
          <cell r="X200">
            <v>0</v>
          </cell>
        </row>
        <row r="201">
          <cell r="U201" t="str">
            <v>INE094A01015</v>
          </cell>
          <cell r="V201" t="str">
            <v>Hindustan Petroleum Corp Ltd</v>
          </cell>
          <cell r="W201" t="str">
            <v>30/11/2023</v>
          </cell>
          <cell r="X201">
            <v>0</v>
          </cell>
        </row>
        <row r="202">
          <cell r="U202" t="str">
            <v>INE030A01027</v>
          </cell>
          <cell r="V202" t="str">
            <v>Hindustan Unilever Limited</v>
          </cell>
          <cell r="W202" t="str">
            <v>30/11/2023</v>
          </cell>
          <cell r="X202">
            <v>0</v>
          </cell>
        </row>
        <row r="203">
          <cell r="U203" t="str">
            <v>INE090A01021</v>
          </cell>
          <cell r="V203" t="str">
            <v>ICICI Bank Ltd</v>
          </cell>
          <cell r="W203" t="str">
            <v>30/11/2023</v>
          </cell>
          <cell r="X203">
            <v>0</v>
          </cell>
        </row>
        <row r="204">
          <cell r="U204" t="str">
            <v>INE669E01016</v>
          </cell>
          <cell r="V204" t="str">
            <v>Vodafone Idea Limited</v>
          </cell>
          <cell r="W204" t="str">
            <v>30/11/2023</v>
          </cell>
          <cell r="X204">
            <v>0</v>
          </cell>
        </row>
        <row r="205">
          <cell r="U205" t="str">
            <v>INE043D01016</v>
          </cell>
          <cell r="V205" t="str">
            <v>IDFC Limited</v>
          </cell>
          <cell r="W205" t="str">
            <v>30/11/2023</v>
          </cell>
          <cell r="X205">
            <v>0</v>
          </cell>
        </row>
        <row r="206">
          <cell r="U206" t="str">
            <v>INE022Q01020</v>
          </cell>
          <cell r="V206" t="str">
            <v>Indian Energy Exchange Ltd.</v>
          </cell>
          <cell r="W206" t="str">
            <v>30/11/2023</v>
          </cell>
          <cell r="X206">
            <v>0</v>
          </cell>
        </row>
        <row r="207">
          <cell r="U207" t="str">
            <v>INE053A01029</v>
          </cell>
          <cell r="V207" t="str">
            <v>Indian Hotels Co. Ltd.</v>
          </cell>
          <cell r="W207" t="str">
            <v>30/11/2023</v>
          </cell>
          <cell r="X207">
            <v>0</v>
          </cell>
        </row>
        <row r="208">
          <cell r="U208" t="str">
            <v>INE383A01012</v>
          </cell>
          <cell r="V208" t="str">
            <v>The India Cements Limited</v>
          </cell>
          <cell r="W208" t="str">
            <v>30/11/2023</v>
          </cell>
          <cell r="X208">
            <v>0</v>
          </cell>
        </row>
        <row r="209">
          <cell r="U209" t="str">
            <v>INE121J01017</v>
          </cell>
          <cell r="V209" t="str">
            <v>Indus Towers Limited</v>
          </cell>
          <cell r="W209" t="str">
            <v>30/11/2023</v>
          </cell>
          <cell r="X209">
            <v>0</v>
          </cell>
        </row>
        <row r="210">
          <cell r="U210" t="str">
            <v>INE154A01025</v>
          </cell>
          <cell r="V210" t="str">
            <v>ITC Limited</v>
          </cell>
          <cell r="W210" t="str">
            <v>30/11/2023</v>
          </cell>
          <cell r="X210">
            <v>0</v>
          </cell>
        </row>
        <row r="211">
          <cell r="U211" t="str">
            <v>INE019A01038</v>
          </cell>
          <cell r="V211" t="str">
            <v>JSW Steel Limited</v>
          </cell>
          <cell r="W211" t="str">
            <v>30/11/2023</v>
          </cell>
          <cell r="X211">
            <v>0</v>
          </cell>
        </row>
        <row r="212">
          <cell r="U212" t="str">
            <v>INE237A01028</v>
          </cell>
          <cell r="V212" t="str">
            <v>Kotak Mahindra Bank</v>
          </cell>
          <cell r="W212" t="str">
            <v>30/11/2023</v>
          </cell>
          <cell r="X212">
            <v>0</v>
          </cell>
        </row>
        <row r="213">
          <cell r="U213" t="str">
            <v>INE115A01026</v>
          </cell>
          <cell r="V213" t="str">
            <v>LIC Housing Finance Ltd</v>
          </cell>
          <cell r="W213" t="str">
            <v>30/11/2023</v>
          </cell>
          <cell r="X213">
            <v>0</v>
          </cell>
        </row>
        <row r="214">
          <cell r="U214" t="str">
            <v>INE018A01030</v>
          </cell>
          <cell r="V214" t="str">
            <v>Larsen &amp; Toubro Limited</v>
          </cell>
          <cell r="W214" t="str">
            <v>30/11/2023</v>
          </cell>
          <cell r="X214">
            <v>0</v>
          </cell>
        </row>
        <row r="215">
          <cell r="U215" t="str">
            <v>INE854D01024</v>
          </cell>
          <cell r="V215" t="str">
            <v>United Spirits Limited</v>
          </cell>
          <cell r="W215" t="str">
            <v>30/11/2023</v>
          </cell>
          <cell r="X215">
            <v>0</v>
          </cell>
        </row>
        <row r="216">
          <cell r="U216" t="str">
            <v>INE139A01034</v>
          </cell>
          <cell r="V216" t="str">
            <v>National Aluminium Company Ltd</v>
          </cell>
          <cell r="W216" t="str">
            <v>30/11/2023</v>
          </cell>
          <cell r="X216">
            <v>0</v>
          </cell>
        </row>
        <row r="217">
          <cell r="U217" t="str">
            <v>INE584A01023</v>
          </cell>
          <cell r="V217" t="str">
            <v>NMDC Limited</v>
          </cell>
          <cell r="W217" t="str">
            <v>30/11/2023</v>
          </cell>
          <cell r="X217">
            <v>0</v>
          </cell>
        </row>
        <row r="218">
          <cell r="U218" t="str">
            <v>INE347G01014</v>
          </cell>
          <cell r="V218" t="str">
            <v>Petronet LNG Limited</v>
          </cell>
          <cell r="W218" t="str">
            <v>30/11/2023</v>
          </cell>
          <cell r="X218">
            <v>0</v>
          </cell>
        </row>
        <row r="219">
          <cell r="U219" t="str">
            <v>INE160A01022</v>
          </cell>
          <cell r="V219" t="str">
            <v>Punjab National Bank</v>
          </cell>
          <cell r="W219" t="str">
            <v>30/11/2023</v>
          </cell>
          <cell r="X219">
            <v>0</v>
          </cell>
        </row>
        <row r="220">
          <cell r="U220" t="str">
            <v>INE002A01018</v>
          </cell>
          <cell r="V220" t="str">
            <v>Reliance Industries Limited</v>
          </cell>
          <cell r="W220" t="str">
            <v>30/11/2023</v>
          </cell>
          <cell r="X220">
            <v>0</v>
          </cell>
        </row>
        <row r="221">
          <cell r="U221" t="str">
            <v>INE002A01018</v>
          </cell>
          <cell r="V221" t="str">
            <v>Reliance Industries Limited</v>
          </cell>
          <cell r="W221" t="str">
            <v>30/11/2023</v>
          </cell>
          <cell r="X221">
            <v>0</v>
          </cell>
        </row>
        <row r="222">
          <cell r="U222" t="str">
            <v>INE081A01020</v>
          </cell>
          <cell r="V222" t="str">
            <v>Tata Steel Limited</v>
          </cell>
          <cell r="W222" t="str">
            <v>30/11/2023</v>
          </cell>
          <cell r="X222">
            <v>0</v>
          </cell>
        </row>
        <row r="223">
          <cell r="U223" t="str">
            <v>INE669C01036</v>
          </cell>
          <cell r="V223" t="str">
            <v>Tech Mahindra Limited</v>
          </cell>
          <cell r="W223" t="str">
            <v>30/11/2023</v>
          </cell>
          <cell r="X223">
            <v>0</v>
          </cell>
        </row>
        <row r="224">
          <cell r="U224" t="str">
            <v>INE280A01028</v>
          </cell>
          <cell r="V224" t="str">
            <v>Titan Company Limited</v>
          </cell>
          <cell r="W224" t="str">
            <v>30/11/2023</v>
          </cell>
          <cell r="X224">
            <v>0</v>
          </cell>
        </row>
        <row r="225">
          <cell r="U225" t="str">
            <v>INE685A01028</v>
          </cell>
          <cell r="V225" t="str">
            <v>Torrent Pharmaceuticals Ltd</v>
          </cell>
          <cell r="W225" t="str">
            <v>30/11/2023</v>
          </cell>
          <cell r="X225">
            <v>0</v>
          </cell>
        </row>
        <row r="226">
          <cell r="U226" t="str">
            <v>INE256A01028</v>
          </cell>
          <cell r="V226" t="str">
            <v>Zee Entertainment Entprise Ltd</v>
          </cell>
          <cell r="W226" t="str">
            <v>30/11/2023</v>
          </cell>
          <cell r="X226">
            <v>0</v>
          </cell>
        </row>
        <row r="227">
          <cell r="U227" t="str">
            <v>INE296A07RX9</v>
          </cell>
          <cell r="V227" t="str">
            <v>Bajaj Finance Limited</v>
          </cell>
          <cell r="W227" t="str">
            <v>30/11/2023</v>
          </cell>
          <cell r="X227">
            <v>7.8198999999999996</v>
          </cell>
        </row>
        <row r="228">
          <cell r="U228" t="str">
            <v>INE296A07SJ6</v>
          </cell>
          <cell r="V228" t="str">
            <v>Bajaj Finance Limited</v>
          </cell>
          <cell r="W228" t="str">
            <v>30/11/2023</v>
          </cell>
          <cell r="X228">
            <v>8.125</v>
          </cell>
        </row>
        <row r="229">
          <cell r="U229" t="str">
            <v>INE029A08057</v>
          </cell>
          <cell r="V229" t="str">
            <v>Bharat Petroleum Corp Ltd</v>
          </cell>
          <cell r="W229" t="str">
            <v>30/11/2023</v>
          </cell>
          <cell r="X229">
            <v>7.41</v>
          </cell>
        </row>
        <row r="230">
          <cell r="U230" t="str">
            <v>INE216A08027</v>
          </cell>
          <cell r="V230" t="str">
            <v>Britannia Industries Limited</v>
          </cell>
          <cell r="W230" t="str">
            <v>30/11/2023</v>
          </cell>
          <cell r="X230">
            <v>7.7249999999999996</v>
          </cell>
        </row>
        <row r="231">
          <cell r="U231" t="str">
            <v>INE121A07OI7</v>
          </cell>
          <cell r="V231" t="str">
            <v>CHOLAMANDALAM INVESTMENT &amp; FIN</v>
          </cell>
          <cell r="W231" t="str">
            <v>30/11/2023</v>
          </cell>
          <cell r="X231">
            <v>8.3350000000000009</v>
          </cell>
        </row>
        <row r="232">
          <cell r="U232" t="str">
            <v>INE514E08EK0</v>
          </cell>
          <cell r="V232" t="str">
            <v>Export-Import Bank of India</v>
          </cell>
          <cell r="W232" t="str">
            <v>30/11/2023</v>
          </cell>
          <cell r="X232">
            <v>7.6749999999999998</v>
          </cell>
        </row>
        <row r="233">
          <cell r="U233" t="str">
            <v>INE514E08CH0</v>
          </cell>
          <cell r="V233" t="str">
            <v>Export-Import Bank of India</v>
          </cell>
          <cell r="W233" t="str">
            <v>30/11/2023</v>
          </cell>
          <cell r="X233">
            <v>7.6749999999999998</v>
          </cell>
        </row>
        <row r="234">
          <cell r="U234" t="str">
            <v>INE040A08922</v>
          </cell>
          <cell r="V234" t="str">
            <v>HDFC Bank Ltd.</v>
          </cell>
          <cell r="W234" t="str">
            <v>30/11/2023</v>
          </cell>
          <cell r="X234">
            <v>8.0449999999999999</v>
          </cell>
        </row>
        <row r="235">
          <cell r="U235" t="str">
            <v>INE018A08BA7</v>
          </cell>
          <cell r="V235" t="str">
            <v>Larsen &amp; Toubro Limited</v>
          </cell>
          <cell r="W235" t="str">
            <v>30/11/2023</v>
          </cell>
          <cell r="X235">
            <v>7.76</v>
          </cell>
        </row>
        <row r="236">
          <cell r="U236" t="str">
            <v>INE115A07NY8</v>
          </cell>
          <cell r="V236" t="str">
            <v>LIC Housing Finance Ltd</v>
          </cell>
          <cell r="W236" t="str">
            <v>30/11/2023</v>
          </cell>
          <cell r="X236">
            <v>7.5198999999999998</v>
          </cell>
        </row>
        <row r="237">
          <cell r="U237" t="str">
            <v>INE115A07QC7</v>
          </cell>
          <cell r="V237" t="str">
            <v>LIC Housing Finance Ltd</v>
          </cell>
          <cell r="W237" t="str">
            <v>30/11/2023</v>
          </cell>
          <cell r="X237">
            <v>7.9649999999999999</v>
          </cell>
        </row>
        <row r="238">
          <cell r="U238" t="str">
            <v>INE414G07FF7</v>
          </cell>
          <cell r="V238" t="str">
            <v>Muthoot Finance Limited</v>
          </cell>
          <cell r="W238" t="str">
            <v>30/11/2023</v>
          </cell>
          <cell r="X238">
            <v>8.1349</v>
          </cell>
        </row>
        <row r="239">
          <cell r="U239" t="str">
            <v>INE261F08CU8</v>
          </cell>
          <cell r="V239" t="str">
            <v>NABARD</v>
          </cell>
          <cell r="W239" t="str">
            <v>30/11/2023</v>
          </cell>
          <cell r="X239">
            <v>7.4501999999999997</v>
          </cell>
        </row>
        <row r="240">
          <cell r="U240" t="str">
            <v>INE261F08DO9</v>
          </cell>
          <cell r="V240" t="str">
            <v>NABARD</v>
          </cell>
          <cell r="W240" t="str">
            <v>30/11/2023</v>
          </cell>
          <cell r="X240">
            <v>7.83</v>
          </cell>
        </row>
        <row r="241">
          <cell r="U241" t="str">
            <v>INE557F08FG1</v>
          </cell>
          <cell r="V241" t="str">
            <v>National Housing Bank Ltd</v>
          </cell>
          <cell r="W241" t="str">
            <v>30/11/2023</v>
          </cell>
          <cell r="X241">
            <v>7.66</v>
          </cell>
        </row>
        <row r="242">
          <cell r="U242" t="str">
            <v>INE134E08GY3</v>
          </cell>
          <cell r="V242" t="str">
            <v>Power Finance Corporation Ltd</v>
          </cell>
          <cell r="W242" t="str">
            <v>30/11/2023</v>
          </cell>
          <cell r="X242">
            <v>7.78</v>
          </cell>
        </row>
        <row r="243">
          <cell r="U243" t="str">
            <v>INE134E08GU1</v>
          </cell>
          <cell r="V243" t="str">
            <v>Power Finance Corporation Ltd</v>
          </cell>
          <cell r="W243" t="str">
            <v>30/11/2023</v>
          </cell>
          <cell r="X243">
            <v>7.76</v>
          </cell>
        </row>
        <row r="244">
          <cell r="U244" t="str">
            <v>INE134E08MJ2</v>
          </cell>
          <cell r="V244" t="str">
            <v>Power Finance Corporation Ltd</v>
          </cell>
          <cell r="W244" t="str">
            <v>30/11/2023</v>
          </cell>
          <cell r="X244">
            <v>7.73</v>
          </cell>
        </row>
        <row r="245">
          <cell r="U245" t="str">
            <v>INE020B08EL2</v>
          </cell>
          <cell r="V245" t="str">
            <v>REC Limited</v>
          </cell>
          <cell r="W245" t="str">
            <v>30/11/2023</v>
          </cell>
          <cell r="X245">
            <v>7.8227000000000002</v>
          </cell>
        </row>
        <row r="246">
          <cell r="U246" t="str">
            <v>INE020B08898</v>
          </cell>
          <cell r="V246" t="str">
            <v>REC Limited</v>
          </cell>
          <cell r="W246" t="str">
            <v>30/11/2023</v>
          </cell>
          <cell r="X246">
            <v>7.79</v>
          </cell>
        </row>
        <row r="247">
          <cell r="U247" t="str">
            <v>INE020B08DR1</v>
          </cell>
          <cell r="V247" t="str">
            <v>REC Limited</v>
          </cell>
          <cell r="W247" t="str">
            <v>30/11/2023</v>
          </cell>
          <cell r="X247">
            <v>7.6349</v>
          </cell>
        </row>
        <row r="248">
          <cell r="U248" t="str">
            <v>INE721A07QS8</v>
          </cell>
          <cell r="V248" t="str">
            <v>Shriram Finance Limited</v>
          </cell>
          <cell r="W248" t="str">
            <v>30/11/2023</v>
          </cell>
          <cell r="X248">
            <v>8.4913000000000007</v>
          </cell>
        </row>
        <row r="249">
          <cell r="U249" t="str">
            <v>INE556F08KD0</v>
          </cell>
          <cell r="V249" t="str">
            <v>SIDBI Ltd</v>
          </cell>
          <cell r="W249" t="str">
            <v>30/11/2023</v>
          </cell>
          <cell r="X249">
            <v>7.87</v>
          </cell>
        </row>
        <row r="250">
          <cell r="U250" t="str">
            <v>INE556F08KG3</v>
          </cell>
          <cell r="V250" t="str">
            <v>SIDBI Ltd</v>
          </cell>
          <cell r="W250" t="str">
            <v>30/11/2023</v>
          </cell>
          <cell r="X250">
            <v>7.85</v>
          </cell>
        </row>
        <row r="251">
          <cell r="U251" t="str">
            <v>INE941D07208</v>
          </cell>
          <cell r="V251" t="str">
            <v>Sikka Ports &amp; Terminals Ltd</v>
          </cell>
          <cell r="W251" t="str">
            <v>30/11/2023</v>
          </cell>
          <cell r="X251">
            <v>8.0350000000000001</v>
          </cell>
        </row>
        <row r="252">
          <cell r="U252" t="str">
            <v>IN2220140205</v>
          </cell>
          <cell r="V252" t="str">
            <v>State Goverment</v>
          </cell>
          <cell r="W252" t="str">
            <v>30/11/2023</v>
          </cell>
          <cell r="X252">
            <v>7.4284999999999997</v>
          </cell>
        </row>
        <row r="253">
          <cell r="U253" t="str">
            <v>INF192K01CM6</v>
          </cell>
          <cell r="V253" t="str">
            <v>JM Liquid Fund Direct Growth</v>
          </cell>
          <cell r="W253" t="str">
            <v>30/11/2023</v>
          </cell>
          <cell r="X253">
            <v>0</v>
          </cell>
        </row>
        <row r="254">
          <cell r="U254" t="str">
            <v/>
          </cell>
          <cell r="V254" t="str">
            <v/>
          </cell>
          <cell r="W254" t="str">
            <v>30/11/2023</v>
          </cell>
          <cell r="X254">
            <v>6.7565999999999997</v>
          </cell>
        </row>
      </sheetData>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1"/>
  <sheetViews>
    <sheetView tabSelected="1" topLeftCell="A94" zoomScaleNormal="100" workbookViewId="0">
      <selection activeCell="A3" sqref="A3:H3"/>
    </sheetView>
  </sheetViews>
  <sheetFormatPr defaultRowHeight="12.75" x14ac:dyDescent="0.2"/>
  <cols>
    <col min="1" max="1" width="41.28515625" style="56" customWidth="1"/>
    <col min="2" max="2" width="28.5703125" style="57" customWidth="1"/>
    <col min="3" max="3" width="9.42578125" style="58" customWidth="1"/>
    <col min="4" max="4" width="12.5703125" style="2" customWidth="1"/>
    <col min="5" max="5" width="8.710937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ht="12.75" customHeight="1" x14ac:dyDescent="0.2">
      <c r="A3" s="4" t="s">
        <v>2</v>
      </c>
      <c r="B3" s="4"/>
      <c r="C3" s="4"/>
      <c r="D3" s="4"/>
      <c r="E3" s="4"/>
      <c r="F3" s="4"/>
      <c r="G3" s="4"/>
      <c r="H3" s="4"/>
    </row>
    <row r="4" spans="1:8" s="5" customFormat="1" ht="25.5" x14ac:dyDescent="0.2">
      <c r="A4" s="59" t="s">
        <v>3</v>
      </c>
      <c r="B4" s="59" t="s">
        <v>4</v>
      </c>
      <c r="C4" s="60" t="s">
        <v>5</v>
      </c>
      <c r="D4" s="59" t="s">
        <v>6</v>
      </c>
      <c r="E4" s="59" t="s">
        <v>7</v>
      </c>
      <c r="F4" s="59" t="s">
        <v>8</v>
      </c>
      <c r="G4" s="59" t="s">
        <v>9</v>
      </c>
      <c r="H4" s="59"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9" customFormat="1" ht="14.25" x14ac:dyDescent="0.3">
      <c r="A7" s="14" t="s">
        <v>13</v>
      </c>
      <c r="B7" s="15" t="s">
        <v>14</v>
      </c>
      <c r="C7" s="16">
        <v>40000</v>
      </c>
      <c r="D7" s="17">
        <v>1243.68</v>
      </c>
      <c r="E7" s="17">
        <f t="shared" ref="E7:E58" si="0">(+D7/$D$84*100)</f>
        <v>3.6630008307870607</v>
      </c>
      <c r="F7" s="17" t="s">
        <v>15</v>
      </c>
      <c r="G7" s="12"/>
      <c r="H7" s="18"/>
    </row>
    <row r="8" spans="1:8" s="19" customFormat="1" ht="14.25" x14ac:dyDescent="0.3">
      <c r="A8" s="14" t="s">
        <v>16</v>
      </c>
      <c r="B8" s="15" t="s">
        <v>17</v>
      </c>
      <c r="C8" s="16">
        <v>284000</v>
      </c>
      <c r="D8" s="17">
        <v>1237.672</v>
      </c>
      <c r="E8" s="17">
        <f t="shared" si="0"/>
        <v>3.6453055160828209</v>
      </c>
      <c r="F8" s="17" t="s">
        <v>18</v>
      </c>
      <c r="G8" s="12"/>
      <c r="H8" s="12"/>
    </row>
    <row r="9" spans="1:8" s="19" customFormat="1" ht="14.25" x14ac:dyDescent="0.3">
      <c r="A9" s="14" t="s">
        <v>19</v>
      </c>
      <c r="B9" s="15" t="s">
        <v>20</v>
      </c>
      <c r="C9" s="16">
        <v>467000</v>
      </c>
      <c r="D9" s="17">
        <v>1220.271</v>
      </c>
      <c r="E9" s="17">
        <f t="shared" si="0"/>
        <v>3.5940544889242867</v>
      </c>
      <c r="F9" s="17" t="s">
        <v>21</v>
      </c>
      <c r="G9" s="12"/>
      <c r="H9" s="11"/>
    </row>
    <row r="10" spans="1:8" s="19" customFormat="1" ht="14.25" x14ac:dyDescent="0.3">
      <c r="A10" s="14" t="s">
        <v>22</v>
      </c>
      <c r="B10" s="15" t="s">
        <v>23</v>
      </c>
      <c r="C10" s="16">
        <v>321300</v>
      </c>
      <c r="D10" s="17">
        <v>1120.3731</v>
      </c>
      <c r="E10" s="17">
        <f t="shared" si="0"/>
        <v>3.2998259971145907</v>
      </c>
      <c r="F10" s="17" t="s">
        <v>24</v>
      </c>
      <c r="G10" s="12"/>
      <c r="H10" s="11"/>
    </row>
    <row r="11" spans="1:8" s="19" customFormat="1" ht="14.25" x14ac:dyDescent="0.3">
      <c r="A11" s="14" t="s">
        <v>25</v>
      </c>
      <c r="B11" s="15" t="s">
        <v>26</v>
      </c>
      <c r="C11" s="16">
        <v>69605</v>
      </c>
      <c r="D11" s="17">
        <v>1085.0027399999999</v>
      </c>
      <c r="E11" s="17">
        <f t="shared" si="0"/>
        <v>3.1956499566015673</v>
      </c>
      <c r="F11" s="17" t="s">
        <v>27</v>
      </c>
      <c r="G11" s="12"/>
      <c r="H11" s="12"/>
    </row>
    <row r="12" spans="1:8" s="19" customFormat="1" ht="14.25" x14ac:dyDescent="0.3">
      <c r="A12" s="14" t="s">
        <v>28</v>
      </c>
      <c r="B12" s="15" t="s">
        <v>29</v>
      </c>
      <c r="C12" s="16">
        <v>112820</v>
      </c>
      <c r="D12" s="17">
        <v>1023.55945</v>
      </c>
      <c r="E12" s="17">
        <f t="shared" si="0"/>
        <v>3.014681522344933</v>
      </c>
      <c r="F12" s="17" t="s">
        <v>30</v>
      </c>
      <c r="G12" s="12"/>
      <c r="H12" s="11"/>
    </row>
    <row r="13" spans="1:8" s="19" customFormat="1" ht="14.25" x14ac:dyDescent="0.3">
      <c r="A13" s="14" t="s">
        <v>31</v>
      </c>
      <c r="B13" s="15" t="s">
        <v>26</v>
      </c>
      <c r="C13" s="16">
        <v>108000</v>
      </c>
      <c r="D13" s="17">
        <v>1009.746</v>
      </c>
      <c r="E13" s="17">
        <f t="shared" si="0"/>
        <v>2.9739968777208854</v>
      </c>
      <c r="F13" s="17" t="s">
        <v>32</v>
      </c>
      <c r="G13" s="12"/>
      <c r="H13" s="12"/>
    </row>
    <row r="14" spans="1:8" s="19" customFormat="1" ht="14.25" x14ac:dyDescent="0.3">
      <c r="A14" s="14" t="s">
        <v>33</v>
      </c>
      <c r="B14" s="15" t="s">
        <v>34</v>
      </c>
      <c r="C14" s="16">
        <v>210000</v>
      </c>
      <c r="D14" s="17">
        <v>912.34500000000003</v>
      </c>
      <c r="E14" s="17">
        <f t="shared" si="0"/>
        <v>2.6871224856590286</v>
      </c>
      <c r="F14" s="17" t="s">
        <v>35</v>
      </c>
      <c r="G14" s="12"/>
      <c r="H14" s="12"/>
    </row>
    <row r="15" spans="1:8" s="19" customFormat="1" ht="14.25" x14ac:dyDescent="0.3">
      <c r="A15" s="14" t="s">
        <v>36</v>
      </c>
      <c r="B15" s="15" t="s">
        <v>14</v>
      </c>
      <c r="C15" s="16">
        <v>127510</v>
      </c>
      <c r="D15" s="17">
        <v>845.71007499999996</v>
      </c>
      <c r="E15" s="17">
        <f t="shared" si="0"/>
        <v>2.4908631700517714</v>
      </c>
      <c r="F15" s="17" t="s">
        <v>37</v>
      </c>
      <c r="G15" s="12"/>
      <c r="H15" s="12"/>
    </row>
    <row r="16" spans="1:8" s="19" customFormat="1" ht="14.25" x14ac:dyDescent="0.3">
      <c r="A16" s="14" t="s">
        <v>38</v>
      </c>
      <c r="B16" s="15" t="s">
        <v>39</v>
      </c>
      <c r="C16" s="16">
        <v>9354</v>
      </c>
      <c r="D16" s="17">
        <v>842.20142099999998</v>
      </c>
      <c r="E16" s="17">
        <f t="shared" si="0"/>
        <v>2.4805291592797527</v>
      </c>
      <c r="F16" s="17" t="s">
        <v>40</v>
      </c>
      <c r="G16" s="12"/>
      <c r="H16" s="11"/>
    </row>
    <row r="17" spans="1:8" s="19" customFormat="1" ht="14.25" x14ac:dyDescent="0.3">
      <c r="A17" s="14" t="s">
        <v>41</v>
      </c>
      <c r="B17" s="15" t="s">
        <v>42</v>
      </c>
      <c r="C17" s="16">
        <v>84766</v>
      </c>
      <c r="D17" s="17">
        <v>800.74201900000003</v>
      </c>
      <c r="E17" s="17">
        <f t="shared" si="0"/>
        <v>2.3584191117032582</v>
      </c>
      <c r="F17" s="17" t="s">
        <v>43</v>
      </c>
      <c r="G17" s="12"/>
      <c r="H17" s="12"/>
    </row>
    <row r="18" spans="1:8" s="19" customFormat="1" ht="14.25" x14ac:dyDescent="0.3">
      <c r="A18" s="14" t="s">
        <v>44</v>
      </c>
      <c r="B18" s="15" t="s">
        <v>45</v>
      </c>
      <c r="C18" s="16">
        <v>54105</v>
      </c>
      <c r="D18" s="17">
        <v>787.30890750000003</v>
      </c>
      <c r="E18" s="17">
        <f t="shared" si="0"/>
        <v>2.3188546750438643</v>
      </c>
      <c r="F18" s="17" t="s">
        <v>46</v>
      </c>
      <c r="G18" s="12"/>
      <c r="H18" s="12"/>
    </row>
    <row r="19" spans="1:8" s="19" customFormat="1" ht="14.25" x14ac:dyDescent="0.3">
      <c r="A19" s="14" t="s">
        <v>47</v>
      </c>
      <c r="B19" s="15" t="s">
        <v>48</v>
      </c>
      <c r="C19" s="16">
        <v>150000</v>
      </c>
      <c r="D19" s="17">
        <v>716.7</v>
      </c>
      <c r="E19" s="17">
        <f t="shared" si="0"/>
        <v>2.1108908203276457</v>
      </c>
      <c r="F19" s="17" t="s">
        <v>49</v>
      </c>
      <c r="G19" s="12"/>
      <c r="H19" s="11"/>
    </row>
    <row r="20" spans="1:8" s="19" customFormat="1" ht="14.25" x14ac:dyDescent="0.3">
      <c r="A20" s="14" t="s">
        <v>50</v>
      </c>
      <c r="B20" s="15" t="s">
        <v>26</v>
      </c>
      <c r="C20" s="16">
        <v>126000</v>
      </c>
      <c r="D20" s="17">
        <v>711.58500000000004</v>
      </c>
      <c r="E20" s="17">
        <f t="shared" si="0"/>
        <v>2.0958256514341396</v>
      </c>
      <c r="F20" s="17" t="s">
        <v>51</v>
      </c>
      <c r="G20" s="12"/>
      <c r="H20" s="11"/>
    </row>
    <row r="21" spans="1:8" s="19" customFormat="1" ht="14.25" x14ac:dyDescent="0.3">
      <c r="A21" s="14" t="s">
        <v>52</v>
      </c>
      <c r="B21" s="15" t="s">
        <v>53</v>
      </c>
      <c r="C21" s="16">
        <v>72500</v>
      </c>
      <c r="D21" s="17">
        <v>710.79</v>
      </c>
      <c r="E21" s="17">
        <f t="shared" si="0"/>
        <v>2.0934841442454126</v>
      </c>
      <c r="F21" s="17" t="s">
        <v>54</v>
      </c>
      <c r="G21" s="12"/>
      <c r="H21" s="12"/>
    </row>
    <row r="22" spans="1:8" s="19" customFormat="1" ht="14.25" x14ac:dyDescent="0.3">
      <c r="A22" s="14" t="s">
        <v>55</v>
      </c>
      <c r="B22" s="15" t="s">
        <v>56</v>
      </c>
      <c r="C22" s="16">
        <v>79300</v>
      </c>
      <c r="D22" s="17">
        <v>694.54904999999997</v>
      </c>
      <c r="E22" s="17">
        <f t="shared" si="0"/>
        <v>2.0456498031425796</v>
      </c>
      <c r="F22" s="17" t="s">
        <v>57</v>
      </c>
      <c r="G22" s="12"/>
      <c r="H22" s="11"/>
    </row>
    <row r="23" spans="1:8" s="19" customFormat="1" ht="14.25" x14ac:dyDescent="0.3">
      <c r="A23" s="14" t="s">
        <v>58</v>
      </c>
      <c r="B23" s="15" t="s">
        <v>59</v>
      </c>
      <c r="C23" s="16">
        <v>97500</v>
      </c>
      <c r="D23" s="17">
        <v>692.29875000000004</v>
      </c>
      <c r="E23" s="17">
        <f t="shared" si="0"/>
        <v>2.0390220124170555</v>
      </c>
      <c r="F23" s="17" t="s">
        <v>60</v>
      </c>
      <c r="G23" s="12"/>
      <c r="H23" s="12"/>
    </row>
    <row r="24" spans="1:8" s="19" customFormat="1" ht="14.25" x14ac:dyDescent="0.3">
      <c r="A24" s="14" t="s">
        <v>61</v>
      </c>
      <c r="B24" s="15" t="s">
        <v>62</v>
      </c>
      <c r="C24" s="16">
        <v>64101</v>
      </c>
      <c r="D24" s="17">
        <v>667.64396549999992</v>
      </c>
      <c r="E24" s="17">
        <f t="shared" si="0"/>
        <v>1.9664064713563516</v>
      </c>
      <c r="F24" s="17" t="s">
        <v>63</v>
      </c>
      <c r="G24" s="12"/>
      <c r="H24" s="12"/>
    </row>
    <row r="25" spans="1:8" s="19" customFormat="1" ht="14.25" x14ac:dyDescent="0.3">
      <c r="A25" s="14" t="s">
        <v>64</v>
      </c>
      <c r="B25" s="15" t="s">
        <v>26</v>
      </c>
      <c r="C25" s="16">
        <v>333500</v>
      </c>
      <c r="D25" s="17">
        <v>657.32849999999996</v>
      </c>
      <c r="E25" s="17">
        <f t="shared" si="0"/>
        <v>1.9360244127106747</v>
      </c>
      <c r="F25" s="17" t="s">
        <v>65</v>
      </c>
      <c r="G25" s="12"/>
      <c r="H25" s="12"/>
    </row>
    <row r="26" spans="1:8" s="19" customFormat="1" ht="14.25" x14ac:dyDescent="0.3">
      <c r="A26" s="14" t="s">
        <v>66</v>
      </c>
      <c r="B26" s="15" t="s">
        <v>26</v>
      </c>
      <c r="C26" s="16">
        <v>680000</v>
      </c>
      <c r="D26" s="17">
        <v>638.52</v>
      </c>
      <c r="E26" s="17">
        <f t="shared" si="0"/>
        <v>1.880627886975873</v>
      </c>
      <c r="F26" s="17" t="s">
        <v>67</v>
      </c>
      <c r="G26" s="12"/>
      <c r="H26" s="12"/>
    </row>
    <row r="27" spans="1:8" s="19" customFormat="1" ht="14.25" x14ac:dyDescent="0.3">
      <c r="A27" s="14" t="s">
        <v>68</v>
      </c>
      <c r="B27" s="15" t="s">
        <v>69</v>
      </c>
      <c r="C27" s="16">
        <v>177993</v>
      </c>
      <c r="D27" s="17">
        <v>609.00304949999997</v>
      </c>
      <c r="E27" s="17">
        <f t="shared" si="0"/>
        <v>1.7936918469946876</v>
      </c>
      <c r="F27" s="17" t="s">
        <v>70</v>
      </c>
      <c r="G27" s="12"/>
      <c r="H27" s="12"/>
    </row>
    <row r="28" spans="1:8" s="19" customFormat="1" ht="14.25" x14ac:dyDescent="0.3">
      <c r="A28" s="14" t="s">
        <v>71</v>
      </c>
      <c r="B28" s="15" t="s">
        <v>23</v>
      </c>
      <c r="C28" s="16">
        <v>146000</v>
      </c>
      <c r="D28" s="17">
        <v>597.57799999999997</v>
      </c>
      <c r="E28" s="17">
        <f t="shared" si="0"/>
        <v>1.7600417394024748</v>
      </c>
      <c r="F28" s="17" t="s">
        <v>72</v>
      </c>
      <c r="G28" s="12"/>
      <c r="H28" s="11"/>
    </row>
    <row r="29" spans="1:8" s="19" customFormat="1" ht="14.25" x14ac:dyDescent="0.3">
      <c r="A29" s="14" t="s">
        <v>73</v>
      </c>
      <c r="B29" s="15" t="s">
        <v>29</v>
      </c>
      <c r="C29" s="16">
        <v>24650</v>
      </c>
      <c r="D29" s="17">
        <v>584.46382500000004</v>
      </c>
      <c r="E29" s="17">
        <f t="shared" si="0"/>
        <v>1.7214166638845871</v>
      </c>
      <c r="F29" s="17" t="s">
        <v>74</v>
      </c>
      <c r="G29" s="12"/>
      <c r="H29" s="11"/>
    </row>
    <row r="30" spans="1:8" s="19" customFormat="1" ht="14.25" x14ac:dyDescent="0.3">
      <c r="A30" s="14" t="s">
        <v>75</v>
      </c>
      <c r="B30" s="15" t="s">
        <v>76</v>
      </c>
      <c r="C30" s="16">
        <v>385427</v>
      </c>
      <c r="D30" s="17">
        <v>580.067635</v>
      </c>
      <c r="E30" s="17">
        <f t="shared" si="0"/>
        <v>1.7084686003776577</v>
      </c>
      <c r="F30" s="17" t="s">
        <v>77</v>
      </c>
      <c r="G30" s="12"/>
      <c r="H30" s="11"/>
    </row>
    <row r="31" spans="1:8" s="19" customFormat="1" ht="14.25" x14ac:dyDescent="0.3">
      <c r="A31" s="14" t="s">
        <v>78</v>
      </c>
      <c r="B31" s="15" t="s">
        <v>79</v>
      </c>
      <c r="C31" s="16">
        <v>79804</v>
      </c>
      <c r="D31" s="17">
        <v>555.83486000000005</v>
      </c>
      <c r="E31" s="17">
        <f t="shared" si="0"/>
        <v>1.6370960005470936</v>
      </c>
      <c r="F31" s="17" t="s">
        <v>80</v>
      </c>
      <c r="G31" s="12"/>
      <c r="H31" s="12"/>
    </row>
    <row r="32" spans="1:8" s="19" customFormat="1" ht="14.25" x14ac:dyDescent="0.3">
      <c r="A32" s="14" t="s">
        <v>81</v>
      </c>
      <c r="B32" s="15" t="s">
        <v>62</v>
      </c>
      <c r="C32" s="16">
        <v>69845</v>
      </c>
      <c r="D32" s="17">
        <v>553.52162499999997</v>
      </c>
      <c r="E32" s="17">
        <f t="shared" si="0"/>
        <v>1.6302828478656919</v>
      </c>
      <c r="F32" s="17" t="s">
        <v>82</v>
      </c>
      <c r="G32" s="12"/>
      <c r="H32" s="11"/>
    </row>
    <row r="33" spans="1:8" s="19" customFormat="1" ht="14.25" x14ac:dyDescent="0.3">
      <c r="A33" s="14" t="s">
        <v>83</v>
      </c>
      <c r="B33" s="15" t="s">
        <v>45</v>
      </c>
      <c r="C33" s="16">
        <v>87000</v>
      </c>
      <c r="D33" s="17">
        <v>548.40449999999998</v>
      </c>
      <c r="E33" s="17">
        <f t="shared" si="0"/>
        <v>1.6152114202265553</v>
      </c>
      <c r="F33" s="17" t="s">
        <v>84</v>
      </c>
      <c r="G33" s="12"/>
      <c r="H33" s="12"/>
    </row>
    <row r="34" spans="1:8" s="19" customFormat="1" ht="14.25" x14ac:dyDescent="0.3">
      <c r="A34" s="14" t="s">
        <v>85</v>
      </c>
      <c r="B34" s="15" t="s">
        <v>86</v>
      </c>
      <c r="C34" s="16">
        <v>11693</v>
      </c>
      <c r="D34" s="17">
        <v>537.87800000000004</v>
      </c>
      <c r="E34" s="17">
        <f t="shared" si="0"/>
        <v>1.5842078033433702</v>
      </c>
      <c r="F34" s="17" t="s">
        <v>87</v>
      </c>
      <c r="G34" s="12"/>
      <c r="H34" s="11"/>
    </row>
    <row r="35" spans="1:8" s="19" customFormat="1" ht="14.25" x14ac:dyDescent="0.3">
      <c r="A35" s="14" t="s">
        <v>88</v>
      </c>
      <c r="B35" s="15" t="s">
        <v>39</v>
      </c>
      <c r="C35" s="16">
        <v>38026</v>
      </c>
      <c r="D35" s="17">
        <v>514.73894899999993</v>
      </c>
      <c r="E35" s="17">
        <f t="shared" si="0"/>
        <v>1.5160565401272499</v>
      </c>
      <c r="F35" s="17" t="s">
        <v>89</v>
      </c>
      <c r="G35" s="12"/>
      <c r="H35" s="12"/>
    </row>
    <row r="36" spans="1:8" s="19" customFormat="1" ht="14.25" x14ac:dyDescent="0.3">
      <c r="A36" s="14" t="s">
        <v>90</v>
      </c>
      <c r="B36" s="15" t="s">
        <v>86</v>
      </c>
      <c r="C36" s="16">
        <v>86044</v>
      </c>
      <c r="D36" s="17">
        <v>514.24196600000005</v>
      </c>
      <c r="E36" s="17">
        <f t="shared" si="0"/>
        <v>1.5145927800427534</v>
      </c>
      <c r="F36" s="17" t="s">
        <v>91</v>
      </c>
      <c r="G36" s="12"/>
      <c r="H36" s="12"/>
    </row>
    <row r="37" spans="1:8" s="19" customFormat="1" ht="14.25" x14ac:dyDescent="0.3">
      <c r="A37" s="14" t="s">
        <v>92</v>
      </c>
      <c r="B37" s="15" t="s">
        <v>93</v>
      </c>
      <c r="C37" s="16">
        <v>130000</v>
      </c>
      <c r="D37" s="17">
        <v>501.8</v>
      </c>
      <c r="E37" s="17">
        <f t="shared" si="0"/>
        <v>1.477947556356094</v>
      </c>
      <c r="F37" s="17" t="s">
        <v>94</v>
      </c>
      <c r="G37" s="12"/>
      <c r="H37" s="12"/>
    </row>
    <row r="38" spans="1:8" s="19" customFormat="1" ht="14.25" x14ac:dyDescent="0.3">
      <c r="A38" s="14" t="s">
        <v>95</v>
      </c>
      <c r="B38" s="15" t="s">
        <v>96</v>
      </c>
      <c r="C38" s="16">
        <v>415000</v>
      </c>
      <c r="D38" s="17">
        <v>491.98250000000002</v>
      </c>
      <c r="E38" s="17">
        <f t="shared" si="0"/>
        <v>1.4490321515443643</v>
      </c>
      <c r="F38" s="17" t="s">
        <v>97</v>
      </c>
      <c r="G38" s="12"/>
      <c r="H38" s="11"/>
    </row>
    <row r="39" spans="1:8" s="19" customFormat="1" ht="14.25" x14ac:dyDescent="0.3">
      <c r="A39" s="14" t="s">
        <v>98</v>
      </c>
      <c r="B39" s="15" t="s">
        <v>20</v>
      </c>
      <c r="C39" s="16">
        <v>500000</v>
      </c>
      <c r="D39" s="17">
        <v>486</v>
      </c>
      <c r="E39" s="17">
        <f t="shared" si="0"/>
        <v>1.4314119417876878</v>
      </c>
      <c r="F39" s="17" t="s">
        <v>99</v>
      </c>
      <c r="G39" s="12"/>
      <c r="H39" s="12"/>
    </row>
    <row r="40" spans="1:8" s="19" customFormat="1" ht="14.25" x14ac:dyDescent="0.3">
      <c r="A40" s="14" t="s">
        <v>100</v>
      </c>
      <c r="B40" s="15" t="s">
        <v>45</v>
      </c>
      <c r="C40" s="16">
        <v>34000</v>
      </c>
      <c r="D40" s="17">
        <v>455.90600000000001</v>
      </c>
      <c r="E40" s="17">
        <f t="shared" si="0"/>
        <v>1.3427763224951801</v>
      </c>
      <c r="F40" s="17" t="s">
        <v>101</v>
      </c>
      <c r="G40" s="12"/>
      <c r="H40" s="12"/>
    </row>
    <row r="41" spans="1:8" s="19" customFormat="1" ht="14.25" x14ac:dyDescent="0.3">
      <c r="A41" s="14" t="s">
        <v>102</v>
      </c>
      <c r="B41" s="15" t="s">
        <v>53</v>
      </c>
      <c r="C41" s="16">
        <v>286765</v>
      </c>
      <c r="D41" s="17">
        <v>450.07766750000002</v>
      </c>
      <c r="E41" s="17">
        <f t="shared" si="0"/>
        <v>1.3256101810523626</v>
      </c>
      <c r="F41" s="17" t="s">
        <v>103</v>
      </c>
      <c r="G41" s="12"/>
      <c r="H41" s="11"/>
    </row>
    <row r="42" spans="1:8" s="19" customFormat="1" ht="14.25" x14ac:dyDescent="0.3">
      <c r="A42" s="14" t="s">
        <v>104</v>
      </c>
      <c r="B42" s="15" t="s">
        <v>86</v>
      </c>
      <c r="C42" s="16">
        <v>215000</v>
      </c>
      <c r="D42" s="17">
        <v>443.97500000000002</v>
      </c>
      <c r="E42" s="17">
        <f t="shared" si="0"/>
        <v>1.3076360429119109</v>
      </c>
      <c r="F42" s="17" t="s">
        <v>105</v>
      </c>
      <c r="G42" s="12"/>
      <c r="H42" s="12"/>
    </row>
    <row r="43" spans="1:8" s="19" customFormat="1" ht="14.25" x14ac:dyDescent="0.3">
      <c r="A43" s="14" t="s">
        <v>106</v>
      </c>
      <c r="B43" s="15" t="s">
        <v>107</v>
      </c>
      <c r="C43" s="16">
        <v>52168</v>
      </c>
      <c r="D43" s="17">
        <v>431.92495600000001</v>
      </c>
      <c r="E43" s="17">
        <f t="shared" si="0"/>
        <v>1.2721451439804969</v>
      </c>
      <c r="F43" s="17" t="s">
        <v>108</v>
      </c>
      <c r="G43" s="12"/>
      <c r="H43" s="11"/>
    </row>
    <row r="44" spans="1:8" s="19" customFormat="1" ht="14.25" x14ac:dyDescent="0.3">
      <c r="A44" s="14" t="s">
        <v>109</v>
      </c>
      <c r="B44" s="15" t="s">
        <v>48</v>
      </c>
      <c r="C44" s="16">
        <v>4070</v>
      </c>
      <c r="D44" s="17">
        <v>431.77409</v>
      </c>
      <c r="E44" s="17">
        <f t="shared" si="0"/>
        <v>1.2717007995483782</v>
      </c>
      <c r="F44" s="17" t="s">
        <v>110</v>
      </c>
      <c r="G44" s="12"/>
      <c r="H44" s="18"/>
    </row>
    <row r="45" spans="1:8" s="19" customFormat="1" ht="14.25" x14ac:dyDescent="0.3">
      <c r="A45" s="14" t="s">
        <v>111</v>
      </c>
      <c r="B45" s="15" t="s">
        <v>86</v>
      </c>
      <c r="C45" s="16">
        <v>62500</v>
      </c>
      <c r="D45" s="17">
        <v>430.6875</v>
      </c>
      <c r="E45" s="17">
        <f t="shared" si="0"/>
        <v>1.2685004746474995</v>
      </c>
      <c r="F45" s="17" t="s">
        <v>112</v>
      </c>
      <c r="G45" s="12"/>
      <c r="H45" s="11"/>
    </row>
    <row r="46" spans="1:8" s="19" customFormat="1" ht="14.25" x14ac:dyDescent="0.3">
      <c r="A46" s="14" t="s">
        <v>113</v>
      </c>
      <c r="B46" s="15" t="s">
        <v>107</v>
      </c>
      <c r="C46" s="16">
        <v>14000</v>
      </c>
      <c r="D46" s="17">
        <v>426.81099999999998</v>
      </c>
      <c r="E46" s="17">
        <f t="shared" si="0"/>
        <v>1.2570830499719026</v>
      </c>
      <c r="F46" s="17" t="s">
        <v>114</v>
      </c>
      <c r="G46" s="12"/>
      <c r="H46" s="12"/>
    </row>
    <row r="47" spans="1:8" s="19" customFormat="1" ht="14.25" x14ac:dyDescent="0.3">
      <c r="A47" s="14" t="s">
        <v>115</v>
      </c>
      <c r="B47" s="15" t="s">
        <v>45</v>
      </c>
      <c r="C47" s="16">
        <v>34950</v>
      </c>
      <c r="D47" s="17">
        <v>426.72202499999997</v>
      </c>
      <c r="E47" s="17">
        <f t="shared" si="0"/>
        <v>1.2568209926107494</v>
      </c>
      <c r="F47" s="17" t="s">
        <v>116</v>
      </c>
      <c r="G47" s="12"/>
      <c r="H47" s="11"/>
    </row>
    <row r="48" spans="1:8" s="19" customFormat="1" ht="14.25" x14ac:dyDescent="0.3">
      <c r="A48" s="14" t="s">
        <v>117</v>
      </c>
      <c r="B48" s="15" t="s">
        <v>62</v>
      </c>
      <c r="C48" s="16">
        <v>173000</v>
      </c>
      <c r="D48" s="17">
        <v>412.25900000000001</v>
      </c>
      <c r="E48" s="17">
        <f t="shared" si="0"/>
        <v>1.2142231598959883</v>
      </c>
      <c r="F48" s="17" t="s">
        <v>118</v>
      </c>
      <c r="G48" s="12"/>
      <c r="H48" s="12"/>
    </row>
    <row r="49" spans="1:8" s="19" customFormat="1" ht="14.25" x14ac:dyDescent="0.3">
      <c r="A49" s="14" t="s">
        <v>119</v>
      </c>
      <c r="B49" s="15" t="s">
        <v>53</v>
      </c>
      <c r="C49" s="16">
        <v>180246</v>
      </c>
      <c r="D49" s="17">
        <v>407.44608299999999</v>
      </c>
      <c r="E49" s="17">
        <f t="shared" si="0"/>
        <v>1.2000477136642331</v>
      </c>
      <c r="F49" s="17" t="s">
        <v>120</v>
      </c>
      <c r="G49" s="12"/>
      <c r="H49" s="12"/>
    </row>
    <row r="50" spans="1:8" s="19" customFormat="1" ht="14.25" x14ac:dyDescent="0.3">
      <c r="A50" s="14" t="s">
        <v>121</v>
      </c>
      <c r="B50" s="15" t="s">
        <v>122</v>
      </c>
      <c r="C50" s="16">
        <v>225000</v>
      </c>
      <c r="D50" s="17">
        <v>399.48750000000001</v>
      </c>
      <c r="E50" s="17">
        <f t="shared" si="0"/>
        <v>1.1766073623352036</v>
      </c>
      <c r="F50" s="17" t="s">
        <v>123</v>
      </c>
      <c r="G50" s="12"/>
      <c r="H50" s="12"/>
    </row>
    <row r="51" spans="1:8" s="19" customFormat="1" ht="14.25" x14ac:dyDescent="0.3">
      <c r="A51" s="14" t="s">
        <v>124</v>
      </c>
      <c r="B51" s="15" t="s">
        <v>53</v>
      </c>
      <c r="C51" s="16">
        <v>94616</v>
      </c>
      <c r="D51" s="17">
        <v>383.62057200000004</v>
      </c>
      <c r="E51" s="17">
        <f t="shared" si="0"/>
        <v>1.1298746252597192</v>
      </c>
      <c r="F51" s="17" t="s">
        <v>125</v>
      </c>
      <c r="G51" s="12"/>
      <c r="H51" s="11"/>
    </row>
    <row r="52" spans="1:8" s="19" customFormat="1" ht="14.25" x14ac:dyDescent="0.3">
      <c r="A52" s="14" t="s">
        <v>126</v>
      </c>
      <c r="B52" s="15" t="s">
        <v>45</v>
      </c>
      <c r="C52" s="16">
        <v>16000</v>
      </c>
      <c r="D52" s="17">
        <v>376.74400000000003</v>
      </c>
      <c r="E52" s="17">
        <f t="shared" si="0"/>
        <v>1.1096211123392195</v>
      </c>
      <c r="F52" s="17" t="s">
        <v>127</v>
      </c>
      <c r="G52" s="12"/>
      <c r="H52" s="11"/>
    </row>
    <row r="53" spans="1:8" s="19" customFormat="1" ht="14.25" x14ac:dyDescent="0.3">
      <c r="A53" s="14" t="s">
        <v>128</v>
      </c>
      <c r="B53" s="15" t="s">
        <v>129</v>
      </c>
      <c r="C53" s="16">
        <v>384676</v>
      </c>
      <c r="D53" s="17">
        <v>369.28895999999997</v>
      </c>
      <c r="E53" s="17">
        <f t="shared" si="0"/>
        <v>1.0876638422106084</v>
      </c>
      <c r="F53" s="17" t="s">
        <v>130</v>
      </c>
      <c r="G53" s="12"/>
      <c r="H53" s="12"/>
    </row>
    <row r="54" spans="1:8" s="19" customFormat="1" ht="14.25" x14ac:dyDescent="0.3">
      <c r="A54" s="14" t="s">
        <v>131</v>
      </c>
      <c r="B54" s="15" t="s">
        <v>132</v>
      </c>
      <c r="C54" s="16">
        <v>67436</v>
      </c>
      <c r="D54" s="17">
        <v>361.89529399999998</v>
      </c>
      <c r="E54" s="17">
        <f t="shared" si="0"/>
        <v>1.0658873364369672</v>
      </c>
      <c r="F54" s="17" t="s">
        <v>133</v>
      </c>
      <c r="G54" s="12"/>
      <c r="H54" s="12"/>
    </row>
    <row r="55" spans="1:8" s="19" customFormat="1" ht="14.25" x14ac:dyDescent="0.3">
      <c r="A55" s="14" t="s">
        <v>134</v>
      </c>
      <c r="B55" s="15" t="s">
        <v>107</v>
      </c>
      <c r="C55" s="16">
        <v>125000</v>
      </c>
      <c r="D55" s="17">
        <v>356.1875</v>
      </c>
      <c r="E55" s="17">
        <f t="shared" si="0"/>
        <v>1.0490762160812799</v>
      </c>
      <c r="F55" s="17" t="s">
        <v>135</v>
      </c>
      <c r="G55" s="12"/>
      <c r="H55" s="12"/>
    </row>
    <row r="56" spans="1:8" s="19" customFormat="1" ht="14.25" x14ac:dyDescent="0.3">
      <c r="A56" s="14" t="s">
        <v>136</v>
      </c>
      <c r="B56" s="15" t="s">
        <v>42</v>
      </c>
      <c r="C56" s="16">
        <v>66292</v>
      </c>
      <c r="D56" s="17">
        <v>354.72849200000002</v>
      </c>
      <c r="E56" s="17">
        <f t="shared" si="0"/>
        <v>1.044779011401519</v>
      </c>
      <c r="F56" s="17" t="s">
        <v>137</v>
      </c>
      <c r="G56" s="12"/>
      <c r="H56" s="12"/>
    </row>
    <row r="57" spans="1:8" s="19" customFormat="1" ht="14.25" x14ac:dyDescent="0.3">
      <c r="A57" s="14" t="s">
        <v>138</v>
      </c>
      <c r="B57" s="15" t="s">
        <v>86</v>
      </c>
      <c r="C57" s="16">
        <v>12000</v>
      </c>
      <c r="D57" s="17">
        <v>353.05799999999999</v>
      </c>
      <c r="E57" s="17">
        <f t="shared" si="0"/>
        <v>1.0398589245754679</v>
      </c>
      <c r="F57" s="17" t="s">
        <v>139</v>
      </c>
      <c r="G57" s="12"/>
      <c r="H57" s="11"/>
    </row>
    <row r="58" spans="1:8" s="19" customFormat="1" ht="14.25" x14ac:dyDescent="0.3">
      <c r="A58" s="14" t="s">
        <v>140</v>
      </c>
      <c r="B58" s="15" t="s">
        <v>86</v>
      </c>
      <c r="C58" s="16">
        <v>66979</v>
      </c>
      <c r="D58" s="17">
        <v>317.98280249999999</v>
      </c>
      <c r="E58" s="17">
        <f t="shared" si="0"/>
        <v>0.93655222383048509</v>
      </c>
      <c r="F58" s="17" t="s">
        <v>141</v>
      </c>
      <c r="G58" s="12"/>
      <c r="H58" s="18"/>
    </row>
    <row r="59" spans="1:8" s="19" customFormat="1" ht="14.25" x14ac:dyDescent="0.3">
      <c r="A59" s="13" t="s">
        <v>142</v>
      </c>
      <c r="B59" s="15"/>
      <c r="C59" s="16"/>
      <c r="D59" s="20">
        <f>IF(ISERROR(SUM(D7:D58)),0,SUM(D7:D58))</f>
        <v>32284.118329499994</v>
      </c>
      <c r="E59" s="20">
        <f>IF(ISERROR(SUM(E7:E58)),0,SUM(E7:E58))</f>
        <v>95.086157421673008</v>
      </c>
      <c r="F59" s="20"/>
      <c r="G59" s="12"/>
      <c r="H59" s="11"/>
    </row>
    <row r="60" spans="1:8" s="19" customFormat="1" ht="14.25" x14ac:dyDescent="0.3">
      <c r="A60" s="13"/>
      <c r="B60" s="13"/>
      <c r="C60" s="21"/>
      <c r="D60" s="22"/>
      <c r="E60" s="22"/>
      <c r="F60" s="22"/>
      <c r="G60" s="12"/>
      <c r="H60" s="11"/>
    </row>
    <row r="61" spans="1:8" s="19" customFormat="1" ht="14.25" x14ac:dyDescent="0.3">
      <c r="A61" s="13" t="s">
        <v>143</v>
      </c>
      <c r="B61" s="13"/>
      <c r="C61" s="21"/>
      <c r="D61" s="23" t="s">
        <v>144</v>
      </c>
      <c r="E61" s="23" t="s">
        <v>144</v>
      </c>
      <c r="F61" s="23"/>
      <c r="G61" s="12"/>
      <c r="H61" s="11"/>
    </row>
    <row r="62" spans="1:8" s="19" customFormat="1" ht="14.25" x14ac:dyDescent="0.3">
      <c r="A62" s="13"/>
      <c r="B62" s="6"/>
      <c r="C62" s="21"/>
      <c r="D62" s="23"/>
      <c r="E62" s="23"/>
      <c r="F62" s="24"/>
      <c r="G62" s="12"/>
      <c r="H62" s="11"/>
    </row>
    <row r="63" spans="1:8" s="19" customFormat="1" ht="14.25" x14ac:dyDescent="0.3">
      <c r="A63" s="13" t="s">
        <v>145</v>
      </c>
      <c r="B63" s="13"/>
      <c r="C63" s="21"/>
      <c r="D63" s="20">
        <f>IF(ISERROR(+D59),0,D59)+IF(ISERROR(+#REF!),0,#REF!)</f>
        <v>32284.118329499994</v>
      </c>
      <c r="E63" s="20">
        <f>IF(ISERROR(+E59),0,E59)+IF(ISERROR(+#REF!),0,#REF!)</f>
        <v>95.086157421673008</v>
      </c>
      <c r="F63" s="25"/>
      <c r="G63" s="12"/>
      <c r="H63" s="11"/>
    </row>
    <row r="64" spans="1:8" s="19" customFormat="1" ht="14.25" x14ac:dyDescent="0.3">
      <c r="A64" s="13"/>
      <c r="B64" s="6"/>
      <c r="C64" s="21"/>
      <c r="D64" s="23"/>
      <c r="E64" s="23"/>
      <c r="F64" s="24"/>
      <c r="G64" s="12"/>
      <c r="H64" s="11"/>
    </row>
    <row r="65" spans="1:8" s="19" customFormat="1" ht="14.25" x14ac:dyDescent="0.3">
      <c r="A65" s="13" t="s">
        <v>146</v>
      </c>
      <c r="B65" s="6"/>
      <c r="C65" s="21"/>
      <c r="D65" s="23"/>
      <c r="E65" s="23"/>
      <c r="F65" s="24"/>
      <c r="G65" s="12"/>
      <c r="H65" s="11"/>
    </row>
    <row r="66" spans="1:8" s="19" customFormat="1" ht="14.25" x14ac:dyDescent="0.3">
      <c r="A66" s="13" t="s">
        <v>12</v>
      </c>
      <c r="B66" s="6"/>
      <c r="C66" s="21"/>
      <c r="D66" s="23" t="s">
        <v>144</v>
      </c>
      <c r="E66" s="23" t="s">
        <v>144</v>
      </c>
      <c r="F66" s="26"/>
      <c r="G66" s="12"/>
      <c r="H66" s="11"/>
    </row>
    <row r="67" spans="1:8" s="19" customFormat="1" ht="14.25" x14ac:dyDescent="0.3">
      <c r="A67" s="13"/>
      <c r="B67" s="6"/>
      <c r="C67" s="27"/>
      <c r="D67" s="26"/>
      <c r="E67" s="26"/>
      <c r="F67" s="26"/>
      <c r="G67" s="12"/>
      <c r="H67" s="11"/>
    </row>
    <row r="68" spans="1:8" s="19" customFormat="1" ht="14.25" x14ac:dyDescent="0.3">
      <c r="A68" s="13" t="s">
        <v>147</v>
      </c>
      <c r="B68" s="6"/>
      <c r="C68" s="27"/>
      <c r="D68" s="23" t="s">
        <v>144</v>
      </c>
      <c r="E68" s="23" t="s">
        <v>144</v>
      </c>
      <c r="F68" s="24"/>
      <c r="G68" s="12"/>
      <c r="H68" s="11"/>
    </row>
    <row r="69" spans="1:8" s="19" customFormat="1" ht="14.25" x14ac:dyDescent="0.3">
      <c r="A69" s="13"/>
      <c r="B69" s="6"/>
      <c r="C69" s="27"/>
      <c r="D69" s="23"/>
      <c r="E69" s="23"/>
      <c r="F69" s="23"/>
      <c r="G69" s="12"/>
      <c r="H69" s="11"/>
    </row>
    <row r="70" spans="1:8" s="19" customFormat="1" ht="14.25" x14ac:dyDescent="0.3">
      <c r="A70" s="13" t="s">
        <v>148</v>
      </c>
      <c r="B70" s="6"/>
      <c r="C70" s="27"/>
      <c r="D70" s="23"/>
      <c r="E70" s="23"/>
      <c r="F70" s="23"/>
      <c r="G70" s="12"/>
      <c r="H70" s="11"/>
    </row>
    <row r="71" spans="1:8" s="19" customFormat="1" ht="14.25" x14ac:dyDescent="0.3">
      <c r="A71" s="13"/>
      <c r="B71" s="6"/>
      <c r="C71" s="27"/>
      <c r="D71" s="17"/>
      <c r="E71" s="17"/>
      <c r="F71" s="28"/>
      <c r="G71" s="12"/>
      <c r="H71" s="11"/>
    </row>
    <row r="72" spans="1:8" s="19" customFormat="1" ht="14.25" x14ac:dyDescent="0.3">
      <c r="A72" s="13" t="s">
        <v>149</v>
      </c>
      <c r="B72" s="6"/>
      <c r="C72" s="27"/>
      <c r="D72" s="23" t="s">
        <v>144</v>
      </c>
      <c r="E72" s="23" t="s">
        <v>144</v>
      </c>
      <c r="F72" s="23"/>
      <c r="G72" s="12"/>
      <c r="H72" s="11"/>
    </row>
    <row r="73" spans="1:8" s="19" customFormat="1" ht="14.25" x14ac:dyDescent="0.3">
      <c r="A73" s="13"/>
      <c r="B73" s="6"/>
      <c r="C73" s="27"/>
      <c r="D73" s="23"/>
      <c r="E73" s="23"/>
      <c r="F73" s="23"/>
      <c r="G73" s="12"/>
      <c r="H73" s="11"/>
    </row>
    <row r="74" spans="1:8" s="19" customFormat="1" ht="14.25" x14ac:dyDescent="0.3">
      <c r="A74" s="13" t="s">
        <v>150</v>
      </c>
      <c r="B74" s="6"/>
      <c r="C74" s="27"/>
      <c r="D74" s="23" t="s">
        <v>144</v>
      </c>
      <c r="E74" s="23" t="s">
        <v>144</v>
      </c>
      <c r="F74" s="23"/>
      <c r="G74" s="12"/>
      <c r="H74" s="11"/>
    </row>
    <row r="75" spans="1:8" s="19" customFormat="1" ht="14.25" x14ac:dyDescent="0.3">
      <c r="A75" s="13"/>
      <c r="B75" s="6"/>
      <c r="C75" s="27"/>
      <c r="D75" s="23"/>
      <c r="E75" s="23"/>
      <c r="F75" s="23"/>
      <c r="G75" s="12"/>
      <c r="H75" s="11"/>
    </row>
    <row r="76" spans="1:8" s="19" customFormat="1" ht="14.25" x14ac:dyDescent="0.3">
      <c r="A76" s="13" t="s">
        <v>151</v>
      </c>
      <c r="B76" s="6"/>
      <c r="C76" s="27"/>
      <c r="D76" s="23"/>
      <c r="E76" s="23"/>
      <c r="F76" s="24"/>
      <c r="G76" s="12"/>
      <c r="H76" s="11"/>
    </row>
    <row r="77" spans="1:8" s="19" customFormat="1" ht="14.25" x14ac:dyDescent="0.3">
      <c r="A77" s="14" t="s">
        <v>152</v>
      </c>
      <c r="B77" s="15"/>
      <c r="C77" s="16">
        <v>0</v>
      </c>
      <c r="D77" s="17">
        <v>2009.0678983</v>
      </c>
      <c r="E77" s="17">
        <f>(+D77/$D$84*100)</f>
        <v>5.9172917314586657</v>
      </c>
      <c r="F77" s="17" t="s">
        <v>153</v>
      </c>
      <c r="G77" s="12">
        <f>+VLOOKUP(F77,'[1]GHS 30112023'!$U$2:$X$65536,4,0)</f>
        <v>6.7565999999999997</v>
      </c>
      <c r="H77" s="11"/>
    </row>
    <row r="78" spans="1:8" s="19" customFormat="1" ht="14.25" x14ac:dyDescent="0.3">
      <c r="A78" s="13" t="s">
        <v>142</v>
      </c>
      <c r="B78" s="6"/>
      <c r="C78" s="27"/>
      <c r="D78" s="23">
        <f>IF(ISERROR(SUM(D77:D77)),0,SUM(D77:D77))</f>
        <v>2009.0678983</v>
      </c>
      <c r="E78" s="23">
        <f>IF(ISERROR(SUM(E77:E77)),0,SUM(E77:E77))</f>
        <v>5.9172917314586657</v>
      </c>
      <c r="F78" s="17"/>
      <c r="G78" s="12"/>
      <c r="H78" s="11"/>
    </row>
    <row r="79" spans="1:8" s="19" customFormat="1" ht="14.25" x14ac:dyDescent="0.3">
      <c r="A79" s="13"/>
      <c r="B79" s="6"/>
      <c r="C79" s="27"/>
      <c r="D79" s="23"/>
      <c r="E79" s="23"/>
      <c r="F79" s="24"/>
      <c r="G79" s="12"/>
      <c r="H79" s="11"/>
    </row>
    <row r="80" spans="1:8" s="19" customFormat="1" ht="14.25" x14ac:dyDescent="0.3">
      <c r="A80" s="13" t="s">
        <v>145</v>
      </c>
      <c r="B80" s="6"/>
      <c r="C80" s="27" t="s">
        <v>154</v>
      </c>
      <c r="D80" s="23">
        <f>+IF(ISERROR(#REF!),0,#REF!)+IF(ISERROR(D78),0,D78)+IF(ISERROR(D63),0,D63)+IF(ISERROR(#REF!),0,#REF!)+IF(ISERROR(#REF!),0,#REF!)+IF(ISERROR(#REF!),0,#REF!)+IF(ISERROR(#REF!),0,#REF!)+IF(ISERROR(#REF!),0,#REF!)+IF(ISERROR(#REF!),0,#REF!)</f>
        <v>34293.186227799997</v>
      </c>
      <c r="E80" s="23">
        <f>+IF(ISERROR(#REF!),0,#REF!)+IF(ISERROR(E78),0,E78)+IF(ISERROR(E63),0,E63)+IF(ISERROR(#REF!),0,#REF!)+IF(ISERROR(#REF!),0,#REF!)+IF(ISERROR(#REF!),0,#REF!)+IF(ISERROR(#REF!),0,#REF!)+IF(ISERROR(#REF!),0,#REF!)+IF(ISERROR(#REF!),0,#REF!)</f>
        <v>101.00344915313167</v>
      </c>
      <c r="F80" s="23"/>
      <c r="G80" s="12"/>
      <c r="H80" s="11"/>
    </row>
    <row r="81" spans="1:8" s="19" customFormat="1" ht="14.25" x14ac:dyDescent="0.3">
      <c r="A81" s="13"/>
      <c r="B81" s="6"/>
      <c r="C81" s="27"/>
      <c r="D81" s="23"/>
      <c r="E81" s="23"/>
      <c r="F81" s="29"/>
      <c r="G81" s="30"/>
      <c r="H81" s="31"/>
    </row>
    <row r="82" spans="1:8" s="19" customFormat="1" ht="14.25" x14ac:dyDescent="0.3">
      <c r="A82" s="13" t="s">
        <v>155</v>
      </c>
      <c r="B82" s="6"/>
      <c r="C82" s="27"/>
      <c r="D82" s="23">
        <f>+D84-D80</f>
        <v>-340.69597589979821</v>
      </c>
      <c r="E82" s="23">
        <f>D82/$D$84*100</f>
        <v>-1.003449153131649</v>
      </c>
      <c r="F82" s="29"/>
      <c r="G82" s="30"/>
      <c r="H82" s="31"/>
    </row>
    <row r="83" spans="1:8" s="19" customFormat="1" ht="14.25" x14ac:dyDescent="0.3">
      <c r="A83" s="13"/>
      <c r="B83" s="6"/>
      <c r="C83" s="27"/>
      <c r="D83" s="26"/>
      <c r="E83" s="26"/>
      <c r="F83" s="29"/>
      <c r="G83" s="30"/>
      <c r="H83" s="31"/>
    </row>
    <row r="84" spans="1:8" s="19" customFormat="1" ht="14.25" x14ac:dyDescent="0.3">
      <c r="A84" s="13" t="s">
        <v>156</v>
      </c>
      <c r="B84" s="6"/>
      <c r="C84" s="27"/>
      <c r="D84" s="23">
        <v>33952.490251900199</v>
      </c>
      <c r="E84" s="23">
        <f>+E80+E82</f>
        <v>100.00000000000001</v>
      </c>
      <c r="F84" s="29"/>
      <c r="G84" s="30"/>
      <c r="H84" s="31"/>
    </row>
    <row r="85" spans="1:8" s="19" customFormat="1" ht="14.25" x14ac:dyDescent="0.3">
      <c r="A85" s="32"/>
      <c r="B85" s="33"/>
      <c r="C85" s="34"/>
      <c r="D85" s="35"/>
      <c r="E85" s="35"/>
      <c r="F85" s="29"/>
      <c r="G85" s="30"/>
      <c r="H85" s="31"/>
    </row>
    <row r="86" spans="1:8" s="19" customFormat="1" ht="13.5" x14ac:dyDescent="0.2">
      <c r="A86" s="36" t="s">
        <v>157</v>
      </c>
      <c r="B86" s="36"/>
      <c r="C86" s="36"/>
      <c r="D86" s="36"/>
      <c r="E86" s="36"/>
      <c r="F86" s="37"/>
      <c r="G86" s="37"/>
      <c r="H86" s="37"/>
    </row>
    <row r="87" spans="1:8" s="19" customFormat="1" ht="27" customHeight="1" x14ac:dyDescent="0.2">
      <c r="A87" s="36" t="s">
        <v>158</v>
      </c>
      <c r="B87" s="36"/>
      <c r="C87" s="36"/>
      <c r="D87" s="36"/>
      <c r="E87" s="36"/>
      <c r="F87" s="36"/>
      <c r="G87" s="36"/>
      <c r="H87" s="36"/>
    </row>
    <row r="88" spans="1:8" s="19" customFormat="1" ht="13.5" x14ac:dyDescent="0.2">
      <c r="A88" s="38" t="s">
        <v>159</v>
      </c>
      <c r="B88" s="38"/>
      <c r="C88" s="38"/>
      <c r="D88" s="38"/>
      <c r="E88" s="38"/>
      <c r="F88" s="37"/>
      <c r="G88" s="37"/>
      <c r="H88" s="37"/>
    </row>
    <row r="89" spans="1:8" s="19" customFormat="1" ht="65.25" customHeight="1" x14ac:dyDescent="0.3">
      <c r="A89" s="39" t="s">
        <v>160</v>
      </c>
      <c r="B89" s="39"/>
      <c r="C89" s="39"/>
      <c r="D89" s="39"/>
      <c r="E89" s="39"/>
      <c r="F89" s="40"/>
      <c r="G89" s="40"/>
      <c r="H89" s="40"/>
    </row>
    <row r="90" spans="1:8" s="19" customFormat="1" ht="14.25" x14ac:dyDescent="0.3">
      <c r="A90" s="41"/>
      <c r="B90" s="42"/>
      <c r="C90" s="43"/>
      <c r="D90" s="44"/>
      <c r="E90" s="45"/>
      <c r="F90" s="31"/>
      <c r="G90" s="46"/>
      <c r="H90" s="46"/>
    </row>
    <row r="91" spans="1:8" s="19" customFormat="1" ht="14.25" x14ac:dyDescent="0.3">
      <c r="A91" s="47" t="s">
        <v>161</v>
      </c>
      <c r="B91" s="48"/>
      <c r="C91" s="48"/>
      <c r="D91" s="48"/>
      <c r="E91" s="31"/>
      <c r="F91" s="31"/>
      <c r="G91" s="46"/>
      <c r="H91" s="46"/>
    </row>
    <row r="92" spans="1:8" ht="14.25" x14ac:dyDescent="0.3">
      <c r="A92" s="49" t="s">
        <v>162</v>
      </c>
      <c r="B92" s="48"/>
      <c r="C92" s="48"/>
      <c r="D92" s="48"/>
      <c r="E92" s="31"/>
      <c r="F92" s="31"/>
      <c r="G92" s="46"/>
      <c r="H92" s="46"/>
    </row>
    <row r="93" spans="1:8" ht="14.25" x14ac:dyDescent="0.3">
      <c r="A93" s="49" t="s">
        <v>163</v>
      </c>
      <c r="B93" s="48"/>
      <c r="C93" s="48"/>
      <c r="D93" s="48"/>
      <c r="E93" s="31"/>
      <c r="F93" s="31"/>
      <c r="G93" s="46"/>
      <c r="H93" s="46"/>
    </row>
    <row r="94" spans="1:8" ht="14.25" x14ac:dyDescent="0.3">
      <c r="A94" s="49" t="s">
        <v>164</v>
      </c>
      <c r="B94" s="48"/>
      <c r="C94" s="48"/>
      <c r="D94" s="48"/>
      <c r="E94" s="31"/>
      <c r="F94" s="31"/>
      <c r="G94" s="31"/>
      <c r="H94" s="31"/>
    </row>
    <row r="95" spans="1:8" ht="14.25" x14ac:dyDescent="0.3">
      <c r="A95" s="50"/>
      <c r="B95" s="51"/>
      <c r="C95" s="52"/>
      <c r="D95" s="52"/>
      <c r="E95" s="52"/>
      <c r="F95" s="52"/>
      <c r="G95" s="31"/>
      <c r="H95" s="31"/>
    </row>
    <row r="96" spans="1:8" ht="14.25" x14ac:dyDescent="0.3">
      <c r="A96" s="50" t="s">
        <v>165</v>
      </c>
      <c r="B96" s="52" t="s">
        <v>166</v>
      </c>
      <c r="C96" s="61"/>
      <c r="E96" s="52"/>
      <c r="F96" s="31"/>
      <c r="G96" s="31"/>
      <c r="H96" s="31"/>
    </row>
    <row r="97" spans="1:8" ht="14.25" x14ac:dyDescent="0.3">
      <c r="A97" s="48"/>
      <c r="B97" s="51"/>
      <c r="C97" s="53"/>
      <c r="D97" s="48"/>
      <c r="E97" s="48"/>
      <c r="F97" s="31"/>
      <c r="G97" s="31"/>
      <c r="H97" s="31"/>
    </row>
    <row r="98" spans="1:8" ht="14.25" x14ac:dyDescent="0.3">
      <c r="A98" s="48"/>
      <c r="B98" s="51"/>
      <c r="C98" s="53"/>
      <c r="D98" s="48"/>
      <c r="E98" s="48"/>
      <c r="F98" s="31"/>
      <c r="G98" s="31"/>
      <c r="H98" s="31"/>
    </row>
    <row r="99" spans="1:8" ht="14.25" x14ac:dyDescent="0.3">
      <c r="A99" s="48"/>
      <c r="B99" s="51"/>
      <c r="C99" s="53"/>
      <c r="D99" s="48"/>
      <c r="E99" s="48"/>
      <c r="F99" s="31"/>
      <c r="G99" s="31"/>
      <c r="H99" s="31"/>
    </row>
    <row r="100" spans="1:8" ht="14.25" x14ac:dyDescent="0.3">
      <c r="A100" s="48"/>
      <c r="B100" s="51"/>
      <c r="C100" s="53"/>
      <c r="D100" s="48"/>
      <c r="E100" s="48"/>
      <c r="F100" s="31"/>
      <c r="G100" s="31"/>
      <c r="H100" s="31"/>
    </row>
    <row r="101" spans="1:8" ht="14.25" x14ac:dyDescent="0.3">
      <c r="A101" s="48"/>
      <c r="B101" s="51"/>
      <c r="C101" s="53"/>
      <c r="D101" s="48"/>
      <c r="E101" s="48"/>
      <c r="F101" s="31"/>
      <c r="G101" s="31"/>
      <c r="H101" s="31"/>
    </row>
    <row r="102" spans="1:8" ht="14.25" x14ac:dyDescent="0.3">
      <c r="A102" s="48"/>
      <c r="B102" s="51"/>
      <c r="C102" s="53"/>
      <c r="D102" s="48"/>
      <c r="E102" s="48"/>
      <c r="F102" s="31"/>
      <c r="G102" s="31"/>
      <c r="H102" s="31"/>
    </row>
    <row r="103" spans="1:8" ht="14.25" x14ac:dyDescent="0.3">
      <c r="A103" s="54"/>
      <c r="B103" s="51"/>
      <c r="C103" s="53"/>
      <c r="D103" s="31"/>
      <c r="E103" s="55"/>
      <c r="F103" s="31"/>
      <c r="G103" s="31"/>
      <c r="H103" s="31"/>
    </row>
    <row r="104" spans="1:8" ht="14.25" x14ac:dyDescent="0.3">
      <c r="A104" s="54"/>
      <c r="B104" s="51"/>
      <c r="C104" s="53"/>
      <c r="D104" s="31"/>
      <c r="E104" s="55"/>
      <c r="F104" s="31"/>
      <c r="G104" s="31"/>
      <c r="H104" s="31"/>
    </row>
    <row r="105" spans="1:8" ht="14.25" x14ac:dyDescent="0.3">
      <c r="A105" s="54"/>
      <c r="B105" s="51"/>
      <c r="C105" s="53"/>
      <c r="D105" s="31"/>
      <c r="E105" s="55"/>
      <c r="F105" s="31"/>
      <c r="G105" s="31"/>
      <c r="H105" s="31"/>
    </row>
    <row r="106" spans="1:8" ht="14.25" x14ac:dyDescent="0.3">
      <c r="A106" s="54"/>
      <c r="B106" s="51"/>
      <c r="C106" s="53"/>
      <c r="D106" s="31"/>
      <c r="E106" s="55"/>
      <c r="F106" s="31"/>
      <c r="G106" s="31"/>
      <c r="H106" s="31"/>
    </row>
    <row r="107" spans="1:8" ht="14.25" x14ac:dyDescent="0.3">
      <c r="A107" s="54"/>
      <c r="B107" s="51"/>
      <c r="C107" s="53"/>
      <c r="D107" s="31"/>
      <c r="E107" s="55"/>
      <c r="F107" s="31"/>
      <c r="G107" s="31"/>
      <c r="H107" s="31"/>
    </row>
    <row r="108" spans="1:8" ht="14.25" x14ac:dyDescent="0.3">
      <c r="A108" s="54"/>
      <c r="B108" s="51"/>
      <c r="C108" s="53"/>
      <c r="D108" s="31"/>
      <c r="E108" s="55"/>
      <c r="F108" s="31"/>
      <c r="G108" s="31"/>
      <c r="H108" s="31"/>
    </row>
    <row r="109" spans="1:8" ht="14.25" x14ac:dyDescent="0.3">
      <c r="A109" s="54"/>
      <c r="B109" s="51"/>
      <c r="C109" s="53"/>
      <c r="D109" s="31"/>
      <c r="E109" s="55"/>
      <c r="F109" s="31"/>
      <c r="G109" s="31"/>
      <c r="H109" s="31"/>
    </row>
    <row r="110" spans="1:8" ht="14.25" x14ac:dyDescent="0.3">
      <c r="A110" s="54"/>
      <c r="B110" s="51"/>
      <c r="C110" s="53"/>
      <c r="D110" s="31"/>
      <c r="E110" s="55"/>
      <c r="F110" s="31"/>
      <c r="G110" s="31"/>
      <c r="H110" s="31"/>
    </row>
    <row r="111" spans="1:8" ht="14.25" x14ac:dyDescent="0.3">
      <c r="A111" s="54"/>
      <c r="B111" s="51"/>
      <c r="C111" s="53"/>
      <c r="D111" s="31"/>
      <c r="E111" s="55"/>
      <c r="F111" s="31"/>
      <c r="G111" s="31"/>
      <c r="H111" s="31"/>
    </row>
    <row r="112" spans="1:8" ht="14.25" x14ac:dyDescent="0.3">
      <c r="A112" s="54"/>
      <c r="B112" s="51"/>
      <c r="C112" s="53"/>
      <c r="D112" s="31"/>
      <c r="E112" s="55"/>
      <c r="F112" s="31"/>
      <c r="G112" s="31"/>
      <c r="H112" s="31"/>
    </row>
    <row r="113" spans="1:8" ht="14.25" x14ac:dyDescent="0.3">
      <c r="A113" s="54"/>
      <c r="B113" s="51"/>
      <c r="C113" s="53"/>
      <c r="D113" s="31"/>
      <c r="E113" s="55"/>
      <c r="F113" s="31"/>
      <c r="G113" s="31"/>
      <c r="H113" s="31"/>
    </row>
    <row r="114" spans="1:8" ht="14.25" x14ac:dyDescent="0.3">
      <c r="A114" s="54"/>
      <c r="B114" s="51"/>
      <c r="C114" s="53"/>
      <c r="D114" s="31"/>
      <c r="E114" s="55"/>
      <c r="F114" s="31"/>
      <c r="G114" s="31"/>
      <c r="H114" s="31"/>
    </row>
    <row r="115" spans="1:8" ht="14.25" x14ac:dyDescent="0.3">
      <c r="A115" s="54"/>
      <c r="B115" s="51"/>
      <c r="C115" s="53"/>
      <c r="D115" s="31"/>
      <c r="E115" s="55"/>
      <c r="F115" s="31"/>
      <c r="G115" s="31"/>
      <c r="H115" s="31"/>
    </row>
    <row r="116" spans="1:8" ht="14.25" x14ac:dyDescent="0.3">
      <c r="A116" s="54"/>
      <c r="B116" s="51"/>
      <c r="C116" s="53"/>
      <c r="D116" s="31"/>
      <c r="E116" s="55"/>
      <c r="F116" s="31"/>
      <c r="G116" s="31"/>
      <c r="H116" s="31"/>
    </row>
    <row r="117" spans="1:8" ht="14.25" x14ac:dyDescent="0.3">
      <c r="A117" s="54"/>
      <c r="B117" s="51"/>
      <c r="C117" s="53"/>
      <c r="D117" s="31"/>
      <c r="E117" s="55"/>
      <c r="F117" s="31"/>
      <c r="G117" s="31"/>
      <c r="H117" s="31"/>
    </row>
    <row r="118" spans="1:8" ht="14.25" x14ac:dyDescent="0.3">
      <c r="A118" s="54"/>
      <c r="B118" s="51"/>
      <c r="C118" s="53"/>
      <c r="D118" s="31"/>
      <c r="E118" s="55"/>
      <c r="F118" s="31"/>
      <c r="G118" s="31"/>
      <c r="H118" s="31"/>
    </row>
    <row r="119" spans="1:8" ht="14.25" x14ac:dyDescent="0.3">
      <c r="A119" s="54"/>
      <c r="B119" s="51"/>
      <c r="C119" s="53"/>
      <c r="D119" s="31"/>
      <c r="E119" s="55"/>
      <c r="F119" s="31"/>
      <c r="G119" s="31"/>
      <c r="H119" s="31"/>
    </row>
    <row r="120" spans="1:8" ht="14.25" x14ac:dyDescent="0.3">
      <c r="A120" s="54"/>
      <c r="B120" s="51"/>
      <c r="C120" s="53"/>
      <c r="D120" s="31"/>
      <c r="E120" s="55"/>
      <c r="F120" s="31"/>
      <c r="G120" s="31"/>
      <c r="H120" s="31"/>
    </row>
    <row r="121" spans="1:8" ht="14.25" x14ac:dyDescent="0.3">
      <c r="A121" s="54"/>
      <c r="B121" s="51"/>
      <c r="C121" s="53"/>
      <c r="D121" s="31"/>
      <c r="E121" s="31"/>
      <c r="F121" s="31"/>
      <c r="G121" s="31"/>
      <c r="H121" s="31"/>
    </row>
    <row r="122" spans="1:8" ht="14.25" x14ac:dyDescent="0.3">
      <c r="A122" s="54"/>
      <c r="B122" s="51"/>
      <c r="C122" s="53"/>
      <c r="D122" s="31"/>
      <c r="E122" s="31"/>
      <c r="F122" s="31"/>
      <c r="G122" s="31"/>
      <c r="H122" s="31"/>
    </row>
    <row r="123" spans="1:8" ht="14.25" x14ac:dyDescent="0.3">
      <c r="A123" s="54"/>
      <c r="B123" s="51"/>
      <c r="C123" s="53"/>
      <c r="D123" s="31"/>
      <c r="E123" s="31"/>
      <c r="F123" s="31"/>
      <c r="G123" s="31"/>
      <c r="H123" s="31"/>
    </row>
    <row r="124" spans="1:8" ht="14.25" x14ac:dyDescent="0.3">
      <c r="A124" s="54"/>
      <c r="B124" s="51"/>
      <c r="C124" s="53"/>
      <c r="D124" s="31"/>
      <c r="E124" s="31"/>
      <c r="F124" s="31"/>
      <c r="G124" s="31"/>
      <c r="H124" s="31"/>
    </row>
    <row r="125" spans="1:8" ht="14.25" x14ac:dyDescent="0.3">
      <c r="A125" s="54"/>
      <c r="B125" s="51"/>
      <c r="C125" s="53"/>
      <c r="D125" s="31"/>
      <c r="E125" s="31"/>
      <c r="F125" s="31"/>
      <c r="G125" s="31"/>
      <c r="H125" s="31"/>
    </row>
    <row r="126" spans="1:8" ht="14.25" x14ac:dyDescent="0.3">
      <c r="A126" s="54"/>
      <c r="B126" s="51"/>
      <c r="C126" s="53"/>
      <c r="D126" s="31"/>
      <c r="E126" s="31"/>
      <c r="F126" s="31"/>
      <c r="G126" s="31"/>
      <c r="H126" s="31"/>
    </row>
    <row r="127" spans="1:8" ht="14.25" x14ac:dyDescent="0.3">
      <c r="A127" s="54"/>
      <c r="B127" s="51"/>
      <c r="C127" s="53"/>
      <c r="D127" s="31"/>
      <c r="E127" s="31"/>
      <c r="F127" s="31"/>
      <c r="G127" s="31"/>
      <c r="H127" s="31"/>
    </row>
    <row r="128" spans="1:8" ht="14.25" x14ac:dyDescent="0.3">
      <c r="A128" s="54"/>
      <c r="B128" s="51"/>
      <c r="C128" s="53"/>
      <c r="D128" s="31"/>
      <c r="E128" s="31"/>
      <c r="F128" s="31"/>
      <c r="G128" s="31"/>
      <c r="H128" s="31"/>
    </row>
    <row r="129" spans="1:8" ht="14.25" x14ac:dyDescent="0.3">
      <c r="A129" s="54"/>
      <c r="B129" s="51"/>
      <c r="C129" s="53"/>
      <c r="D129" s="31"/>
      <c r="E129" s="31"/>
      <c r="F129" s="31"/>
      <c r="G129" s="31"/>
      <c r="H129" s="31"/>
    </row>
    <row r="130" spans="1:8" ht="14.25" x14ac:dyDescent="0.3">
      <c r="A130" s="54"/>
      <c r="B130" s="51"/>
      <c r="C130" s="53"/>
      <c r="D130" s="31"/>
      <c r="E130" s="31"/>
      <c r="F130" s="31"/>
      <c r="G130" s="31"/>
      <c r="H130" s="31"/>
    </row>
    <row r="131" spans="1:8" ht="14.25" x14ac:dyDescent="0.3">
      <c r="A131" s="54"/>
      <c r="B131" s="51"/>
      <c r="C131" s="53"/>
      <c r="D131" s="31"/>
      <c r="E131" s="31"/>
      <c r="F131" s="31"/>
      <c r="G131" s="31"/>
      <c r="H131" s="31"/>
    </row>
    <row r="132" spans="1:8" ht="14.25" x14ac:dyDescent="0.3">
      <c r="A132" s="54"/>
      <c r="B132" s="51"/>
      <c r="C132" s="53"/>
      <c r="D132" s="31"/>
      <c r="E132" s="31"/>
      <c r="F132" s="31"/>
      <c r="G132" s="31"/>
      <c r="H132" s="31"/>
    </row>
    <row r="133" spans="1:8" ht="14.25" x14ac:dyDescent="0.3">
      <c r="A133" s="54"/>
      <c r="B133" s="51"/>
      <c r="C133" s="53"/>
      <c r="D133" s="31"/>
      <c r="E133" s="31"/>
      <c r="F133" s="31"/>
      <c r="G133" s="31"/>
      <c r="H133" s="31"/>
    </row>
    <row r="134" spans="1:8" ht="14.25" x14ac:dyDescent="0.3">
      <c r="A134" s="54"/>
      <c r="B134" s="51"/>
      <c r="C134" s="53"/>
      <c r="D134" s="31"/>
      <c r="E134" s="31"/>
      <c r="F134" s="31"/>
      <c r="G134" s="31"/>
      <c r="H134" s="31"/>
    </row>
    <row r="135" spans="1:8" ht="14.25" x14ac:dyDescent="0.3">
      <c r="A135" s="54"/>
      <c r="B135" s="51"/>
      <c r="C135" s="53"/>
      <c r="D135" s="31"/>
      <c r="E135" s="31"/>
      <c r="F135" s="31"/>
      <c r="G135" s="31"/>
      <c r="H135" s="31"/>
    </row>
    <row r="136" spans="1:8" ht="14.25" x14ac:dyDescent="0.3">
      <c r="A136" s="54"/>
      <c r="B136" s="51"/>
      <c r="C136" s="53"/>
      <c r="D136" s="31"/>
      <c r="E136" s="31"/>
      <c r="F136" s="31"/>
      <c r="G136" s="31"/>
      <c r="H136" s="31"/>
    </row>
    <row r="137" spans="1:8" ht="14.25" x14ac:dyDescent="0.3">
      <c r="A137" s="54"/>
      <c r="B137" s="51"/>
      <c r="C137" s="53"/>
      <c r="D137" s="31"/>
      <c r="E137" s="31"/>
      <c r="F137" s="31"/>
      <c r="G137" s="31"/>
      <c r="H137" s="31"/>
    </row>
    <row r="138" spans="1:8" ht="14.25" x14ac:dyDescent="0.3">
      <c r="A138" s="54"/>
      <c r="B138" s="51"/>
      <c r="C138" s="53"/>
      <c r="D138" s="31"/>
      <c r="E138" s="31"/>
      <c r="F138" s="31"/>
      <c r="G138" s="31"/>
      <c r="H138" s="31"/>
    </row>
    <row r="139" spans="1:8" ht="14.25" x14ac:dyDescent="0.3">
      <c r="A139" s="54"/>
      <c r="B139" s="51"/>
      <c r="C139" s="53"/>
      <c r="D139" s="31"/>
      <c r="E139" s="31"/>
      <c r="F139" s="31"/>
      <c r="G139" s="31"/>
      <c r="H139" s="31"/>
    </row>
    <row r="140" spans="1:8" ht="14.25" x14ac:dyDescent="0.3">
      <c r="A140" s="54"/>
      <c r="B140" s="51"/>
      <c r="C140" s="53"/>
      <c r="D140" s="31"/>
      <c r="E140" s="31"/>
      <c r="F140" s="31"/>
      <c r="G140" s="31"/>
      <c r="H140" s="31"/>
    </row>
    <row r="141" spans="1:8" ht="14.25" x14ac:dyDescent="0.3">
      <c r="A141" s="54"/>
      <c r="B141" s="51"/>
      <c r="C141" s="53"/>
      <c r="D141" s="31"/>
      <c r="E141" s="31"/>
      <c r="F141" s="31"/>
      <c r="G141" s="31"/>
      <c r="H141" s="31"/>
    </row>
    <row r="142" spans="1:8" ht="14.25" x14ac:dyDescent="0.3">
      <c r="A142" s="54"/>
      <c r="B142" s="51"/>
      <c r="C142" s="53"/>
      <c r="D142" s="31"/>
      <c r="E142" s="31"/>
      <c r="F142" s="31"/>
      <c r="G142" s="31"/>
      <c r="H142" s="31"/>
    </row>
    <row r="143" spans="1:8" ht="14.25" x14ac:dyDescent="0.3">
      <c r="A143" s="54"/>
      <c r="B143" s="51"/>
      <c r="C143" s="53"/>
      <c r="D143" s="31"/>
      <c r="E143" s="31"/>
      <c r="F143" s="31"/>
      <c r="G143" s="31"/>
      <c r="H143" s="31"/>
    </row>
    <row r="144" spans="1:8" ht="14.25" x14ac:dyDescent="0.3">
      <c r="A144" s="54"/>
      <c r="B144" s="51"/>
      <c r="C144" s="53"/>
      <c r="D144" s="31"/>
      <c r="E144" s="31"/>
      <c r="F144" s="31"/>
      <c r="G144" s="31"/>
      <c r="H144" s="31"/>
    </row>
    <row r="145" spans="1:8" ht="14.25" x14ac:dyDescent="0.3">
      <c r="A145" s="54"/>
      <c r="B145" s="51"/>
      <c r="C145" s="53"/>
      <c r="D145" s="31"/>
      <c r="E145" s="31"/>
      <c r="F145" s="31"/>
      <c r="G145" s="31"/>
      <c r="H145" s="31"/>
    </row>
    <row r="146" spans="1:8" ht="14.25" x14ac:dyDescent="0.3">
      <c r="A146" s="54"/>
      <c r="B146" s="51"/>
      <c r="C146" s="53"/>
      <c r="D146" s="31"/>
      <c r="E146" s="31"/>
      <c r="F146" s="31"/>
      <c r="G146" s="31"/>
      <c r="H146" s="31"/>
    </row>
    <row r="147" spans="1:8" ht="14.25" x14ac:dyDescent="0.3">
      <c r="A147" s="54"/>
      <c r="B147" s="51"/>
      <c r="C147" s="53"/>
      <c r="D147" s="31"/>
      <c r="E147" s="31"/>
      <c r="F147" s="31"/>
      <c r="G147" s="31"/>
      <c r="H147" s="31"/>
    </row>
    <row r="148" spans="1:8" ht="14.25" x14ac:dyDescent="0.3">
      <c r="A148" s="54"/>
      <c r="B148" s="51"/>
      <c r="C148" s="53"/>
      <c r="D148" s="31"/>
      <c r="E148" s="31"/>
      <c r="F148" s="31"/>
      <c r="G148" s="31"/>
      <c r="H148" s="31"/>
    </row>
    <row r="149" spans="1:8" ht="14.25" x14ac:dyDescent="0.3">
      <c r="A149" s="54"/>
      <c r="B149" s="51"/>
      <c r="C149" s="53"/>
      <c r="D149" s="31"/>
      <c r="E149" s="31"/>
      <c r="F149" s="31"/>
      <c r="G149" s="31"/>
      <c r="H149" s="31"/>
    </row>
    <row r="150" spans="1:8" ht="14.25" x14ac:dyDescent="0.3">
      <c r="A150" s="54"/>
      <c r="B150" s="51"/>
      <c r="C150" s="53"/>
      <c r="D150" s="31"/>
      <c r="E150" s="31"/>
      <c r="F150" s="31"/>
      <c r="G150" s="31"/>
      <c r="H150" s="31"/>
    </row>
    <row r="151" spans="1:8" ht="14.25" x14ac:dyDescent="0.3">
      <c r="A151" s="54"/>
      <c r="B151" s="51"/>
      <c r="C151" s="53"/>
      <c r="D151" s="31"/>
      <c r="E151" s="31"/>
      <c r="F151" s="31"/>
      <c r="G151" s="31"/>
      <c r="H151" s="31"/>
    </row>
    <row r="152" spans="1:8" ht="14.25" x14ac:dyDescent="0.3">
      <c r="A152" s="54"/>
      <c r="B152" s="51"/>
      <c r="C152" s="53"/>
      <c r="D152" s="31"/>
      <c r="E152" s="31"/>
      <c r="F152" s="31"/>
      <c r="G152" s="31"/>
      <c r="H152" s="31"/>
    </row>
    <row r="153" spans="1:8" ht="14.25" x14ac:dyDescent="0.3">
      <c r="A153" s="54"/>
      <c r="B153" s="51"/>
      <c r="C153" s="53"/>
      <c r="D153" s="31"/>
      <c r="E153" s="31"/>
      <c r="F153" s="31"/>
      <c r="G153" s="31"/>
      <c r="H153" s="31"/>
    </row>
    <row r="154" spans="1:8" ht="14.25" x14ac:dyDescent="0.3">
      <c r="A154" s="54"/>
      <c r="B154" s="51"/>
      <c r="C154" s="53"/>
      <c r="D154" s="31"/>
      <c r="E154" s="31"/>
      <c r="F154" s="31"/>
      <c r="G154" s="31"/>
      <c r="H154" s="31"/>
    </row>
    <row r="155" spans="1:8" ht="14.25" x14ac:dyDescent="0.3">
      <c r="A155" s="54"/>
      <c r="B155" s="51"/>
      <c r="C155" s="53"/>
      <c r="D155" s="31"/>
      <c r="E155" s="31"/>
      <c r="F155" s="31"/>
      <c r="G155" s="31"/>
      <c r="H155" s="31"/>
    </row>
    <row r="156" spans="1:8" ht="14.25" x14ac:dyDescent="0.3">
      <c r="A156" s="54"/>
      <c r="B156" s="51"/>
      <c r="C156" s="53"/>
      <c r="D156" s="31"/>
      <c r="E156" s="31"/>
      <c r="F156" s="31"/>
      <c r="G156" s="31"/>
      <c r="H156" s="31"/>
    </row>
    <row r="157" spans="1:8" ht="14.25" x14ac:dyDescent="0.3">
      <c r="A157" s="54"/>
      <c r="B157" s="51"/>
      <c r="C157" s="53"/>
      <c r="D157" s="31"/>
      <c r="E157" s="31"/>
      <c r="F157" s="31"/>
      <c r="G157" s="31"/>
      <c r="H157" s="31"/>
    </row>
    <row r="158" spans="1:8" ht="14.25" x14ac:dyDescent="0.3">
      <c r="A158" s="54"/>
      <c r="B158" s="51"/>
      <c r="C158" s="53"/>
      <c r="D158" s="31"/>
      <c r="E158" s="31"/>
      <c r="F158" s="31"/>
      <c r="G158" s="31"/>
      <c r="H158" s="31"/>
    </row>
    <row r="159" spans="1:8" ht="14.25" x14ac:dyDescent="0.3">
      <c r="A159" s="54"/>
      <c r="B159" s="51"/>
      <c r="C159" s="53"/>
      <c r="D159" s="31"/>
      <c r="E159" s="31"/>
      <c r="F159" s="31"/>
      <c r="G159" s="31"/>
      <c r="H159" s="31"/>
    </row>
    <row r="160" spans="1:8" ht="14.25" x14ac:dyDescent="0.3">
      <c r="A160" s="54"/>
      <c r="B160" s="51"/>
      <c r="C160" s="53"/>
      <c r="D160" s="31"/>
      <c r="E160" s="31"/>
      <c r="F160" s="31"/>
      <c r="G160" s="31"/>
      <c r="H160" s="31"/>
    </row>
    <row r="161" spans="1:8" ht="14.25" x14ac:dyDescent="0.3">
      <c r="A161" s="54"/>
      <c r="B161" s="51"/>
      <c r="C161" s="53"/>
      <c r="D161" s="31"/>
      <c r="E161" s="31"/>
      <c r="F161" s="31"/>
      <c r="G161" s="31"/>
      <c r="H161" s="31"/>
    </row>
  </sheetData>
  <mergeCells count="7">
    <mergeCell ref="A89:H89"/>
    <mergeCell ref="A1:H1"/>
    <mergeCell ref="A2:H2"/>
    <mergeCell ref="A3:H3"/>
    <mergeCell ref="A86:H86"/>
    <mergeCell ref="A87:H87"/>
    <mergeCell ref="A88:H8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2023-12-04T11:20:05Z</dcterms:created>
  <dcterms:modified xsi:type="dcterms:W3CDTF">2023-12-04T11:28:49Z</dcterms:modified>
</cp:coreProperties>
</file>