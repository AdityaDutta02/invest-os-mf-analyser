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without Risko meter\"/>
    </mc:Choice>
  </mc:AlternateContent>
  <bookViews>
    <workbookView xWindow="0" yWindow="0" windowWidth="20490" windowHeight="7770"/>
  </bookViews>
  <sheets>
    <sheet name="JM Equity Hybrid Fund" sheetId="1" r:id="rId1"/>
  </sheets>
  <definedNames>
    <definedName name="_xlnm._FilterDatabase" localSheetId="0" hidden="1">'JM Equity Hybrid Fund'!$A$1:$H$67</definedName>
    <definedName name="Afs">#REF!</definedName>
    <definedName name="_xlnm.Database">#REF!</definedName>
    <definedName name="EBLDB">#REF!</definedName>
    <definedName name="fl">#REF!</definedName>
    <definedName name="_xlnm.Print_Area" localSheetId="0">'JM Equity Hybrid Fund'!$A$1:$E$57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0" i="1" l="1"/>
  <c r="E59" i="1"/>
  <c r="E60" i="1" s="1"/>
  <c r="D55" i="1"/>
  <c r="E54" i="1"/>
  <c r="E53" i="1"/>
  <c r="D35" i="1"/>
  <c r="D39" i="1" s="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5" i="1" l="1"/>
  <c r="E62" i="1" s="1"/>
  <c r="E66" i="1" s="1"/>
  <c r="E35" i="1"/>
  <c r="E39" i="1" s="1"/>
  <c r="D62" i="1"/>
  <c r="D64" i="1" s="1"/>
  <c r="E64" i="1" s="1"/>
</calcChain>
</file>

<file path=xl/sharedStrings.xml><?xml version="1.0" encoding="utf-8"?>
<sst xmlns="http://schemas.openxmlformats.org/spreadsheetml/2006/main" count="144" uniqueCount="119">
  <si>
    <t>JM Equity Hybrid Fund (An open ended hybrid scheme investing predominantly in equity and equity related instruments).</t>
  </si>
  <si>
    <t>Portfolio as on 31.05.2023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</si>
  <si>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</si>
  <si>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</si>
  <si>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</si>
  <si>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</si>
  <si>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</si>
  <si>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</si>
  <si>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</si>
  <si>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</si>
  <si>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</si>
  <si>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</si>
  <si>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</si>
  <si>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</si>
  <si>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</si>
  <si>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Poonawalla Fincorp Ltd.</t>
  </si>
  <si>
    <t>Finance</t>
  </si>
  <si>
    <t>INE511C01022</t>
  </si>
  <si>
    <t>Reliance Industries Ltd.</t>
  </si>
  <si>
    <t>Petroleum Products</t>
  </si>
  <si>
    <t>INE002A01018</t>
  </si>
  <si>
    <t>Dixon Technologies (India) Ltd.</t>
  </si>
  <si>
    <t>Consumer Durables</t>
  </si>
  <si>
    <t>INE935N01020</t>
  </si>
  <si>
    <t>REC Ltd.</t>
  </si>
  <si>
    <t>INE020B01018</t>
  </si>
  <si>
    <t>Crompton Greaves Consumer Electricals Ltd.</t>
  </si>
  <si>
    <t>INE299U01018</t>
  </si>
  <si>
    <t>ICICI Bank Ltd.</t>
  </si>
  <si>
    <t>INE090A01021</t>
  </si>
  <si>
    <t>Ultratech Cement Ltd.</t>
  </si>
  <si>
    <t>Cement &amp; Cement Products</t>
  </si>
  <si>
    <t>INE481G01011</t>
  </si>
  <si>
    <t>Infosys Ltd.</t>
  </si>
  <si>
    <t>IT - Software</t>
  </si>
  <si>
    <t>INE009A01021</t>
  </si>
  <si>
    <t>Kalpataru Power Transmission Ltd.</t>
  </si>
  <si>
    <t>Construction</t>
  </si>
  <si>
    <t>INE220B01022</t>
  </si>
  <si>
    <t>Narayana Hrudayalaya Ltd</t>
  </si>
  <si>
    <t>Healthcare Services</t>
  </si>
  <si>
    <t>INE410P01011</t>
  </si>
  <si>
    <t>Birla Corporation Ltd.</t>
  </si>
  <si>
    <t>INE340A01012</t>
  </si>
  <si>
    <t>Mahindra &amp; Mahindra Ltd.</t>
  </si>
  <si>
    <t>Automobiles</t>
  </si>
  <si>
    <t>INE101A01026</t>
  </si>
  <si>
    <t>Larsen &amp; Toubro Ltd.</t>
  </si>
  <si>
    <t>INE018A01030</t>
  </si>
  <si>
    <t>Axis Bank Ltd.</t>
  </si>
  <si>
    <t>INE238A01034</t>
  </si>
  <si>
    <t>Birlasoft Ltd.</t>
  </si>
  <si>
    <t>INE836A01035</t>
  </si>
  <si>
    <t>Schaeffler India Ltd.</t>
  </si>
  <si>
    <t>Auto Components</t>
  </si>
  <si>
    <t>INE513A01022</t>
  </si>
  <si>
    <t>Jubilant Foodworks Ltd.</t>
  </si>
  <si>
    <t>Leisure Services</t>
  </si>
  <si>
    <t>INE797F01020</t>
  </si>
  <si>
    <t>SKF India Ltd.</t>
  </si>
  <si>
    <t>Industrial Products</t>
  </si>
  <si>
    <t>INE640A01023</t>
  </si>
  <si>
    <t>Equitas Small Finance Bank Ltd.</t>
  </si>
  <si>
    <t>INE063P01018</t>
  </si>
  <si>
    <t>ICRA Ltd.</t>
  </si>
  <si>
    <t>Capital Markets</t>
  </si>
  <si>
    <t>INE725G01011</t>
  </si>
  <si>
    <t>Canara Bank</t>
  </si>
  <si>
    <t>INE476A01014</t>
  </si>
  <si>
    <t>Godrej Properties Ltd.</t>
  </si>
  <si>
    <t>Realty</t>
  </si>
  <si>
    <t>INE484J01027</t>
  </si>
  <si>
    <t>Gujarat Gas Ltd.</t>
  </si>
  <si>
    <t>Gas</t>
  </si>
  <si>
    <t>INE844O01030</t>
  </si>
  <si>
    <t>Jyothy Labs Ltd.</t>
  </si>
  <si>
    <t>Household Products</t>
  </si>
  <si>
    <t>INE668F01031</t>
  </si>
  <si>
    <t>Cummins India Ltd.</t>
  </si>
  <si>
    <t>INE298A01020</t>
  </si>
  <si>
    <t>Hindustan Aeronautics Ltd.</t>
  </si>
  <si>
    <t>Aerospace &amp; Defense</t>
  </si>
  <si>
    <t>INE066F01012</t>
  </si>
  <si>
    <t>Balrampur Chini Mills Ltd.</t>
  </si>
  <si>
    <t>Agricultural Food &amp; other Products</t>
  </si>
  <si>
    <t>INE119A01028</t>
  </si>
  <si>
    <t>Chalet Hotels Ltd.</t>
  </si>
  <si>
    <t>INE427F01016</t>
  </si>
  <si>
    <t>Sub Total:</t>
  </si>
  <si>
    <t>b) Unlisted</t>
  </si>
  <si>
    <t>NIL</t>
  </si>
  <si>
    <t>Total:</t>
  </si>
  <si>
    <t>DEBT INSTRUMENTS</t>
  </si>
  <si>
    <t>b) Privately Placed / Unlisted</t>
  </si>
  <si>
    <t>TERM DEPOSITS</t>
  </si>
  <si>
    <t>Deposits (Maturity not exceeding 91 days)</t>
  </si>
  <si>
    <t>Deposits (Placed as F &amp; O margin)</t>
  </si>
  <si>
    <t>GOVERNMENT SECURITIES</t>
  </si>
  <si>
    <t>7.26% Government of India Securities 2033 06/02/2033</t>
  </si>
  <si>
    <t>Sovereign</t>
  </si>
  <si>
    <t>IN0020220151</t>
  </si>
  <si>
    <t>7.38% Government of India Securities 2027 20/06/2027</t>
  </si>
  <si>
    <t>IN0020220037</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</si>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</sst>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6">
    <xf numFmtId="0" fontId="0" fillId="0" borderId="0" xfId="0"/>
    <xf numFmtId="0" fontId="3" fillId="0" borderId="0" xfId="0" applyFont="1"/>
    <xf numFmtId="0" fontId="2" fillId="2" borderId="1" xfId="2" applyFont="1" applyFill="1" applyBorder="1" applyAlignment="1">
      <alignment horizontal="center" vertical="center"/>
    </xf>
    <xf numFmtId="0" fontId="4" fillId="0" borderId="3" xfId="0"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164" fontId="5" fillId="0" borderId="0" xfId="5" applyFont="1" applyFill="1" applyBorder="1" applyAlignment="1">
      <alignment horizontal="right"/>
    </xf>
    <xf numFmtId="0" fontId="5" fillId="0" borderId="0" xfId="2" applyFont="1" applyFill="1" applyBorder="1" applyAlignment="1">
      <alignment horizontal="right"/>
    </xf>
    <xf numFmtId="0" fontId="5" fillId="0" borderId="0" xfId="2" applyFont="1"/>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center" wrapText="1"/>
    </xf>
    <xf numFmtId="0" fontId="7" fillId="0" borderId="0" xfId="4" applyFont="1" applyBorder="1" applyAlignment="1">
      <alignment horizontal="left" vertical="center"/>
    </xf>
    <xf numFmtId="0" fontId="8" fillId="0" borderId="0" xfId="4" applyFont="1" applyBorder="1" applyAlignment="1">
      <alignment horizontal="left" vertical="center" wrapText="1"/>
    </xf>
  </cellXfs>
  <cellStyles count="8">
    <cellStyle name="Comma" xfId="1" builtinId="3"/>
    <cellStyle name="Comma 4" xfId="5"/>
    <cellStyle name="Normal" xfId="0" builtinId="0"/>
    <cellStyle name="Normal 2 2" xfId="2"/>
    <cellStyle name="Normal 2 3 2" xfId="3"/>
    <cellStyle name="Normal 4_B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79</xdr:row>
      <xdr:rowOff>66675</xdr:rowOff>
    </xdr:from>
    <xdr:to>
      <xdr:col>0</xdr:col>
      <xdr:colOff>2476500</xdr:colOff>
      <xdr:row>85</xdr:row>
      <xdr:rowOff>47065</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76275" y="15106650"/>
          <a:ext cx="1800225" cy="1066240"/>
        </a:xfrm>
        <a:prstGeom prst="rect">
          <a:avLst/>
        </a:prstGeom>
        <a:noFill/>
        <a:ln w="9525">
          <a:noFill/>
          <a:miter lim="800000"/>
          <a:headEnd/>
          <a:tailEnd/>
        </a:ln>
      </xdr:spPr>
    </xdr:pic>
    <xdr:clientData/>
  </xdr:twoCellAnchor>
  <xdr:twoCellAnchor editAs="oneCell">
    <xdr:from>
      <xdr:col>1</xdr:col>
      <xdr:colOff>552450</xdr:colOff>
      <xdr:row>79</xdr:row>
      <xdr:rowOff>47625</xdr:rowOff>
    </xdr:from>
    <xdr:to>
      <xdr:col>2</xdr:col>
      <xdr:colOff>387723</xdr:colOff>
      <xdr:row>85</xdr:row>
      <xdr:rowOff>18490</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3619500" y="15087600"/>
          <a:ext cx="1806948" cy="105671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5"/>
  <sheetViews>
    <sheetView tabSelected="1" topLeftCell="A73" zoomScaleNormal="100" workbookViewId="0">
      <selection activeCell="D84" sqref="D84"/>
    </sheetView>
  </sheetViews>
  <sheetFormatPr defaultRowHeight="12.75" x14ac:dyDescent="0.2"/>
  <cols>
    <col min="1" max="1" width="46" style="56" customWidth="1"/>
    <col min="2" max="2" width="29.5703125" style="57" customWidth="1"/>
    <col min="3" max="3" width="13.7109375" style="58" customWidth="1"/>
    <col min="4" max="8" width="13.7109375" style="1" customWidth="1"/>
    <col min="9" max="16384" width="9.140625" style="1"/>
  </cols>
  <sheetData>
    <row r="1" spans="1:8" x14ac:dyDescent="0.2">
      <c r="A1" s="61" t="s">
        <v>0</v>
      </c>
      <c r="B1" s="61"/>
      <c r="C1" s="61"/>
      <c r="D1" s="61"/>
      <c r="E1" s="61"/>
      <c r="F1" s="61"/>
      <c r="G1" s="61"/>
      <c r="H1" s="61"/>
    </row>
    <row r="2" spans="1:8" x14ac:dyDescent="0.2">
      <c r="A2" s="62" t="s">
        <v>1</v>
      </c>
      <c r="B2" s="62"/>
      <c r="C2" s="62"/>
      <c r="D2" s="62"/>
      <c r="E2" s="62"/>
      <c r="F2" s="62"/>
      <c r="G2" s="2"/>
      <c r="H2" s="2"/>
    </row>
    <row r="3" spans="1:8" s="5" customFormat="1" ht="25.5" x14ac:dyDescent="0.2">
      <c r="A3" s="3" t="s">
        <v>2</v>
      </c>
      <c r="B3" s="3" t="s">
        <v>3</v>
      </c>
      <c r="C3" s="4" t="s">
        <v>4</v>
      </c>
      <c r="D3" s="3" t="s">
        <v>5</v>
      </c>
      <c r="E3" s="3" t="s">
        <v>6</v>
      </c>
      <c r="F3" s="3" t="s">
        <v>7</v>
      </c>
      <c r="G3" s="59" t="s">
        <v>8</v>
      </c>
      <c r="H3" s="60" t="s">
        <v>9</v>
      </c>
    </row>
    <row r="4" spans="1:8" ht="14.25" x14ac:dyDescent="0.3">
      <c r="A4" s="6" t="s">
        <v>10</v>
      </c>
      <c r="B4" s="7"/>
      <c r="C4" s="8"/>
      <c r="D4" s="9"/>
      <c r="E4" s="9"/>
      <c r="F4" s="10"/>
      <c r="G4" s="11"/>
      <c r="H4" s="12"/>
    </row>
    <row r="5" spans="1:8" ht="14.25" x14ac:dyDescent="0.3">
      <c r="A5" s="13" t="s">
        <v>11</v>
      </c>
      <c r="B5" s="7"/>
      <c r="C5" s="8"/>
      <c r="D5" s="9"/>
      <c r="E5" s="9"/>
      <c r="F5" s="10"/>
      <c r="G5" s="11"/>
      <c r="H5" s="12"/>
    </row>
    <row r="6" spans="1:8" s="18" customFormat="1" ht="14.25" x14ac:dyDescent="0.3">
      <c r="A6" s="14" t="s">
        <v>12</v>
      </c>
      <c r="B6" s="15" t="s">
        <v>13</v>
      </c>
      <c r="C6" s="16">
        <v>7655</v>
      </c>
      <c r="D6" s="17">
        <v>123.3105675</v>
      </c>
      <c r="E6" s="17">
        <f t="shared" ref="E6:E34" si="0">(+D6/$D$66*100)</f>
        <v>6.1932630959630135</v>
      </c>
      <c r="F6" s="17" t="s">
        <v>14</v>
      </c>
      <c r="G6" s="12"/>
      <c r="H6" s="12"/>
    </row>
    <row r="7" spans="1:8" s="18" customFormat="1" ht="14.25" x14ac:dyDescent="0.3">
      <c r="A7" s="14" t="s">
        <v>15</v>
      </c>
      <c r="B7" s="15" t="s">
        <v>16</v>
      </c>
      <c r="C7" s="16">
        <v>23000</v>
      </c>
      <c r="D7" s="17">
        <v>79.522499999999994</v>
      </c>
      <c r="E7" s="17">
        <f t="shared" si="0"/>
        <v>3.9940110124683246</v>
      </c>
      <c r="F7" s="17" t="s">
        <v>17</v>
      </c>
      <c r="G7" s="12"/>
      <c r="H7" s="11"/>
    </row>
    <row r="8" spans="1:8" s="18" customFormat="1" ht="14.25" x14ac:dyDescent="0.3">
      <c r="A8" s="14" t="s">
        <v>18</v>
      </c>
      <c r="B8" s="15" t="s">
        <v>19</v>
      </c>
      <c r="C8" s="16">
        <v>3200</v>
      </c>
      <c r="D8" s="17">
        <v>79.036799999999999</v>
      </c>
      <c r="E8" s="17">
        <f t="shared" si="0"/>
        <v>3.9696167699739879</v>
      </c>
      <c r="F8" s="17" t="s">
        <v>20</v>
      </c>
      <c r="G8" s="12"/>
      <c r="H8" s="11"/>
    </row>
    <row r="9" spans="1:8" s="18" customFormat="1" ht="14.25" x14ac:dyDescent="0.3">
      <c r="A9" s="14" t="s">
        <v>21</v>
      </c>
      <c r="B9" s="15" t="s">
        <v>22</v>
      </c>
      <c r="C9" s="16">
        <v>1850</v>
      </c>
      <c r="D9" s="17">
        <v>71.756874999999994</v>
      </c>
      <c r="E9" s="17">
        <f t="shared" si="0"/>
        <v>3.6039831364747461</v>
      </c>
      <c r="F9" s="17" t="s">
        <v>23</v>
      </c>
      <c r="G9" s="12"/>
      <c r="H9" s="12"/>
    </row>
    <row r="10" spans="1:8" s="18" customFormat="1" ht="14.25" x14ac:dyDescent="0.3">
      <c r="A10" s="14" t="s">
        <v>24</v>
      </c>
      <c r="B10" s="15" t="s">
        <v>16</v>
      </c>
      <c r="C10" s="16">
        <v>50000</v>
      </c>
      <c r="D10" s="17">
        <v>70.775000000000006</v>
      </c>
      <c r="E10" s="17">
        <f t="shared" si="0"/>
        <v>3.5546685454738687</v>
      </c>
      <c r="F10" s="17" t="s">
        <v>25</v>
      </c>
      <c r="G10" s="12"/>
      <c r="H10" s="11"/>
    </row>
    <row r="11" spans="1:8" s="18" customFormat="1" ht="14.25" x14ac:dyDescent="0.3">
      <c r="A11" s="14" t="s">
        <v>26</v>
      </c>
      <c r="B11" s="15" t="s">
        <v>22</v>
      </c>
      <c r="C11" s="16">
        <v>22000</v>
      </c>
      <c r="D11" s="17">
        <v>60.456000000000003</v>
      </c>
      <c r="E11" s="17">
        <f t="shared" si="0"/>
        <v>3.0363976204191903</v>
      </c>
      <c r="F11" s="17" t="s">
        <v>27</v>
      </c>
      <c r="G11" s="12"/>
      <c r="H11" s="12"/>
    </row>
    <row r="12" spans="1:8" s="18" customFormat="1" ht="14.25" x14ac:dyDescent="0.3">
      <c r="A12" s="14" t="s">
        <v>28</v>
      </c>
      <c r="B12" s="15" t="s">
        <v>13</v>
      </c>
      <c r="C12" s="16">
        <v>6050</v>
      </c>
      <c r="D12" s="17">
        <v>57.423575</v>
      </c>
      <c r="E12" s="17">
        <f t="shared" si="0"/>
        <v>2.8840943245660133</v>
      </c>
      <c r="F12" s="17" t="s">
        <v>29</v>
      </c>
      <c r="G12" s="12"/>
      <c r="H12" s="12"/>
    </row>
    <row r="13" spans="1:8" s="18" customFormat="1" ht="14.25" x14ac:dyDescent="0.3">
      <c r="A13" s="14" t="s">
        <v>30</v>
      </c>
      <c r="B13" s="15" t="s">
        <v>31</v>
      </c>
      <c r="C13" s="16">
        <v>690</v>
      </c>
      <c r="D13" s="17">
        <v>54.303345</v>
      </c>
      <c r="E13" s="17">
        <f t="shared" si="0"/>
        <v>2.7273810298200729</v>
      </c>
      <c r="F13" s="17" t="s">
        <v>32</v>
      </c>
      <c r="G13" s="12"/>
      <c r="H13" s="11"/>
    </row>
    <row r="14" spans="1:8" s="18" customFormat="1" ht="14.25" x14ac:dyDescent="0.3">
      <c r="A14" s="14" t="s">
        <v>33</v>
      </c>
      <c r="B14" s="15" t="s">
        <v>34</v>
      </c>
      <c r="C14" s="16">
        <v>3875</v>
      </c>
      <c r="D14" s="17">
        <v>51.084125</v>
      </c>
      <c r="E14" s="17">
        <f t="shared" si="0"/>
        <v>2.5656959704776443</v>
      </c>
      <c r="F14" s="17" t="s">
        <v>35</v>
      </c>
      <c r="G14" s="12"/>
      <c r="H14" s="19"/>
    </row>
    <row r="15" spans="1:8" s="18" customFormat="1" ht="14.25" x14ac:dyDescent="0.3">
      <c r="A15" s="14" t="s">
        <v>36</v>
      </c>
      <c r="B15" s="15" t="s">
        <v>37</v>
      </c>
      <c r="C15" s="16">
        <v>9450</v>
      </c>
      <c r="D15" s="17">
        <v>50.755949999999999</v>
      </c>
      <c r="E15" s="17">
        <f t="shared" si="0"/>
        <v>2.5492134081334421</v>
      </c>
      <c r="F15" s="17" t="s">
        <v>38</v>
      </c>
      <c r="G15" s="12"/>
      <c r="H15" s="11"/>
    </row>
    <row r="16" spans="1:8" s="18" customFormat="1" ht="14.25" x14ac:dyDescent="0.3">
      <c r="A16" s="14" t="s">
        <v>39</v>
      </c>
      <c r="B16" s="15" t="s">
        <v>40</v>
      </c>
      <c r="C16" s="16">
        <v>5500</v>
      </c>
      <c r="D16" s="17">
        <v>49.139749999999999</v>
      </c>
      <c r="E16" s="17">
        <f t="shared" si="0"/>
        <v>2.4680398962550267</v>
      </c>
      <c r="F16" s="17" t="s">
        <v>41</v>
      </c>
      <c r="G16" s="12"/>
      <c r="H16" s="11"/>
    </row>
    <row r="17" spans="1:8" s="18" customFormat="1" ht="14.25" x14ac:dyDescent="0.3">
      <c r="A17" s="14" t="s">
        <v>42</v>
      </c>
      <c r="B17" s="15" t="s">
        <v>31</v>
      </c>
      <c r="C17" s="16">
        <v>4371</v>
      </c>
      <c r="D17" s="17">
        <v>49.003280999999994</v>
      </c>
      <c r="E17" s="17">
        <f t="shared" si="0"/>
        <v>2.4611857519705715</v>
      </c>
      <c r="F17" s="17" t="s">
        <v>43</v>
      </c>
      <c r="G17" s="12"/>
      <c r="H17" s="12"/>
    </row>
    <row r="18" spans="1:8" s="18" customFormat="1" ht="14.25" x14ac:dyDescent="0.3">
      <c r="A18" s="14" t="s">
        <v>44</v>
      </c>
      <c r="B18" s="15" t="s">
        <v>45</v>
      </c>
      <c r="C18" s="16">
        <v>3600</v>
      </c>
      <c r="D18" s="17">
        <v>47.484000000000002</v>
      </c>
      <c r="E18" s="17">
        <f t="shared" si="0"/>
        <v>2.3848799888842271</v>
      </c>
      <c r="F18" s="17" t="s">
        <v>46</v>
      </c>
      <c r="G18" s="12"/>
      <c r="H18" s="11"/>
    </row>
    <row r="19" spans="1:8" s="18" customFormat="1" ht="14.25" x14ac:dyDescent="0.3">
      <c r="A19" s="14" t="s">
        <v>47</v>
      </c>
      <c r="B19" s="15" t="s">
        <v>37</v>
      </c>
      <c r="C19" s="16">
        <v>2100</v>
      </c>
      <c r="D19" s="17">
        <v>46.318649999999998</v>
      </c>
      <c r="E19" s="17">
        <f t="shared" si="0"/>
        <v>2.3263503811206383</v>
      </c>
      <c r="F19" s="17" t="s">
        <v>48</v>
      </c>
      <c r="G19" s="12"/>
      <c r="H19" s="11"/>
    </row>
    <row r="20" spans="1:8" s="18" customFormat="1" ht="14.25" x14ac:dyDescent="0.3">
      <c r="A20" s="14" t="s">
        <v>49</v>
      </c>
      <c r="B20" s="15" t="s">
        <v>13</v>
      </c>
      <c r="C20" s="16">
        <v>4900</v>
      </c>
      <c r="D20" s="17">
        <v>44.827649999999998</v>
      </c>
      <c r="E20" s="17">
        <f t="shared" si="0"/>
        <v>2.2514650289298714</v>
      </c>
      <c r="F20" s="17" t="s">
        <v>50</v>
      </c>
      <c r="G20" s="12"/>
      <c r="H20" s="12"/>
    </row>
    <row r="21" spans="1:8" s="18" customFormat="1" ht="14.25" x14ac:dyDescent="0.3">
      <c r="A21" s="14" t="s">
        <v>51</v>
      </c>
      <c r="B21" s="15" t="s">
        <v>34</v>
      </c>
      <c r="C21" s="16">
        <v>13000</v>
      </c>
      <c r="D21" s="17">
        <v>44.655000000000001</v>
      </c>
      <c r="E21" s="17">
        <f t="shared" si="0"/>
        <v>2.242793696900538</v>
      </c>
      <c r="F21" s="17" t="s">
        <v>52</v>
      </c>
      <c r="G21" s="12"/>
      <c r="H21" s="12"/>
    </row>
    <row r="22" spans="1:8" s="18" customFormat="1" ht="14.25" x14ac:dyDescent="0.3">
      <c r="A22" s="14" t="s">
        <v>53</v>
      </c>
      <c r="B22" s="15" t="s">
        <v>54</v>
      </c>
      <c r="C22" s="16">
        <v>1500</v>
      </c>
      <c r="D22" s="17">
        <v>44.504249999999999</v>
      </c>
      <c r="E22" s="17">
        <f t="shared" si="0"/>
        <v>2.2352222905673669</v>
      </c>
      <c r="F22" s="17" t="s">
        <v>55</v>
      </c>
      <c r="G22" s="12"/>
      <c r="H22" s="11"/>
    </row>
    <row r="23" spans="1:8" s="18" customFormat="1" ht="14.25" x14ac:dyDescent="0.3">
      <c r="A23" s="14" t="s">
        <v>56</v>
      </c>
      <c r="B23" s="15" t="s">
        <v>57</v>
      </c>
      <c r="C23" s="16">
        <v>9000</v>
      </c>
      <c r="D23" s="17">
        <v>43.497</v>
      </c>
      <c r="E23" s="17">
        <f t="shared" si="0"/>
        <v>2.184633242281552</v>
      </c>
      <c r="F23" s="17" t="s">
        <v>58</v>
      </c>
      <c r="G23" s="12"/>
      <c r="H23" s="11"/>
    </row>
    <row r="24" spans="1:8" s="18" customFormat="1" ht="14.25" x14ac:dyDescent="0.3">
      <c r="A24" s="14" t="s">
        <v>59</v>
      </c>
      <c r="B24" s="15" t="s">
        <v>60</v>
      </c>
      <c r="C24" s="16">
        <v>945</v>
      </c>
      <c r="D24" s="17">
        <v>41.707574999999999</v>
      </c>
      <c r="E24" s="17">
        <f t="shared" si="0"/>
        <v>2.0947595190461641</v>
      </c>
      <c r="F24" s="17" t="s">
        <v>61</v>
      </c>
      <c r="G24" s="12"/>
      <c r="H24" s="11"/>
    </row>
    <row r="25" spans="1:8" s="18" customFormat="1" ht="14.25" x14ac:dyDescent="0.3">
      <c r="A25" s="14" t="s">
        <v>62</v>
      </c>
      <c r="B25" s="15" t="s">
        <v>13</v>
      </c>
      <c r="C25" s="16">
        <v>48000</v>
      </c>
      <c r="D25" s="17">
        <v>41.472000000000001</v>
      </c>
      <c r="E25" s="17">
        <f t="shared" si="0"/>
        <v>2.082927784074776</v>
      </c>
      <c r="F25" s="17" t="s">
        <v>63</v>
      </c>
      <c r="G25" s="12"/>
      <c r="H25" s="12"/>
    </row>
    <row r="26" spans="1:8" s="18" customFormat="1" ht="14.25" x14ac:dyDescent="0.3">
      <c r="A26" s="14" t="s">
        <v>64</v>
      </c>
      <c r="B26" s="15" t="s">
        <v>65</v>
      </c>
      <c r="C26" s="16">
        <v>825</v>
      </c>
      <c r="D26" s="17">
        <v>41.106862499999998</v>
      </c>
      <c r="E26" s="17">
        <f t="shared" si="0"/>
        <v>2.0645887832125651</v>
      </c>
      <c r="F26" s="17" t="s">
        <v>66</v>
      </c>
      <c r="G26" s="12"/>
      <c r="H26" s="19"/>
    </row>
    <row r="27" spans="1:8" s="18" customFormat="1" ht="14.25" x14ac:dyDescent="0.3">
      <c r="A27" s="14" t="s">
        <v>67</v>
      </c>
      <c r="B27" s="15" t="s">
        <v>13</v>
      </c>
      <c r="C27" s="16">
        <v>13250</v>
      </c>
      <c r="D27" s="17">
        <v>41.035249999999998</v>
      </c>
      <c r="E27" s="17">
        <f t="shared" si="0"/>
        <v>2.0609920512985735</v>
      </c>
      <c r="F27" s="17" t="s">
        <v>68</v>
      </c>
      <c r="G27" s="12"/>
      <c r="H27" s="12"/>
    </row>
    <row r="28" spans="1:8" s="18" customFormat="1" ht="14.25" x14ac:dyDescent="0.3">
      <c r="A28" s="14" t="s">
        <v>69</v>
      </c>
      <c r="B28" s="15" t="s">
        <v>70</v>
      </c>
      <c r="C28" s="16">
        <v>2800</v>
      </c>
      <c r="D28" s="17">
        <v>38.928400000000003</v>
      </c>
      <c r="E28" s="17">
        <f t="shared" si="0"/>
        <v>1.9551756835835388</v>
      </c>
      <c r="F28" s="17" t="s">
        <v>71</v>
      </c>
      <c r="G28" s="12"/>
      <c r="H28" s="12"/>
    </row>
    <row r="29" spans="1:8" s="18" customFormat="1" ht="14.25" x14ac:dyDescent="0.3">
      <c r="A29" s="14" t="s">
        <v>72</v>
      </c>
      <c r="B29" s="15" t="s">
        <v>73</v>
      </c>
      <c r="C29" s="16">
        <v>7500</v>
      </c>
      <c r="D29" s="17">
        <v>37.994999999999997</v>
      </c>
      <c r="E29" s="17">
        <f t="shared" si="0"/>
        <v>1.9082957454649188</v>
      </c>
      <c r="F29" s="17" t="s">
        <v>74</v>
      </c>
      <c r="G29" s="12"/>
      <c r="H29" s="12"/>
    </row>
    <row r="30" spans="1:8" s="18" customFormat="1" ht="14.25" x14ac:dyDescent="0.3">
      <c r="A30" s="14" t="s">
        <v>75</v>
      </c>
      <c r="B30" s="15" t="s">
        <v>76</v>
      </c>
      <c r="C30" s="16">
        <v>18000</v>
      </c>
      <c r="D30" s="17">
        <v>37.664999999999999</v>
      </c>
      <c r="E30" s="17">
        <f t="shared" si="0"/>
        <v>1.8917215226460367</v>
      </c>
      <c r="F30" s="17" t="s">
        <v>77</v>
      </c>
      <c r="G30" s="12"/>
      <c r="H30" s="11"/>
    </row>
    <row r="31" spans="1:8" s="18" customFormat="1" ht="14.25" x14ac:dyDescent="0.3">
      <c r="A31" s="14" t="s">
        <v>78</v>
      </c>
      <c r="B31" s="15" t="s">
        <v>60</v>
      </c>
      <c r="C31" s="16">
        <v>2000</v>
      </c>
      <c r="D31" s="17">
        <v>35.198</v>
      </c>
      <c r="E31" s="17">
        <f t="shared" si="0"/>
        <v>1.7678166508454853</v>
      </c>
      <c r="F31" s="17" t="s">
        <v>79</v>
      </c>
      <c r="G31" s="12"/>
      <c r="H31" s="12"/>
    </row>
    <row r="32" spans="1:8" s="18" customFormat="1" ht="14.25" x14ac:dyDescent="0.3">
      <c r="A32" s="14" t="s">
        <v>80</v>
      </c>
      <c r="B32" s="15" t="s">
        <v>81</v>
      </c>
      <c r="C32" s="16">
        <v>1100</v>
      </c>
      <c r="D32" s="17">
        <v>34.287550000000003</v>
      </c>
      <c r="E32" s="17">
        <f t="shared" si="0"/>
        <v>1.7220893745865427</v>
      </c>
      <c r="F32" s="17" t="s">
        <v>82</v>
      </c>
      <c r="G32" s="12"/>
      <c r="H32" s="12"/>
    </row>
    <row r="33" spans="1:8" s="18" customFormat="1" ht="14.25" x14ac:dyDescent="0.3">
      <c r="A33" s="14" t="s">
        <v>83</v>
      </c>
      <c r="B33" s="15" t="s">
        <v>84</v>
      </c>
      <c r="C33" s="16">
        <v>6750</v>
      </c>
      <c r="D33" s="17">
        <v>26.507249999999999</v>
      </c>
      <c r="E33" s="17">
        <f t="shared" si="0"/>
        <v>1.3313244479266999</v>
      </c>
      <c r="F33" s="17" t="s">
        <v>85</v>
      </c>
      <c r="G33" s="12"/>
      <c r="H33" s="12"/>
    </row>
    <row r="34" spans="1:8" s="18" customFormat="1" ht="14.25" x14ac:dyDescent="0.3">
      <c r="A34" s="14" t="s">
        <v>86</v>
      </c>
      <c r="B34" s="15" t="s">
        <v>57</v>
      </c>
      <c r="C34" s="16">
        <v>4800</v>
      </c>
      <c r="D34" s="17">
        <v>20.793600000000001</v>
      </c>
      <c r="E34" s="17">
        <f t="shared" si="0"/>
        <v>1.0443568472930476</v>
      </c>
      <c r="F34" s="17" t="s">
        <v>87</v>
      </c>
      <c r="G34" s="12"/>
      <c r="H34" s="12"/>
    </row>
    <row r="35" spans="1:8" s="18" customFormat="1" ht="14.25" x14ac:dyDescent="0.3">
      <c r="A35" s="13" t="s">
        <v>88</v>
      </c>
      <c r="B35" s="15"/>
      <c r="C35" s="16"/>
      <c r="D35" s="20">
        <f>IF(ISERROR(SUM(D6:D34)),0,SUM(D6:D34))</f>
        <v>1464.5508059999997</v>
      </c>
      <c r="E35" s="20">
        <f>IF(ISERROR(SUM(E6:E34)),0,SUM(E6:E34))</f>
        <v>73.556943600658443</v>
      </c>
      <c r="F35" s="20"/>
      <c r="G35" s="12"/>
      <c r="H35" s="11"/>
    </row>
    <row r="36" spans="1:8" s="18" customFormat="1" ht="14.25" x14ac:dyDescent="0.3">
      <c r="A36" s="13"/>
      <c r="B36" s="13"/>
      <c r="C36" s="21"/>
      <c r="D36" s="22"/>
      <c r="E36" s="22"/>
      <c r="F36" s="22"/>
      <c r="G36" s="12"/>
      <c r="H36" s="11"/>
    </row>
    <row r="37" spans="1:8" s="18" customFormat="1" ht="14.25" x14ac:dyDescent="0.3">
      <c r="A37" s="13" t="s">
        <v>89</v>
      </c>
      <c r="B37" s="13"/>
      <c r="C37" s="21"/>
      <c r="D37" s="23" t="s">
        <v>90</v>
      </c>
      <c r="E37" s="23" t="s">
        <v>90</v>
      </c>
      <c r="F37" s="23"/>
      <c r="G37" s="12"/>
      <c r="H37" s="11"/>
    </row>
    <row r="38" spans="1:8" s="18" customFormat="1" ht="14.25" x14ac:dyDescent="0.3">
      <c r="A38" s="13"/>
      <c r="B38" s="6"/>
      <c r="C38" s="21"/>
      <c r="D38" s="23"/>
      <c r="E38" s="23"/>
      <c r="F38" s="24"/>
      <c r="G38" s="12"/>
      <c r="H38" s="11"/>
    </row>
    <row r="39" spans="1:8" s="18" customFormat="1" ht="14.25" x14ac:dyDescent="0.3">
      <c r="A39" s="13" t="s">
        <v>91</v>
      </c>
      <c r="B39" s="13"/>
      <c r="C39" s="21"/>
      <c r="D39" s="20">
        <f>IF(ISERROR(+D35),0,D35)+IF(ISERROR(+#REF!),0,#REF!)</f>
        <v>1464.5508059999997</v>
      </c>
      <c r="E39" s="20">
        <f>IF(ISERROR(+E35),0,E35)+IF(ISERROR(+#REF!),0,#REF!)</f>
        <v>73.556943600658443</v>
      </c>
      <c r="F39" s="25"/>
      <c r="G39" s="12"/>
      <c r="H39" s="11"/>
    </row>
    <row r="40" spans="1:8" s="18" customFormat="1" ht="14.25" x14ac:dyDescent="0.3">
      <c r="A40" s="13"/>
      <c r="B40" s="6"/>
      <c r="C40" s="21"/>
      <c r="D40" s="23"/>
      <c r="E40" s="23"/>
      <c r="F40" s="24"/>
      <c r="G40" s="12"/>
      <c r="H40" s="11"/>
    </row>
    <row r="41" spans="1:8" s="18" customFormat="1" ht="14.25" x14ac:dyDescent="0.3">
      <c r="A41" s="13" t="s">
        <v>92</v>
      </c>
      <c r="B41" s="6"/>
      <c r="C41" s="21"/>
      <c r="D41" s="23"/>
      <c r="E41" s="23"/>
      <c r="F41" s="24"/>
      <c r="G41" s="12"/>
      <c r="H41" s="11"/>
    </row>
    <row r="42" spans="1:8" s="18" customFormat="1" ht="14.25" x14ac:dyDescent="0.3">
      <c r="A42" s="13" t="s">
        <v>11</v>
      </c>
      <c r="B42" s="6"/>
      <c r="C42" s="21"/>
      <c r="D42" s="23" t="s">
        <v>90</v>
      </c>
      <c r="E42" s="23" t="s">
        <v>90</v>
      </c>
      <c r="F42" s="26"/>
      <c r="G42" s="12"/>
      <c r="H42" s="11"/>
    </row>
    <row r="43" spans="1:8" s="18" customFormat="1" ht="14.25" x14ac:dyDescent="0.3">
      <c r="A43" s="13"/>
      <c r="B43" s="6"/>
      <c r="C43" s="27"/>
      <c r="D43" s="26"/>
      <c r="E43" s="26"/>
      <c r="F43" s="26"/>
      <c r="G43" s="12"/>
      <c r="H43" s="11"/>
    </row>
    <row r="44" spans="1:8" s="18" customFormat="1" ht="14.25" x14ac:dyDescent="0.3">
      <c r="A44" s="13" t="s">
        <v>93</v>
      </c>
      <c r="B44" s="6"/>
      <c r="C44" s="27"/>
      <c r="D44" s="23" t="s">
        <v>90</v>
      </c>
      <c r="E44" s="23" t="s">
        <v>90</v>
      </c>
      <c r="F44" s="24"/>
      <c r="G44" s="12"/>
      <c r="H44" s="11"/>
    </row>
    <row r="45" spans="1:8" s="18" customFormat="1" ht="14.25" x14ac:dyDescent="0.3">
      <c r="A45" s="13"/>
      <c r="B45" s="6"/>
      <c r="C45" s="27"/>
      <c r="D45" s="23"/>
      <c r="E45" s="23"/>
      <c r="F45" s="23"/>
      <c r="G45" s="12"/>
      <c r="H45" s="11"/>
    </row>
    <row r="46" spans="1:8" s="18" customFormat="1" ht="14.25" x14ac:dyDescent="0.3">
      <c r="A46" s="13" t="s">
        <v>94</v>
      </c>
      <c r="B46" s="6"/>
      <c r="C46" s="27"/>
      <c r="D46" s="23"/>
      <c r="E46" s="23"/>
      <c r="F46" s="23"/>
      <c r="G46" s="12"/>
      <c r="H46" s="11"/>
    </row>
    <row r="47" spans="1:8" s="18" customFormat="1" ht="14.25" x14ac:dyDescent="0.3">
      <c r="A47" s="13"/>
      <c r="B47" s="6"/>
      <c r="C47" s="27"/>
      <c r="D47" s="17"/>
      <c r="E47" s="17"/>
      <c r="F47" s="28"/>
      <c r="G47" s="12"/>
      <c r="H47" s="11"/>
    </row>
    <row r="48" spans="1:8" s="18" customFormat="1" ht="14.25" x14ac:dyDescent="0.3">
      <c r="A48" s="13" t="s">
        <v>95</v>
      </c>
      <c r="B48" s="6"/>
      <c r="C48" s="27"/>
      <c r="D48" s="23" t="s">
        <v>90</v>
      </c>
      <c r="E48" s="23" t="s">
        <v>90</v>
      </c>
      <c r="F48" s="23"/>
      <c r="G48" s="12"/>
      <c r="H48" s="11"/>
    </row>
    <row r="49" spans="1:8" s="18" customFormat="1" ht="14.25" x14ac:dyDescent="0.3">
      <c r="A49" s="13"/>
      <c r="B49" s="6"/>
      <c r="C49" s="27"/>
      <c r="D49" s="23"/>
      <c r="E49" s="23"/>
      <c r="F49" s="23"/>
      <c r="G49" s="12"/>
      <c r="H49" s="11"/>
    </row>
    <row r="50" spans="1:8" s="18" customFormat="1" ht="14.25" x14ac:dyDescent="0.3">
      <c r="A50" s="13" t="s">
        <v>96</v>
      </c>
      <c r="B50" s="6"/>
      <c r="C50" s="27"/>
      <c r="D50" s="23" t="s">
        <v>90</v>
      </c>
      <c r="E50" s="23" t="s">
        <v>90</v>
      </c>
      <c r="F50" s="23"/>
      <c r="G50" s="12"/>
      <c r="H50" s="11"/>
    </row>
    <row r="51" spans="1:8" s="18" customFormat="1" ht="14.25" x14ac:dyDescent="0.3">
      <c r="A51" s="13"/>
      <c r="B51" s="6"/>
      <c r="C51" s="27"/>
      <c r="D51" s="23"/>
      <c r="E51" s="23"/>
      <c r="F51" s="23"/>
      <c r="G51" s="12"/>
      <c r="H51" s="11"/>
    </row>
    <row r="52" spans="1:8" s="18" customFormat="1" ht="14.25" x14ac:dyDescent="0.3">
      <c r="A52" s="13" t="s">
        <v>97</v>
      </c>
      <c r="B52" s="6"/>
      <c r="C52" s="27"/>
      <c r="D52" s="23"/>
      <c r="E52" s="23"/>
      <c r="F52" s="23"/>
      <c r="G52" s="12"/>
      <c r="H52" s="11"/>
    </row>
    <row r="53" spans="1:8" s="18" customFormat="1" ht="14.25" x14ac:dyDescent="0.3">
      <c r="A53" s="14" t="s">
        <v>98</v>
      </c>
      <c r="B53" s="15" t="s">
        <v>99</v>
      </c>
      <c r="C53" s="16">
        <v>100000</v>
      </c>
      <c r="D53" s="17">
        <v>101.8683</v>
      </c>
      <c r="E53" s="17">
        <f>(+D53/$D$66*100)</f>
        <v>5.116326976911278</v>
      </c>
      <c r="F53" s="17" t="s">
        <v>100</v>
      </c>
      <c r="G53" s="12">
        <v>6.9890999999999996</v>
      </c>
      <c r="H53" s="11"/>
    </row>
    <row r="54" spans="1:8" s="18" customFormat="1" ht="14.25" x14ac:dyDescent="0.3">
      <c r="A54" s="14" t="s">
        <v>101</v>
      </c>
      <c r="B54" s="15" t="s">
        <v>99</v>
      </c>
      <c r="C54" s="16">
        <v>100000</v>
      </c>
      <c r="D54" s="17">
        <v>101.59690000000001</v>
      </c>
      <c r="E54" s="17">
        <f>(+D54/$D$66*100)</f>
        <v>5.1026959342656877</v>
      </c>
      <c r="F54" s="17" t="s">
        <v>102</v>
      </c>
      <c r="G54" s="12">
        <v>6.9196999999999997</v>
      </c>
      <c r="H54" s="11"/>
    </row>
    <row r="55" spans="1:8" s="18" customFormat="1" ht="14.25" x14ac:dyDescent="0.3">
      <c r="A55" s="13" t="s">
        <v>88</v>
      </c>
      <c r="B55" s="6"/>
      <c r="C55" s="27"/>
      <c r="D55" s="23">
        <f>IF(ISERROR(SUM(D53:D54)),0,SUM(D53:D54))</f>
        <v>203.46520000000001</v>
      </c>
      <c r="E55" s="23">
        <f>IF(ISERROR(SUM(E53:E54)),0,SUM(E53:E54))</f>
        <v>10.219022911176966</v>
      </c>
      <c r="F55" s="29"/>
      <c r="G55" s="12"/>
      <c r="H55" s="11"/>
    </row>
    <row r="56" spans="1:8" s="18" customFormat="1" ht="14.25" x14ac:dyDescent="0.3">
      <c r="A56" s="13"/>
      <c r="B56" s="6"/>
      <c r="C56" s="27"/>
      <c r="D56" s="23"/>
      <c r="E56" s="23"/>
      <c r="F56" s="23"/>
      <c r="G56" s="12"/>
      <c r="H56" s="11"/>
    </row>
    <row r="57" spans="1:8" s="18" customFormat="1" ht="14.25" x14ac:dyDescent="0.3">
      <c r="A57" s="13" t="s">
        <v>103</v>
      </c>
      <c r="B57" s="6"/>
      <c r="C57" s="27"/>
      <c r="D57" s="23"/>
      <c r="E57" s="23"/>
      <c r="F57" s="24"/>
      <c r="G57" s="12"/>
      <c r="H57" s="11"/>
    </row>
    <row r="58" spans="1:8" s="18" customFormat="1" ht="14.25" x14ac:dyDescent="0.3">
      <c r="A58" s="13"/>
      <c r="B58" s="30"/>
      <c r="C58" s="31"/>
      <c r="D58" s="26"/>
      <c r="E58" s="26"/>
      <c r="F58" s="32"/>
      <c r="G58" s="12"/>
      <c r="H58" s="11"/>
    </row>
    <row r="59" spans="1:8" s="18" customFormat="1" ht="14.25" x14ac:dyDescent="0.3">
      <c r="A59" s="14" t="s">
        <v>104</v>
      </c>
      <c r="B59" s="15"/>
      <c r="C59" s="16">
        <v>0</v>
      </c>
      <c r="D59" s="17">
        <v>269.63640989999999</v>
      </c>
      <c r="E59" s="17">
        <f>(+D59/$D$66*100)</f>
        <v>13.542466478078824</v>
      </c>
      <c r="F59" s="17" t="s">
        <v>105</v>
      </c>
      <c r="G59" s="12">
        <v>6.2098000000000004</v>
      </c>
      <c r="H59" s="11"/>
    </row>
    <row r="60" spans="1:8" s="18" customFormat="1" ht="14.25" x14ac:dyDescent="0.3">
      <c r="A60" s="13" t="s">
        <v>88</v>
      </c>
      <c r="B60" s="6"/>
      <c r="C60" s="27"/>
      <c r="D60" s="23">
        <f>IF(ISERROR(SUM(D59:D59)),0,SUM(D59:D59))</f>
        <v>269.63640989999999</v>
      </c>
      <c r="E60" s="23">
        <f>IF(ISERROR(SUM(E59:E59)),0,SUM(E59:E59))</f>
        <v>13.542466478078824</v>
      </c>
      <c r="F60" s="17"/>
      <c r="G60" s="12"/>
      <c r="H60" s="11"/>
    </row>
    <row r="61" spans="1:8" s="18" customFormat="1" ht="14.25" x14ac:dyDescent="0.3">
      <c r="A61" s="13"/>
      <c r="B61" s="6"/>
      <c r="C61" s="27"/>
      <c r="D61" s="23"/>
      <c r="E61" s="23"/>
      <c r="F61" s="24"/>
      <c r="G61" s="12"/>
      <c r="H61" s="11"/>
    </row>
    <row r="62" spans="1:8" s="18" customFormat="1" ht="14.25" x14ac:dyDescent="0.3">
      <c r="A62" s="13" t="s">
        <v>91</v>
      </c>
      <c r="B62" s="6"/>
      <c r="C62" s="27" t="s">
        <v>106</v>
      </c>
      <c r="D62" s="23">
        <f>+IF(ISERROR(#REF!),0,#REF!)+IF(ISERROR(D60),0,D60)+IF(ISERROR(D39),0,D39)+IF(ISERROR(#REF!),0,#REF!)+IF(ISERROR(D55),0,D55)+IF(ISERROR(#REF!),0,#REF!)+IF(ISERROR(#REF!),0,#REF!)+IF(ISERROR(#REF!),0,#REF!)+IF(ISERROR(#REF!),0,#REF!)</f>
        <v>1937.6524158999998</v>
      </c>
      <c r="E62" s="23">
        <f>+IF(ISERROR(#REF!),0,#REF!)+IF(ISERROR(E60),0,E60)+IF(ISERROR(E39),0,E39)+IF(ISERROR(#REF!),0,#REF!)+IF(ISERROR(E55),0,E55)+IF(ISERROR(#REF!),0,#REF!)+IF(ISERROR(#REF!),0,#REF!)+IF(ISERROR(#REF!),0,#REF!)+IF(ISERROR(#REF!),0,#REF!)</f>
        <v>97.318432989914228</v>
      </c>
      <c r="F62" s="23"/>
      <c r="G62" s="12"/>
      <c r="H62" s="11"/>
    </row>
    <row r="63" spans="1:8" s="18" customFormat="1" ht="14.25" x14ac:dyDescent="0.3">
      <c r="A63" s="13"/>
      <c r="B63" s="6"/>
      <c r="C63" s="27"/>
      <c r="D63" s="23"/>
      <c r="E63" s="23"/>
      <c r="F63" s="33"/>
      <c r="G63" s="34"/>
      <c r="H63" s="35"/>
    </row>
    <row r="64" spans="1:8" s="18" customFormat="1" ht="14.25" x14ac:dyDescent="0.3">
      <c r="A64" s="13" t="s">
        <v>107</v>
      </c>
      <c r="B64" s="6"/>
      <c r="C64" s="27"/>
      <c r="D64" s="23">
        <f>+D66-D62</f>
        <v>53.391167899599623</v>
      </c>
      <c r="E64" s="23">
        <f>D64/$D$66*100</f>
        <v>2.6815670100857769</v>
      </c>
      <c r="F64" s="33"/>
      <c r="G64" s="34"/>
      <c r="H64" s="35"/>
    </row>
    <row r="65" spans="1:8" s="18" customFormat="1" ht="14.25" x14ac:dyDescent="0.3">
      <c r="A65" s="13"/>
      <c r="B65" s="6"/>
      <c r="C65" s="27"/>
      <c r="D65" s="26"/>
      <c r="E65" s="26"/>
      <c r="F65" s="33"/>
      <c r="G65" s="34"/>
      <c r="H65" s="35"/>
    </row>
    <row r="66" spans="1:8" s="18" customFormat="1" ht="14.25" x14ac:dyDescent="0.3">
      <c r="A66" s="13" t="s">
        <v>108</v>
      </c>
      <c r="B66" s="6"/>
      <c r="C66" s="27"/>
      <c r="D66" s="23">
        <v>1991.0435837995994</v>
      </c>
      <c r="E66" s="23">
        <f>+E62+E64</f>
        <v>100</v>
      </c>
      <c r="F66" s="33"/>
      <c r="G66" s="34"/>
      <c r="H66" s="35"/>
    </row>
    <row r="67" spans="1:8" s="18" customFormat="1" ht="14.25" x14ac:dyDescent="0.3">
      <c r="A67" s="36"/>
      <c r="B67" s="37"/>
      <c r="C67" s="38"/>
      <c r="D67" s="39"/>
      <c r="E67" s="39"/>
      <c r="F67" s="33"/>
      <c r="G67" s="34"/>
      <c r="H67" s="35"/>
    </row>
    <row r="68" spans="1:8" ht="13.5" x14ac:dyDescent="0.2">
      <c r="A68" s="63" t="s">
        <v>109</v>
      </c>
      <c r="B68" s="63"/>
      <c r="C68" s="63"/>
      <c r="D68" s="63"/>
      <c r="E68" s="63"/>
      <c r="F68" s="63"/>
      <c r="G68" s="63"/>
      <c r="H68" s="63"/>
    </row>
    <row r="69" spans="1:8" ht="24" customHeight="1" x14ac:dyDescent="0.2">
      <c r="A69" s="63" t="s">
        <v>110</v>
      </c>
      <c r="B69" s="63"/>
      <c r="C69" s="63"/>
      <c r="D69" s="63"/>
      <c r="E69" s="63"/>
      <c r="F69" s="63"/>
      <c r="G69" s="63"/>
      <c r="H69" s="63"/>
    </row>
    <row r="70" spans="1:8" ht="13.5" x14ac:dyDescent="0.2">
      <c r="A70" s="64" t="s">
        <v>111</v>
      </c>
      <c r="B70" s="64"/>
      <c r="C70" s="64"/>
      <c r="D70" s="64"/>
      <c r="E70" s="64"/>
      <c r="F70" s="64"/>
      <c r="G70" s="64"/>
      <c r="H70" s="64"/>
    </row>
    <row r="71" spans="1:8" ht="56.25" customHeight="1" x14ac:dyDescent="0.2">
      <c r="A71" s="65" t="s">
        <v>112</v>
      </c>
      <c r="B71" s="65"/>
      <c r="C71" s="65"/>
      <c r="D71" s="65"/>
      <c r="E71" s="65"/>
      <c r="F71" s="65"/>
      <c r="G71" s="65"/>
      <c r="H71" s="65"/>
    </row>
    <row r="72" spans="1:8" ht="14.25" x14ac:dyDescent="0.3">
      <c r="A72" s="40"/>
      <c r="B72" s="41"/>
      <c r="C72" s="42"/>
      <c r="D72" s="43"/>
      <c r="E72" s="44"/>
      <c r="F72" s="45"/>
      <c r="G72" s="46"/>
      <c r="H72" s="46"/>
    </row>
    <row r="73" spans="1:8" ht="14.25" x14ac:dyDescent="0.3">
      <c r="A73" s="47" t="s">
        <v>113</v>
      </c>
      <c r="B73" s="48"/>
      <c r="C73" s="48"/>
      <c r="D73" s="48"/>
      <c r="E73" s="45"/>
      <c r="F73" s="45"/>
      <c r="G73" s="45"/>
      <c r="H73" s="45"/>
    </row>
    <row r="74" spans="1:8" ht="14.25" x14ac:dyDescent="0.3">
      <c r="A74" s="49" t="s">
        <v>114</v>
      </c>
      <c r="B74" s="48"/>
      <c r="C74" s="48"/>
      <c r="D74" s="48"/>
      <c r="E74" s="45"/>
      <c r="F74" s="45"/>
      <c r="G74" s="45"/>
      <c r="H74" s="45"/>
    </row>
    <row r="75" spans="1:8" ht="14.25" x14ac:dyDescent="0.3">
      <c r="A75" s="49" t="s">
        <v>115</v>
      </c>
      <c r="B75" s="49"/>
      <c r="C75" s="49"/>
      <c r="D75" s="48"/>
      <c r="E75" s="45"/>
      <c r="F75" s="50"/>
      <c r="G75" s="45"/>
      <c r="H75" s="45"/>
    </row>
    <row r="76" spans="1:8" ht="14.25" x14ac:dyDescent="0.3">
      <c r="A76" s="49" t="s">
        <v>116</v>
      </c>
      <c r="B76" s="49"/>
      <c r="C76" s="49"/>
      <c r="D76" s="48"/>
      <c r="E76" s="45"/>
      <c r="F76" s="45"/>
      <c r="G76" s="45"/>
      <c r="H76" s="45"/>
    </row>
    <row r="77" spans="1:8" ht="14.25" x14ac:dyDescent="0.3">
      <c r="A77" s="51"/>
      <c r="B77" s="52"/>
      <c r="C77" s="53"/>
      <c r="D77" s="45"/>
      <c r="E77" s="45"/>
      <c r="F77" s="45"/>
      <c r="G77" s="45"/>
      <c r="H77" s="45"/>
    </row>
    <row r="78" spans="1:8" ht="14.25" x14ac:dyDescent="0.3">
      <c r="A78" s="54" t="s">
        <v>117</v>
      </c>
      <c r="B78" s="55" t="s">
        <v>118</v>
      </c>
      <c r="C78" s="48"/>
      <c r="D78" s="45"/>
      <c r="E78" s="45"/>
      <c r="F78" s="45"/>
      <c r="G78" s="45"/>
      <c r="H78" s="45"/>
    </row>
    <row r="79" spans="1:8" ht="14.25" x14ac:dyDescent="0.3">
      <c r="A79" s="51"/>
      <c r="B79" s="52"/>
      <c r="C79" s="53"/>
      <c r="D79" s="45"/>
      <c r="E79" s="45"/>
      <c r="F79" s="45"/>
      <c r="G79" s="45"/>
      <c r="H79" s="45"/>
    </row>
    <row r="80" spans="1:8" ht="14.25" x14ac:dyDescent="0.3">
      <c r="A80" s="51"/>
      <c r="B80" s="52"/>
      <c r="C80" s="53"/>
      <c r="D80" s="45"/>
      <c r="E80" s="45"/>
      <c r="F80" s="45"/>
      <c r="G80" s="45"/>
      <c r="H80" s="45"/>
    </row>
    <row r="81" spans="1:8" ht="14.25" x14ac:dyDescent="0.3">
      <c r="A81" s="51"/>
      <c r="B81" s="52"/>
      <c r="C81" s="53"/>
      <c r="D81" s="45"/>
      <c r="E81" s="45"/>
      <c r="F81" s="45"/>
      <c r="G81" s="45"/>
      <c r="H81" s="45"/>
    </row>
    <row r="82" spans="1:8" ht="14.25" x14ac:dyDescent="0.3">
      <c r="A82" s="51"/>
      <c r="B82" s="52"/>
      <c r="C82" s="53"/>
      <c r="D82" s="45"/>
      <c r="E82" s="45"/>
      <c r="F82" s="45"/>
      <c r="G82" s="45"/>
      <c r="H82" s="45"/>
    </row>
    <row r="83" spans="1:8" ht="14.25" x14ac:dyDescent="0.3">
      <c r="A83" s="51"/>
      <c r="B83" s="52"/>
      <c r="C83" s="53"/>
      <c r="D83" s="45"/>
      <c r="E83" s="45"/>
      <c r="F83" s="45"/>
      <c r="G83" s="45"/>
      <c r="H83" s="45"/>
    </row>
    <row r="84" spans="1:8" ht="14.25" x14ac:dyDescent="0.3">
      <c r="A84" s="51"/>
      <c r="B84" s="52"/>
      <c r="C84" s="53"/>
      <c r="D84" s="45"/>
      <c r="E84" s="45"/>
      <c r="F84" s="45"/>
      <c r="G84" s="45"/>
      <c r="H84" s="45"/>
    </row>
    <row r="85" spans="1:8" ht="14.25" x14ac:dyDescent="0.3">
      <c r="A85" s="51"/>
      <c r="B85" s="52"/>
      <c r="C85" s="53"/>
      <c r="D85" s="45"/>
      <c r="E85" s="45"/>
      <c r="F85" s="45"/>
      <c r="G85" s="45"/>
      <c r="H85" s="45"/>
    </row>
  </sheetData>
  <mergeCells count="6">
    <mergeCell ref="A71:H71"/>
    <mergeCell ref="A1:H1"/>
    <mergeCell ref="A2:F2"/>
    <mergeCell ref="A68:H68"/>
    <mergeCell ref="A69:H69"/>
    <mergeCell ref="A70:H7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Equity Hybrid Fund</vt:lpstr>
      <vt:lpstr>'JM Equity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Santosh Parab</cp:lastModifiedBy>
  <dcterms:created xsi:type="dcterms:W3CDTF">2023-06-01T18:19:54Z</dcterms:created>
  <dcterms:modified xsi:type="dcterms:W3CDTF">2023-06-05T05:49:42Z</dcterms:modified>
</cp:coreProperties>
</file>