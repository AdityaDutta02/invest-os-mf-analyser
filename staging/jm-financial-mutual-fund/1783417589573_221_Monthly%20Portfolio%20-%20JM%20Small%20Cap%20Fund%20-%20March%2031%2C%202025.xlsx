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Small Cap Fund" sheetId="1" r:id="rId1"/>
  </sheets>
  <definedNames>
    <definedName name="_xlnm._FilterDatabase" localSheetId="0" hidden="1">'JM Small Cap Fund'!$A$4:$H$88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8" i="1" l="1"/>
  <c r="D88" i="1"/>
  <c r="E87" i="1" l="1"/>
  <c r="D87" i="1"/>
  <c r="E82" i="1"/>
  <c r="D82" i="1"/>
  <c r="E63" i="1"/>
  <c r="E68" i="1" s="1"/>
  <c r="D63" i="1"/>
  <c r="D68" i="1" s="1"/>
</calcChain>
</file>

<file path=xl/sharedStrings.xml><?xml version="1.0" encoding="utf-8"?>
<sst xmlns="http://schemas.openxmlformats.org/spreadsheetml/2006/main" count="227" uniqueCount="175">
  <si>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</si>
  <si>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</si>
  <si>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</si>
  <si>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</si>
  <si>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</si>
  <si>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</si>
  <si>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</si>
  <si>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</si>
  <si>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</si>
  <si>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</si>
  <si>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</si>
  <si>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</si>
  <si>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</si>
  <si>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</si>
  <si>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</si>
  <si>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</si>
  <si>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</si>
  <si>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</si>
  <si>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</si>
  <si>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</si>
  <si>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Small Cap Fund (An open ended equity scheme predominantly investing in small cap stocks.)</t>
  </si>
  <si>
    <t>JM Financial Mutual Fund</t>
  </si>
  <si>
    <t>Equity &amp; Equity related</t>
  </si>
  <si>
    <t>a) Listed / awaiting listing on Stock Exchanges</t>
  </si>
  <si>
    <t>INE794A01010</t>
  </si>
  <si>
    <t>INE00FF01017</t>
  </si>
  <si>
    <t>INE260B01028</t>
  </si>
  <si>
    <t>INE048G01026</t>
  </si>
  <si>
    <t>INE953L01027</t>
  </si>
  <si>
    <t>INE462A01022</t>
  </si>
  <si>
    <t>INE0CLI01024</t>
  </si>
  <si>
    <t>INE013P01021</t>
  </si>
  <si>
    <t>INE128S01021</t>
  </si>
  <si>
    <t>INE457L01029</t>
  </si>
  <si>
    <t>INE495P01012</t>
  </si>
  <si>
    <t>INE725G01011</t>
  </si>
  <si>
    <t>INE684F01012</t>
  </si>
  <si>
    <t>INE291A01017</t>
  </si>
  <si>
    <t>INE552Z01027</t>
  </si>
  <si>
    <t>INE063P01018</t>
  </si>
  <si>
    <t>Construction</t>
  </si>
  <si>
    <t>INE211R01019</t>
  </si>
  <si>
    <t>INE371P01015</t>
  </si>
  <si>
    <t>INE220B01022</t>
  </si>
  <si>
    <t>INE0LCL01028</t>
  </si>
  <si>
    <t>INE142Z01019</t>
  </si>
  <si>
    <t>INE939A01011</t>
  </si>
  <si>
    <t>INE619B01017</t>
  </si>
  <si>
    <t>INE0V7W01012</t>
  </si>
  <si>
    <t>INE052I01032</t>
  </si>
  <si>
    <t>INE153T01027</t>
  </si>
  <si>
    <t>INE08U801020</t>
  </si>
  <si>
    <t>INE836A01035</t>
  </si>
  <si>
    <t>INE472A01039</t>
  </si>
  <si>
    <t>INE508G01029</t>
  </si>
  <si>
    <t>INE09XN01023</t>
  </si>
  <si>
    <t>INE244B01030</t>
  </si>
  <si>
    <t>INE596I01012</t>
  </si>
  <si>
    <t>INE464A01036</t>
  </si>
  <si>
    <t>INE883F01010</t>
  </si>
  <si>
    <t>INE483B01026</t>
  </si>
  <si>
    <t>INE07T201019</t>
  </si>
  <si>
    <t>INE085A01013</t>
  </si>
  <si>
    <t>INE085J01014</t>
  </si>
  <si>
    <t>INE501A01019</t>
  </si>
  <si>
    <t>INE350C01017</t>
  </si>
  <si>
    <t>INE635Q01029</t>
  </si>
  <si>
    <t>Healthcare Services</t>
  </si>
  <si>
    <t>INE168A01041</t>
  </si>
  <si>
    <t>INE106T01025</t>
  </si>
  <si>
    <t>INE191A01027</t>
  </si>
  <si>
    <t>INE732A01036</t>
  </si>
  <si>
    <t>INE877V01027</t>
  </si>
  <si>
    <t>INE217A01012</t>
  </si>
  <si>
    <t>INE474Q01031</t>
  </si>
  <si>
    <t>INE435G01025</t>
  </si>
  <si>
    <t>INE385C01021</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</si>
  <si>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</si>
  <si>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</si>
  <si>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</si>
  <si>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</si>
  <si>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</si>
  <si>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</si>
  <si>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</si>
  <si>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</si>
  <si>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</si>
  <si>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</si>
  <si>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</si>
  <si>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GRAND TOTAL</t>
  </si>
  <si>
    <t>Consumer Durables</t>
  </si>
  <si>
    <t>Pharmaceuticals &amp; Biotechnology</t>
  </si>
  <si>
    <t>Cigarettes &amp; Tobacco Products</t>
  </si>
  <si>
    <t>Chemicals &amp; Petrochemicals</t>
  </si>
  <si>
    <t>Banks</t>
  </si>
  <si>
    <t>Fertilizers &amp; Agrochemicals</t>
  </si>
  <si>
    <t>IT - Software</t>
  </si>
  <si>
    <t>Finance</t>
  </si>
  <si>
    <t>Food Products</t>
  </si>
  <si>
    <t>Capital Markets</t>
  </si>
  <si>
    <t>Commercial Services &amp; Supplies</t>
  </si>
  <si>
    <t>Industrial Products</t>
  </si>
  <si>
    <t>Beverages</t>
  </si>
  <si>
    <t>Electrical Equipment</t>
  </si>
  <si>
    <t>Auto Components</t>
  </si>
  <si>
    <t>Leisure Services</t>
  </si>
  <si>
    <t>Textiles &amp; Apparels</t>
  </si>
  <si>
    <t>Telecom - Equipment &amp; Accessories</t>
  </si>
  <si>
    <t>Petroleum Products</t>
  </si>
  <si>
    <t>Agricultural Food &amp; other Products</t>
  </si>
  <si>
    <t>Ferrous Metals</t>
  </si>
  <si>
    <t>Cash &amp; Cash Equivalents</t>
  </si>
  <si>
    <t>Net Receivable/Payable</t>
  </si>
  <si>
    <t>INE741K01010</t>
  </si>
  <si>
    <t>INE660A01013</t>
  </si>
  <si>
    <t>INE299U01018</t>
  </si>
  <si>
    <t>INE348B01021</t>
  </si>
  <si>
    <t>CCIL</t>
  </si>
  <si>
    <t>Monthly Portfolio Statement for the period ended 31.03.2025</t>
  </si>
  <si>
    <t>Godfrey Phillips India Limited</t>
  </si>
  <si>
    <t>AMI ORGANICS LIMITED</t>
  </si>
  <si>
    <t>Navin Fluorine International Limited</t>
  </si>
  <si>
    <t>Jana Small Finance Bank Ltd</t>
  </si>
  <si>
    <t>Amber Enterprises India Limited</t>
  </si>
  <si>
    <t>Garware Polyester Limited</t>
  </si>
  <si>
    <t>FIRSTSOURCE SOLUTIONS LTD</t>
  </si>
  <si>
    <t>Neuland Laboratories Ltd</t>
  </si>
  <si>
    <t>BLUE STAR LTD</t>
  </si>
  <si>
    <t>One Source Specialty Pharma Ltd</t>
  </si>
  <si>
    <t>PG Electroplast Limited</t>
  </si>
  <si>
    <t>POWER MECH PROJECTS LIMITED</t>
  </si>
  <si>
    <t>Sundaram Finance Limited</t>
  </si>
  <si>
    <t>Bayer Cropscience Limited</t>
  </si>
  <si>
    <t>Computer Age Management Services Limited</t>
  </si>
  <si>
    <t>Camlin Fine Sciences Limited</t>
  </si>
  <si>
    <t>Restaurant Brands Asia Limited</t>
  </si>
  <si>
    <t>KALPATARU POWER TRANSMISSION LTD</t>
  </si>
  <si>
    <t>The Jammu &amp; Kashmir Bank Limited</t>
  </si>
  <si>
    <t>AVALON TECHNOLOGIES LIMITED</t>
  </si>
  <si>
    <t>ICRA LIMITED</t>
  </si>
  <si>
    <t>Mrs Bectors Food Specialities Ltd</t>
  </si>
  <si>
    <t>Newgen Software Technologies Limited</t>
  </si>
  <si>
    <t>Strides Pharma Science Ltd</t>
  </si>
  <si>
    <t>RATEGAIN TRAVEL TECHNOLOGIES LIMITED</t>
  </si>
  <si>
    <t>EQUITAS SMALL FINANCE BANK LIMITED</t>
  </si>
  <si>
    <t>Creditaccess Grameen Limited</t>
  </si>
  <si>
    <t>Allied Blenders and Distillers Limited</t>
  </si>
  <si>
    <t>Thangamayil Jewellery Limited</t>
  </si>
  <si>
    <t>KIRLOSKAR BROTHERS LIMITED</t>
  </si>
  <si>
    <t>FIVE-STAR BUSINESS FINANCE LIMITED</t>
  </si>
  <si>
    <t>SARDA ENERGY &amp; MINERALS LTD</t>
  </si>
  <si>
    <t>Ventive Hospitality Limited</t>
  </si>
  <si>
    <t>GLOBAL HEALTH LIMITED</t>
  </si>
  <si>
    <t>Aadhar Housing Finance Limited</t>
  </si>
  <si>
    <t>Orient Electric Limited</t>
  </si>
  <si>
    <t>Dhanuka Agritech Limited</t>
  </si>
  <si>
    <t>Century Plyboards (India) Limited</t>
  </si>
  <si>
    <t>Akums Drugs and Pharmaceuticals Limited</t>
  </si>
  <si>
    <t>Deepak Fertilizers and Petro. Corp. Ltd</t>
  </si>
  <si>
    <t>Birlasoft Ltd</t>
  </si>
  <si>
    <t>Bharat Bijlee Ltd.</t>
  </si>
  <si>
    <t>Patel Engineering Limited</t>
  </si>
  <si>
    <t>Crompton Greaves Consumer Electrical Ltd</t>
  </si>
  <si>
    <t>BLS International Services Limited</t>
  </si>
  <si>
    <t>INDO COUNT INDUSTRIES LIMITED</t>
  </si>
  <si>
    <t>Time Technoplast Limited</t>
  </si>
  <si>
    <t>Hi-Tech Pipes Limited</t>
  </si>
  <si>
    <t>Carraro India Ltd</t>
  </si>
  <si>
    <t>Chambal Fertilizers &amp; Chemicals Limited</t>
  </si>
  <si>
    <t>Suraksha Diagnostic Limited</t>
  </si>
  <si>
    <t>ZUARI INDUSTRIES LIMITED</t>
  </si>
  <si>
    <t>OPTIEMUS INFRACOM LIMITED</t>
  </si>
  <si>
    <t>Orchid Pharma Limited</t>
  </si>
  <si>
    <t>Samhi Hotels Limited</t>
  </si>
  <si>
    <t>Gulf Oil Lubricants India Limited</t>
  </si>
  <si>
    <t>INE781S01027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</si>
</sst>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ont>
    <font>
      <sz val="10"/>
      <name val="Times New Roman"/>
      <family val="1"/>
    </font>
    <font>
      <sz val="10"/>
      <name val="Arial"/>
      <family val="2"/>
    </font>
    <font>
      <b/>
      <sz val="10"/>
      <name val="Times New Roman"/>
      <family val="1"/>
    </font>
    <font>
      <b/>
      <sz val="8"/>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7" fillId="0" borderId="0"/>
    <xf numFmtId="0" fontId="2" fillId="0" borderId="0"/>
    <xf numFmtId="9" fontId="13" fillId="0" borderId="0" applyFont="0" applyFill="0" applyBorder="0" applyAlignment="0" applyProtection="0"/>
  </cellStyleXfs>
  <cellXfs count="5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wrapText="1"/>
    </xf>
    <xf numFmtId="0" fontId="4"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5" fillId="0" borderId="0" xfId="2" applyFont="1"/>
    <xf numFmtId="0" fontId="6" fillId="0" borderId="0" xfId="2" applyFont="1" applyAlignment="1">
      <alignment horizontal="left" wrapText="1"/>
    </xf>
    <xf numFmtId="0" fontId="8" fillId="0" borderId="0" xfId="3" applyFont="1"/>
    <xf numFmtId="0" fontId="9" fillId="0" borderId="0" xfId="2" applyFont="1" applyAlignment="1">
      <alignment horizontal="left"/>
    </xf>
    <xf numFmtId="0" fontId="9" fillId="0" borderId="0" xfId="2" applyFont="1"/>
    <xf numFmtId="0" fontId="9" fillId="0" borderId="0" xfId="2" applyFont="1" applyAlignment="1">
      <alignment horizontal="center"/>
    </xf>
    <xf numFmtId="0" fontId="10" fillId="0" borderId="0" xfId="4" applyFont="1" applyAlignment="1">
      <alignment horizontal="center"/>
    </xf>
    <xf numFmtId="0" fontId="5" fillId="0" borderId="0" xfId="2" applyFont="1" applyAlignment="1">
      <alignment horizontal="right"/>
    </xf>
    <xf numFmtId="0" fontId="10" fillId="0" borderId="0" xfId="3" applyFont="1"/>
    <xf numFmtId="165" fontId="5" fillId="0" borderId="0" xfId="5" applyNumberFormat="1" applyFont="1" applyFill="1" applyBorder="1"/>
    <xf numFmtId="0" fontId="5" fillId="0" borderId="0" xfId="2" applyFont="1" applyAlignment="1">
      <alignment horizontal="left" wrapText="1"/>
    </xf>
    <xf numFmtId="0" fontId="5" fillId="0" borderId="0" xfId="2" applyFont="1" applyAlignment="1">
      <alignment wrapText="1"/>
    </xf>
    <xf numFmtId="0" fontId="5" fillId="0" borderId="0" xfId="0" applyFont="1"/>
    <xf numFmtId="0" fontId="5" fillId="0" borderId="0" xfId="0" applyFont="1" applyAlignment="1">
      <alignment horizontal="right"/>
    </xf>
    <xf numFmtId="164" fontId="9" fillId="0" borderId="0" xfId="1" applyFont="1" applyFill="1" applyBorder="1" applyAlignment="1">
      <alignment horizontal="right"/>
    </xf>
    <xf numFmtId="165" fontId="9" fillId="0" borderId="0" xfId="1" applyNumberFormat="1" applyFont="1" applyFill="1" applyBorder="1" applyAlignment="1">
      <alignment horizontal="right"/>
    </xf>
    <xf numFmtId="0" fontId="9" fillId="0" borderId="0" xfId="0" applyFont="1" applyAlignment="1">
      <alignment horizontal="left" wrapText="1"/>
    </xf>
    <xf numFmtId="0" fontId="9" fillId="0" borderId="0" xfId="0" applyFont="1" applyAlignment="1">
      <alignment wrapText="1"/>
    </xf>
    <xf numFmtId="166" fontId="5" fillId="0" borderId="1" xfId="0" applyNumberFormat="1" applyFont="1" applyBorder="1"/>
    <xf numFmtId="0" fontId="5" fillId="0" borderId="1" xfId="0" applyFont="1" applyBorder="1"/>
    <xf numFmtId="0" fontId="5" fillId="0" borderId="1" xfId="0" applyFont="1" applyBorder="1" applyAlignment="1">
      <alignment horizontal="center"/>
    </xf>
    <xf numFmtId="0" fontId="9" fillId="0" borderId="1" xfId="0" applyFont="1" applyBorder="1" applyAlignment="1">
      <alignment horizontal="center" wrapText="1"/>
    </xf>
    <xf numFmtId="165" fontId="5" fillId="0" borderId="1" xfId="1" applyNumberFormat="1" applyFont="1" applyFill="1" applyBorder="1" applyAlignment="1">
      <alignment horizontal="center"/>
    </xf>
    <xf numFmtId="0" fontId="5" fillId="0" borderId="1" xfId="0" applyFont="1" applyBorder="1" applyAlignment="1">
      <alignment horizontal="center" wrapText="1"/>
    </xf>
    <xf numFmtId="0" fontId="9" fillId="0" borderId="1" xfId="0" applyFont="1" applyBorder="1" applyAlignment="1">
      <alignment horizontal="left" wrapText="1"/>
    </xf>
    <xf numFmtId="0" fontId="1" fillId="0" borderId="0" xfId="0" applyFont="1" applyAlignment="1">
      <alignment horizontal="center"/>
    </xf>
    <xf numFmtId="0" fontId="9" fillId="0" borderId="1" xfId="0" applyFont="1" applyBorder="1" applyAlignment="1">
      <alignment horizontal="center" vertical="center" wrapText="1"/>
    </xf>
    <xf numFmtId="165" fontId="9" fillId="0" borderId="1" xfId="1" applyNumberFormat="1" applyFont="1" applyFill="1" applyBorder="1" applyAlignment="1">
      <alignment horizontal="center" vertical="center"/>
    </xf>
    <xf numFmtId="0" fontId="9" fillId="0" borderId="1" xfId="0" applyFont="1" applyBorder="1" applyAlignment="1">
      <alignment horizontal="left" vertical="center" wrapText="1"/>
    </xf>
    <xf numFmtId="4" fontId="9" fillId="0" borderId="1" xfId="0" applyNumberFormat="1" applyFont="1" applyBorder="1" applyAlignment="1">
      <alignment horizontal="center" wrapText="1"/>
    </xf>
    <xf numFmtId="10" fontId="9" fillId="0" borderId="1" xfId="0" applyNumberFormat="1" applyFont="1" applyBorder="1" applyAlignment="1">
      <alignment horizontal="center" wrapText="1"/>
    </xf>
    <xf numFmtId="0" fontId="5" fillId="0" borderId="1" xfId="0" applyFont="1" applyBorder="1" applyAlignment="1">
      <alignment horizontal="left" wrapText="1"/>
    </xf>
    <xf numFmtId="4" fontId="5" fillId="0" borderId="1" xfId="0" applyNumberFormat="1" applyFont="1" applyBorder="1" applyAlignment="1">
      <alignment horizontal="center" wrapText="1"/>
    </xf>
    <xf numFmtId="10" fontId="5" fillId="0" borderId="1" xfId="0" applyNumberFormat="1" applyFont="1" applyBorder="1" applyAlignment="1">
      <alignment horizontal="center" wrapText="1"/>
    </xf>
    <xf numFmtId="0" fontId="9" fillId="0" borderId="1" xfId="2" applyFont="1" applyBorder="1" applyAlignment="1">
      <alignment wrapText="1"/>
    </xf>
    <xf numFmtId="0" fontId="5" fillId="0" borderId="1" xfId="2" applyFont="1" applyBorder="1" applyAlignment="1">
      <alignment wrapText="1"/>
    </xf>
    <xf numFmtId="10" fontId="9" fillId="0" borderId="1" xfId="8" applyNumberFormat="1" applyFont="1" applyBorder="1" applyAlignment="1">
      <alignment horizontal="center" wrapText="1"/>
    </xf>
    <xf numFmtId="10" fontId="5" fillId="0" borderId="1" xfId="0" applyNumberFormat="1" applyFont="1" applyBorder="1"/>
    <xf numFmtId="0" fontId="11" fillId="0" borderId="0" xfId="6" applyFont="1" applyAlignment="1">
      <alignment horizontal="left" vertical="top" wrapText="1"/>
    </xf>
    <xf numFmtId="0" fontId="4" fillId="0" borderId="0" xfId="2" applyFont="1" applyAlignment="1">
      <alignment horizontal="center" wrapText="1"/>
    </xf>
    <xf numFmtId="0" fontId="12" fillId="2" borderId="3" xfId="2" applyFont="1" applyFill="1" applyBorder="1" applyAlignment="1">
      <alignment horizontal="center" vertical="center"/>
    </xf>
    <xf numFmtId="0" fontId="12" fillId="2" borderId="0" xfId="2" applyFont="1" applyFill="1" applyAlignment="1">
      <alignment horizontal="center" vertical="center" wrapText="1"/>
    </xf>
    <xf numFmtId="0" fontId="12" fillId="2" borderId="2" xfId="2" applyFont="1" applyFill="1" applyBorder="1" applyAlignment="1">
      <alignment horizontal="center" vertical="center" wrapText="1"/>
    </xf>
    <xf numFmtId="0" fontId="5" fillId="0" borderId="0" xfId="7" applyFont="1" applyAlignment="1">
      <alignment horizontal="left" vertical="top" wrapText="1"/>
    </xf>
    <xf numFmtId="0" fontId="5" fillId="0" borderId="0" xfId="7" applyFont="1" applyAlignment="1">
      <alignment vertical="top" wrapText="1"/>
    </xf>
    <xf numFmtId="0" fontId="8" fillId="0" borderId="0" xfId="6" applyFont="1" applyAlignment="1">
      <alignment horizontal="left" vertical="top" wrapText="1"/>
    </xf>
  </cellXfs>
  <cellStyles count="9">
    <cellStyle name="Comma" xfId="1" builtinId="3"/>
    <cellStyle name="Comma 4" xfId="5"/>
    <cellStyle name="Normal" xfId="0" builtinId="0"/>
    <cellStyle name="Normal 2 2 2" xfId="2"/>
    <cellStyle name="Normal 2 3 2" xfId="7"/>
    <cellStyle name="Normal 4_IF" xfId="4"/>
    <cellStyle name="Normal 4_LD" xfId="6"/>
    <cellStyle name="Normal 4_TG" xfId="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409575</xdr:colOff>
      <xdr:row>100</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71450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1200150</xdr:colOff>
      <xdr:row>100</xdr:row>
      <xdr:rowOff>28575</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717357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1"/>
  <sheetViews>
    <sheetView tabSelected="1" topLeftCell="A64" zoomScaleNormal="100" workbookViewId="0">
      <selection activeCell="G81" sqref="G81"/>
    </sheetView>
  </sheetViews>
  <sheetFormatPr defaultColWidth="9.140625" defaultRowHeight="12.75" x14ac:dyDescent="0.2"/>
  <cols>
    <col min="1" max="1" width="50.7109375" style="4" customWidth="1"/>
    <col min="2" max="2" width="32.85546875" style="3" customWidth="1"/>
    <col min="3" max="3" width="13.42578125" style="2" customWidth="1"/>
    <col min="4" max="4" width="14.14062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50" t="s">
        <v>21</v>
      </c>
      <c r="B1" s="50"/>
      <c r="C1" s="50"/>
      <c r="D1" s="50"/>
      <c r="E1" s="50"/>
      <c r="F1" s="50"/>
      <c r="G1" s="50"/>
      <c r="H1" s="50"/>
    </row>
    <row r="2" spans="1:8" x14ac:dyDescent="0.2">
      <c r="A2" s="51" t="s">
        <v>20</v>
      </c>
      <c r="B2" s="51"/>
      <c r="C2" s="51"/>
      <c r="D2" s="51"/>
      <c r="E2" s="51"/>
      <c r="F2" s="51"/>
      <c r="G2" s="51"/>
      <c r="H2" s="51"/>
    </row>
    <row r="3" spans="1:8" ht="12.75" customHeight="1" x14ac:dyDescent="0.2">
      <c r="A3" s="52" t="s">
        <v>117</v>
      </c>
      <c r="B3" s="52"/>
      <c r="C3" s="52"/>
      <c r="D3" s="52"/>
      <c r="E3" s="52"/>
      <c r="F3" s="52"/>
      <c r="G3" s="52"/>
      <c r="H3" s="52"/>
    </row>
    <row r="4" spans="1:8" s="35" customFormat="1" ht="25.5" x14ac:dyDescent="0.2">
      <c r="A4" s="36" t="s">
        <v>19</v>
      </c>
      <c r="B4" s="38" t="s">
        <v>18</v>
      </c>
      <c r="C4" s="37" t="s">
        <v>17</v>
      </c>
      <c r="D4" s="36" t="s">
        <v>16</v>
      </c>
      <c r="E4" s="36" t="s">
        <v>15</v>
      </c>
      <c r="F4" s="36" t="s">
        <v>14</v>
      </c>
      <c r="G4" s="36" t="s">
        <v>13</v>
      </c>
      <c r="H4" s="36" t="s">
        <v>12</v>
      </c>
    </row>
    <row r="5" spans="1:8" ht="14.25" x14ac:dyDescent="0.3">
      <c r="A5" s="34" t="s">
        <v>22</v>
      </c>
      <c r="B5" s="33"/>
      <c r="C5" s="32"/>
      <c r="D5" s="31"/>
      <c r="E5" s="31"/>
      <c r="F5" s="30"/>
      <c r="G5" s="29"/>
      <c r="H5" s="28"/>
    </row>
    <row r="6" spans="1:8" ht="14.25" x14ac:dyDescent="0.3">
      <c r="A6" s="34" t="s">
        <v>23</v>
      </c>
      <c r="B6" s="33"/>
      <c r="C6" s="32"/>
      <c r="D6" s="31"/>
      <c r="E6" s="31"/>
      <c r="F6" s="30"/>
      <c r="G6" s="29"/>
      <c r="H6" s="28"/>
    </row>
    <row r="7" spans="1:8" ht="14.25" x14ac:dyDescent="0.3">
      <c r="A7" s="41" t="s">
        <v>118</v>
      </c>
      <c r="B7" s="41" t="s">
        <v>91</v>
      </c>
      <c r="C7" s="32">
        <v>48887</v>
      </c>
      <c r="D7" s="42">
        <v>3309.2588040000001</v>
      </c>
      <c r="E7" s="43">
        <v>5.570585966293036E-2</v>
      </c>
      <c r="F7" s="30" t="s">
        <v>26</v>
      </c>
      <c r="G7" s="29"/>
      <c r="H7" s="28"/>
    </row>
    <row r="8" spans="1:8" ht="14.25" x14ac:dyDescent="0.3">
      <c r="A8" s="41" t="s">
        <v>119</v>
      </c>
      <c r="B8" s="41" t="s">
        <v>90</v>
      </c>
      <c r="C8" s="32">
        <v>80000</v>
      </c>
      <c r="D8" s="42">
        <v>1952.64</v>
      </c>
      <c r="E8" s="43">
        <v>3.2869441846236559E-2</v>
      </c>
      <c r="F8" s="30" t="s">
        <v>25</v>
      </c>
      <c r="G8" s="29"/>
      <c r="H8" s="28"/>
    </row>
    <row r="9" spans="1:8" ht="14.25" x14ac:dyDescent="0.3">
      <c r="A9" s="41" t="s">
        <v>120</v>
      </c>
      <c r="B9" s="41" t="s">
        <v>92</v>
      </c>
      <c r="C9" s="32">
        <v>44000</v>
      </c>
      <c r="D9" s="42">
        <v>1852.7739999999999</v>
      </c>
      <c r="E9" s="43">
        <v>3.11883640851458E-2</v>
      </c>
      <c r="F9" s="30" t="s">
        <v>27</v>
      </c>
      <c r="G9" s="29"/>
      <c r="H9" s="28"/>
    </row>
    <row r="10" spans="1:8" ht="14.25" x14ac:dyDescent="0.3">
      <c r="A10" s="41" t="s">
        <v>121</v>
      </c>
      <c r="B10" s="41" t="s">
        <v>93</v>
      </c>
      <c r="C10" s="32">
        <v>438495</v>
      </c>
      <c r="D10" s="42">
        <v>1784.8938975000001</v>
      </c>
      <c r="E10" s="43">
        <v>3.0045715628881291E-2</v>
      </c>
      <c r="F10" s="30" t="s">
        <v>28</v>
      </c>
      <c r="G10" s="29"/>
      <c r="H10" s="28"/>
    </row>
    <row r="11" spans="1:8" ht="14.25" x14ac:dyDescent="0.3">
      <c r="A11" s="41" t="s">
        <v>122</v>
      </c>
      <c r="B11" s="41" t="s">
        <v>89</v>
      </c>
      <c r="C11" s="32">
        <v>24222</v>
      </c>
      <c r="D11" s="42">
        <v>1746.612087</v>
      </c>
      <c r="E11" s="43">
        <v>2.9401305115935538E-2</v>
      </c>
      <c r="F11" s="30" t="s">
        <v>42</v>
      </c>
      <c r="G11" s="29"/>
      <c r="H11" s="28"/>
    </row>
    <row r="12" spans="1:8" ht="14.25" x14ac:dyDescent="0.3">
      <c r="A12" s="41" t="s">
        <v>123</v>
      </c>
      <c r="B12" s="41" t="s">
        <v>100</v>
      </c>
      <c r="C12" s="32">
        <v>43490</v>
      </c>
      <c r="D12" s="42">
        <v>1715.5717749999999</v>
      </c>
      <c r="E12" s="43">
        <v>2.8878793167920011E-2</v>
      </c>
      <c r="F12" s="30" t="s">
        <v>37</v>
      </c>
      <c r="G12" s="29"/>
      <c r="H12" s="28"/>
    </row>
    <row r="13" spans="1:8" ht="14.25" x14ac:dyDescent="0.3">
      <c r="A13" s="41" t="s">
        <v>124</v>
      </c>
      <c r="B13" s="41" t="s">
        <v>99</v>
      </c>
      <c r="C13" s="32">
        <v>500000</v>
      </c>
      <c r="D13" s="42">
        <v>1701.25</v>
      </c>
      <c r="E13" s="43">
        <v>2.8637709941878659E-2</v>
      </c>
      <c r="F13" s="30" t="s">
        <v>36</v>
      </c>
      <c r="G13" s="29"/>
      <c r="H13" s="28"/>
    </row>
    <row r="14" spans="1:8" ht="14.25" x14ac:dyDescent="0.3">
      <c r="A14" s="41" t="s">
        <v>125</v>
      </c>
      <c r="B14" s="41" t="s">
        <v>90</v>
      </c>
      <c r="C14" s="32">
        <v>13666</v>
      </c>
      <c r="D14" s="42">
        <v>1649.6980229999999</v>
      </c>
      <c r="E14" s="43">
        <v>2.7769918280302522E-2</v>
      </c>
      <c r="F14" s="30" t="s">
        <v>24</v>
      </c>
      <c r="G14" s="29"/>
      <c r="H14" s="28"/>
    </row>
    <row r="15" spans="1:8" ht="14.25" x14ac:dyDescent="0.3">
      <c r="A15" s="41" t="s">
        <v>126</v>
      </c>
      <c r="B15" s="41" t="s">
        <v>89</v>
      </c>
      <c r="C15" s="32">
        <v>76500</v>
      </c>
      <c r="D15" s="42">
        <v>1634.346</v>
      </c>
      <c r="E15" s="43">
        <v>2.7511492545287064E-2</v>
      </c>
      <c r="F15" s="30" t="s">
        <v>53</v>
      </c>
      <c r="G15" s="29"/>
      <c r="H15" s="28"/>
    </row>
    <row r="16" spans="1:8" ht="14.25" x14ac:dyDescent="0.3">
      <c r="A16" s="41" t="s">
        <v>127</v>
      </c>
      <c r="B16" s="41" t="s">
        <v>90</v>
      </c>
      <c r="C16" s="32">
        <v>88438</v>
      </c>
      <c r="D16" s="42">
        <v>1549.654855</v>
      </c>
      <c r="E16" s="43">
        <v>2.608585819104425E-2</v>
      </c>
      <c r="F16" s="30" t="s">
        <v>31</v>
      </c>
      <c r="G16" s="29"/>
      <c r="H16" s="28"/>
    </row>
    <row r="17" spans="1:8" ht="14.25" x14ac:dyDescent="0.3">
      <c r="A17" s="41" t="s">
        <v>128</v>
      </c>
      <c r="B17" s="41" t="s">
        <v>89</v>
      </c>
      <c r="C17" s="32">
        <v>162032</v>
      </c>
      <c r="D17" s="42">
        <v>1485.1853120000001</v>
      </c>
      <c r="E17" s="43">
        <v>2.5000620822921121E-2</v>
      </c>
      <c r="F17" s="30" t="s">
        <v>33</v>
      </c>
      <c r="G17" s="29"/>
      <c r="H17" s="28"/>
    </row>
    <row r="18" spans="1:8" ht="14.25" x14ac:dyDescent="0.3">
      <c r="A18" s="41" t="s">
        <v>129</v>
      </c>
      <c r="B18" s="41" t="s">
        <v>40</v>
      </c>
      <c r="C18" s="32">
        <v>52788</v>
      </c>
      <c r="D18" s="42">
        <v>1434.5930820000001</v>
      </c>
      <c r="E18" s="43">
        <v>2.4148984903419102E-2</v>
      </c>
      <c r="F18" s="30" t="s">
        <v>41</v>
      </c>
      <c r="G18" s="29"/>
      <c r="H18" s="28"/>
    </row>
    <row r="19" spans="1:8" ht="14.25" x14ac:dyDescent="0.3">
      <c r="A19" s="41" t="s">
        <v>130</v>
      </c>
      <c r="B19" s="41" t="s">
        <v>96</v>
      </c>
      <c r="C19" s="32">
        <v>31212</v>
      </c>
      <c r="D19" s="42">
        <v>1427.7773340000001</v>
      </c>
      <c r="E19" s="43">
        <v>2.4034253138974757E-2</v>
      </c>
      <c r="F19" s="30" t="s">
        <v>113</v>
      </c>
      <c r="G19" s="29"/>
      <c r="H19" s="28"/>
    </row>
    <row r="20" spans="1:8" ht="14.25" x14ac:dyDescent="0.3">
      <c r="A20" s="41" t="s">
        <v>131</v>
      </c>
      <c r="B20" s="41" t="s">
        <v>94</v>
      </c>
      <c r="C20" s="32">
        <v>29000</v>
      </c>
      <c r="D20" s="42">
        <v>1423.7840000000001</v>
      </c>
      <c r="E20" s="43">
        <v>2.3967032012865694E-2</v>
      </c>
      <c r="F20" s="30" t="s">
        <v>29</v>
      </c>
      <c r="G20" s="29"/>
      <c r="H20" s="28"/>
    </row>
    <row r="21" spans="1:8" ht="14.25" x14ac:dyDescent="0.3">
      <c r="A21" s="41" t="s">
        <v>132</v>
      </c>
      <c r="B21" s="41" t="s">
        <v>98</v>
      </c>
      <c r="C21" s="32">
        <v>37177</v>
      </c>
      <c r="D21" s="42">
        <v>1384.2298295000001</v>
      </c>
      <c r="E21" s="43">
        <v>2.3301203438716913E-2</v>
      </c>
      <c r="F21" s="30" t="s">
        <v>57</v>
      </c>
      <c r="G21" s="29"/>
      <c r="H21" s="28"/>
    </row>
    <row r="22" spans="1:8" ht="14.25" x14ac:dyDescent="0.3">
      <c r="A22" s="41" t="s">
        <v>133</v>
      </c>
      <c r="B22" s="41" t="s">
        <v>92</v>
      </c>
      <c r="C22" s="32">
        <v>730860</v>
      </c>
      <c r="D22" s="42">
        <v>1226.01765</v>
      </c>
      <c r="E22" s="43">
        <v>2.0637964934209382E-2</v>
      </c>
      <c r="F22" s="30" t="s">
        <v>49</v>
      </c>
      <c r="G22" s="29"/>
      <c r="H22" s="28"/>
    </row>
    <row r="23" spans="1:8" ht="14.25" x14ac:dyDescent="0.3">
      <c r="A23" s="41" t="s">
        <v>134</v>
      </c>
      <c r="B23" s="41" t="s">
        <v>104</v>
      </c>
      <c r="C23" s="32">
        <v>1964480</v>
      </c>
      <c r="D23" s="42">
        <v>1187.5281600000001</v>
      </c>
      <c r="E23" s="43">
        <v>1.9990058482817263E-2</v>
      </c>
      <c r="F23" s="30" t="s">
        <v>61</v>
      </c>
      <c r="G23" s="29"/>
      <c r="H23" s="28"/>
    </row>
    <row r="24" spans="1:8" ht="14.25" x14ac:dyDescent="0.3">
      <c r="A24" s="41" t="s">
        <v>135</v>
      </c>
      <c r="B24" s="41" t="s">
        <v>40</v>
      </c>
      <c r="C24" s="32">
        <v>120921</v>
      </c>
      <c r="D24" s="42">
        <v>1178.375145</v>
      </c>
      <c r="E24" s="43">
        <v>1.9835982721663016E-2</v>
      </c>
      <c r="F24" s="30" t="s">
        <v>43</v>
      </c>
      <c r="G24" s="29"/>
      <c r="H24" s="28"/>
    </row>
    <row r="25" spans="1:8" ht="14.25" x14ac:dyDescent="0.3">
      <c r="A25" s="41" t="s">
        <v>136</v>
      </c>
      <c r="B25" s="41" t="s">
        <v>93</v>
      </c>
      <c r="C25" s="32">
        <v>1250000</v>
      </c>
      <c r="D25" s="42">
        <v>1153.75</v>
      </c>
      <c r="E25" s="43">
        <v>1.942145942421308E-2</v>
      </c>
      <c r="F25" s="30" t="s">
        <v>68</v>
      </c>
      <c r="G25" s="29"/>
      <c r="H25" s="28"/>
    </row>
    <row r="26" spans="1:8" ht="14.25" x14ac:dyDescent="0.3">
      <c r="A26" s="41" t="s">
        <v>137</v>
      </c>
      <c r="B26" s="41" t="s">
        <v>102</v>
      </c>
      <c r="C26" s="32">
        <v>152046</v>
      </c>
      <c r="D26" s="42">
        <v>1151.8244729999999</v>
      </c>
      <c r="E26" s="43">
        <v>1.9389046384559145E-2</v>
      </c>
      <c r="F26" s="30" t="s">
        <v>44</v>
      </c>
      <c r="G26" s="29"/>
      <c r="H26" s="28"/>
    </row>
    <row r="27" spans="1:8" ht="14.25" x14ac:dyDescent="0.3">
      <c r="A27" s="41" t="s">
        <v>138</v>
      </c>
      <c r="B27" s="41" t="s">
        <v>98</v>
      </c>
      <c r="C27" s="32">
        <v>20554</v>
      </c>
      <c r="D27" s="42">
        <v>1131.507977</v>
      </c>
      <c r="E27" s="43">
        <v>1.9047052016016405E-2</v>
      </c>
      <c r="F27" s="30" t="s">
        <v>35</v>
      </c>
      <c r="G27" s="29"/>
      <c r="H27" s="28"/>
    </row>
    <row r="28" spans="1:8" ht="14.25" x14ac:dyDescent="0.3">
      <c r="A28" s="41" t="s">
        <v>139</v>
      </c>
      <c r="B28" s="41" t="s">
        <v>97</v>
      </c>
      <c r="C28" s="32">
        <v>76967</v>
      </c>
      <c r="D28" s="42">
        <v>1124.795738</v>
      </c>
      <c r="E28" s="43">
        <v>1.8934062653169929E-2</v>
      </c>
      <c r="F28" s="30" t="s">
        <v>34</v>
      </c>
      <c r="G28" s="29"/>
      <c r="H28" s="28"/>
    </row>
    <row r="29" spans="1:8" ht="14.25" x14ac:dyDescent="0.3">
      <c r="A29" s="41" t="s">
        <v>140</v>
      </c>
      <c r="B29" s="41" t="s">
        <v>95</v>
      </c>
      <c r="C29" s="32">
        <v>111046</v>
      </c>
      <c r="D29" s="42">
        <v>1106.351298</v>
      </c>
      <c r="E29" s="43">
        <v>1.86235812290639E-2</v>
      </c>
      <c r="F29" s="30" t="s">
        <v>47</v>
      </c>
      <c r="G29" s="29"/>
      <c r="H29" s="28"/>
    </row>
    <row r="30" spans="1:8" ht="14.25" x14ac:dyDescent="0.3">
      <c r="A30" s="41" t="s">
        <v>141</v>
      </c>
      <c r="B30" s="41" t="s">
        <v>90</v>
      </c>
      <c r="C30" s="32">
        <v>150471</v>
      </c>
      <c r="D30" s="42">
        <v>1006.9519320000001</v>
      </c>
      <c r="E30" s="43">
        <v>1.6950358474081013E-2</v>
      </c>
      <c r="F30" s="30" t="s">
        <v>46</v>
      </c>
      <c r="G30" s="29"/>
      <c r="H30" s="28"/>
    </row>
    <row r="31" spans="1:8" ht="14.25" x14ac:dyDescent="0.3">
      <c r="A31" s="41" t="s">
        <v>142</v>
      </c>
      <c r="B31" s="41" t="s">
        <v>95</v>
      </c>
      <c r="C31" s="32">
        <v>217300</v>
      </c>
      <c r="D31" s="42">
        <v>966.98500000000001</v>
      </c>
      <c r="E31" s="43">
        <v>1.6277581747625294E-2</v>
      </c>
      <c r="F31" s="30" t="s">
        <v>30</v>
      </c>
      <c r="G31" s="29"/>
      <c r="H31" s="28"/>
    </row>
    <row r="32" spans="1:8" ht="14.25" x14ac:dyDescent="0.3">
      <c r="A32" s="41" t="s">
        <v>143</v>
      </c>
      <c r="B32" s="41" t="s">
        <v>93</v>
      </c>
      <c r="C32" s="32">
        <v>1748620</v>
      </c>
      <c r="D32" s="42">
        <v>961.39127599999995</v>
      </c>
      <c r="E32" s="43">
        <v>1.6183420721669717E-2</v>
      </c>
      <c r="F32" s="30" t="s">
        <v>39</v>
      </c>
      <c r="G32" s="29"/>
      <c r="H32" s="28"/>
    </row>
    <row r="33" spans="1:8" ht="14.25" x14ac:dyDescent="0.3">
      <c r="A33" s="41" t="s">
        <v>144</v>
      </c>
      <c r="B33" s="41" t="s">
        <v>96</v>
      </c>
      <c r="C33" s="32">
        <v>100000</v>
      </c>
      <c r="D33" s="42">
        <v>951.95</v>
      </c>
      <c r="E33" s="43">
        <v>1.6024492566742918E-2</v>
      </c>
      <c r="F33" s="30" t="s">
        <v>112</v>
      </c>
      <c r="G33" s="29"/>
      <c r="H33" s="28"/>
    </row>
    <row r="34" spans="1:8" ht="14.25" x14ac:dyDescent="0.3">
      <c r="A34" s="41" t="s">
        <v>145</v>
      </c>
      <c r="B34" s="41" t="s">
        <v>101</v>
      </c>
      <c r="C34" s="32">
        <v>299860</v>
      </c>
      <c r="D34" s="42">
        <v>918.17132000000004</v>
      </c>
      <c r="E34" s="43">
        <v>1.5455884754804909E-2</v>
      </c>
      <c r="F34" s="30" t="s">
        <v>38</v>
      </c>
      <c r="G34" s="29"/>
      <c r="H34" s="28"/>
    </row>
    <row r="35" spans="1:8" ht="14.25" x14ac:dyDescent="0.3">
      <c r="A35" s="41" t="s">
        <v>146</v>
      </c>
      <c r="B35" s="41" t="s">
        <v>89</v>
      </c>
      <c r="C35" s="32">
        <v>44579</v>
      </c>
      <c r="D35" s="42">
        <v>895.41379400000005</v>
      </c>
      <c r="E35" s="43">
        <v>1.5072799712287487E-2</v>
      </c>
      <c r="F35" s="30" t="s">
        <v>63</v>
      </c>
      <c r="G35" s="29"/>
      <c r="H35" s="28"/>
    </row>
    <row r="36" spans="1:8" ht="14.25" x14ac:dyDescent="0.3">
      <c r="A36" s="41" t="s">
        <v>147</v>
      </c>
      <c r="B36" s="41" t="s">
        <v>100</v>
      </c>
      <c r="C36" s="32">
        <v>51888</v>
      </c>
      <c r="D36" s="42">
        <v>888.68577600000003</v>
      </c>
      <c r="E36" s="43">
        <v>1.4959544736259427E-2</v>
      </c>
      <c r="F36" s="30" t="s">
        <v>71</v>
      </c>
      <c r="G36" s="29"/>
      <c r="H36" s="28"/>
    </row>
    <row r="37" spans="1:8" ht="14.25" x14ac:dyDescent="0.3">
      <c r="A37" s="41" t="s">
        <v>148</v>
      </c>
      <c r="B37" s="41" t="s">
        <v>96</v>
      </c>
      <c r="C37" s="32">
        <v>121500</v>
      </c>
      <c r="D37" s="42">
        <v>879.59924999999998</v>
      </c>
      <c r="E37" s="43">
        <v>1.4806588206668045E-2</v>
      </c>
      <c r="F37" s="30" t="s">
        <v>32</v>
      </c>
      <c r="G37" s="29"/>
      <c r="H37" s="28"/>
    </row>
    <row r="38" spans="1:8" ht="14.25" x14ac:dyDescent="0.3">
      <c r="A38" s="41" t="s">
        <v>149</v>
      </c>
      <c r="B38" s="41" t="s">
        <v>109</v>
      </c>
      <c r="C38" s="32">
        <v>160000</v>
      </c>
      <c r="D38" s="42">
        <v>822.24</v>
      </c>
      <c r="E38" s="43">
        <v>1.3841040777434421E-2</v>
      </c>
      <c r="F38" s="30" t="s">
        <v>76</v>
      </c>
      <c r="G38" s="29"/>
      <c r="H38" s="28"/>
    </row>
    <row r="39" spans="1:8" ht="14.25" x14ac:dyDescent="0.3">
      <c r="A39" s="41" t="s">
        <v>150</v>
      </c>
      <c r="B39" s="41" t="s">
        <v>104</v>
      </c>
      <c r="C39" s="32">
        <v>113878</v>
      </c>
      <c r="D39" s="42">
        <v>811.32381099999998</v>
      </c>
      <c r="E39" s="43">
        <v>1.3657284918946411E-2</v>
      </c>
      <c r="F39" s="30" t="s">
        <v>174</v>
      </c>
      <c r="G39" s="29"/>
      <c r="H39" s="28"/>
    </row>
    <row r="40" spans="1:8" ht="14.25" x14ac:dyDescent="0.3">
      <c r="A40" s="41" t="s">
        <v>151</v>
      </c>
      <c r="B40" s="41" t="s">
        <v>67</v>
      </c>
      <c r="C40" s="32">
        <v>66560</v>
      </c>
      <c r="D40" s="42">
        <v>797.58848</v>
      </c>
      <c r="E40" s="43">
        <v>1.342607350079288E-2</v>
      </c>
      <c r="F40" s="30" t="s">
        <v>74</v>
      </c>
      <c r="G40" s="29"/>
      <c r="H40" s="28"/>
    </row>
    <row r="41" spans="1:8" ht="14.25" x14ac:dyDescent="0.3">
      <c r="A41" s="41" t="s">
        <v>152</v>
      </c>
      <c r="B41" s="41" t="s">
        <v>96</v>
      </c>
      <c r="C41" s="32">
        <v>184572</v>
      </c>
      <c r="D41" s="42">
        <v>784.15414199999998</v>
      </c>
      <c r="E41" s="43">
        <v>1.3199928798423941E-2</v>
      </c>
      <c r="F41" s="30" t="s">
        <v>59</v>
      </c>
      <c r="G41" s="29"/>
      <c r="H41" s="28"/>
    </row>
    <row r="42" spans="1:8" ht="14.25" x14ac:dyDescent="0.3">
      <c r="A42" s="41" t="s">
        <v>153</v>
      </c>
      <c r="B42" s="41" t="s">
        <v>89</v>
      </c>
      <c r="C42" s="32">
        <v>376461</v>
      </c>
      <c r="D42" s="42">
        <v>783.30240270000002</v>
      </c>
      <c r="E42" s="43">
        <v>1.3185591186068614E-2</v>
      </c>
      <c r="F42" s="30" t="s">
        <v>45</v>
      </c>
      <c r="G42" s="29"/>
      <c r="H42" s="28"/>
    </row>
    <row r="43" spans="1:8" ht="14.25" x14ac:dyDescent="0.3">
      <c r="A43" s="41" t="s">
        <v>154</v>
      </c>
      <c r="B43" s="41" t="s">
        <v>94</v>
      </c>
      <c r="C43" s="32">
        <v>59451</v>
      </c>
      <c r="D43" s="42">
        <v>769.20676349999997</v>
      </c>
      <c r="E43" s="43">
        <v>1.2948314579541076E-2</v>
      </c>
      <c r="F43" s="30" t="s">
        <v>75</v>
      </c>
      <c r="G43" s="29"/>
      <c r="H43" s="28"/>
    </row>
    <row r="44" spans="1:8" ht="14.25" x14ac:dyDescent="0.3">
      <c r="A44" s="41" t="s">
        <v>155</v>
      </c>
      <c r="B44" s="41" t="s">
        <v>89</v>
      </c>
      <c r="C44" s="32">
        <v>100000</v>
      </c>
      <c r="D44" s="42">
        <v>708.95</v>
      </c>
      <c r="E44" s="43">
        <v>1.1933992336984497E-2</v>
      </c>
      <c r="F44" s="30" t="s">
        <v>115</v>
      </c>
      <c r="G44" s="29"/>
      <c r="H44" s="28"/>
    </row>
    <row r="45" spans="1:8" ht="14.25" x14ac:dyDescent="0.3">
      <c r="A45" s="41" t="s">
        <v>156</v>
      </c>
      <c r="B45" s="41" t="s">
        <v>90</v>
      </c>
      <c r="C45" s="32">
        <v>145114</v>
      </c>
      <c r="D45" s="42">
        <v>686.67944799999998</v>
      </c>
      <c r="E45" s="43">
        <v>1.155910469059418E-2</v>
      </c>
      <c r="F45" s="30" t="s">
        <v>55</v>
      </c>
      <c r="G45" s="29"/>
      <c r="H45" s="28"/>
    </row>
    <row r="46" spans="1:8" ht="14.25" x14ac:dyDescent="0.3">
      <c r="A46" s="41" t="s">
        <v>157</v>
      </c>
      <c r="B46" s="41" t="s">
        <v>92</v>
      </c>
      <c r="C46" s="32">
        <v>60000</v>
      </c>
      <c r="D46" s="42">
        <v>669.72</v>
      </c>
      <c r="E46" s="43">
        <v>1.1273620633225555E-2</v>
      </c>
      <c r="F46" s="30" t="s">
        <v>64</v>
      </c>
      <c r="G46" s="29"/>
      <c r="H46" s="28"/>
    </row>
    <row r="47" spans="1:8" ht="14.25" x14ac:dyDescent="0.3">
      <c r="A47" s="41" t="s">
        <v>158</v>
      </c>
      <c r="B47" s="41" t="s">
        <v>95</v>
      </c>
      <c r="C47" s="32">
        <v>170602</v>
      </c>
      <c r="D47" s="42">
        <v>661.42395399999998</v>
      </c>
      <c r="E47" s="43">
        <v>1.1133970517714911E-2</v>
      </c>
      <c r="F47" s="30" t="s">
        <v>52</v>
      </c>
      <c r="G47" s="29"/>
      <c r="H47" s="28"/>
    </row>
    <row r="48" spans="1:8" ht="14.25" x14ac:dyDescent="0.3">
      <c r="A48" s="41" t="s">
        <v>159</v>
      </c>
      <c r="B48" s="41" t="s">
        <v>102</v>
      </c>
      <c r="C48" s="32">
        <v>21976</v>
      </c>
      <c r="D48" s="42">
        <v>633.53511600000002</v>
      </c>
      <c r="E48" s="43">
        <v>1.0664508385012461E-2</v>
      </c>
      <c r="F48" s="30" t="s">
        <v>58</v>
      </c>
      <c r="G48" s="29"/>
      <c r="H48" s="28"/>
    </row>
    <row r="49" spans="1:8" ht="14.25" x14ac:dyDescent="0.3">
      <c r="A49" s="41" t="s">
        <v>160</v>
      </c>
      <c r="B49" s="41" t="s">
        <v>40</v>
      </c>
      <c r="C49" s="32">
        <v>1614921</v>
      </c>
      <c r="D49" s="42">
        <v>631.11112679999997</v>
      </c>
      <c r="E49" s="43">
        <v>1.062370456452056E-2</v>
      </c>
      <c r="F49" s="30" t="s">
        <v>56</v>
      </c>
      <c r="G49" s="29"/>
      <c r="H49" s="28"/>
    </row>
    <row r="50" spans="1:8" ht="14.25" x14ac:dyDescent="0.3">
      <c r="A50" s="41" t="s">
        <v>161</v>
      </c>
      <c r="B50" s="41" t="s">
        <v>89</v>
      </c>
      <c r="C50" s="32">
        <v>177915</v>
      </c>
      <c r="D50" s="42">
        <v>629.73014250000006</v>
      </c>
      <c r="E50" s="43">
        <v>1.0600457994164827E-2</v>
      </c>
      <c r="F50" s="30" t="s">
        <v>114</v>
      </c>
      <c r="G50" s="29"/>
      <c r="H50" s="28"/>
    </row>
    <row r="51" spans="1:8" ht="14.25" x14ac:dyDescent="0.3">
      <c r="A51" s="41" t="s">
        <v>162</v>
      </c>
      <c r="B51" s="41" t="s">
        <v>104</v>
      </c>
      <c r="C51" s="32">
        <v>157633</v>
      </c>
      <c r="D51" s="42">
        <v>628.40395450000005</v>
      </c>
      <c r="E51" s="43">
        <v>1.0578133828244241E-2</v>
      </c>
      <c r="F51" s="30" t="s">
        <v>50</v>
      </c>
      <c r="G51" s="29"/>
      <c r="H51" s="28"/>
    </row>
    <row r="52" spans="1:8" ht="14.25" x14ac:dyDescent="0.3">
      <c r="A52" s="41" t="s">
        <v>163</v>
      </c>
      <c r="B52" s="41" t="s">
        <v>105</v>
      </c>
      <c r="C52" s="32">
        <v>246778</v>
      </c>
      <c r="D52" s="42">
        <v>626.69273099999998</v>
      </c>
      <c r="E52" s="43">
        <v>1.0549328231042931E-2</v>
      </c>
      <c r="F52" s="30" t="s">
        <v>60</v>
      </c>
      <c r="G52" s="29"/>
      <c r="H52" s="28"/>
    </row>
    <row r="53" spans="1:8" ht="14.25" x14ac:dyDescent="0.3">
      <c r="A53" s="41" t="s">
        <v>164</v>
      </c>
      <c r="B53" s="41" t="s">
        <v>100</v>
      </c>
      <c r="C53" s="32">
        <v>137162</v>
      </c>
      <c r="D53" s="42">
        <v>572.92567399999996</v>
      </c>
      <c r="E53" s="43">
        <v>9.6442493873724212E-3</v>
      </c>
      <c r="F53" s="30" t="s">
        <v>54</v>
      </c>
      <c r="G53" s="29"/>
      <c r="H53" s="28"/>
    </row>
    <row r="54" spans="1:8" ht="14.25" x14ac:dyDescent="0.3">
      <c r="A54" s="41" t="s">
        <v>165</v>
      </c>
      <c r="B54" s="41" t="s">
        <v>100</v>
      </c>
      <c r="C54" s="32">
        <v>550848</v>
      </c>
      <c r="D54" s="42">
        <v>564.61919999999998</v>
      </c>
      <c r="E54" s="43">
        <v>9.5044237338519182E-3</v>
      </c>
      <c r="F54" s="30" t="s">
        <v>69</v>
      </c>
      <c r="G54" s="29"/>
      <c r="H54" s="28"/>
    </row>
    <row r="55" spans="1:8" ht="14.25" x14ac:dyDescent="0.3">
      <c r="A55" s="41" t="s">
        <v>166</v>
      </c>
      <c r="B55" s="41" t="s">
        <v>103</v>
      </c>
      <c r="C55" s="32">
        <v>158839</v>
      </c>
      <c r="D55" s="42">
        <v>490.8919295</v>
      </c>
      <c r="E55" s="43">
        <v>8.2633479440588666E-3</v>
      </c>
      <c r="F55" s="30" t="s">
        <v>48</v>
      </c>
      <c r="G55" s="29"/>
      <c r="H55" s="28"/>
    </row>
    <row r="56" spans="1:8" ht="14.25" x14ac:dyDescent="0.3">
      <c r="A56" s="41" t="s">
        <v>167</v>
      </c>
      <c r="B56" s="41" t="s">
        <v>94</v>
      </c>
      <c r="C56" s="32">
        <v>76628</v>
      </c>
      <c r="D56" s="42">
        <v>479.30813999999998</v>
      </c>
      <c r="E56" s="43">
        <v>8.0683541431896353E-3</v>
      </c>
      <c r="F56" s="30" t="s">
        <v>62</v>
      </c>
      <c r="G56" s="29"/>
      <c r="H56" s="28"/>
    </row>
    <row r="57" spans="1:8" ht="14.25" x14ac:dyDescent="0.3">
      <c r="A57" s="41" t="s">
        <v>168</v>
      </c>
      <c r="B57" s="41" t="s">
        <v>67</v>
      </c>
      <c r="C57" s="32">
        <v>181400</v>
      </c>
      <c r="D57" s="42">
        <v>470.18880000000001</v>
      </c>
      <c r="E57" s="43">
        <v>7.9148452445672278E-3</v>
      </c>
      <c r="F57" s="30" t="s">
        <v>72</v>
      </c>
      <c r="G57" s="29"/>
      <c r="H57" s="28"/>
    </row>
    <row r="58" spans="1:8" ht="14.25" x14ac:dyDescent="0.3">
      <c r="A58" s="41" t="s">
        <v>169</v>
      </c>
      <c r="B58" s="41" t="s">
        <v>108</v>
      </c>
      <c r="C58" s="32">
        <v>193879</v>
      </c>
      <c r="D58" s="42">
        <v>454.0258422</v>
      </c>
      <c r="E58" s="43">
        <v>7.6427687729850235E-3</v>
      </c>
      <c r="F58" s="30" t="s">
        <v>73</v>
      </c>
      <c r="G58" s="29"/>
      <c r="H58" s="28"/>
    </row>
    <row r="59" spans="1:8" ht="14.25" x14ac:dyDescent="0.3">
      <c r="A59" s="41" t="s">
        <v>170</v>
      </c>
      <c r="B59" s="41" t="s">
        <v>106</v>
      </c>
      <c r="C59" s="32">
        <v>99500</v>
      </c>
      <c r="D59" s="42">
        <v>425.41224999999997</v>
      </c>
      <c r="E59" s="43">
        <v>7.1611066105639791E-3</v>
      </c>
      <c r="F59" s="30" t="s">
        <v>65</v>
      </c>
      <c r="G59" s="29"/>
      <c r="H59" s="28"/>
    </row>
    <row r="60" spans="1:8" ht="14.25" x14ac:dyDescent="0.3">
      <c r="A60" s="41" t="s">
        <v>171</v>
      </c>
      <c r="B60" s="41" t="s">
        <v>90</v>
      </c>
      <c r="C60" s="32">
        <v>41472</v>
      </c>
      <c r="D60" s="42">
        <v>321.864192</v>
      </c>
      <c r="E60" s="43">
        <v>5.4180475363251384E-3</v>
      </c>
      <c r="F60" s="30" t="s">
        <v>70</v>
      </c>
      <c r="G60" s="29"/>
      <c r="H60" s="28"/>
    </row>
    <row r="61" spans="1:8" ht="14.25" x14ac:dyDescent="0.3">
      <c r="A61" s="41" t="s">
        <v>172</v>
      </c>
      <c r="B61" s="41" t="s">
        <v>104</v>
      </c>
      <c r="C61" s="32">
        <v>196280</v>
      </c>
      <c r="D61" s="42">
        <v>276.40149600000001</v>
      </c>
      <c r="E61" s="43">
        <v>4.6527587773398001E-3</v>
      </c>
      <c r="F61" s="30" t="s">
        <v>51</v>
      </c>
      <c r="G61" s="29"/>
      <c r="H61" s="28"/>
    </row>
    <row r="62" spans="1:8" ht="14.25" x14ac:dyDescent="0.3">
      <c r="A62" s="41" t="s">
        <v>173</v>
      </c>
      <c r="B62" s="41" t="s">
        <v>107</v>
      </c>
      <c r="C62" s="32">
        <v>4664</v>
      </c>
      <c r="D62" s="42">
        <v>53.456435999999997</v>
      </c>
      <c r="E62" s="43">
        <v>8.9985005654348289E-4</v>
      </c>
      <c r="F62" s="30" t="s">
        <v>66</v>
      </c>
      <c r="G62" s="29"/>
      <c r="H62" s="28"/>
    </row>
    <row r="63" spans="1:8" ht="14.25" x14ac:dyDescent="0.3">
      <c r="A63" s="34" t="s">
        <v>77</v>
      </c>
      <c r="B63" s="33"/>
      <c r="C63" s="32"/>
      <c r="D63" s="39">
        <f>SUM(D7:D62)</f>
        <v>57534.723819700004</v>
      </c>
      <c r="E63" s="46">
        <f>SUM(E7:E62)</f>
        <v>0.96850123869781934</v>
      </c>
      <c r="F63" s="30"/>
      <c r="G63" s="29"/>
      <c r="H63" s="28"/>
    </row>
    <row r="64" spans="1:8" ht="14.25" x14ac:dyDescent="0.3">
      <c r="A64" s="34" t="s">
        <v>78</v>
      </c>
      <c r="B64" s="33"/>
      <c r="C64" s="32"/>
      <c r="D64" s="39"/>
      <c r="E64" s="40"/>
      <c r="F64" s="30"/>
      <c r="G64" s="29"/>
      <c r="H64" s="28"/>
    </row>
    <row r="65" spans="1:8" ht="14.25" x14ac:dyDescent="0.3">
      <c r="A65" s="34" t="s">
        <v>77</v>
      </c>
      <c r="B65" s="33"/>
      <c r="C65" s="32"/>
      <c r="D65" s="39" t="s">
        <v>79</v>
      </c>
      <c r="E65" s="40" t="s">
        <v>79</v>
      </c>
      <c r="F65" s="30"/>
      <c r="G65" s="29"/>
      <c r="H65" s="28"/>
    </row>
    <row r="66" spans="1:8" ht="14.25" x14ac:dyDescent="0.3">
      <c r="A66" s="34" t="s">
        <v>80</v>
      </c>
      <c r="B66" s="33"/>
      <c r="C66" s="32"/>
      <c r="D66" s="39"/>
      <c r="E66" s="40"/>
      <c r="F66" s="30"/>
      <c r="G66" s="29"/>
      <c r="H66" s="28"/>
    </row>
    <row r="67" spans="1:8" ht="14.25" x14ac:dyDescent="0.3">
      <c r="A67" s="34" t="s">
        <v>77</v>
      </c>
      <c r="B67" s="33"/>
      <c r="C67" s="32"/>
      <c r="D67" s="39" t="s">
        <v>79</v>
      </c>
      <c r="E67" s="40" t="s">
        <v>79</v>
      </c>
      <c r="F67" s="30"/>
      <c r="G67" s="29"/>
      <c r="H67" s="28"/>
    </row>
    <row r="68" spans="1:8" ht="14.25" x14ac:dyDescent="0.3">
      <c r="A68" s="34" t="s">
        <v>81</v>
      </c>
      <c r="B68" s="33"/>
      <c r="C68" s="32"/>
      <c r="D68" s="39">
        <f>+D63</f>
        <v>57534.723819700004</v>
      </c>
      <c r="E68" s="46">
        <f>+E63</f>
        <v>0.96850123869781934</v>
      </c>
      <c r="F68" s="30"/>
      <c r="G68" s="29"/>
      <c r="H68" s="28"/>
    </row>
    <row r="69" spans="1:8" ht="14.25" x14ac:dyDescent="0.3">
      <c r="A69" s="34"/>
      <c r="B69" s="33"/>
      <c r="C69" s="32"/>
      <c r="D69" s="39"/>
      <c r="E69" s="40"/>
      <c r="F69" s="30"/>
      <c r="G69" s="29"/>
      <c r="H69" s="28"/>
    </row>
    <row r="70" spans="1:8" ht="14.25" x14ac:dyDescent="0.3">
      <c r="A70" s="34" t="s">
        <v>82</v>
      </c>
      <c r="B70" s="33"/>
      <c r="C70" s="32"/>
      <c r="D70" s="39"/>
      <c r="E70" s="40"/>
      <c r="F70" s="30"/>
      <c r="G70" s="29"/>
      <c r="H70" s="28"/>
    </row>
    <row r="71" spans="1:8" ht="14.25" x14ac:dyDescent="0.3">
      <c r="A71" s="34" t="s">
        <v>83</v>
      </c>
      <c r="B71" s="33"/>
      <c r="C71" s="32"/>
      <c r="D71" s="39"/>
      <c r="E71" s="40"/>
      <c r="F71" s="30"/>
      <c r="G71" s="29"/>
      <c r="H71" s="28"/>
    </row>
    <row r="72" spans="1:8" ht="14.25" x14ac:dyDescent="0.3">
      <c r="A72" s="34" t="s">
        <v>77</v>
      </c>
      <c r="B72" s="33"/>
      <c r="C72" s="32"/>
      <c r="D72" s="39" t="s">
        <v>79</v>
      </c>
      <c r="E72" s="40" t="s">
        <v>79</v>
      </c>
      <c r="F72" s="30"/>
      <c r="G72" s="29"/>
      <c r="H72" s="28"/>
    </row>
    <row r="73" spans="1:8" ht="14.25" x14ac:dyDescent="0.3">
      <c r="A73" s="34" t="s">
        <v>84</v>
      </c>
      <c r="B73" s="33"/>
      <c r="C73" s="32"/>
      <c r="D73" s="39"/>
      <c r="E73" s="40"/>
      <c r="F73" s="30"/>
      <c r="G73" s="29"/>
      <c r="H73" s="28"/>
    </row>
    <row r="74" spans="1:8" ht="14.25" x14ac:dyDescent="0.3">
      <c r="A74" s="34" t="s">
        <v>77</v>
      </c>
      <c r="B74" s="33"/>
      <c r="C74" s="32"/>
      <c r="D74" s="39" t="s">
        <v>79</v>
      </c>
      <c r="E74" s="40" t="s">
        <v>79</v>
      </c>
      <c r="F74" s="30"/>
      <c r="G74" s="29"/>
      <c r="H74" s="28"/>
    </row>
    <row r="75" spans="1:8" ht="14.25" x14ac:dyDescent="0.3">
      <c r="A75" s="34" t="s">
        <v>85</v>
      </c>
      <c r="B75" s="33"/>
      <c r="C75" s="32"/>
      <c r="D75" s="39"/>
      <c r="E75" s="40"/>
      <c r="F75" s="30"/>
      <c r="G75" s="29"/>
      <c r="H75" s="28"/>
    </row>
    <row r="76" spans="1:8" ht="14.25" x14ac:dyDescent="0.3">
      <c r="A76" s="34" t="s">
        <v>77</v>
      </c>
      <c r="B76" s="33"/>
      <c r="C76" s="32"/>
      <c r="D76" s="39" t="s">
        <v>79</v>
      </c>
      <c r="E76" s="40" t="s">
        <v>79</v>
      </c>
      <c r="F76" s="30"/>
      <c r="G76" s="29"/>
      <c r="H76" s="28"/>
    </row>
    <row r="77" spans="1:8" ht="14.25" x14ac:dyDescent="0.3">
      <c r="A77" s="34" t="s">
        <v>81</v>
      </c>
      <c r="B77" s="33"/>
      <c r="C77" s="32"/>
      <c r="D77" s="39" t="s">
        <v>79</v>
      </c>
      <c r="E77" s="40" t="s">
        <v>79</v>
      </c>
      <c r="F77" s="30"/>
      <c r="G77" s="29"/>
      <c r="H77" s="28"/>
    </row>
    <row r="78" spans="1:8" ht="14.25" x14ac:dyDescent="0.3">
      <c r="A78" s="34"/>
      <c r="B78" s="33"/>
      <c r="C78" s="32"/>
      <c r="D78" s="39"/>
      <c r="E78" s="40"/>
      <c r="F78" s="30"/>
      <c r="G78" s="29"/>
      <c r="H78" s="28"/>
    </row>
    <row r="79" spans="1:8" ht="14.25" x14ac:dyDescent="0.3">
      <c r="A79" s="34" t="s">
        <v>86</v>
      </c>
      <c r="B79" s="33"/>
      <c r="C79" s="32"/>
      <c r="D79" s="39"/>
      <c r="E79" s="40"/>
      <c r="F79" s="30"/>
      <c r="G79" s="29"/>
      <c r="H79" s="28"/>
    </row>
    <row r="80" spans="1:8" ht="14.25" x14ac:dyDescent="0.3">
      <c r="A80" s="34" t="s">
        <v>87</v>
      </c>
      <c r="B80" s="33"/>
      <c r="C80" s="32"/>
      <c r="D80" s="39"/>
      <c r="E80" s="40"/>
      <c r="F80" s="30"/>
      <c r="G80" s="29"/>
      <c r="H80" s="28"/>
    </row>
    <row r="81" spans="1:8" ht="14.25" x14ac:dyDescent="0.3">
      <c r="A81" s="45" t="s">
        <v>116</v>
      </c>
      <c r="B81" s="33"/>
      <c r="C81" s="32">
        <v>16172.270699999999</v>
      </c>
      <c r="D81" s="42">
        <v>1616.9317937999999</v>
      </c>
      <c r="E81" s="43">
        <v>2.7218353391121795E-2</v>
      </c>
      <c r="F81" s="30"/>
      <c r="G81" s="47">
        <v>6.6703239999999997E-2</v>
      </c>
      <c r="H81" s="28"/>
    </row>
    <row r="82" spans="1:8" ht="14.25" x14ac:dyDescent="0.3">
      <c r="A82" s="34" t="s">
        <v>77</v>
      </c>
      <c r="B82" s="33"/>
      <c r="C82" s="32"/>
      <c r="D82" s="39">
        <f>+D81</f>
        <v>1616.9317937999999</v>
      </c>
      <c r="E82" s="46">
        <f>+E81</f>
        <v>2.7218353391121795E-2</v>
      </c>
      <c r="F82" s="30"/>
      <c r="G82" s="29"/>
      <c r="H82" s="28"/>
    </row>
    <row r="83" spans="1:8" ht="14.25" x14ac:dyDescent="0.3">
      <c r="A83" s="34"/>
      <c r="B83" s="33"/>
      <c r="C83" s="32"/>
      <c r="D83" s="39"/>
      <c r="E83" s="40"/>
      <c r="F83" s="30"/>
      <c r="G83" s="29"/>
      <c r="H83" s="28"/>
    </row>
    <row r="84" spans="1:8" ht="14.25" x14ac:dyDescent="0.3">
      <c r="A84" s="34"/>
      <c r="B84" s="33"/>
      <c r="C84" s="32"/>
      <c r="D84" s="39"/>
      <c r="E84" s="40"/>
      <c r="F84" s="30"/>
      <c r="G84" s="29"/>
      <c r="H84" s="28"/>
    </row>
    <row r="85" spans="1:8" ht="14.25" x14ac:dyDescent="0.3">
      <c r="A85" s="44" t="s">
        <v>110</v>
      </c>
      <c r="B85" s="33"/>
      <c r="C85" s="32"/>
      <c r="D85" s="39"/>
      <c r="E85" s="40"/>
      <c r="F85" s="30"/>
      <c r="G85" s="29"/>
      <c r="H85" s="28"/>
    </row>
    <row r="86" spans="1:8" ht="14.25" x14ac:dyDescent="0.3">
      <c r="A86" s="45" t="s">
        <v>111</v>
      </c>
      <c r="B86" s="33"/>
      <c r="C86" s="32"/>
      <c r="D86" s="42">
        <v>254.28164380000001</v>
      </c>
      <c r="E86" s="43">
        <v>4.2804079110586382E-3</v>
      </c>
      <c r="F86" s="30"/>
      <c r="G86" s="29"/>
      <c r="H86" s="28"/>
    </row>
    <row r="87" spans="1:8" ht="14.25" x14ac:dyDescent="0.3">
      <c r="A87" s="34" t="s">
        <v>81</v>
      </c>
      <c r="B87" s="33"/>
      <c r="C87" s="32"/>
      <c r="D87" s="39">
        <f>+D86</f>
        <v>254.28164380000001</v>
      </c>
      <c r="E87" s="46">
        <f>+E86</f>
        <v>4.2804079110586382E-3</v>
      </c>
      <c r="F87" s="30"/>
      <c r="G87" s="29"/>
      <c r="H87" s="28"/>
    </row>
    <row r="88" spans="1:8" ht="14.25" x14ac:dyDescent="0.3">
      <c r="A88" s="34" t="s">
        <v>88</v>
      </c>
      <c r="B88" s="33"/>
      <c r="C88" s="32"/>
      <c r="D88" s="39">
        <f>+D87+D82+D68</f>
        <v>59405.937257300007</v>
      </c>
      <c r="E88" s="46">
        <f>+E87+E82+E68</f>
        <v>0.99999999999999978</v>
      </c>
      <c r="F88" s="30"/>
      <c r="G88" s="29"/>
      <c r="H88" s="28"/>
    </row>
    <row r="89" spans="1:8" ht="14.25" x14ac:dyDescent="0.3">
      <c r="A89" s="27"/>
      <c r="B89" s="26"/>
      <c r="C89" s="25"/>
      <c r="D89" s="24"/>
      <c r="E89" s="24"/>
      <c r="F89" s="23"/>
      <c r="G89" s="22"/>
      <c r="H89" s="22"/>
    </row>
    <row r="90" spans="1:8" ht="13.5" x14ac:dyDescent="0.2">
      <c r="A90" s="53" t="s">
        <v>11</v>
      </c>
      <c r="B90" s="53"/>
      <c r="C90" s="53"/>
      <c r="D90" s="53"/>
      <c r="E90" s="53"/>
      <c r="F90" s="53"/>
      <c r="G90" s="53"/>
      <c r="H90" s="53"/>
    </row>
    <row r="91" spans="1:8" ht="13.5" x14ac:dyDescent="0.2">
      <c r="A91" s="54" t="s">
        <v>10</v>
      </c>
      <c r="B91" s="54"/>
      <c r="C91" s="54"/>
      <c r="D91" s="54"/>
      <c r="E91" s="54"/>
      <c r="F91" s="54"/>
      <c r="G91" s="54"/>
      <c r="H91" s="54"/>
    </row>
    <row r="92" spans="1:8" ht="13.5" x14ac:dyDescent="0.2">
      <c r="A92" s="55" t="s">
        <v>9</v>
      </c>
      <c r="B92" s="55"/>
      <c r="C92" s="55"/>
      <c r="D92" s="55"/>
      <c r="E92" s="55"/>
      <c r="F92" s="55"/>
      <c r="G92" s="55"/>
      <c r="H92" s="55"/>
    </row>
    <row r="93" spans="1:8" ht="55.5" customHeight="1" x14ac:dyDescent="0.2">
      <c r="A93" s="48" t="s">
        <v>8</v>
      </c>
      <c r="B93" s="48"/>
      <c r="C93" s="48"/>
      <c r="D93" s="48"/>
      <c r="E93" s="48"/>
      <c r="F93" s="48"/>
      <c r="G93" s="48"/>
      <c r="H93" s="48"/>
    </row>
    <row r="94" spans="1:8" ht="14.25" x14ac:dyDescent="0.3">
      <c r="A94" s="21"/>
      <c r="B94" s="20"/>
      <c r="C94" s="19"/>
      <c r="D94" s="17"/>
      <c r="E94" s="10"/>
      <c r="F94" s="10"/>
      <c r="G94" s="17"/>
      <c r="H94" s="17"/>
    </row>
    <row r="95" spans="1:8" ht="14.25" x14ac:dyDescent="0.3">
      <c r="A95" s="18" t="s">
        <v>7</v>
      </c>
      <c r="B95" s="11"/>
      <c r="C95" s="11"/>
      <c r="D95" s="10"/>
      <c r="E95" s="10"/>
      <c r="F95" s="10"/>
      <c r="G95" s="17"/>
      <c r="H95" s="17"/>
    </row>
    <row r="96" spans="1:8" ht="14.25" x14ac:dyDescent="0.3">
      <c r="A96" s="12" t="s">
        <v>6</v>
      </c>
      <c r="B96" s="12"/>
      <c r="C96" s="12"/>
      <c r="D96" s="12"/>
      <c r="E96" s="10"/>
      <c r="F96" s="10"/>
      <c r="G96" s="10"/>
      <c r="H96" s="10"/>
    </row>
    <row r="97" spans="1:8" ht="14.25" x14ac:dyDescent="0.3">
      <c r="A97" s="12" t="s">
        <v>5</v>
      </c>
      <c r="B97" s="12"/>
      <c r="C97" s="12"/>
      <c r="D97" s="12"/>
      <c r="E97" s="10"/>
      <c r="F97" s="10"/>
      <c r="G97" s="10"/>
      <c r="H97" s="10"/>
    </row>
    <row r="98" spans="1:8" ht="14.25" x14ac:dyDescent="0.3">
      <c r="A98" s="12" t="s">
        <v>4</v>
      </c>
      <c r="B98" s="12"/>
      <c r="C98" s="12"/>
      <c r="D98" s="12"/>
      <c r="E98" s="10"/>
      <c r="F98" s="10"/>
      <c r="G98" s="10"/>
      <c r="H98" s="10"/>
    </row>
    <row r="99" spans="1:8" ht="14.25" x14ac:dyDescent="0.3">
      <c r="A99" s="12"/>
      <c r="B99" s="11"/>
      <c r="C99" s="11"/>
      <c r="D99" s="10"/>
      <c r="E99" s="10"/>
      <c r="F99" s="10"/>
      <c r="G99" s="10"/>
      <c r="H99" s="10"/>
    </row>
    <row r="100" spans="1:8" ht="14.25" x14ac:dyDescent="0.3">
      <c r="A100" s="16" t="s">
        <v>3</v>
      </c>
      <c r="B100" s="15" t="s">
        <v>2</v>
      </c>
      <c r="D100" s="14"/>
      <c r="E100" s="10"/>
      <c r="F100" s="13"/>
      <c r="G100" s="11"/>
      <c r="H100" s="10"/>
    </row>
    <row r="101" spans="1:8" ht="14.25" x14ac:dyDescent="0.3">
      <c r="A101" s="12"/>
      <c r="B101" s="11"/>
      <c r="C101" s="11"/>
      <c r="D101" s="10"/>
      <c r="E101" s="10"/>
      <c r="F101" s="11"/>
      <c r="G101" s="11"/>
      <c r="H101" s="10"/>
    </row>
    <row r="102" spans="1:8" ht="14.25" x14ac:dyDescent="0.3">
      <c r="A102" s="12"/>
      <c r="B102" s="11"/>
      <c r="C102" s="11"/>
      <c r="D102" s="10"/>
      <c r="E102" s="10"/>
      <c r="F102" s="11"/>
      <c r="G102" s="11"/>
      <c r="H102" s="10"/>
    </row>
    <row r="103" spans="1:8" ht="14.25" x14ac:dyDescent="0.3">
      <c r="A103" s="11"/>
      <c r="B103" s="11"/>
      <c r="C103" s="11"/>
      <c r="D103" s="10"/>
      <c r="E103" s="10"/>
      <c r="F103" s="11"/>
      <c r="G103" s="11"/>
      <c r="H103" s="10"/>
    </row>
    <row r="104" spans="1:8" ht="14.25" x14ac:dyDescent="0.3">
      <c r="A104" s="11"/>
      <c r="B104" s="11"/>
      <c r="C104" s="11"/>
      <c r="D104" s="10"/>
      <c r="E104" s="10"/>
      <c r="F104" s="11"/>
      <c r="G104" s="11"/>
      <c r="H104" s="10"/>
    </row>
    <row r="105" spans="1:8" ht="14.25" x14ac:dyDescent="0.3">
      <c r="A105" s="11"/>
      <c r="B105" s="11"/>
      <c r="C105" s="11"/>
      <c r="D105" s="10"/>
      <c r="E105" s="10"/>
      <c r="F105" s="11"/>
      <c r="G105" s="11"/>
      <c r="H105" s="10"/>
    </row>
    <row r="106" spans="1:8" ht="14.25" x14ac:dyDescent="0.3">
      <c r="A106" s="11"/>
      <c r="B106" s="11"/>
      <c r="C106" s="11"/>
      <c r="D106" s="10"/>
      <c r="E106" s="10"/>
      <c r="F106" s="11"/>
      <c r="G106" s="11"/>
      <c r="H106" s="10"/>
    </row>
    <row r="107" spans="1:8" x14ac:dyDescent="0.2">
      <c r="A107" s="9"/>
      <c r="B107" s="8"/>
      <c r="D107" s="5"/>
      <c r="E107" s="5"/>
      <c r="F107" s="5"/>
      <c r="G107" s="5"/>
      <c r="H107" s="5"/>
    </row>
    <row r="108" spans="1:8" x14ac:dyDescent="0.2">
      <c r="A108" s="9"/>
      <c r="B108" s="8"/>
      <c r="D108" s="5"/>
      <c r="E108" s="5"/>
      <c r="F108" s="5"/>
      <c r="G108" s="5"/>
      <c r="H108" s="5"/>
    </row>
    <row r="109" spans="1:8" x14ac:dyDescent="0.2">
      <c r="A109" s="9"/>
      <c r="B109" s="8"/>
      <c r="D109" s="5"/>
      <c r="E109" s="5"/>
      <c r="F109" s="5"/>
      <c r="G109" s="5"/>
      <c r="H109" s="5"/>
    </row>
    <row r="110" spans="1:8" x14ac:dyDescent="0.2">
      <c r="A110" s="9"/>
      <c r="B110" s="8"/>
      <c r="D110" s="5"/>
      <c r="E110" s="5"/>
      <c r="F110" s="5"/>
      <c r="G110" s="5"/>
      <c r="H110" s="5"/>
    </row>
    <row r="111" spans="1:8" x14ac:dyDescent="0.2">
      <c r="A111" s="7" t="s">
        <v>1</v>
      </c>
      <c r="B111" s="49" t="s">
        <v>0</v>
      </c>
      <c r="C111" s="49"/>
      <c r="D111" s="49"/>
      <c r="E111" s="49"/>
      <c r="F111" s="6"/>
      <c r="G111" s="5"/>
      <c r="H111" s="5"/>
    </row>
  </sheetData>
  <mergeCells count="8">
    <mergeCell ref="A93:H93"/>
    <mergeCell ref="B111:E111"/>
    <mergeCell ref="A1:H1"/>
    <mergeCell ref="A2:H2"/>
    <mergeCell ref="A3:H3"/>
    <mergeCell ref="A90:H90"/>
    <mergeCell ref="A91:H91"/>
    <mergeCell ref="A92:H9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2025-04-04T18:59:35Z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