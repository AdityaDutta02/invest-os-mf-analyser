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Focused Fund" sheetId="1" r:id="rId1"/>
  </sheets>
  <definedNames>
    <definedName name="_xlnm._FilterDatabase" localSheetId="0" hidden="1">'JM Focused Fund'!$A$1:$I$63</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6" i="1" l="1"/>
  <c r="E55" i="1"/>
  <c r="E56" i="1" s="1"/>
  <c r="D37" i="1"/>
  <c r="D41" i="1" s="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7" i="1" l="1"/>
  <c r="E41" i="1" s="1"/>
  <c r="E58" i="1"/>
  <c r="E62" i="1" s="1"/>
  <c r="D58" i="1"/>
  <c r="D60" i="1" s="1"/>
  <c r="E60" i="1" s="1"/>
</calcChain>
</file>

<file path=xl/sharedStrings.xml><?xml version="1.0" encoding="utf-8"?>
<sst xmlns="http://schemas.openxmlformats.org/spreadsheetml/2006/main" count="140" uniqueCount="117">
  <si>
    <t>JM Financial Mutual Fund</t>
  </si>
  <si>
    <t>JM Focused Fund  (An open-ended equity scheme investing in maximum of 30 stocks of large cap, mid cap and small cap companies)</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</si>
  <si>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</si>
  <si>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</si>
  <si>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</si>
  <si>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</si>
  <si>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</si>
  <si>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</si>
  <si>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</si>
  <si>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</si>
  <si>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</si>
  <si>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</si>
  <si>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</si>
  <si>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Hitachi Energy India Ltd.</t>
  </si>
  <si>
    <t>Electrical Equipment</t>
  </si>
  <si>
    <t>INE07Y701011</t>
  </si>
  <si>
    <t>ICICI Bank Ltd.</t>
  </si>
  <si>
    <t>Banks</t>
  </si>
  <si>
    <t>INE090A01021</t>
  </si>
  <si>
    <t>Thermax Ltd.</t>
  </si>
  <si>
    <t>INE152A01029</t>
  </si>
  <si>
    <t>Bank of India</t>
  </si>
  <si>
    <t>INE084A01016</t>
  </si>
  <si>
    <t>Sterling and Wilson Renewable Energy Ltd.</t>
  </si>
  <si>
    <t>Construction</t>
  </si>
  <si>
    <t>INE00M201021</t>
  </si>
  <si>
    <t>Tata Motors Ltd.-DVR</t>
  </si>
  <si>
    <t>Automobiles</t>
  </si>
  <si>
    <t>IN9155A01020</t>
  </si>
  <si>
    <t>Mahindra &amp; Mahindra Ltd.</t>
  </si>
  <si>
    <t>INE101A01026</t>
  </si>
  <si>
    <t>JSW Energy Ltd.</t>
  </si>
  <si>
    <t>Power</t>
  </si>
  <si>
    <t>INE121E01018</t>
  </si>
  <si>
    <t>Schaeffler India Ltd.</t>
  </si>
  <si>
    <t>Auto Components</t>
  </si>
  <si>
    <t>INE513A01022</t>
  </si>
  <si>
    <t>Infosys Ltd.</t>
  </si>
  <si>
    <t>IT - Software</t>
  </si>
  <si>
    <t>INE009A01021</t>
  </si>
  <si>
    <t>Larsen &amp; Toubro Ltd.</t>
  </si>
  <si>
    <t>INE018A01030</t>
  </si>
  <si>
    <t>Amber Enterprises India Ltd.</t>
  </si>
  <si>
    <t>Consumer Durables</t>
  </si>
  <si>
    <t>INE371P01015</t>
  </si>
  <si>
    <t>Vedanta Ltd.</t>
  </si>
  <si>
    <t>Diversified Metals</t>
  </si>
  <si>
    <t>INE205A01025</t>
  </si>
  <si>
    <t>NMDC Ltd.</t>
  </si>
  <si>
    <t>Minerals &amp; Mining</t>
  </si>
  <si>
    <t>INE584A01023</t>
  </si>
  <si>
    <t>Delhivery Ltd.</t>
  </si>
  <si>
    <t>Transport Services</t>
  </si>
  <si>
    <t>INE148O01028</t>
  </si>
  <si>
    <t>Trent Ltd.</t>
  </si>
  <si>
    <t>Retailing</t>
  </si>
  <si>
    <t>INE849A01020</t>
  </si>
  <si>
    <t>Orchid Pharma Ltd.</t>
  </si>
  <si>
    <t>Pharmaceuticals &amp; Biotechnology</t>
  </si>
  <si>
    <t>INE191A01027</t>
  </si>
  <si>
    <t>REC Ltd.</t>
  </si>
  <si>
    <t>Finance</t>
  </si>
  <si>
    <t>INE020B01018</t>
  </si>
  <si>
    <t>InterGlobe Aviation Ltd.</t>
  </si>
  <si>
    <t>INE646L01027</t>
  </si>
  <si>
    <t>Bank of Baroda</t>
  </si>
  <si>
    <t>INE028A01039</t>
  </si>
  <si>
    <t>Petronet LNG Ltd.</t>
  </si>
  <si>
    <t>Gas</t>
  </si>
  <si>
    <t>INE347G01014</t>
  </si>
  <si>
    <t>Deepak Fertilizers&amp; Petrochemicals Corporation Ltd</t>
  </si>
  <si>
    <t>Chemicals &amp; Petrochemicals</t>
  </si>
  <si>
    <t>INE501A01019</t>
  </si>
  <si>
    <t>Gokaldas Exports Ltd.</t>
  </si>
  <si>
    <t>Textiles &amp; Apparels</t>
  </si>
  <si>
    <t>INE887G01027</t>
  </si>
  <si>
    <t>Spandana Sphoorty Financial Ltd.</t>
  </si>
  <si>
    <t>INE572J01011</t>
  </si>
  <si>
    <t>Titan Company Ltd.</t>
  </si>
  <si>
    <t>INE280A01028</t>
  </si>
  <si>
    <t>SRF Ltd.</t>
  </si>
  <si>
    <t>INE647A01010</t>
  </si>
  <si>
    <t>Zomato Ltd.</t>
  </si>
  <si>
    <t>INE758T01015</t>
  </si>
  <si>
    <t>Poonawalla Fincorp Ltd.</t>
  </si>
  <si>
    <t>INE511C01022</t>
  </si>
  <si>
    <t>Tata Technologies Ltd.</t>
  </si>
  <si>
    <t>IT - Services</t>
  </si>
  <si>
    <t>INE142M01025</t>
  </si>
  <si>
    <t>DLF Ltd.</t>
  </si>
  <si>
    <t>Realty</t>
  </si>
  <si>
    <t>INE271C01023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</si>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</sst>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5" fillId="0" borderId="0" xfId="2" applyFont="1"/>
    <xf numFmtId="0" fontId="5" fillId="0" borderId="0" xfId="2"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165" fontId="3" fillId="0" borderId="0" xfId="0" applyNumberFormat="1" applyFont="1" applyFill="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485776</xdr:colOff>
      <xdr:row>74</xdr:row>
      <xdr:rowOff>66674</xdr:rowOff>
    </xdr:from>
    <xdr:to>
      <xdr:col>0</xdr:col>
      <xdr:colOff>2486026</xdr:colOff>
      <xdr:row>80</xdr:row>
      <xdr:rowOff>19049</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6" y="14154149"/>
          <a:ext cx="200025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285750</xdr:colOff>
      <xdr:row>74</xdr:row>
      <xdr:rowOff>57150</xdr:rowOff>
    </xdr:from>
    <xdr:to>
      <xdr:col>2</xdr:col>
      <xdr:colOff>466725</xdr:colOff>
      <xdr:row>80</xdr:row>
      <xdr:rowOff>38100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52775" y="14144625"/>
          <a:ext cx="2009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371475</xdr:colOff>
      <xdr:row>79</xdr:row>
      <xdr:rowOff>171450</xdr:rowOff>
    </xdr:from>
    <xdr:to>
      <xdr:col>0</xdr:col>
      <xdr:colOff>2638426</xdr:colOff>
      <xdr:row>82</xdr:row>
      <xdr:rowOff>152400</xdr:rowOff>
    </xdr:to>
    <xdr:sp macro="" textlink="">
      <xdr:nvSpPr>
        <xdr:cNvPr id="4" name="TextBox 3"/>
        <xdr:cNvSpPr txBox="1"/>
      </xdr:nvSpPr>
      <xdr:spPr>
        <a:xfrm>
          <a:off x="371475" y="151638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95250</xdr:colOff>
      <xdr:row>80</xdr:row>
      <xdr:rowOff>9525</xdr:rowOff>
    </xdr:from>
    <xdr:to>
      <xdr:col>2</xdr:col>
      <xdr:colOff>533401</xdr:colOff>
      <xdr:row>83</xdr:row>
      <xdr:rowOff>9525</xdr:rowOff>
    </xdr:to>
    <xdr:sp macro="" textlink="">
      <xdr:nvSpPr>
        <xdr:cNvPr id="5" name="TextBox 4"/>
        <xdr:cNvSpPr txBox="1"/>
      </xdr:nvSpPr>
      <xdr:spPr>
        <a:xfrm>
          <a:off x="2962275" y="151828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K80"/>
  <sheetViews>
    <sheetView tabSelected="1" zoomScaleNormal="100" workbookViewId="0">
      <selection sqref="A1:H1"/>
    </sheetView>
  </sheetViews>
  <sheetFormatPr defaultRowHeight="12.75" x14ac:dyDescent="0.2"/>
  <cols>
    <col min="1" max="1" width="43" style="47" customWidth="1"/>
    <col min="2" max="2" width="27.42578125" style="48" bestFit="1" customWidth="1"/>
    <col min="3" max="3" width="13.42578125" style="49" customWidth="1"/>
    <col min="4" max="4" width="13" style="1" customWidth="1"/>
    <col min="5" max="5" width="10.7109375" style="1" customWidth="1"/>
    <col min="6" max="6" width="13.140625" style="1" bestFit="1" customWidth="1"/>
    <col min="7" max="7" width="9.5703125" style="1" bestFit="1" customWidth="1"/>
    <col min="8" max="8" width="14.42578125" style="1" customWidth="1"/>
    <col min="9" max="16384" width="9.140625" style="1"/>
  </cols>
  <sheetData>
    <row r="1" spans="1:11" x14ac:dyDescent="0.2">
      <c r="A1" s="54" t="s">
        <v>0</v>
      </c>
      <c r="B1" s="54"/>
      <c r="C1" s="54"/>
      <c r="D1" s="54"/>
      <c r="E1" s="54"/>
      <c r="F1" s="54"/>
      <c r="G1" s="54"/>
      <c r="H1" s="54"/>
    </row>
    <row r="2" spans="1:11" x14ac:dyDescent="0.2">
      <c r="A2" s="54" t="s">
        <v>1</v>
      </c>
      <c r="B2" s="54"/>
      <c r="C2" s="54"/>
      <c r="D2" s="54"/>
      <c r="E2" s="54"/>
      <c r="F2" s="54"/>
      <c r="G2" s="54"/>
      <c r="H2" s="54"/>
    </row>
    <row r="3" spans="1:11" ht="12.75" customHeight="1" x14ac:dyDescent="0.2">
      <c r="A3" s="55" t="s">
        <v>2</v>
      </c>
      <c r="B3" s="55"/>
      <c r="C3" s="55"/>
      <c r="D3" s="55"/>
      <c r="E3" s="55"/>
      <c r="F3" s="55"/>
      <c r="G3" s="55"/>
      <c r="H3" s="55"/>
    </row>
    <row r="4" spans="1:11" s="4" customFormat="1" ht="25.5" x14ac:dyDescent="0.2">
      <c r="A4" s="2" t="s">
        <v>3</v>
      </c>
      <c r="B4" s="2" t="s">
        <v>4</v>
      </c>
      <c r="C4" s="3" t="s">
        <v>5</v>
      </c>
      <c r="D4" s="2" t="s">
        <v>6</v>
      </c>
      <c r="E4" s="2" t="s">
        <v>7</v>
      </c>
      <c r="F4" s="2" t="s">
        <v>8</v>
      </c>
      <c r="G4" s="2" t="s">
        <v>9</v>
      </c>
      <c r="H4" s="2" t="s">
        <v>10</v>
      </c>
    </row>
    <row r="5" spans="1:11" ht="14.25" x14ac:dyDescent="0.3">
      <c r="A5" s="5" t="s">
        <v>11</v>
      </c>
      <c r="B5" s="6"/>
      <c r="C5" s="7"/>
      <c r="D5" s="8"/>
      <c r="E5" s="8"/>
      <c r="F5" s="9"/>
      <c r="G5" s="10"/>
      <c r="H5" s="11"/>
    </row>
    <row r="6" spans="1:11" ht="14.25" x14ac:dyDescent="0.3">
      <c r="A6" s="12" t="s">
        <v>12</v>
      </c>
      <c r="B6" s="6"/>
      <c r="C6" s="7"/>
      <c r="D6" s="8"/>
      <c r="E6" s="8"/>
      <c r="F6" s="9"/>
      <c r="G6" s="10"/>
      <c r="H6" s="11"/>
    </row>
    <row r="7" spans="1:11" s="17" customFormat="1" ht="14.25" x14ac:dyDescent="0.3">
      <c r="A7" s="13" t="s">
        <v>13</v>
      </c>
      <c r="B7" s="14" t="s">
        <v>14</v>
      </c>
      <c r="C7" s="15">
        <v>5000</v>
      </c>
      <c r="D7" s="16">
        <v>478.9375</v>
      </c>
      <c r="E7" s="16">
        <f t="shared" ref="E7:E36" si="0">(+D7/$D$62*100)</f>
        <v>4.8961433885745897</v>
      </c>
      <c r="F7" s="16" t="s">
        <v>15</v>
      </c>
      <c r="G7" s="11"/>
      <c r="H7" s="10"/>
      <c r="K7" s="50"/>
    </row>
    <row r="8" spans="1:11" s="17" customFormat="1" ht="14.25" x14ac:dyDescent="0.3">
      <c r="A8" s="13" t="s">
        <v>16</v>
      </c>
      <c r="B8" s="14" t="s">
        <v>17</v>
      </c>
      <c r="C8" s="15">
        <v>40500</v>
      </c>
      <c r="D8" s="16">
        <v>465.91199999999998</v>
      </c>
      <c r="E8" s="16">
        <f t="shared" si="0"/>
        <v>4.7629846450895243</v>
      </c>
      <c r="F8" s="16" t="s">
        <v>18</v>
      </c>
      <c r="G8" s="11"/>
      <c r="H8" s="11"/>
      <c r="K8" s="50"/>
    </row>
    <row r="9" spans="1:11" s="17" customFormat="1" ht="14.25" x14ac:dyDescent="0.3">
      <c r="A9" s="13" t="s">
        <v>19</v>
      </c>
      <c r="B9" s="14" t="s">
        <v>14</v>
      </c>
      <c r="C9" s="15">
        <v>8700</v>
      </c>
      <c r="D9" s="16">
        <v>406.2552</v>
      </c>
      <c r="E9" s="16">
        <f t="shared" si="0"/>
        <v>4.1531174976986511</v>
      </c>
      <c r="F9" s="16" t="s">
        <v>20</v>
      </c>
      <c r="G9" s="11"/>
      <c r="H9" s="10"/>
      <c r="K9" s="50"/>
    </row>
    <row r="10" spans="1:11" s="17" customFormat="1" ht="14.25" x14ac:dyDescent="0.3">
      <c r="A10" s="13" t="s">
        <v>21</v>
      </c>
      <c r="B10" s="14" t="s">
        <v>17</v>
      </c>
      <c r="C10" s="15">
        <v>255000</v>
      </c>
      <c r="D10" s="16">
        <v>395.505</v>
      </c>
      <c r="E10" s="16">
        <f t="shared" si="0"/>
        <v>4.0432189813873274</v>
      </c>
      <c r="F10" s="16" t="s">
        <v>22</v>
      </c>
      <c r="G10" s="11"/>
      <c r="H10" s="11"/>
      <c r="K10" s="50"/>
    </row>
    <row r="11" spans="1:11" s="17" customFormat="1" ht="14.25" x14ac:dyDescent="0.3">
      <c r="A11" s="13" t="s">
        <v>23</v>
      </c>
      <c r="B11" s="14" t="s">
        <v>24</v>
      </c>
      <c r="C11" s="15">
        <v>60000</v>
      </c>
      <c r="D11" s="16">
        <v>393.63</v>
      </c>
      <c r="E11" s="16">
        <f t="shared" si="0"/>
        <v>4.0240509921328265</v>
      </c>
      <c r="F11" s="16" t="s">
        <v>25</v>
      </c>
      <c r="G11" s="11"/>
      <c r="H11" s="10"/>
      <c r="K11" s="50"/>
    </row>
    <row r="12" spans="1:11" s="17" customFormat="1" ht="14.25" x14ac:dyDescent="0.3">
      <c r="A12" s="13" t="s">
        <v>26</v>
      </c>
      <c r="B12" s="14" t="s">
        <v>27</v>
      </c>
      <c r="C12" s="15">
        <v>57000</v>
      </c>
      <c r="D12" s="16">
        <v>388.88249999999999</v>
      </c>
      <c r="E12" s="16">
        <f t="shared" si="0"/>
        <v>3.9755176433404316</v>
      </c>
      <c r="F12" s="16" t="s">
        <v>28</v>
      </c>
      <c r="G12" s="11"/>
      <c r="H12" s="10"/>
      <c r="K12" s="50"/>
    </row>
    <row r="13" spans="1:11" s="17" customFormat="1" ht="14.25" x14ac:dyDescent="0.3">
      <c r="A13" s="13" t="s">
        <v>29</v>
      </c>
      <c r="B13" s="14" t="s">
        <v>27</v>
      </c>
      <c r="C13" s="15">
        <v>18000</v>
      </c>
      <c r="D13" s="16">
        <v>388.14299999999997</v>
      </c>
      <c r="E13" s="16">
        <f t="shared" si="0"/>
        <v>3.967957788378456</v>
      </c>
      <c r="F13" s="16" t="s">
        <v>30</v>
      </c>
      <c r="G13" s="11"/>
      <c r="H13" s="11"/>
      <c r="K13" s="50"/>
    </row>
    <row r="14" spans="1:11" s="17" customFormat="1" ht="14.25" x14ac:dyDescent="0.3">
      <c r="A14" s="13" t="s">
        <v>31</v>
      </c>
      <c r="B14" s="14" t="s">
        <v>32</v>
      </c>
      <c r="C14" s="15">
        <v>60000</v>
      </c>
      <c r="D14" s="16">
        <v>377.73</v>
      </c>
      <c r="E14" s="16">
        <f t="shared" si="0"/>
        <v>3.8615064432546622</v>
      </c>
      <c r="F14" s="16" t="s">
        <v>33</v>
      </c>
      <c r="G14" s="11"/>
      <c r="H14" s="11"/>
      <c r="K14" s="50"/>
    </row>
    <row r="15" spans="1:11" s="17" customFormat="1" ht="14.25" x14ac:dyDescent="0.3">
      <c r="A15" s="13" t="s">
        <v>34</v>
      </c>
      <c r="B15" s="14" t="s">
        <v>35</v>
      </c>
      <c r="C15" s="15">
        <v>9900</v>
      </c>
      <c r="D15" s="16">
        <v>365.29514999999998</v>
      </c>
      <c r="E15" s="16">
        <f t="shared" si="0"/>
        <v>3.7343858719579548</v>
      </c>
      <c r="F15" s="16" t="s">
        <v>36</v>
      </c>
      <c r="G15" s="11"/>
      <c r="H15" s="10"/>
      <c r="K15" s="50"/>
    </row>
    <row r="16" spans="1:11" s="17" customFormat="1" ht="14.25" x14ac:dyDescent="0.3">
      <c r="A16" s="13" t="s">
        <v>37</v>
      </c>
      <c r="B16" s="14" t="s">
        <v>38</v>
      </c>
      <c r="C16" s="15">
        <v>25610</v>
      </c>
      <c r="D16" s="16">
        <v>363.80285500000002</v>
      </c>
      <c r="E16" s="16">
        <f t="shared" si="0"/>
        <v>3.7191302482115307</v>
      </c>
      <c r="F16" s="16" t="s">
        <v>39</v>
      </c>
      <c r="G16" s="11"/>
      <c r="H16" s="11"/>
      <c r="K16" s="50"/>
    </row>
    <row r="17" spans="1:11" s="17" customFormat="1" ht="14.25" x14ac:dyDescent="0.3">
      <c r="A17" s="13" t="s">
        <v>40</v>
      </c>
      <c r="B17" s="14" t="s">
        <v>24</v>
      </c>
      <c r="C17" s="15">
        <v>10000</v>
      </c>
      <c r="D17" s="16">
        <v>359.43</v>
      </c>
      <c r="E17" s="16">
        <f t="shared" si="0"/>
        <v>3.6744268681307366</v>
      </c>
      <c r="F17" s="16" t="s">
        <v>41</v>
      </c>
      <c r="G17" s="11"/>
      <c r="H17" s="11"/>
      <c r="K17" s="50"/>
    </row>
    <row r="18" spans="1:11" s="17" customFormat="1" ht="14.25" x14ac:dyDescent="0.3">
      <c r="A18" s="13" t="s">
        <v>42</v>
      </c>
      <c r="B18" s="14" t="s">
        <v>43</v>
      </c>
      <c r="C18" s="15">
        <v>9000</v>
      </c>
      <c r="D18" s="16">
        <v>346.19850000000002</v>
      </c>
      <c r="E18" s="16">
        <f t="shared" si="0"/>
        <v>3.5391622015595781</v>
      </c>
      <c r="F18" s="16" t="s">
        <v>44</v>
      </c>
      <c r="G18" s="11"/>
      <c r="H18" s="11"/>
      <c r="K18" s="50"/>
    </row>
    <row r="19" spans="1:11" s="17" customFormat="1" ht="14.25" x14ac:dyDescent="0.3">
      <c r="A19" s="13" t="s">
        <v>45</v>
      </c>
      <c r="B19" s="14" t="s">
        <v>46</v>
      </c>
      <c r="C19" s="15">
        <v>85000</v>
      </c>
      <c r="D19" s="16">
        <v>338.17250000000001</v>
      </c>
      <c r="E19" s="16">
        <f t="shared" si="0"/>
        <v>3.4571129846227131</v>
      </c>
      <c r="F19" s="16" t="s">
        <v>47</v>
      </c>
      <c r="G19" s="11"/>
      <c r="H19" s="10"/>
      <c r="K19" s="50"/>
    </row>
    <row r="20" spans="1:11" s="17" customFormat="1" ht="14.25" x14ac:dyDescent="0.3">
      <c r="A20" s="13" t="s">
        <v>48</v>
      </c>
      <c r="B20" s="14" t="s">
        <v>49</v>
      </c>
      <c r="C20" s="15">
        <v>132000</v>
      </c>
      <c r="D20" s="16">
        <v>335.80799999999999</v>
      </c>
      <c r="E20" s="16">
        <f t="shared" si="0"/>
        <v>3.4329408723068369</v>
      </c>
      <c r="F20" s="16" t="s">
        <v>50</v>
      </c>
      <c r="G20" s="11"/>
      <c r="H20" s="10"/>
      <c r="K20" s="50"/>
    </row>
    <row r="21" spans="1:11" s="17" customFormat="1" ht="14.25" x14ac:dyDescent="0.3">
      <c r="A21" s="13" t="s">
        <v>51</v>
      </c>
      <c r="B21" s="14" t="s">
        <v>52</v>
      </c>
      <c r="C21" s="15">
        <v>72500</v>
      </c>
      <c r="D21" s="16">
        <v>325.52499999999998</v>
      </c>
      <c r="E21" s="16">
        <f t="shared" si="0"/>
        <v>3.3278185077713545</v>
      </c>
      <c r="F21" s="16" t="s">
        <v>53</v>
      </c>
      <c r="G21" s="11"/>
      <c r="H21" s="11"/>
      <c r="K21" s="50"/>
    </row>
    <row r="22" spans="1:11" s="17" customFormat="1" ht="14.25" x14ac:dyDescent="0.3">
      <c r="A22" s="13" t="s">
        <v>54</v>
      </c>
      <c r="B22" s="14" t="s">
        <v>55</v>
      </c>
      <c r="C22" s="15">
        <v>7359</v>
      </c>
      <c r="D22" s="16">
        <v>324.524541</v>
      </c>
      <c r="E22" s="16">
        <f t="shared" si="0"/>
        <v>3.317590887845185</v>
      </c>
      <c r="F22" s="16" t="s">
        <v>56</v>
      </c>
      <c r="G22" s="11"/>
      <c r="H22" s="10"/>
      <c r="K22" s="50"/>
    </row>
    <row r="23" spans="1:11" s="17" customFormat="1" ht="14.25" x14ac:dyDescent="0.3">
      <c r="A23" s="13" t="s">
        <v>57</v>
      </c>
      <c r="B23" s="14" t="s">
        <v>58</v>
      </c>
      <c r="C23" s="15">
        <v>28500</v>
      </c>
      <c r="D23" s="16">
        <v>307.41525000000001</v>
      </c>
      <c r="E23" s="16">
        <f t="shared" si="0"/>
        <v>3.1426838446237864</v>
      </c>
      <c r="F23" s="16" t="s">
        <v>59</v>
      </c>
      <c r="G23" s="11"/>
      <c r="H23" s="10"/>
      <c r="K23" s="50"/>
    </row>
    <row r="24" spans="1:11" s="17" customFormat="1" ht="14.25" x14ac:dyDescent="0.3">
      <c r="A24" s="13" t="s">
        <v>60</v>
      </c>
      <c r="B24" s="14" t="s">
        <v>61</v>
      </c>
      <c r="C24" s="15">
        <v>60000</v>
      </c>
      <c r="D24" s="16">
        <v>304.29000000000002</v>
      </c>
      <c r="E24" s="16">
        <f t="shared" si="0"/>
        <v>3.1107346401343849</v>
      </c>
      <c r="F24" s="16" t="s">
        <v>62</v>
      </c>
      <c r="G24" s="11"/>
      <c r="H24" s="10"/>
      <c r="K24" s="50"/>
    </row>
    <row r="25" spans="1:11" s="17" customFormat="1" ht="14.25" x14ac:dyDescent="0.3">
      <c r="A25" s="13" t="s">
        <v>63</v>
      </c>
      <c r="B25" s="14" t="s">
        <v>52</v>
      </c>
      <c r="C25" s="15">
        <v>7500</v>
      </c>
      <c r="D25" s="16">
        <v>298.67250000000001</v>
      </c>
      <c r="E25" s="16">
        <f t="shared" si="0"/>
        <v>3.0533073443279011</v>
      </c>
      <c r="F25" s="16" t="s">
        <v>64</v>
      </c>
      <c r="G25" s="11"/>
      <c r="H25" s="11"/>
      <c r="K25" s="50"/>
    </row>
    <row r="26" spans="1:11" s="17" customFormat="1" ht="14.25" x14ac:dyDescent="0.3">
      <c r="A26" s="13" t="s">
        <v>65</v>
      </c>
      <c r="B26" s="14" t="s">
        <v>17</v>
      </c>
      <c r="C26" s="15">
        <v>104500</v>
      </c>
      <c r="D26" s="16">
        <v>294.16750000000002</v>
      </c>
      <c r="E26" s="16">
        <f t="shared" si="0"/>
        <v>3.0072530554790879</v>
      </c>
      <c r="F26" s="16" t="s">
        <v>66</v>
      </c>
      <c r="G26" s="11"/>
      <c r="H26" s="11"/>
      <c r="K26" s="50"/>
    </row>
    <row r="27" spans="1:11" s="17" customFormat="1" ht="14.25" x14ac:dyDescent="0.3">
      <c r="A27" s="13" t="s">
        <v>67</v>
      </c>
      <c r="B27" s="14" t="s">
        <v>68</v>
      </c>
      <c r="C27" s="15">
        <v>90000</v>
      </c>
      <c r="D27" s="16">
        <v>279.495</v>
      </c>
      <c r="E27" s="16">
        <f t="shared" si="0"/>
        <v>2.8572571502328694</v>
      </c>
      <c r="F27" s="16" t="s">
        <v>69</v>
      </c>
      <c r="G27" s="11"/>
      <c r="H27" s="10"/>
      <c r="K27" s="50"/>
    </row>
    <row r="28" spans="1:11" s="17" customFormat="1" ht="14.25" x14ac:dyDescent="0.3">
      <c r="A28" s="13" t="s">
        <v>70</v>
      </c>
      <c r="B28" s="14" t="s">
        <v>71</v>
      </c>
      <c r="C28" s="15">
        <v>46000</v>
      </c>
      <c r="D28" s="16">
        <v>278.346</v>
      </c>
      <c r="E28" s="16">
        <f t="shared" si="0"/>
        <v>2.8455110064177118</v>
      </c>
      <c r="F28" s="16" t="s">
        <v>72</v>
      </c>
      <c r="G28" s="11"/>
      <c r="H28" s="11"/>
      <c r="K28" s="50"/>
    </row>
    <row r="29" spans="1:11" s="17" customFormat="1" ht="14.25" x14ac:dyDescent="0.3">
      <c r="A29" s="13" t="s">
        <v>73</v>
      </c>
      <c r="B29" s="14" t="s">
        <v>74</v>
      </c>
      <c r="C29" s="15">
        <v>30000</v>
      </c>
      <c r="D29" s="16">
        <v>263.80500000000001</v>
      </c>
      <c r="E29" s="16">
        <f t="shared" si="0"/>
        <v>2.6968594161512089</v>
      </c>
      <c r="F29" s="16" t="s">
        <v>75</v>
      </c>
      <c r="G29" s="11"/>
      <c r="H29" s="11"/>
      <c r="K29" s="50"/>
    </row>
    <row r="30" spans="1:11" s="17" customFormat="1" ht="14.25" x14ac:dyDescent="0.3">
      <c r="A30" s="13" t="s">
        <v>76</v>
      </c>
      <c r="B30" s="14" t="s">
        <v>61</v>
      </c>
      <c r="C30" s="15">
        <v>28030</v>
      </c>
      <c r="D30" s="16">
        <v>244.800005</v>
      </c>
      <c r="E30" s="16">
        <f t="shared" si="0"/>
        <v>2.5025727281822294</v>
      </c>
      <c r="F30" s="16" t="s">
        <v>77</v>
      </c>
      <c r="G30" s="11"/>
      <c r="H30" s="10"/>
      <c r="K30" s="50"/>
    </row>
    <row r="31" spans="1:11" s="17" customFormat="1" ht="14.25" x14ac:dyDescent="0.3">
      <c r="A31" s="13" t="s">
        <v>78</v>
      </c>
      <c r="B31" s="14" t="s">
        <v>43</v>
      </c>
      <c r="C31" s="15">
        <v>6754</v>
      </c>
      <c r="D31" s="16">
        <v>242.417945</v>
      </c>
      <c r="E31" s="16">
        <f t="shared" si="0"/>
        <v>2.4782211012576556</v>
      </c>
      <c r="F31" s="16" t="s">
        <v>79</v>
      </c>
      <c r="G31" s="11"/>
      <c r="H31" s="10"/>
      <c r="K31" s="50"/>
    </row>
    <row r="32" spans="1:11" s="17" customFormat="1" ht="14.25" x14ac:dyDescent="0.3">
      <c r="A32" s="13" t="s">
        <v>80</v>
      </c>
      <c r="B32" s="14" t="s">
        <v>71</v>
      </c>
      <c r="C32" s="15">
        <v>9000</v>
      </c>
      <c r="D32" s="16">
        <v>235.89449999999999</v>
      </c>
      <c r="E32" s="16">
        <f t="shared" si="0"/>
        <v>2.4115323953044157</v>
      </c>
      <c r="F32" s="16" t="s">
        <v>81</v>
      </c>
      <c r="G32" s="11"/>
      <c r="H32" s="10"/>
      <c r="K32" s="50"/>
    </row>
    <row r="33" spans="1:11" s="17" customFormat="1" ht="14.25" x14ac:dyDescent="0.3">
      <c r="A33" s="13" t="s">
        <v>82</v>
      </c>
      <c r="B33" s="14" t="s">
        <v>55</v>
      </c>
      <c r="C33" s="15">
        <v>119000</v>
      </c>
      <c r="D33" s="16">
        <v>229.8485</v>
      </c>
      <c r="E33" s="16">
        <f t="shared" si="0"/>
        <v>2.3497245750203035</v>
      </c>
      <c r="F33" s="16" t="s">
        <v>83</v>
      </c>
      <c r="G33" s="11"/>
      <c r="H33" s="10"/>
      <c r="K33" s="50"/>
    </row>
    <row r="34" spans="1:11" s="17" customFormat="1" ht="14.25" x14ac:dyDescent="0.3">
      <c r="A34" s="13" t="s">
        <v>84</v>
      </c>
      <c r="B34" s="14" t="s">
        <v>61</v>
      </c>
      <c r="C34" s="15">
        <v>44500</v>
      </c>
      <c r="D34" s="16">
        <v>218.33924999999999</v>
      </c>
      <c r="E34" s="16">
        <f t="shared" si="0"/>
        <v>2.2320663455123775</v>
      </c>
      <c r="F34" s="16" t="s">
        <v>85</v>
      </c>
      <c r="G34" s="11"/>
      <c r="H34" s="10"/>
      <c r="K34" s="50"/>
    </row>
    <row r="35" spans="1:11" s="17" customFormat="1" ht="14.25" x14ac:dyDescent="0.3">
      <c r="A35" s="13" t="s">
        <v>86</v>
      </c>
      <c r="B35" s="14" t="s">
        <v>87</v>
      </c>
      <c r="C35" s="15">
        <v>20000</v>
      </c>
      <c r="D35" s="16">
        <v>213.43</v>
      </c>
      <c r="E35" s="16">
        <f t="shared" si="0"/>
        <v>2.1818794381802942</v>
      </c>
      <c r="F35" s="16" t="s">
        <v>88</v>
      </c>
      <c r="G35" s="11"/>
      <c r="H35" s="10"/>
      <c r="K35" s="50"/>
    </row>
    <row r="36" spans="1:11" s="17" customFormat="1" ht="14.25" x14ac:dyDescent="0.3">
      <c r="A36" s="13" t="s">
        <v>89</v>
      </c>
      <c r="B36" s="14" t="s">
        <v>90</v>
      </c>
      <c r="C36" s="15">
        <v>21000</v>
      </c>
      <c r="D36" s="16">
        <v>187.2885</v>
      </c>
      <c r="E36" s="16">
        <f t="shared" si="0"/>
        <v>1.914636776262147</v>
      </c>
      <c r="F36" s="16" t="s">
        <v>91</v>
      </c>
      <c r="G36" s="11"/>
      <c r="H36" s="11"/>
      <c r="K36" s="50"/>
    </row>
    <row r="37" spans="1:11" s="17" customFormat="1" ht="14.25" x14ac:dyDescent="0.3">
      <c r="A37" s="12" t="s">
        <v>92</v>
      </c>
      <c r="B37" s="14"/>
      <c r="C37" s="15"/>
      <c r="D37" s="18">
        <f>IF(ISERROR(SUM(D7:D36)),0,SUM(D7:D36))</f>
        <v>9651.9616960000003</v>
      </c>
      <c r="E37" s="18">
        <f>IF(ISERROR(SUM(E7:E36)),0,SUM(E7:E36))</f>
        <v>98.671305639348716</v>
      </c>
      <c r="F37" s="18"/>
      <c r="G37" s="11"/>
      <c r="H37" s="10"/>
      <c r="K37" s="50"/>
    </row>
    <row r="38" spans="1:11" s="17" customFormat="1" ht="14.25" x14ac:dyDescent="0.3">
      <c r="A38" s="12"/>
      <c r="B38" s="12"/>
      <c r="C38" s="19"/>
      <c r="D38" s="20"/>
      <c r="E38" s="20"/>
      <c r="F38" s="20"/>
      <c r="G38" s="11"/>
      <c r="H38" s="10"/>
    </row>
    <row r="39" spans="1:11" s="17" customFormat="1" ht="14.25" x14ac:dyDescent="0.3">
      <c r="A39" s="12" t="s">
        <v>93</v>
      </c>
      <c r="B39" s="12"/>
      <c r="C39" s="19"/>
      <c r="D39" s="21" t="s">
        <v>94</v>
      </c>
      <c r="E39" s="21" t="s">
        <v>94</v>
      </c>
      <c r="F39" s="21"/>
      <c r="G39" s="11"/>
      <c r="H39" s="10"/>
    </row>
    <row r="40" spans="1:11" s="17" customFormat="1" ht="14.25" x14ac:dyDescent="0.3">
      <c r="A40" s="12"/>
      <c r="B40" s="5"/>
      <c r="C40" s="19"/>
      <c r="D40" s="21"/>
      <c r="E40" s="21"/>
      <c r="F40" s="22"/>
      <c r="G40" s="11"/>
      <c r="H40" s="10"/>
    </row>
    <row r="41" spans="1:11" s="17" customFormat="1" ht="14.25" x14ac:dyDescent="0.3">
      <c r="A41" s="12" t="s">
        <v>95</v>
      </c>
      <c r="B41" s="12"/>
      <c r="C41" s="19"/>
      <c r="D41" s="18">
        <f>IF(ISERROR(+D37),0,D37)+IF(ISERROR(+#REF!),0,#REF!)</f>
        <v>9651.9616960000003</v>
      </c>
      <c r="E41" s="18">
        <f>IF(ISERROR(+E37),0,E37)+IF(ISERROR(+#REF!),0,#REF!)</f>
        <v>98.671305639348716</v>
      </c>
      <c r="F41" s="23"/>
      <c r="G41" s="11"/>
      <c r="H41" s="10"/>
    </row>
    <row r="42" spans="1:11" s="17" customFormat="1" ht="14.25" x14ac:dyDescent="0.3">
      <c r="A42" s="12"/>
      <c r="B42" s="5"/>
      <c r="C42" s="19"/>
      <c r="D42" s="21"/>
      <c r="E42" s="21"/>
      <c r="F42" s="22"/>
      <c r="G42" s="11"/>
      <c r="H42" s="10"/>
    </row>
    <row r="43" spans="1:11" s="17" customFormat="1" ht="14.25" x14ac:dyDescent="0.3">
      <c r="A43" s="12" t="s">
        <v>96</v>
      </c>
      <c r="B43" s="5"/>
      <c r="C43" s="19"/>
      <c r="D43" s="21"/>
      <c r="E43" s="21"/>
      <c r="F43" s="22"/>
      <c r="G43" s="11"/>
      <c r="H43" s="10"/>
    </row>
    <row r="44" spans="1:11" s="17" customFormat="1" ht="14.25" x14ac:dyDescent="0.3">
      <c r="A44" s="12" t="s">
        <v>12</v>
      </c>
      <c r="B44" s="5"/>
      <c r="C44" s="19"/>
      <c r="D44" s="21" t="s">
        <v>94</v>
      </c>
      <c r="E44" s="21" t="s">
        <v>94</v>
      </c>
      <c r="F44" s="24"/>
      <c r="G44" s="11"/>
      <c r="H44" s="10"/>
    </row>
    <row r="45" spans="1:11" s="17" customFormat="1" ht="14.25" x14ac:dyDescent="0.3">
      <c r="A45" s="12"/>
      <c r="B45" s="5"/>
      <c r="C45" s="25"/>
      <c r="D45" s="24"/>
      <c r="E45" s="24"/>
      <c r="F45" s="24"/>
      <c r="G45" s="11"/>
      <c r="H45" s="10"/>
    </row>
    <row r="46" spans="1:11" s="17" customFormat="1" ht="14.25" x14ac:dyDescent="0.3">
      <c r="A46" s="12" t="s">
        <v>97</v>
      </c>
      <c r="B46" s="5"/>
      <c r="C46" s="25"/>
      <c r="D46" s="21" t="s">
        <v>94</v>
      </c>
      <c r="E46" s="21" t="s">
        <v>94</v>
      </c>
      <c r="F46" s="22"/>
      <c r="G46" s="11"/>
      <c r="H46" s="10"/>
    </row>
    <row r="47" spans="1:11" s="17" customFormat="1" ht="14.25" x14ac:dyDescent="0.3">
      <c r="A47" s="12"/>
      <c r="B47" s="5"/>
      <c r="C47" s="25"/>
      <c r="D47" s="21"/>
      <c r="E47" s="21"/>
      <c r="F47" s="21"/>
      <c r="G47" s="11"/>
      <c r="H47" s="10"/>
    </row>
    <row r="48" spans="1:11" s="17" customFormat="1" ht="14.25" x14ac:dyDescent="0.3">
      <c r="A48" s="12" t="s">
        <v>98</v>
      </c>
      <c r="B48" s="5"/>
      <c r="C48" s="25"/>
      <c r="D48" s="21"/>
      <c r="E48" s="21"/>
      <c r="F48" s="21"/>
      <c r="G48" s="11"/>
      <c r="H48" s="10"/>
    </row>
    <row r="49" spans="1:8" s="17" customFormat="1" ht="14.25" x14ac:dyDescent="0.3">
      <c r="A49" s="12"/>
      <c r="B49" s="5"/>
      <c r="C49" s="25"/>
      <c r="D49" s="16"/>
      <c r="E49" s="16"/>
      <c r="F49" s="26"/>
      <c r="G49" s="11"/>
      <c r="H49" s="10"/>
    </row>
    <row r="50" spans="1:8" s="17" customFormat="1" ht="14.25" x14ac:dyDescent="0.3">
      <c r="A50" s="12" t="s">
        <v>99</v>
      </c>
      <c r="B50" s="5"/>
      <c r="C50" s="25"/>
      <c r="D50" s="21" t="s">
        <v>94</v>
      </c>
      <c r="E50" s="21" t="s">
        <v>94</v>
      </c>
      <c r="F50" s="21"/>
      <c r="G50" s="11"/>
      <c r="H50" s="10"/>
    </row>
    <row r="51" spans="1:8" s="17" customFormat="1" ht="14.25" x14ac:dyDescent="0.3">
      <c r="A51" s="12"/>
      <c r="B51" s="5"/>
      <c r="C51" s="25"/>
      <c r="D51" s="21"/>
      <c r="E51" s="21"/>
      <c r="F51" s="21"/>
      <c r="G51" s="11"/>
      <c r="H51" s="10"/>
    </row>
    <row r="52" spans="1:8" s="17" customFormat="1" ht="14.25" x14ac:dyDescent="0.3">
      <c r="A52" s="12" t="s">
        <v>100</v>
      </c>
      <c r="B52" s="5"/>
      <c r="C52" s="25"/>
      <c r="D52" s="21" t="s">
        <v>94</v>
      </c>
      <c r="E52" s="21" t="s">
        <v>94</v>
      </c>
      <c r="F52" s="21"/>
      <c r="G52" s="11"/>
      <c r="H52" s="10"/>
    </row>
    <row r="53" spans="1:8" s="17" customFormat="1" ht="14.25" x14ac:dyDescent="0.3">
      <c r="A53" s="12"/>
      <c r="B53" s="5"/>
      <c r="C53" s="25"/>
      <c r="D53" s="21"/>
      <c r="E53" s="21"/>
      <c r="F53" s="21"/>
      <c r="G53" s="11"/>
      <c r="H53" s="10"/>
    </row>
    <row r="54" spans="1:8" s="17" customFormat="1" ht="14.25" x14ac:dyDescent="0.3">
      <c r="A54" s="12" t="s">
        <v>101</v>
      </c>
      <c r="B54" s="5"/>
      <c r="C54" s="25"/>
      <c r="D54" s="21"/>
      <c r="E54" s="21"/>
      <c r="F54" s="22"/>
      <c r="G54" s="11"/>
      <c r="H54" s="10"/>
    </row>
    <row r="55" spans="1:8" s="17" customFormat="1" ht="14.25" x14ac:dyDescent="0.3">
      <c r="A55" s="13" t="s">
        <v>102</v>
      </c>
      <c r="B55" s="14"/>
      <c r="C55" s="15">
        <v>0</v>
      </c>
      <c r="D55" s="16">
        <v>285.2282328</v>
      </c>
      <c r="E55" s="16">
        <f>(+D55/$D$62*100)</f>
        <v>2.9158675740749764</v>
      </c>
      <c r="F55" s="16" t="s">
        <v>103</v>
      </c>
      <c r="G55" s="11">
        <v>6.6520999999999999</v>
      </c>
      <c r="H55" s="10"/>
    </row>
    <row r="56" spans="1:8" s="17" customFormat="1" ht="14.25" x14ac:dyDescent="0.3">
      <c r="A56" s="12" t="s">
        <v>92</v>
      </c>
      <c r="B56" s="5"/>
      <c r="C56" s="25"/>
      <c r="D56" s="21">
        <f>IF(ISERROR(SUM(D55:D55)),0,SUM(D55:D55))</f>
        <v>285.2282328</v>
      </c>
      <c r="E56" s="21">
        <f>IF(ISERROR(SUM(E55:E55)),0,SUM(E55:E55))</f>
        <v>2.9158675740749764</v>
      </c>
      <c r="F56" s="16"/>
      <c r="G56" s="11"/>
      <c r="H56" s="10"/>
    </row>
    <row r="57" spans="1:8" s="17" customFormat="1" ht="14.25" x14ac:dyDescent="0.3">
      <c r="A57" s="12"/>
      <c r="B57" s="5"/>
      <c r="C57" s="25"/>
      <c r="D57" s="21"/>
      <c r="E57" s="21"/>
      <c r="F57" s="22"/>
      <c r="G57" s="11"/>
      <c r="H57" s="10"/>
    </row>
    <row r="58" spans="1:8" s="17" customFormat="1" ht="14.25" x14ac:dyDescent="0.3">
      <c r="A58" s="12" t="s">
        <v>95</v>
      </c>
      <c r="B58" s="5"/>
      <c r="C58" s="25" t="s">
        <v>104</v>
      </c>
      <c r="D58" s="21">
        <f>+IF(ISERROR(#REF!),0,#REF!)+IF(ISERROR(D56),0,D56)+IF(ISERROR(D41),0,D41)+IF(ISERROR(#REF!),0,#REF!)+IF(ISERROR(#REF!),0,#REF!)+IF(ISERROR(#REF!),0,#REF!)+IF(ISERROR(#REF!),0,#REF!)+IF(ISERROR(#REF!),0,#REF!)+IF(ISERROR(#REF!),0,#REF!)+IF(ISERROR(#REF!),0,#REF!)</f>
        <v>9937.1899288000004</v>
      </c>
      <c r="E58" s="21">
        <f>+IF(ISERROR(#REF!),0,#REF!)+IF(ISERROR(E56),0,E56)+IF(ISERROR(E41),0,E41)+IF(ISERROR(#REF!),0,#REF!)+IF(ISERROR(#REF!),0,#REF!)+IF(ISERROR(#REF!),0,#REF!)+IF(ISERROR(#REF!),0,#REF!)+IF(ISERROR(#REF!),0,#REF!)+IF(ISERROR(#REF!),0,#REF!)+IF(ISERROR(#REF!),0,#REF!)</f>
        <v>101.5871732134237</v>
      </c>
      <c r="F58" s="21"/>
      <c r="G58" s="11"/>
      <c r="H58" s="10"/>
    </row>
    <row r="59" spans="1:8" s="17" customFormat="1" ht="14.25" x14ac:dyDescent="0.3">
      <c r="A59" s="12"/>
      <c r="B59" s="5"/>
      <c r="C59" s="25"/>
      <c r="D59" s="21"/>
      <c r="E59" s="21"/>
      <c r="F59" s="27"/>
      <c r="G59" s="28"/>
      <c r="H59" s="29"/>
    </row>
    <row r="60" spans="1:8" s="17" customFormat="1" ht="14.25" x14ac:dyDescent="0.3">
      <c r="A60" s="12" t="s">
        <v>105</v>
      </c>
      <c r="B60" s="5"/>
      <c r="C60" s="25"/>
      <c r="D60" s="21">
        <f>+D62-D58</f>
        <v>-155.25623140000062</v>
      </c>
      <c r="E60" s="21">
        <f>D60/$D$62*100</f>
        <v>-1.5871732134237131</v>
      </c>
      <c r="F60" s="27"/>
      <c r="G60" s="28"/>
      <c r="H60" s="29"/>
    </row>
    <row r="61" spans="1:8" s="17" customFormat="1" ht="14.25" x14ac:dyDescent="0.3">
      <c r="A61" s="12"/>
      <c r="B61" s="5"/>
      <c r="C61" s="25"/>
      <c r="D61" s="24"/>
      <c r="E61" s="24"/>
      <c r="F61" s="27"/>
      <c r="G61" s="28"/>
      <c r="H61" s="29"/>
    </row>
    <row r="62" spans="1:8" s="17" customFormat="1" ht="14.25" x14ac:dyDescent="0.3">
      <c r="A62" s="12" t="s">
        <v>106</v>
      </c>
      <c r="B62" s="5"/>
      <c r="C62" s="25"/>
      <c r="D62" s="21">
        <v>9781.9336973999998</v>
      </c>
      <c r="E62" s="21">
        <f>+E58+E60</f>
        <v>99.999999999999986</v>
      </c>
      <c r="F62" s="27"/>
      <c r="G62" s="28"/>
      <c r="H62" s="29"/>
    </row>
    <row r="63" spans="1:8" s="17" customFormat="1" ht="14.25" x14ac:dyDescent="0.3">
      <c r="A63" s="30"/>
      <c r="B63" s="31"/>
      <c r="C63" s="32"/>
      <c r="D63" s="33"/>
      <c r="E63" s="33"/>
      <c r="F63" s="27"/>
      <c r="G63" s="28"/>
      <c r="H63" s="29"/>
    </row>
    <row r="64" spans="1:8" ht="13.5" x14ac:dyDescent="0.2">
      <c r="A64" s="56" t="s">
        <v>107</v>
      </c>
      <c r="B64" s="56"/>
      <c r="C64" s="56"/>
      <c r="D64" s="56"/>
      <c r="E64" s="56"/>
      <c r="F64" s="56"/>
      <c r="G64" s="56"/>
      <c r="H64" s="56"/>
    </row>
    <row r="65" spans="1:8" ht="25.5" customHeight="1" x14ac:dyDescent="0.2">
      <c r="A65" s="56" t="s">
        <v>108</v>
      </c>
      <c r="B65" s="56"/>
      <c r="C65" s="56"/>
      <c r="D65" s="56"/>
      <c r="E65" s="56"/>
      <c r="F65" s="57"/>
      <c r="G65" s="57"/>
      <c r="H65" s="57"/>
    </row>
    <row r="66" spans="1:8" ht="13.5" x14ac:dyDescent="0.2">
      <c r="A66" s="58" t="s">
        <v>109</v>
      </c>
      <c r="B66" s="58"/>
      <c r="C66" s="58"/>
      <c r="D66" s="58"/>
      <c r="E66" s="58"/>
      <c r="F66" s="57"/>
      <c r="G66" s="57"/>
      <c r="H66" s="57"/>
    </row>
    <row r="67" spans="1:8" ht="52.5" customHeight="1" x14ac:dyDescent="0.2">
      <c r="A67" s="51" t="s">
        <v>110</v>
      </c>
      <c r="B67" s="51"/>
      <c r="C67" s="51"/>
      <c r="D67" s="51"/>
      <c r="E67" s="51"/>
      <c r="F67" s="52"/>
      <c r="G67" s="52"/>
      <c r="H67" s="52"/>
    </row>
    <row r="68" spans="1:8" ht="14.25" x14ac:dyDescent="0.3">
      <c r="A68" s="34"/>
      <c r="B68" s="35"/>
      <c r="C68" s="36"/>
      <c r="D68" s="37"/>
      <c r="E68" s="38"/>
      <c r="F68" s="38"/>
      <c r="G68" s="39"/>
      <c r="H68" s="39"/>
    </row>
    <row r="69" spans="1:8" ht="14.25" x14ac:dyDescent="0.3">
      <c r="A69" s="40" t="s">
        <v>111</v>
      </c>
      <c r="B69" s="41"/>
      <c r="C69" s="41"/>
      <c r="D69" s="38"/>
      <c r="E69" s="38"/>
      <c r="F69" s="38"/>
      <c r="G69" s="39"/>
      <c r="H69" s="39"/>
    </row>
    <row r="70" spans="1:8" ht="14.25" x14ac:dyDescent="0.3">
      <c r="A70" s="42" t="s">
        <v>112</v>
      </c>
      <c r="B70" s="41"/>
      <c r="C70" s="41"/>
      <c r="D70" s="38"/>
      <c r="E70" s="38"/>
      <c r="F70" s="38"/>
      <c r="G70" s="39"/>
      <c r="H70" s="39"/>
    </row>
    <row r="71" spans="1:8" ht="14.25" x14ac:dyDescent="0.3">
      <c r="A71" s="42" t="s">
        <v>113</v>
      </c>
      <c r="B71" s="41"/>
      <c r="C71" s="41"/>
      <c r="D71" s="38"/>
      <c r="E71" s="38"/>
      <c r="F71" s="38"/>
      <c r="G71" s="39"/>
      <c r="H71" s="39"/>
    </row>
    <row r="72" spans="1:8" ht="14.25" x14ac:dyDescent="0.3">
      <c r="A72" s="42" t="s">
        <v>114</v>
      </c>
      <c r="B72" s="41"/>
      <c r="C72" s="41"/>
      <c r="D72" s="38"/>
      <c r="E72" s="38"/>
      <c r="F72" s="38"/>
      <c r="G72" s="39"/>
      <c r="H72" s="39"/>
    </row>
    <row r="73" spans="1:8" ht="14.25" x14ac:dyDescent="0.3">
      <c r="A73" s="42"/>
      <c r="B73" s="41"/>
      <c r="C73" s="41"/>
      <c r="D73" s="38"/>
      <c r="E73" s="38"/>
      <c r="F73" s="38"/>
      <c r="G73" s="38"/>
      <c r="H73" s="38"/>
    </row>
    <row r="74" spans="1:8" ht="14.25" x14ac:dyDescent="0.3">
      <c r="A74" s="43" t="s">
        <v>115</v>
      </c>
      <c r="B74" s="53" t="s">
        <v>116</v>
      </c>
      <c r="C74" s="53"/>
      <c r="D74" s="38"/>
      <c r="E74" s="38"/>
      <c r="F74" s="38"/>
      <c r="G74" s="38"/>
      <c r="H74" s="38"/>
    </row>
    <row r="75" spans="1:8" ht="14.25" x14ac:dyDescent="0.3">
      <c r="A75" s="44"/>
      <c r="B75" s="45"/>
      <c r="C75" s="46"/>
      <c r="D75" s="38"/>
      <c r="E75" s="38"/>
      <c r="F75" s="38"/>
      <c r="G75" s="38"/>
      <c r="H75" s="38"/>
    </row>
    <row r="76" spans="1:8" ht="14.25" x14ac:dyDescent="0.3">
      <c r="A76" s="44"/>
      <c r="B76" s="45"/>
      <c r="C76" s="46"/>
      <c r="D76" s="38"/>
      <c r="E76" s="38"/>
      <c r="F76" s="38"/>
      <c r="G76" s="38"/>
      <c r="H76" s="38"/>
    </row>
    <row r="77" spans="1:8" ht="14.25" x14ac:dyDescent="0.3">
      <c r="A77" s="44"/>
      <c r="B77" s="45"/>
      <c r="C77" s="46"/>
      <c r="D77" s="38"/>
      <c r="E77" s="38"/>
      <c r="F77" s="38"/>
      <c r="G77" s="38"/>
      <c r="H77" s="38"/>
    </row>
    <row r="78" spans="1:8" ht="14.25" x14ac:dyDescent="0.3">
      <c r="A78" s="44"/>
      <c r="B78" s="45"/>
      <c r="C78" s="46"/>
      <c r="D78" s="38"/>
      <c r="E78" s="38"/>
      <c r="F78" s="38"/>
      <c r="G78" s="38"/>
      <c r="H78" s="38"/>
    </row>
    <row r="79" spans="1:8" ht="14.25" x14ac:dyDescent="0.3">
      <c r="A79" s="44"/>
      <c r="B79" s="45"/>
      <c r="C79" s="46"/>
      <c r="D79" s="38"/>
      <c r="E79" s="38"/>
      <c r="F79" s="38"/>
      <c r="G79" s="38"/>
      <c r="H79" s="38"/>
    </row>
    <row r="80" spans="1:8" ht="14.25" x14ac:dyDescent="0.3">
      <c r="A80" s="44"/>
      <c r="B80" s="45"/>
      <c r="C80" s="46"/>
      <c r="D80" s="38"/>
      <c r="E80" s="38"/>
      <c r="F80" s="38"/>
      <c r="G80" s="38"/>
      <c r="H80" s="38"/>
    </row>
  </sheetData>
  <mergeCells count="8">
    <mergeCell ref="A67:H67"/>
    <mergeCell ref="B74:C74"/>
    <mergeCell ref="A1:H1"/>
    <mergeCell ref="A2:H2"/>
    <mergeCell ref="A3:H3"/>
    <mergeCell ref="A64:H64"/>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2024-05-02T14:32:27Z</dcterms:created>
  <dcterms:modified xsi:type="dcterms:W3CDTF">2024-05-06T07:20:10Z</dcterms:modified>
</cp:coreProperties>
</file>