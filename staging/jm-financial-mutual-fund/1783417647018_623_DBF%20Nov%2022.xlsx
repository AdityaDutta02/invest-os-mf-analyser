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FF" sheetId="1" r:id="rId1"/>
  </sheets>
  <externalReferences>
    <externalReference r:id="rId2"/>
  </externalReferences>
  <definedNames>
    <definedName name="_xlnm._FilterDatabase" localSheetId="0" hidden="1">FF!$A$1:$H$44</definedName>
    <definedName name="Afs">#REF!</definedName>
    <definedName name="_xlnm.Database">#REF!</definedName>
    <definedName name="EBLDB">#REF!</definedName>
    <definedName name="fl">#REF!</definedName>
    <definedName name="_xlnm.Print_Area" localSheetId="0">FF!$A$1:$E$25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1" l="1"/>
  <c r="D30" i="1"/>
  <c r="E29" i="1"/>
  <c r="E30" i="1" s="1"/>
  <c r="D27" i="1"/>
  <c r="E25" i="1"/>
  <c r="E24" i="1"/>
  <c r="D20" i="1"/>
  <c r="E19" i="1"/>
  <c r="E18" i="1"/>
  <c r="E17" i="1"/>
  <c r="E20" i="1" l="1"/>
  <c r="E33" i="1" s="1"/>
  <c r="E27" i="1"/>
  <c r="D33" i="1"/>
  <c r="D35" i="1" s="1"/>
  <c r="E35" i="1" s="1"/>
  <c r="E37" i="1" l="1"/>
</calcChain>
</file>

<file path=xl/sharedStrings.xml><?xml version="1.0" encoding="utf-8"?>
<sst xmlns="http://schemas.openxmlformats.org/spreadsheetml/2006/main" count="72" uniqueCount="61">
  <si>
    <t xml:space="preserve">JM Dynamic Bond Fund (An open ended dynamic debt scheme investing across duration) A relatively high interest rate risk and moderate credit risk. </t>
  </si>
  <si>
    <t>Portfolio as on 30.11.2022</t>
  </si>
  <si>
    <t>Name of the Instruments</t>
  </si>
  <si>
    <t>Industry/Rating</t>
  </si>
  <si>
    <t>Quantity</t>
  </si>
  <si>
    <t>Market Value (Rs. In Lakhs)</t>
  </si>
  <si>
    <t>% age to NAV</t>
  </si>
  <si>
    <t>ISIN</t>
  </si>
  <si>
    <t>Yield %</t>
  </si>
  <si>
    <t>^YTC (AT1/Tier 2 bonds)</t>
  </si>
  <si>
    <t>DEBT INSTRUMENTS</t>
  </si>
  <si>
    <t>a) Listed/Awaiting Listing On  Stock Exchange</t>
  </si>
  <si>
    <t>NIL</t>
  </si>
  <si>
    <t>b) Privately Placed / Unlisted</t>
  </si>
  <si>
    <t>TERM DEPOSITS</t>
  </si>
  <si>
    <t>Deposits (Maturity not exceeding 91 days)</t>
  </si>
  <si>
    <t>Deposits (Placed as F &amp; O margin)</t>
  </si>
  <si>
    <t>GOVERNMENT SECURITIES</t>
  </si>
  <si>
    <t>7.38% Government of India Securities 2027 20/06/2027</t>
  </si>
  <si>
    <t>GOI SOV</t>
  </si>
  <si>
    <t>IN0020220037</t>
  </si>
  <si>
    <t>7.26% Government of India Securities 2032 22/08/2032</t>
  </si>
  <si>
    <t>IN0020220060</t>
  </si>
  <si>
    <t>5.22% Government of India Securities 2025 15/06/2025</t>
  </si>
  <si>
    <t>IN0020200112</t>
  </si>
  <si>
    <t>Sub Total:</t>
  </si>
  <si>
    <t>MONEY MARKET INSTRUMENTS</t>
  </si>
  <si>
    <t>Certificate of Deposit (CD) / Commercial Paper (CP)</t>
  </si>
  <si>
    <t>Kotak Mahindra Bank CD**</t>
  </si>
  <si>
    <t>CRISIL A1+</t>
  </si>
  <si>
    <t>INE237A162Q1</t>
  </si>
  <si>
    <t>Bank of Baroda CD**</t>
  </si>
  <si>
    <t>IND A1+</t>
  </si>
  <si>
    <t>INE028A16CZ4</t>
  </si>
  <si>
    <t>Treasury Bills</t>
  </si>
  <si>
    <t>TREPS-Triparty Repo</t>
  </si>
  <si>
    <t>Total:</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</si>
  <si>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</si>
  <si>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</si>
  <si>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</si>
  <si>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</si>
  <si>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</si>
  <si>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</si>
  <si>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</si>
  <si>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</si>
  <si>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</si>
  <si>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</si>
  <si>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</si>
  <si>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</si>
  <si>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Riskometer of the scheme </t>
  </si>
  <si>
    <t xml:space="preserve">CRISIL Dynamic  Bond Fund BIII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</si>
  <si>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</si>
  <si>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</si>
  <si>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</si>
  <si>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</si>
  <si>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</si>
  <si>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</si>
  <si>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</si>
  <si>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Moderate (Class II)</t>
  </si>
  <si>
    <t>Relatively High Class (Class III)</t>
  </si>
  <si>
    <t>B-III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</si>
</sst>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58"/>
        <bgColor indexed="64"/>
      </patternFill>
    </fill>
    <fill>
      <patternFill patternType="solid">
        <fgColor indexed="9"/>
        <bgColor indexed="64"/>
      </patternFill>
    </fill>
  </fills>
  <borders count="10">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s>
  <cellStyleXfs count="8">
    <xf numFmtId="0" fontId="0" fillId="0" borderId="0"/>
    <xf numFmtId="164" fontId="1" fillId="0" borderId="0" applyFont="0" applyFill="0" applyBorder="0" applyAlignment="0" applyProtection="0"/>
    <xf numFmtId="0" fontId="1" fillId="0" borderId="0"/>
    <xf numFmtId="0" fontId="6" fillId="0" borderId="0"/>
    <xf numFmtId="0" fontId="1" fillId="0" borderId="0"/>
    <xf numFmtId="164" fontId="1" fillId="0" borderId="0" applyFont="0" applyFill="0" applyBorder="0" applyAlignment="0" applyProtection="0"/>
    <xf numFmtId="0" fontId="6" fillId="0" borderId="0"/>
    <xf numFmtId="0" fontId="6" fillId="0" borderId="0"/>
  </cellStyleXfs>
  <cellXfs count="70">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wrapText="1"/>
    </xf>
    <xf numFmtId="0" fontId="4" fillId="0" borderId="2" xfId="0" applyFont="1" applyFill="1" applyBorder="1" applyAlignment="1">
      <alignment horizontal="left" wrapText="1"/>
    </xf>
    <xf numFmtId="165" fontId="4" fillId="0" borderId="2" xfId="1" applyNumberFormat="1" applyFont="1" applyFill="1" applyBorder="1"/>
    <xf numFmtId="164" fontId="4" fillId="0" borderId="2" xfId="1" applyFont="1" applyFill="1" applyBorder="1" applyAlignment="1">
      <alignment horizontal="right"/>
    </xf>
    <xf numFmtId="0" fontId="3" fillId="0" borderId="2" xfId="0" applyFont="1" applyFill="1" applyBorder="1" applyAlignment="1">
      <alignment horizontal="right"/>
    </xf>
    <xf numFmtId="166" fontId="3" fillId="0" borderId="2" xfId="0" applyNumberFormat="1" applyFont="1" applyFill="1" applyBorder="1"/>
    <xf numFmtId="0" fontId="3" fillId="0" borderId="2" xfId="0" applyFont="1" applyBorder="1"/>
    <xf numFmtId="0" fontId="3" fillId="0" borderId="0" xfId="0" applyFont="1" applyFill="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2" xfId="1" applyFont="1" applyFill="1" applyBorder="1"/>
    <xf numFmtId="164" fontId="3" fillId="0" borderId="3" xfId="1" applyFont="1" applyFill="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4" fontId="4"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3" fillId="0" borderId="0" xfId="4" applyFont="1" applyFill="1" applyAlignment="1">
      <alignment wrapText="1"/>
    </xf>
    <xf numFmtId="0" fontId="3" fillId="0" borderId="0" xfId="4" applyFont="1" applyFill="1" applyAlignment="1">
      <alignment horizontal="left" wrapText="1"/>
    </xf>
    <xf numFmtId="165" fontId="3" fillId="0" borderId="0" xfId="5" applyNumberFormat="1" applyFont="1" applyFill="1"/>
    <xf numFmtId="164" fontId="3" fillId="0" borderId="0" xfId="5" applyFont="1" applyFill="1" applyAlignment="1">
      <alignment horizontal="right"/>
    </xf>
    <xf numFmtId="0" fontId="3" fillId="0" borderId="0" xfId="4" applyFont="1" applyFill="1" applyAlignment="1">
      <alignment horizontal="right"/>
    </xf>
    <xf numFmtId="0" fontId="8" fillId="0" borderId="0" xfId="6" applyFont="1"/>
    <xf numFmtId="0" fontId="2" fillId="0" borderId="0" xfId="4" applyFont="1" applyFill="1" applyBorder="1" applyAlignment="1">
      <alignment horizontal="left" wrapText="1"/>
    </xf>
    <xf numFmtId="0" fontId="4" fillId="0" borderId="0" xfId="4" applyFont="1" applyFill="1" applyBorder="1" applyAlignment="1">
      <alignment horizontal="left"/>
    </xf>
    <xf numFmtId="0" fontId="6" fillId="0" borderId="0" xfId="6" applyBorder="1"/>
    <xf numFmtId="0" fontId="9" fillId="0" borderId="0" xfId="7" applyFont="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0" applyNumberFormat="1" applyFont="1" applyFill="1" applyBorder="1"/>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vertical="center" wrapText="1"/>
    </xf>
    <xf numFmtId="0" fontId="11" fillId="0" borderId="8" xfId="0" applyFont="1" applyBorder="1" applyAlignment="1">
      <alignment horizontal="left" vertical="center" wrapText="1"/>
    </xf>
    <xf numFmtId="0" fontId="11" fillId="0" borderId="8" xfId="0" applyFont="1" applyBorder="1" applyAlignment="1">
      <alignment horizontal="left" vertical="top" wrapText="1"/>
    </xf>
    <xf numFmtId="0" fontId="11" fillId="0" borderId="7" xfId="0" applyFont="1" applyBorder="1" applyAlignment="1">
      <alignment horizontal="left" vertical="center" wrapText="1"/>
    </xf>
    <xf numFmtId="0" fontId="11" fillId="0" borderId="7" xfId="0" applyFont="1" applyBorder="1" applyAlignment="1">
      <alignment horizontal="left" vertical="top" wrapText="1"/>
    </xf>
    <xf numFmtId="0" fontId="13" fillId="0" borderId="7" xfId="0" applyFont="1" applyBorder="1" applyAlignment="1">
      <alignment vertical="center" wrapText="1"/>
    </xf>
    <xf numFmtId="0" fontId="14" fillId="0" borderId="9" xfId="0" applyFont="1" applyBorder="1" applyAlignment="1">
      <alignment vertical="center" wrapText="1"/>
    </xf>
    <xf numFmtId="0" fontId="13" fillId="3" borderId="9" xfId="0" applyFont="1" applyFill="1" applyBorder="1" applyAlignment="1">
      <alignment horizontal="center" vertical="center" wrapText="1"/>
    </xf>
    <xf numFmtId="0" fontId="1" fillId="0" borderId="0" xfId="0" applyFont="1" applyAlignment="1"/>
  </cellXfs>
  <cellStyles count="8">
    <cellStyle name="Comma" xfId="1" builtinId="3"/>
    <cellStyle name="Comma 4 2" xfId="5"/>
    <cellStyle name="Normal" xfId="0" builtinId="0"/>
    <cellStyle name="Normal 2 2" xfId="4"/>
    <cellStyle name="Normal 2 3 2" xfId="2"/>
    <cellStyle name="Normal 4_FF" xfId="6"/>
    <cellStyle name="Normal 4_IF" xfId="7"/>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145677</xdr:colOff>
      <xdr:row>51</xdr:row>
      <xdr:rowOff>78442</xdr:rowOff>
    </xdr:from>
    <xdr:to>
      <xdr:col>6</xdr:col>
      <xdr:colOff>135031</xdr:colOff>
      <xdr:row>64</xdr:row>
      <xdr:rowOff>82925</xdr:rowOff>
    </xdr:to>
    <xdr:pic>
      <xdr:nvPicPr>
        <xdr:cNvPr id="2" name="Picture 5"/>
        <xdr:cNvPicPr>
          <a:picLocks noChangeAspect="1"/>
        </xdr:cNvPicPr>
      </xdr:nvPicPr>
      <xdr:blipFill>
        <a:blip xmlns:r="http://schemas.openxmlformats.org/officeDocument/2006/relationships" r:embed="rId1" cstate="print"/>
        <a:srcRect/>
        <a:stretch>
          <a:fillRect/>
        </a:stretch>
      </xdr:blipFill>
      <xdr:spPr bwMode="auto">
        <a:xfrm>
          <a:off x="5794002" y="10308292"/>
          <a:ext cx="3513604" cy="2138083"/>
        </a:xfrm>
        <a:prstGeom prst="rect">
          <a:avLst/>
        </a:prstGeom>
        <a:noFill/>
        <a:ln w="9525">
          <a:noFill/>
          <a:miter lim="800000"/>
          <a:headEnd/>
          <a:tailEnd/>
        </a:ln>
      </xdr:spPr>
    </xdr:pic>
    <xdr:clientData/>
  </xdr:twoCellAnchor>
  <xdr:twoCellAnchor editAs="oneCell">
    <xdr:from>
      <xdr:col>0</xdr:col>
      <xdr:colOff>0</xdr:colOff>
      <xdr:row>52</xdr:row>
      <xdr:rowOff>0</xdr:rowOff>
    </xdr:from>
    <xdr:to>
      <xdr:col>1</xdr:col>
      <xdr:colOff>254934</xdr:colOff>
      <xdr:row>64</xdr:row>
      <xdr:rowOff>147358</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0" y="10420350"/>
          <a:ext cx="3579159" cy="2090458"/>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202022/Monthly/Template%20Portfolio%20Disclosure%20-30th%20Nov%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30.11.2022"/>
      <sheetName val="GHS 3011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6"/>
  <sheetViews>
    <sheetView tabSelected="1" zoomScale="85" zoomScaleNormal="85" workbookViewId="0">
      <pane xSplit="1" ySplit="3" topLeftCell="B4" activePane="bottomRight" state="frozen"/>
      <selection activeCell="A2" sqref="A2"/>
      <selection pane="topRight" activeCell="A2" sqref="A2"/>
      <selection pane="bottomLeft" activeCell="A2" sqref="A2"/>
      <selection pane="bottomRight" activeCell="G6" sqref="G6"/>
    </sheetView>
  </sheetViews>
  <sheetFormatPr defaultRowHeight="12.75" x14ac:dyDescent="0.2"/>
  <cols>
    <col min="1" max="1" width="49.85546875" style="54" customWidth="1"/>
    <col min="2" max="2" width="21.42578125" style="55" bestFit="1" customWidth="1"/>
    <col min="3" max="3" width="13.42578125" style="56" customWidth="1"/>
    <col min="4" max="4" width="20.85546875" style="5" customWidth="1"/>
    <col min="5" max="5" width="15.710937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s="20" customFormat="1" x14ac:dyDescent="0.2">
      <c r="A4" s="13"/>
      <c r="B4" s="14"/>
      <c r="C4" s="15"/>
      <c r="D4" s="16"/>
      <c r="E4" s="16"/>
      <c r="F4" s="17"/>
      <c r="G4" s="18"/>
      <c r="H4" s="19"/>
    </row>
    <row r="5" spans="1:8" s="20" customFormat="1" x14ac:dyDescent="0.2">
      <c r="A5" s="13" t="s">
        <v>10</v>
      </c>
      <c r="B5" s="14"/>
      <c r="C5" s="15"/>
      <c r="D5" s="16"/>
      <c r="E5" s="16"/>
      <c r="F5" s="17"/>
      <c r="G5" s="18"/>
      <c r="H5" s="19"/>
    </row>
    <row r="6" spans="1:8" s="20" customFormat="1" x14ac:dyDescent="0.2">
      <c r="A6" s="13" t="s">
        <v>11</v>
      </c>
      <c r="B6" s="14"/>
      <c r="C6" s="15"/>
      <c r="D6" s="16" t="s">
        <v>12</v>
      </c>
      <c r="E6" s="16" t="s">
        <v>12</v>
      </c>
      <c r="F6" s="21"/>
      <c r="G6" s="18"/>
      <c r="H6" s="19"/>
    </row>
    <row r="7" spans="1:8" s="20" customFormat="1" x14ac:dyDescent="0.2">
      <c r="A7" s="13"/>
      <c r="B7" s="14"/>
      <c r="C7" s="22"/>
      <c r="D7" s="21"/>
      <c r="E7" s="21"/>
      <c r="F7" s="21"/>
      <c r="G7" s="18"/>
      <c r="H7" s="19"/>
    </row>
    <row r="8" spans="1:8" s="20" customFormat="1" x14ac:dyDescent="0.2">
      <c r="A8" s="13" t="s">
        <v>13</v>
      </c>
      <c r="B8" s="14"/>
      <c r="C8" s="22"/>
      <c r="D8" s="16" t="s">
        <v>12</v>
      </c>
      <c r="E8" s="16" t="s">
        <v>12</v>
      </c>
      <c r="F8" s="17"/>
      <c r="G8" s="18"/>
      <c r="H8" s="19"/>
    </row>
    <row r="9" spans="1:8" s="20" customFormat="1" x14ac:dyDescent="0.2">
      <c r="A9" s="13"/>
      <c r="B9" s="14"/>
      <c r="C9" s="22"/>
      <c r="D9" s="16"/>
      <c r="E9" s="16"/>
      <c r="F9" s="16"/>
      <c r="G9" s="18"/>
      <c r="H9" s="19"/>
    </row>
    <row r="10" spans="1:8" s="20" customFormat="1" x14ac:dyDescent="0.2">
      <c r="A10" s="13" t="s">
        <v>14</v>
      </c>
      <c r="B10" s="14"/>
      <c r="C10" s="22"/>
      <c r="D10" s="16"/>
      <c r="E10" s="16"/>
      <c r="F10" s="16"/>
      <c r="G10" s="18"/>
      <c r="H10" s="19"/>
    </row>
    <row r="11" spans="1:8" s="20" customFormat="1" x14ac:dyDescent="0.2">
      <c r="A11" s="13"/>
      <c r="B11" s="14"/>
      <c r="C11" s="22"/>
      <c r="D11" s="23"/>
      <c r="E11" s="23"/>
      <c r="F11" s="24"/>
      <c r="G11" s="18"/>
      <c r="H11" s="19"/>
    </row>
    <row r="12" spans="1:8" s="20" customFormat="1" x14ac:dyDescent="0.2">
      <c r="A12" s="13" t="s">
        <v>15</v>
      </c>
      <c r="B12" s="14"/>
      <c r="C12" s="22"/>
      <c r="D12" s="16" t="s">
        <v>12</v>
      </c>
      <c r="E12" s="16" t="s">
        <v>12</v>
      </c>
      <c r="F12" s="16"/>
      <c r="G12" s="18"/>
      <c r="H12" s="19"/>
    </row>
    <row r="13" spans="1:8" s="20" customFormat="1" x14ac:dyDescent="0.2">
      <c r="A13" s="13"/>
      <c r="B13" s="14"/>
      <c r="C13" s="22"/>
      <c r="D13" s="16"/>
      <c r="E13" s="16"/>
      <c r="F13" s="16"/>
      <c r="G13" s="18"/>
      <c r="H13" s="19"/>
    </row>
    <row r="14" spans="1:8" s="20" customFormat="1" x14ac:dyDescent="0.2">
      <c r="A14" s="13" t="s">
        <v>16</v>
      </c>
      <c r="B14" s="14"/>
      <c r="C14" s="22"/>
      <c r="D14" s="16" t="s">
        <v>12</v>
      </c>
      <c r="E14" s="16" t="s">
        <v>12</v>
      </c>
      <c r="F14" s="16"/>
      <c r="G14" s="18"/>
      <c r="H14" s="19"/>
    </row>
    <row r="15" spans="1:8" s="20" customFormat="1" x14ac:dyDescent="0.2">
      <c r="A15" s="13"/>
      <c r="B15" s="14"/>
      <c r="C15" s="22"/>
      <c r="D15" s="16"/>
      <c r="E15" s="16"/>
      <c r="F15" s="16"/>
      <c r="G15" s="18"/>
      <c r="H15" s="19"/>
    </row>
    <row r="16" spans="1:8" s="20" customFormat="1" x14ac:dyDescent="0.2">
      <c r="A16" s="13" t="s">
        <v>17</v>
      </c>
      <c r="B16" s="14"/>
      <c r="C16" s="22"/>
      <c r="D16" s="16"/>
      <c r="E16" s="16"/>
      <c r="F16" s="16"/>
      <c r="G16" s="18"/>
      <c r="H16" s="19"/>
    </row>
    <row r="17" spans="1:8" s="20" customFormat="1" x14ac:dyDescent="0.2">
      <c r="A17" s="25" t="s">
        <v>18</v>
      </c>
      <c r="B17" s="26" t="s">
        <v>19</v>
      </c>
      <c r="C17" s="27">
        <v>2150000</v>
      </c>
      <c r="D17" s="23">
        <v>2169.7692499999998</v>
      </c>
      <c r="E17" s="23">
        <f>(+D17/$D$37*100)</f>
        <v>48.854331185183533</v>
      </c>
      <c r="F17" s="23" t="s">
        <v>20</v>
      </c>
      <c r="G17" s="18">
        <v>7.1383000000000001</v>
      </c>
      <c r="H17" s="19"/>
    </row>
    <row r="18" spans="1:8" s="20" customFormat="1" x14ac:dyDescent="0.2">
      <c r="A18" s="25" t="s">
        <v>21</v>
      </c>
      <c r="B18" s="26" t="s">
        <v>19</v>
      </c>
      <c r="C18" s="27">
        <v>1000000</v>
      </c>
      <c r="D18" s="23">
        <v>998.20799999999997</v>
      </c>
      <c r="E18" s="23">
        <f>(+D18/$D$37*100)</f>
        <v>22.475562423838245</v>
      </c>
      <c r="F18" s="23" t="s">
        <v>22</v>
      </c>
      <c r="G18" s="18">
        <v>7.2836999999999996</v>
      </c>
      <c r="H18" s="19"/>
    </row>
    <row r="19" spans="1:8" s="20" customFormat="1" x14ac:dyDescent="0.2">
      <c r="A19" s="25" t="s">
        <v>23</v>
      </c>
      <c r="B19" s="26" t="s">
        <v>19</v>
      </c>
      <c r="C19" s="27">
        <v>500000</v>
      </c>
      <c r="D19" s="23">
        <v>480.05</v>
      </c>
      <c r="E19" s="23">
        <f>(+D19/$D$37*100)</f>
        <v>10.808763044940083</v>
      </c>
      <c r="F19" s="23" t="s">
        <v>24</v>
      </c>
      <c r="G19" s="18">
        <v>6.9602000000000004</v>
      </c>
      <c r="H19" s="19"/>
    </row>
    <row r="20" spans="1:8" s="20" customFormat="1" x14ac:dyDescent="0.2">
      <c r="A20" s="13" t="s">
        <v>25</v>
      </c>
      <c r="B20" s="14"/>
      <c r="C20" s="22"/>
      <c r="D20" s="16">
        <f>IF(ISERROR(SUM(D17:D19)),0,SUM(D17:D19))</f>
        <v>3648.0272500000001</v>
      </c>
      <c r="E20" s="16">
        <f>IF(ISERROR(SUM(E17:E19)),0,SUM(E17:E19))</f>
        <v>82.13865665396186</v>
      </c>
      <c r="F20" s="28"/>
      <c r="G20" s="18"/>
      <c r="H20" s="19"/>
    </row>
    <row r="21" spans="1:8" s="20" customFormat="1" x14ac:dyDescent="0.2">
      <c r="A21" s="13"/>
      <c r="B21" s="14"/>
      <c r="C21" s="22"/>
      <c r="D21" s="16"/>
      <c r="E21" s="16"/>
      <c r="F21" s="16"/>
      <c r="G21" s="18"/>
      <c r="H21" s="19"/>
    </row>
    <row r="22" spans="1:8" s="20" customFormat="1" x14ac:dyDescent="0.2">
      <c r="A22" s="13" t="s">
        <v>26</v>
      </c>
      <c r="B22" s="14"/>
      <c r="C22" s="22"/>
      <c r="D22" s="16"/>
      <c r="E22" s="16"/>
      <c r="F22" s="17"/>
      <c r="G22" s="18"/>
      <c r="H22" s="19"/>
    </row>
    <row r="23" spans="1:8" s="20" customFormat="1" x14ac:dyDescent="0.2">
      <c r="A23" s="13" t="s">
        <v>27</v>
      </c>
      <c r="B23" s="14"/>
      <c r="C23" s="22"/>
      <c r="D23" s="16"/>
      <c r="E23" s="16"/>
      <c r="F23" s="17"/>
      <c r="G23" s="18"/>
      <c r="H23" s="19"/>
    </row>
    <row r="24" spans="1:8" s="20" customFormat="1" x14ac:dyDescent="0.2">
      <c r="A24" s="25" t="s">
        <v>28</v>
      </c>
      <c r="B24" s="26" t="s">
        <v>29</v>
      </c>
      <c r="C24" s="27">
        <v>60</v>
      </c>
      <c r="D24" s="23">
        <v>284.1918</v>
      </c>
      <c r="E24" s="23">
        <f>(+D24/$D$37*100)</f>
        <v>6.398837257608589</v>
      </c>
      <c r="F24" s="23" t="s">
        <v>30</v>
      </c>
      <c r="G24" s="18">
        <v>7.41</v>
      </c>
      <c r="H24" s="19"/>
    </row>
    <row r="25" spans="1:8" s="20" customFormat="1" x14ac:dyDescent="0.2">
      <c r="A25" s="25" t="s">
        <v>31</v>
      </c>
      <c r="B25" s="26" t="s">
        <v>32</v>
      </c>
      <c r="C25" s="27">
        <v>20</v>
      </c>
      <c r="D25" s="23">
        <v>92.984999999999999</v>
      </c>
      <c r="E25" s="23">
        <f>(+D25/$D$37*100)</f>
        <v>2.0936419784059028</v>
      </c>
      <c r="F25" s="23" t="s">
        <v>33</v>
      </c>
      <c r="G25" s="18">
        <v>7.5650000000000004</v>
      </c>
      <c r="H25" s="19"/>
    </row>
    <row r="26" spans="1:8" s="20" customFormat="1" x14ac:dyDescent="0.2">
      <c r="A26" s="13" t="s">
        <v>34</v>
      </c>
      <c r="B26" s="26"/>
      <c r="C26" s="27"/>
      <c r="D26" s="23"/>
      <c r="E26" s="21"/>
      <c r="F26" s="29"/>
      <c r="G26" s="18"/>
      <c r="H26" s="19"/>
    </row>
    <row r="27" spans="1:8" s="20" customFormat="1" x14ac:dyDescent="0.2">
      <c r="A27" s="13" t="s">
        <v>25</v>
      </c>
      <c r="B27" s="30"/>
      <c r="C27" s="31"/>
      <c r="D27" s="16">
        <f>IF(ISERROR(SUM(D24:D26)),0,SUM(D24:D26))</f>
        <v>377.17680000000001</v>
      </c>
      <c r="E27" s="16">
        <f>IF(ISERROR(SUM(E24:E26)),0,SUM(E24:E26))</f>
        <v>8.4924792360144927</v>
      </c>
      <c r="F27" s="32"/>
      <c r="G27" s="18"/>
      <c r="H27" s="19"/>
    </row>
    <row r="28" spans="1:8" s="20" customFormat="1" x14ac:dyDescent="0.2">
      <c r="A28" s="13"/>
      <c r="B28" s="30"/>
      <c r="C28" s="31"/>
      <c r="D28" s="21"/>
      <c r="E28" s="21"/>
      <c r="F28" s="29"/>
      <c r="G28" s="18"/>
      <c r="H28" s="19"/>
    </row>
    <row r="29" spans="1:8" s="20" customFormat="1" x14ac:dyDescent="0.2">
      <c r="A29" s="25" t="s">
        <v>35</v>
      </c>
      <c r="B29" s="26"/>
      <c r="C29" s="27">
        <v>0</v>
      </c>
      <c r="D29" s="23">
        <v>211.4552339</v>
      </c>
      <c r="E29" s="23">
        <f>(+D29/$D$37*100)</f>
        <v>4.7611072134933474</v>
      </c>
      <c r="F29" s="23">
        <v>0</v>
      </c>
      <c r="G29" s="18">
        <v>5.6050000000000004</v>
      </c>
      <c r="H29" s="19"/>
    </row>
    <row r="30" spans="1:8" s="20" customFormat="1" x14ac:dyDescent="0.2">
      <c r="A30" s="13" t="s">
        <v>25</v>
      </c>
      <c r="B30" s="14"/>
      <c r="C30" s="22"/>
      <c r="D30" s="16">
        <f>IF(ISERROR(SUM(D29:D29)),0,SUM(D29:D29))</f>
        <v>211.4552339</v>
      </c>
      <c r="E30" s="16">
        <f>IF(ISERROR(SUM(E29:E29)),0,SUM(E29:E29))</f>
        <v>4.7611072134933474</v>
      </c>
      <c r="F30" s="23"/>
      <c r="G30" s="18"/>
      <c r="H30" s="19"/>
    </row>
    <row r="31" spans="1:8" s="20" customFormat="1" x14ac:dyDescent="0.2">
      <c r="A31" s="13"/>
      <c r="B31" s="14"/>
      <c r="C31" s="22"/>
      <c r="D31" s="16"/>
      <c r="E31" s="16"/>
      <c r="F31" s="16"/>
      <c r="G31" s="18"/>
      <c r="H31" s="19"/>
    </row>
    <row r="32" spans="1:8" s="20" customFormat="1" x14ac:dyDescent="0.2">
      <c r="A32" s="13"/>
      <c r="B32" s="14"/>
      <c r="C32" s="22"/>
      <c r="D32" s="16"/>
      <c r="E32" s="16"/>
      <c r="F32" s="17"/>
      <c r="G32" s="18"/>
      <c r="H32" s="19"/>
    </row>
    <row r="33" spans="1:8" s="20" customFormat="1" x14ac:dyDescent="0.2">
      <c r="A33" s="13" t="s">
        <v>36</v>
      </c>
      <c r="B33" s="14"/>
      <c r="C33" s="22" t="s">
        <v>37</v>
      </c>
      <c r="D33" s="16">
        <f>+IF(ISERROR(#REF!),0,#REF!)+IF(ISERROR(D30),0,D30)+IF(ISERROR(#REF!),0,#REF!)+IF(ISERROR(#REF!),0,#REF!)+IF(ISERROR(D20),0,D20)+IF(ISERROR(D27),0,D27)+IF(ISERROR(#REF!),0,#REF!)+IF(ISERROR(#REF!),0,#REF!)+IF(ISERROR(#REF!),0,#REF!)</f>
        <v>4236.6592839000004</v>
      </c>
      <c r="E33" s="16">
        <f>+IF(ISERROR(#REF!),0,#REF!)+IF(ISERROR(E30),0,E30)+IF(ISERROR(#REF!),0,#REF!)+IF(ISERROR(#REF!),0,#REF!)+IF(ISERROR(E20),0,E20)+IF(ISERROR(E27),0,E27)+IF(ISERROR(#REF!),0,#REF!)+IF(ISERROR(#REF!),0,#REF!)+IF(ISERROR(#REF!),0,#REF!)</f>
        <v>95.392243103469696</v>
      </c>
      <c r="F33" s="16">
        <f>+IF(ISERROR(#REF!),0,#REF!)+IF(ISERROR(F30),0,F30)+IF(ISERROR(#REF!),0,#REF!)+IF(ISERROR(#REF!),0,#REF!)+IF(ISERROR(#REF!),0,#REF!)+IF(ISERROR(F27),0,F27)+IF(ISERROR(#REF!),0,#REF!)</f>
        <v>0</v>
      </c>
      <c r="G33" s="18"/>
      <c r="H33" s="19"/>
    </row>
    <row r="34" spans="1:8" s="20" customFormat="1" x14ac:dyDescent="0.2">
      <c r="A34" s="13"/>
      <c r="B34" s="14"/>
      <c r="C34" s="22"/>
      <c r="D34" s="16"/>
      <c r="E34" s="16"/>
      <c r="F34" s="33"/>
      <c r="H34" s="5"/>
    </row>
    <row r="35" spans="1:8" s="20" customFormat="1" x14ac:dyDescent="0.2">
      <c r="A35" s="13" t="s">
        <v>38</v>
      </c>
      <c r="B35" s="14"/>
      <c r="C35" s="22"/>
      <c r="D35" s="16">
        <f>+D37-D33</f>
        <v>204.6444805000001</v>
      </c>
      <c r="E35" s="16">
        <f>D35/$D$37*100</f>
        <v>4.6077568965302831</v>
      </c>
      <c r="F35" s="33"/>
      <c r="H35" s="5"/>
    </row>
    <row r="36" spans="1:8" s="20" customFormat="1" x14ac:dyDescent="0.2">
      <c r="A36" s="13"/>
      <c r="B36" s="14"/>
      <c r="C36" s="22"/>
      <c r="D36" s="21"/>
      <c r="E36" s="21"/>
      <c r="F36" s="33"/>
      <c r="H36" s="5"/>
    </row>
    <row r="37" spans="1:8" s="20" customFormat="1" x14ac:dyDescent="0.2">
      <c r="A37" s="13" t="s">
        <v>39</v>
      </c>
      <c r="B37" s="14"/>
      <c r="C37" s="22"/>
      <c r="D37" s="16">
        <v>4441.3037644000005</v>
      </c>
      <c r="E37" s="16">
        <f>+E33+E35</f>
        <v>99.999999999999972</v>
      </c>
      <c r="F37" s="33"/>
      <c r="H37" s="5"/>
    </row>
    <row r="38" spans="1:8" s="20" customFormat="1" x14ac:dyDescent="0.2">
      <c r="A38" s="34"/>
      <c r="B38" s="35"/>
      <c r="C38" s="36"/>
      <c r="D38" s="37"/>
      <c r="E38" s="37"/>
      <c r="F38" s="33"/>
      <c r="H38" s="5"/>
    </row>
    <row r="39" spans="1:8" s="20" customFormat="1" x14ac:dyDescent="0.2">
      <c r="A39" s="38"/>
      <c r="B39" s="35"/>
      <c r="C39" s="36"/>
      <c r="D39" s="37"/>
      <c r="E39" s="37"/>
      <c r="F39" s="39"/>
      <c r="H39" s="5"/>
    </row>
    <row r="40" spans="1:8" s="20" customFormat="1" x14ac:dyDescent="0.2">
      <c r="A40" s="38" t="s">
        <v>40</v>
      </c>
      <c r="B40" s="35"/>
      <c r="C40" s="36"/>
      <c r="D40" s="37"/>
      <c r="E40" s="37"/>
      <c r="F40" s="39"/>
      <c r="H40" s="5"/>
    </row>
    <row r="41" spans="1:8" s="20" customFormat="1" ht="15" x14ac:dyDescent="0.25">
      <c r="A41" s="40" t="s">
        <v>41</v>
      </c>
      <c r="B41" s="40"/>
      <c r="C41" s="40"/>
      <c r="D41" s="40"/>
      <c r="E41" s="40"/>
      <c r="F41" s="40"/>
      <c r="G41" s="41"/>
      <c r="H41" s="41"/>
    </row>
    <row r="42" spans="1:8" s="20" customFormat="1" ht="35.25" customHeight="1" x14ac:dyDescent="0.2">
      <c r="A42" s="42" t="s">
        <v>42</v>
      </c>
      <c r="B42" s="42"/>
      <c r="C42" s="42"/>
      <c r="D42" s="42"/>
      <c r="E42" s="42"/>
      <c r="F42" s="42"/>
      <c r="G42" s="42"/>
      <c r="H42" s="42"/>
    </row>
    <row r="43" spans="1:8" s="20" customFormat="1" ht="15" x14ac:dyDescent="0.2">
      <c r="A43" s="42" t="s">
        <v>43</v>
      </c>
      <c r="B43" s="42"/>
      <c r="C43" s="42"/>
      <c r="D43" s="42"/>
      <c r="E43" s="42"/>
      <c r="F43" s="42"/>
      <c r="G43" s="42"/>
      <c r="H43" s="42"/>
    </row>
    <row r="44" spans="1:8" s="20" customFormat="1" ht="58.5" customHeight="1" x14ac:dyDescent="0.2">
      <c r="A44" s="43" t="s">
        <v>44</v>
      </c>
      <c r="B44" s="43"/>
      <c r="C44" s="43"/>
      <c r="D44" s="43"/>
      <c r="E44" s="43"/>
      <c r="F44" s="43"/>
      <c r="G44" s="43"/>
      <c r="H44" s="43"/>
    </row>
    <row r="45" spans="1:8" x14ac:dyDescent="0.2">
      <c r="A45" s="44"/>
      <c r="B45" s="45"/>
      <c r="C45" s="46"/>
      <c r="D45" s="47"/>
      <c r="E45" s="48"/>
      <c r="G45" s="41"/>
      <c r="H45" s="41"/>
    </row>
    <row r="46" spans="1:8" ht="15" x14ac:dyDescent="0.25">
      <c r="A46" s="49" t="s">
        <v>45</v>
      </c>
      <c r="B46" s="50"/>
      <c r="C46" s="50"/>
      <c r="D46" s="51"/>
      <c r="G46" s="41"/>
      <c r="H46" s="41"/>
    </row>
    <row r="47" spans="1:8" ht="15" x14ac:dyDescent="0.25">
      <c r="A47" s="52" t="s">
        <v>46</v>
      </c>
      <c r="B47" s="50"/>
      <c r="C47" s="50"/>
      <c r="D47" s="50"/>
      <c r="G47" s="41"/>
      <c r="H47" s="41"/>
    </row>
    <row r="48" spans="1:8" ht="15" x14ac:dyDescent="0.25">
      <c r="A48" s="52" t="s">
        <v>47</v>
      </c>
      <c r="B48" s="50"/>
      <c r="C48" s="50"/>
      <c r="D48" s="50"/>
      <c r="G48" s="41"/>
      <c r="H48" s="41"/>
    </row>
    <row r="49" spans="1:8" ht="15" x14ac:dyDescent="0.25">
      <c r="A49" s="52" t="s">
        <v>48</v>
      </c>
      <c r="B49" s="50"/>
      <c r="C49" s="50"/>
      <c r="D49" s="50"/>
      <c r="G49" s="41"/>
      <c r="H49" s="41"/>
    </row>
    <row r="50" spans="1:8" ht="15" x14ac:dyDescent="0.25">
      <c r="A50" s="52"/>
      <c r="B50" s="50"/>
      <c r="C50" s="50"/>
      <c r="D50" s="50"/>
      <c r="G50" s="41"/>
      <c r="H50" s="41"/>
    </row>
    <row r="51" spans="1:8" ht="14.25" x14ac:dyDescent="0.2">
      <c r="A51" s="53" t="s">
        <v>49</v>
      </c>
      <c r="B51" s="50"/>
      <c r="C51" s="50"/>
      <c r="D51" s="51" t="s">
        <v>50</v>
      </c>
      <c r="G51" s="41"/>
      <c r="H51" s="41"/>
    </row>
    <row r="52" spans="1:8" ht="15" x14ac:dyDescent="0.25">
      <c r="A52" s="52"/>
      <c r="B52" s="50"/>
      <c r="C52" s="50"/>
      <c r="D52" s="50"/>
      <c r="G52" s="41"/>
      <c r="H52" s="41"/>
    </row>
    <row r="53" spans="1:8" x14ac:dyDescent="0.2">
      <c r="G53" s="41"/>
      <c r="H53" s="41"/>
    </row>
    <row r="54" spans="1:8" x14ac:dyDescent="0.2">
      <c r="A54" s="57"/>
      <c r="G54" s="41"/>
      <c r="H54" s="41"/>
    </row>
    <row r="55" spans="1:8" x14ac:dyDescent="0.2">
      <c r="G55" s="41"/>
      <c r="H55" s="41"/>
    </row>
    <row r="56" spans="1:8" x14ac:dyDescent="0.2">
      <c r="G56" s="41"/>
      <c r="H56" s="41"/>
    </row>
    <row r="57" spans="1:8" x14ac:dyDescent="0.2">
      <c r="G57" s="41"/>
      <c r="H57" s="41"/>
    </row>
    <row r="58" spans="1:8" x14ac:dyDescent="0.2">
      <c r="G58" s="41"/>
      <c r="H58" s="41"/>
    </row>
    <row r="59" spans="1:8" x14ac:dyDescent="0.2">
      <c r="G59" s="41"/>
      <c r="H59" s="41"/>
    </row>
    <row r="60" spans="1:8" x14ac:dyDescent="0.2">
      <c r="G60" s="41"/>
      <c r="H60" s="41"/>
    </row>
    <row r="61" spans="1:8" x14ac:dyDescent="0.2">
      <c r="G61" s="41"/>
      <c r="H61" s="41"/>
    </row>
    <row r="62" spans="1:8" x14ac:dyDescent="0.2">
      <c r="G62" s="41"/>
      <c r="H62" s="41"/>
    </row>
    <row r="63" spans="1:8" x14ac:dyDescent="0.2">
      <c r="G63" s="41"/>
      <c r="H63" s="41"/>
    </row>
    <row r="64" spans="1:8" x14ac:dyDescent="0.2">
      <c r="G64" s="41"/>
      <c r="H64" s="41"/>
    </row>
    <row r="65" spans="1:8" x14ac:dyDescent="0.2">
      <c r="G65" s="41"/>
      <c r="H65" s="41"/>
    </row>
    <row r="66" spans="1:8" x14ac:dyDescent="0.2">
      <c r="G66" s="41"/>
      <c r="H66" s="41"/>
    </row>
    <row r="68" spans="1:8" ht="13.5" thickBot="1" x14ac:dyDescent="0.25"/>
    <row r="69" spans="1:8" ht="13.5" thickBot="1" x14ac:dyDescent="0.25">
      <c r="A69" s="58" t="s">
        <v>51</v>
      </c>
      <c r="B69" s="59"/>
      <c r="C69" s="59"/>
      <c r="D69" s="60"/>
    </row>
    <row r="70" spans="1:8" ht="13.5" thickBot="1" x14ac:dyDescent="0.25">
      <c r="A70" s="61" t="s">
        <v>52</v>
      </c>
      <c r="B70" s="62" t="s">
        <v>53</v>
      </c>
      <c r="C70" s="63" t="s">
        <v>54</v>
      </c>
      <c r="D70" s="62" t="s">
        <v>55</v>
      </c>
    </row>
    <row r="71" spans="1:8" ht="13.5" thickBot="1" x14ac:dyDescent="0.25">
      <c r="A71" s="61" t="s">
        <v>56</v>
      </c>
      <c r="B71" s="64"/>
      <c r="C71" s="65"/>
      <c r="D71" s="64"/>
    </row>
    <row r="72" spans="1:8" ht="15.75" thickBot="1" x14ac:dyDescent="0.25">
      <c r="A72" s="66" t="s">
        <v>57</v>
      </c>
      <c r="B72" s="67"/>
      <c r="C72" s="67"/>
      <c r="D72" s="67"/>
    </row>
    <row r="73" spans="1:8" ht="15.75" thickBot="1" x14ac:dyDescent="0.25">
      <c r="A73" s="66" t="s">
        <v>58</v>
      </c>
      <c r="B73" s="67"/>
      <c r="C73" s="67"/>
      <c r="D73" s="67"/>
    </row>
    <row r="74" spans="1:8" ht="15.75" thickBot="1" x14ac:dyDescent="0.25">
      <c r="A74" s="66" t="s">
        <v>59</v>
      </c>
      <c r="B74" s="67"/>
      <c r="C74" s="68" t="s">
        <v>60</v>
      </c>
      <c r="D74" s="67"/>
    </row>
    <row r="76" spans="1:8" x14ac:dyDescent="0.2">
      <c r="A76" s="69"/>
    </row>
  </sheetData>
  <mergeCells count="9">
    <mergeCell ref="B70:B71"/>
    <mergeCell ref="C70:C71"/>
    <mergeCell ref="D70:D71"/>
    <mergeCell ref="A41:F41"/>
    <mergeCell ref="A42:H42"/>
    <mergeCell ref="A43:H43"/>
    <mergeCell ref="A44:E44"/>
    <mergeCell ref="F44:H44"/>
    <mergeCell ref="A69:D69"/>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FF</vt:lpstr>
      <vt:lpstr>FF!Print_Area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2022-12-05T07:01:14Z</dcterms:created>
  <dcterms:modified xsi:type="dcterms:W3CDTF">2022-12-05T07:04:23Z</dcterms:modified>
</cp:coreProperties>
</file>