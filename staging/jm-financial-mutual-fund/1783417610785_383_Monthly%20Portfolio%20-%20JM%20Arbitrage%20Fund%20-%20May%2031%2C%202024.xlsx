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Arbitrage Fund" sheetId="1" r:id="rId1"/>
  </sheets>
  <externalReferences>
    <externalReference r:id="rId2"/>
  </externalReferences>
  <definedNames>
    <definedName name="_xlnm._FilterDatabase" localSheetId="0" hidden="1">'JM Arbitrage Fund'!$A$1:$H$223</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Fund'!$A$1:$E$85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01" i="1" l="1"/>
  <c r="E100" i="1"/>
  <c r="E101" i="1" s="1"/>
  <c r="D98" i="1"/>
  <c r="E97" i="1"/>
  <c r="E98" i="1" s="1"/>
  <c r="D96" i="1"/>
  <c r="E95" i="1"/>
  <c r="E94" i="1"/>
  <c r="E93" i="1"/>
  <c r="E92" i="1"/>
  <c r="E91" i="1"/>
  <c r="E90" i="1"/>
  <c r="E89" i="1"/>
  <c r="E88" i="1"/>
  <c r="E87" i="1"/>
  <c r="D68" i="1"/>
  <c r="D72" i="1" s="1"/>
  <c r="D103" i="1" s="1"/>
  <c r="D105" i="1" s="1"/>
  <c r="E105" i="1" s="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96" i="1" l="1"/>
  <c r="E68" i="1"/>
  <c r="E72" i="1" s="1"/>
  <c r="E103" i="1" s="1"/>
  <c r="E107" i="1" s="1"/>
</calcChain>
</file>

<file path=xl/sharedStrings.xml><?xml version="1.0" encoding="utf-8"?>
<sst xmlns="http://schemas.openxmlformats.org/spreadsheetml/2006/main" count="412" uniqueCount="294">
  <si>
    <t>JM Financial Mutual Fund</t>
  </si>
  <si>
    <t>JM Arbitrage Fund (An open ended scheme investing in arbitrage opportunities)</t>
  </si>
  <si>
    <t>Monthly Portfolio Statement for the period ended 31.05.2024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</si>
  <si>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</si>
  <si>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</si>
  <si>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</si>
  <si>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</si>
  <si>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</si>
  <si>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</si>
  <si>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</si>
  <si>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</si>
  <si>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</si>
  <si>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</si>
  <si>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</si>
  <si>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</si>
  <si>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</si>
  <si>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Reliance Industries Ltd.</t>
  </si>
  <si>
    <t>Petroleum Products</t>
  </si>
  <si>
    <t>INE002A01018</t>
  </si>
  <si>
    <t>Bank of Baroda</t>
  </si>
  <si>
    <t>INE028A01039</t>
  </si>
  <si>
    <t>Glenmark Pharmaceuticals Ltd.</t>
  </si>
  <si>
    <t>Pharmaceuticals &amp; Biotechnology</t>
  </si>
  <si>
    <t>INE935A01035</t>
  </si>
  <si>
    <t>Multi Commodity Exchange of India Ltd.</t>
  </si>
  <si>
    <t>Capital Markets</t>
  </si>
  <si>
    <t>INE745G01035</t>
  </si>
  <si>
    <t>DLF Ltd.</t>
  </si>
  <si>
    <t>Realty</t>
  </si>
  <si>
    <t>INE271C01023</t>
  </si>
  <si>
    <t>Steel Authority of India Ltd.</t>
  </si>
  <si>
    <t>Ferrous Metals</t>
  </si>
  <si>
    <t>INE114A01011</t>
  </si>
  <si>
    <t>Titan Company Ltd.</t>
  </si>
  <si>
    <t>Consumer Durables</t>
  </si>
  <si>
    <t>INE280A01028</t>
  </si>
  <si>
    <t>HCL Technologies Ltd.</t>
  </si>
  <si>
    <t>IT - Software</t>
  </si>
  <si>
    <t>INE860A01027</t>
  </si>
  <si>
    <t>Petronet LNG Ltd.</t>
  </si>
  <si>
    <t>Gas</t>
  </si>
  <si>
    <t>INE347G01014</t>
  </si>
  <si>
    <t>Hindustan Copper Ltd.</t>
  </si>
  <si>
    <t>Non - Ferrous Metals</t>
  </si>
  <si>
    <t>INE531E01026</t>
  </si>
  <si>
    <t>IndusInd Bank Ltd.</t>
  </si>
  <si>
    <t>INE095A01012</t>
  </si>
  <si>
    <t>Ashok Leyland Ltd.</t>
  </si>
  <si>
    <t>Agricultural, Commercial &amp; Construction Vehicles</t>
  </si>
  <si>
    <t>INE208A01029</t>
  </si>
  <si>
    <t>Vedanta Ltd.</t>
  </si>
  <si>
    <t>Diversified Metals</t>
  </si>
  <si>
    <t>INE205A01025</t>
  </si>
  <si>
    <t>Biocon Ltd.</t>
  </si>
  <si>
    <t>INE376G01013</t>
  </si>
  <si>
    <t>ICICI Bank Ltd.</t>
  </si>
  <si>
    <t>INE090A01021</t>
  </si>
  <si>
    <t>Container Corporation of India Ltd.</t>
  </si>
  <si>
    <t>Transport Services</t>
  </si>
  <si>
    <t>INE111A01025</t>
  </si>
  <si>
    <t>Balrampur Chini Mills Ltd.</t>
  </si>
  <si>
    <t>Agricultural Food &amp; other Products</t>
  </si>
  <si>
    <t>INE119A01028</t>
  </si>
  <si>
    <t>Larsen &amp; Toubro Ltd.</t>
  </si>
  <si>
    <t>Construction</t>
  </si>
  <si>
    <t>INE018A01030</t>
  </si>
  <si>
    <t>Bharat Electronics Ltd.</t>
  </si>
  <si>
    <t>Aerospace &amp; Defense</t>
  </si>
  <si>
    <t>INE263A01024</t>
  </si>
  <si>
    <t>HDFC Life Insurance Company Ltd.</t>
  </si>
  <si>
    <t>Insurance</t>
  </si>
  <si>
    <t>INE795G01014</t>
  </si>
  <si>
    <t>Dixon Technologies (India) Ltd.</t>
  </si>
  <si>
    <t>INE935N01020</t>
  </si>
  <si>
    <t>Apollo Hospitals Enterprise Ltd.</t>
  </si>
  <si>
    <t>Healthcare Services</t>
  </si>
  <si>
    <t>INE437A01024</t>
  </si>
  <si>
    <t>LIC Housing Finance Ltd.</t>
  </si>
  <si>
    <t>Finance</t>
  </si>
  <si>
    <t>INE115A01026</t>
  </si>
  <si>
    <t>Divi's Laboratories Ltd.</t>
  </si>
  <si>
    <t>INE361B01024</t>
  </si>
  <si>
    <t>Oil &amp; Natural Gas Corporation Ltd.</t>
  </si>
  <si>
    <t>Oil</t>
  </si>
  <si>
    <t>INE213A01029</t>
  </si>
  <si>
    <t>Cipla Ltd.</t>
  </si>
  <si>
    <t>INE059A01026</t>
  </si>
  <si>
    <t>Coal India Ltd.</t>
  </si>
  <si>
    <t>Consumable Fuels</t>
  </si>
  <si>
    <t>INE522F01014</t>
  </si>
  <si>
    <t>GMR Airports Infrastructure Ltd.</t>
  </si>
  <si>
    <t>Transport Infrastructure</t>
  </si>
  <si>
    <t>INE776C01039</t>
  </si>
  <si>
    <t>Hindustan Aeronautics Ltd.</t>
  </si>
  <si>
    <t>INE066F01020</t>
  </si>
  <si>
    <t>Vodafone Idea Ltd.</t>
  </si>
  <si>
    <t>Telecom - Services</t>
  </si>
  <si>
    <t>INE669E01016</t>
  </si>
  <si>
    <t>AXIS Bank Ltd.</t>
  </si>
  <si>
    <t>INE238A01034</t>
  </si>
  <si>
    <t>ITC Ltd.</t>
  </si>
  <si>
    <t>Diversified FMCG</t>
  </si>
  <si>
    <t>INE154A01025</t>
  </si>
  <si>
    <t>Indus Towers Ltd.</t>
  </si>
  <si>
    <t>INE121J01017</t>
  </si>
  <si>
    <t>Tata Motors Ltd.</t>
  </si>
  <si>
    <t>Automobiles</t>
  </si>
  <si>
    <t>INE155A01022</t>
  </si>
  <si>
    <t>Aarti Industries Ltd.</t>
  </si>
  <si>
    <t>Chemicals &amp; Petrochemicals</t>
  </si>
  <si>
    <t>INE769A01020</t>
  </si>
  <si>
    <t>Info Edge (India) Ltd.</t>
  </si>
  <si>
    <t>Retailing</t>
  </si>
  <si>
    <t>INE663F01024</t>
  </si>
  <si>
    <t>TVS Motor Company Ltd.</t>
  </si>
  <si>
    <t>INE494B01023</t>
  </si>
  <si>
    <t>NTPC Ltd.</t>
  </si>
  <si>
    <t>Power</t>
  </si>
  <si>
    <t>INE733E01010</t>
  </si>
  <si>
    <t>Hindustan Unilever Ltd.</t>
  </si>
  <si>
    <t>INE030A01027</t>
  </si>
  <si>
    <t>Hindalco Industries Ltd.</t>
  </si>
  <si>
    <t>INE038A01020</t>
  </si>
  <si>
    <t>Mahindra &amp; Mahindra Ltd.</t>
  </si>
  <si>
    <t>INE101A01026</t>
  </si>
  <si>
    <t>Granules India Ltd.</t>
  </si>
  <si>
    <t>INE101D01020</t>
  </si>
  <si>
    <t>Indian Energy Exchange Ltd.</t>
  </si>
  <si>
    <t>INE022Q01020</t>
  </si>
  <si>
    <t>Trent Ltd.</t>
  </si>
  <si>
    <t>INE849A01020</t>
  </si>
  <si>
    <t>Bajaj Auto Ltd.</t>
  </si>
  <si>
    <t>INE917I01010</t>
  </si>
  <si>
    <t>Tata Power Company Ltd.</t>
  </si>
  <si>
    <t>INE245A01021</t>
  </si>
  <si>
    <t>City Union Bank Ltd.</t>
  </si>
  <si>
    <t>INE491A01021</t>
  </si>
  <si>
    <t>The Indian Hotels Company Ltd.</t>
  </si>
  <si>
    <t>Leisure Services</t>
  </si>
  <si>
    <t>INE053A01029</t>
  </si>
  <si>
    <t>Bajaj Finance Ltd.</t>
  </si>
  <si>
    <t>INE296A01024</t>
  </si>
  <si>
    <t>RBL Bank Ltd.</t>
  </si>
  <si>
    <t>INE976G01028</t>
  </si>
  <si>
    <t>JSW Steel Ltd.</t>
  </si>
  <si>
    <t>INE019A01038</t>
  </si>
  <si>
    <t>Indian Oil Corporation Ltd.</t>
  </si>
  <si>
    <t>INE242A01010</t>
  </si>
  <si>
    <t>Zydus Lifesciences Limited</t>
  </si>
  <si>
    <t>INE010B01027</t>
  </si>
  <si>
    <t>ACC Ltd.</t>
  </si>
  <si>
    <t>Cement &amp; Cement Products</t>
  </si>
  <si>
    <t>INE012A01025</t>
  </si>
  <si>
    <t>Punjab National Bank</t>
  </si>
  <si>
    <t>INE160A01022</t>
  </si>
  <si>
    <t>Abbott India Ltd.</t>
  </si>
  <si>
    <t>INE358A01014</t>
  </si>
  <si>
    <t>United Spirits Ltd.</t>
  </si>
  <si>
    <t>Beverages</t>
  </si>
  <si>
    <t>INE854D01024</t>
  </si>
  <si>
    <t>Crompton Greaves Consumer Electricals Ltd.</t>
  </si>
  <si>
    <t>INE299U01018</t>
  </si>
  <si>
    <t>Bharti Airtel Ltd.</t>
  </si>
  <si>
    <t>INE397D01024</t>
  </si>
  <si>
    <t>The Ramco Cements Ltd.</t>
  </si>
  <si>
    <t>INE331A01037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</si>
  <si>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</si>
  <si>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</si>
  <si>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</si>
  <si>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</si>
  <si>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</si>
  <si>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</si>
  <si>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</si>
  <si>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</si>
  <si>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</si>
  <si>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</si>
  <si>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</si>
  <si>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91 Days Treasury-Bill 27/06/2024</t>
  </si>
  <si>
    <t>Sovereign</t>
  </si>
  <si>
    <t>IN002023X559</t>
  </si>
  <si>
    <t>182 Days Treasury-Bill 06/06/2024</t>
  </si>
  <si>
    <t>IN002023Y375</t>
  </si>
  <si>
    <t>91 Days Treasury-Bill 15/08/2024</t>
  </si>
  <si>
    <t>IN002024X086</t>
  </si>
  <si>
    <t>182 Days Treasury-Bill 04/07/2024</t>
  </si>
  <si>
    <t>IN002023Y417</t>
  </si>
  <si>
    <t>182 Days Treasury-Bill 13/06/2024</t>
  </si>
  <si>
    <t>IN002023Y383</t>
  </si>
  <si>
    <t>91 Days Treasury-Bill 12/07/2024</t>
  </si>
  <si>
    <t>IN002024X029</t>
  </si>
  <si>
    <t>182 Days Treasury-Bill 18/07/2024</t>
  </si>
  <si>
    <t>IN002023Y433</t>
  </si>
  <si>
    <t>182 Days Treasury-Bill 22/08/2024</t>
  </si>
  <si>
    <t>IN002023Y490</t>
  </si>
  <si>
    <t>182 Days Treasury-Bill 05/09/2024</t>
  </si>
  <si>
    <t>IN002023Y516</t>
  </si>
  <si>
    <t>TREPS-Triparty Repo</t>
  </si>
  <si>
    <t/>
  </si>
  <si>
    <t>Mutual Fund Units</t>
  </si>
  <si>
    <t>JM Liquid Fund - Direct Growth</t>
  </si>
  <si>
    <t>INF192K01CM6</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</si>
  <si>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</si>
  <si>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</si>
  <si>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</si>
  <si>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</si>
  <si>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</si>
  <si>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</si>
  <si>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</si>
  <si>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May 31, 2024:</t>
  </si>
  <si>
    <t>Underlying</t>
  </si>
  <si>
    <t>Long / Short</t>
  </si>
  <si>
    <t>Futures price when purchased (Rs.)</t>
  </si>
  <si>
    <t>Current  price of the Contract (Rs.)</t>
  </si>
  <si>
    <t>Total Margin maintained in   (Rs. In Lakhs)</t>
  </si>
  <si>
    <t>Aarti Industries Ltd.Jul-2024</t>
  </si>
  <si>
    <t>Short</t>
  </si>
  <si>
    <t>Abbott India Ltd.June-2024</t>
  </si>
  <si>
    <t>ACC Ltd.June-2024</t>
  </si>
  <si>
    <t>Apollo Hospitals Enterprise Ltd.Jul-2024</t>
  </si>
  <si>
    <t>Ashok Leyland Ltd.June-2024</t>
  </si>
  <si>
    <t>AXIS Bank Ltd.June-2024</t>
  </si>
  <si>
    <t>Bajaj Auto Ltd.June-2024</t>
  </si>
  <si>
    <t>Bajaj Finance Ltd.June-2024</t>
  </si>
  <si>
    <t>Balrampur Chini Mills Ltd.June-2024</t>
  </si>
  <si>
    <t>Bharat Electronics Ltd.Jul-2024</t>
  </si>
  <si>
    <t>Bharat Electronics Ltd.June-2024</t>
  </si>
  <si>
    <t>Bharti Airtel Ltd.June-2024</t>
  </si>
  <si>
    <t>Biocon Ltd.June-2024</t>
  </si>
  <si>
    <t>Cipla Ltd.June-2024</t>
  </si>
  <si>
    <t>Coal India Ltd.June-2024</t>
  </si>
  <si>
    <t>Container Corporation of India Ltd.June-2024</t>
  </si>
  <si>
    <t>Crompton Greaves Consumer Electricals Ltd.June-2024</t>
  </si>
  <si>
    <t>City Union Bank Ltd.June-2024</t>
  </si>
  <si>
    <t>Divi's Laboratories Ltd.June-2024</t>
  </si>
  <si>
    <t>Dixon Technologies (India) Ltd.June-2024</t>
  </si>
  <si>
    <t>DLF Ltd.June-2024</t>
  </si>
  <si>
    <t>Glenmark Pharmaceuticals Ltd.June-2024</t>
  </si>
  <si>
    <t>GMR Airports Infrastructure Ltd.June-2024</t>
  </si>
  <si>
    <t>Granules India Ltd.June-2024</t>
  </si>
  <si>
    <t>Hindustan Aeronautics Ltd.Jul-2024</t>
  </si>
  <si>
    <t>Hindustan Aeronautics Ltd.June-2024</t>
  </si>
  <si>
    <t>HCL Technologies Ltd.June-2024</t>
  </si>
  <si>
    <t>HDFC Bank Ltd.June-2024</t>
  </si>
  <si>
    <t>HDFC Life Insurance Company Ltd.June-2024</t>
  </si>
  <si>
    <t>Hindalco Industries Ltd.June-2024</t>
  </si>
  <si>
    <t>Hindustan Copper Ltd.June-2024</t>
  </si>
  <si>
    <t>Hindustan Unilever Ltd.June-2024</t>
  </si>
  <si>
    <t>ICICI Bank Ltd.June-2024</t>
  </si>
  <si>
    <t>Vodafone Idea Ltd.June-2024</t>
  </si>
  <si>
    <t>Indian Energy Exchange Ltd.June-2024</t>
  </si>
  <si>
    <t>The Indian Hotels Company Ltd.June-2024</t>
  </si>
  <si>
    <t>IndusInd Bank Ltd.June-2024</t>
  </si>
  <si>
    <t>Indus Towers Ltd.June-2024</t>
  </si>
  <si>
    <t>Indian Oil Corporation Ltd.June-2024</t>
  </si>
  <si>
    <t>ITC Ltd.Jul-2024</t>
  </si>
  <si>
    <t>JSW Steel Ltd.June-2024</t>
  </si>
  <si>
    <t>LIC Housing Finance Ltd.June-2024</t>
  </si>
  <si>
    <t>Larsen &amp; Toubro Ltd.June-2024</t>
  </si>
  <si>
    <t>Mahindra &amp; Mahindra Ltd.June-2024</t>
  </si>
  <si>
    <t>United Spirits Ltd.June-2024</t>
  </si>
  <si>
    <t>Multi Commodity Exchange of India Ltd.June-2024</t>
  </si>
  <si>
    <t>Info Edge (India) Ltd.June-2024</t>
  </si>
  <si>
    <t>NTPC Ltd.June-2024</t>
  </si>
  <si>
    <t>Oil &amp; Natural Gas Corporation Ltd.June-2024</t>
  </si>
  <si>
    <t>Petronet LNG Ltd.June-2024</t>
  </si>
  <si>
    <t>Punjab National BankJune-2024</t>
  </si>
  <si>
    <t>The Ramco Cements Ltd.June-2024</t>
  </si>
  <si>
    <t>RBL Bank Ltd.June-2024</t>
  </si>
  <si>
    <t>Reliance Industries Ltd.June-2024</t>
  </si>
  <si>
    <t>Steel Authority of India Ltd.June-2024</t>
  </si>
  <si>
    <t>Tata Motors Ltd.June-2024</t>
  </si>
  <si>
    <t>Tata Power Company Ltd.June-2024</t>
  </si>
  <si>
    <t>Titan Company Ltd.June-2024</t>
  </si>
  <si>
    <t>Trent Ltd.June-2024</t>
  </si>
  <si>
    <t>TVS Motor Company Ltd.June-2024</t>
  </si>
  <si>
    <t>Vedanta Ltd.June-2024</t>
  </si>
  <si>
    <t>Zydus Lifesciences LimitedJune-2024</t>
  </si>
  <si>
    <t>Total 73.54% of existing assets hedged through futures as on 31/05/2024</t>
  </si>
  <si>
    <t>For the period ended May 31, 2024,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</si>
  <si>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</si>
  <si>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</si>
  <si>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</si>
  <si>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</si>
  <si>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</si>
  <si>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31/05/2024</t>
  </si>
  <si>
    <t>For the period ended May 31, 2024, following are the non-hedging transactions through futures which have been squared off / expired :</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</si>
  <si>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</si>
  <si>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</si>
  <si>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</si>
  <si>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</si>
  <si>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</si>
  <si>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</si>
  <si>
    <t>Bank of Baroda June-2024</t>
  </si>
  <si>
    <t>Total outstanding exposure in derivative instruments at the end of the period - Short -(Rs in Lakhs) : (11056.86)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</si>
</sst>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94">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4" fillId="0" borderId="0" xfId="3" applyFont="1" applyFill="1" applyAlignment="1"/>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2" applyFont="1" applyFill="1" applyAlignment="1">
      <alignment horizontal="right"/>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4" fillId="3" borderId="3" xfId="3" applyFont="1" applyFill="1" applyBorder="1" applyAlignment="1">
      <alignment horizontal="left" vertical="top" wrapText="1"/>
    </xf>
    <xf numFmtId="0" fontId="4" fillId="3" borderId="3" xfId="2" applyFont="1" applyFill="1" applyBorder="1" applyAlignment="1">
      <alignment horizontal="left" vertical="top" wrapText="1"/>
    </xf>
    <xf numFmtId="165" fontId="4" fillId="3" borderId="3" xfId="5" applyNumberFormat="1" applyFont="1" applyFill="1" applyBorder="1" applyAlignment="1">
      <alignment horizontal="left" vertical="top"/>
    </xf>
    <xf numFmtId="4" fontId="3" fillId="0" borderId="3" xfId="2" applyNumberFormat="1" applyFont="1" applyFill="1" applyBorder="1" applyAlignment="1">
      <alignment wrapText="1"/>
    </xf>
    <xf numFmtId="3" fontId="5" fillId="0" borderId="3" xfId="1" applyNumberFormat="1" applyFont="1" applyFill="1" applyBorder="1"/>
    <xf numFmtId="4" fontId="3" fillId="0" borderId="3" xfId="1" applyNumberFormat="1" applyFont="1" applyFill="1" applyBorder="1"/>
    <xf numFmtId="4" fontId="5" fillId="0" borderId="3" xfId="1" applyNumberFormat="1" applyFont="1" applyFill="1" applyBorder="1"/>
    <xf numFmtId="4" fontId="5" fillId="0" borderId="0" xfId="2" applyNumberFormat="1" applyFont="1" applyFill="1"/>
    <xf numFmtId="4" fontId="5" fillId="0" borderId="0" xfId="2" applyNumberFormat="1" applyFo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5" fillId="0" borderId="0" xfId="3" applyFont="1" applyFill="1" applyBorder="1" applyAlignment="1"/>
    <xf numFmtId="0" fontId="5" fillId="0" borderId="0" xfId="2" applyFont="1" applyFill="1" applyAlignment="1">
      <alignment wrapText="1"/>
    </xf>
    <xf numFmtId="165" fontId="5" fillId="0" borderId="0" xfId="6" applyNumberFormat="1" applyFont="1" applyFill="1"/>
    <xf numFmtId="0" fontId="4" fillId="0" borderId="1" xfId="2" applyFont="1" applyFill="1" applyBorder="1" applyAlignment="1">
      <alignment horizontal="left"/>
    </xf>
    <xf numFmtId="164" fontId="5" fillId="0" borderId="0" xfId="2" applyNumberFormat="1" applyFont="1"/>
    <xf numFmtId="0" fontId="4" fillId="4" borderId="3" xfId="2" applyFont="1" applyFill="1" applyBorder="1" applyAlignment="1"/>
    <xf numFmtId="0" fontId="5" fillId="0" borderId="4" xfId="2" applyFont="1" applyFill="1" applyBorder="1" applyAlignment="1">
      <alignment horizontal="left"/>
    </xf>
    <xf numFmtId="0" fontId="5" fillId="0" borderId="2" xfId="2" applyFont="1" applyFill="1" applyBorder="1" applyAlignment="1">
      <alignment horizontal="left"/>
    </xf>
    <xf numFmtId="0" fontId="5" fillId="0" borderId="5" xfId="2" applyFont="1" applyFill="1" applyBorder="1" applyAlignment="1">
      <alignment horizontal="left"/>
    </xf>
    <xf numFmtId="165" fontId="5" fillId="0" borderId="3" xfId="1" applyNumberFormat="1" applyFont="1" applyBorder="1"/>
    <xf numFmtId="4" fontId="5" fillId="0" borderId="3" xfId="2" applyNumberFormat="1" applyFont="1" applyBorder="1"/>
    <xf numFmtId="164" fontId="5" fillId="0" borderId="3" xfId="1" applyFont="1" applyBorder="1"/>
    <xf numFmtId="0" fontId="4" fillId="0" borderId="0" xfId="2" applyFont="1"/>
    <xf numFmtId="0" fontId="4" fillId="4" borderId="4" xfId="2" applyFont="1" applyFill="1" applyBorder="1" applyAlignment="1"/>
    <xf numFmtId="0" fontId="4" fillId="4" borderId="2" xfId="2" applyFont="1" applyFill="1" applyBorder="1" applyAlignment="1"/>
    <xf numFmtId="0" fontId="4" fillId="4" borderId="5" xfId="2" applyFont="1" applyFill="1" applyBorder="1" applyAlignment="1"/>
    <xf numFmtId="0" fontId="5" fillId="4" borderId="3" xfId="2" applyFont="1" applyFill="1" applyBorder="1" applyAlignment="1"/>
    <xf numFmtId="0" fontId="5" fillId="0" borderId="3" xfId="2" applyFont="1" applyBorder="1" applyAlignment="1">
      <alignment horizontal="center" vertical="top"/>
    </xf>
    <xf numFmtId="4" fontId="5" fillId="0" borderId="3" xfId="2" applyNumberFormat="1" applyFont="1" applyBorder="1" applyAlignment="1">
      <alignment horizontal="center" vertical="top"/>
    </xf>
    <xf numFmtId="0" fontId="9" fillId="0" borderId="0" xfId="7" applyFont="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4" fontId="5" fillId="0" borderId="0" xfId="6" applyNumberFormat="1" applyFont="1"/>
  </cellXfs>
  <cellStyles count="9">
    <cellStyle name="Comma" xfId="1" builtinId="3"/>
    <cellStyle name="Comma 2" xfId="5"/>
    <cellStyle name="Comma 4" xfId="6"/>
    <cellStyle name="Normal" xfId="0" builtinId="0"/>
    <cellStyle name="Normal 2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438150</xdr:colOff>
      <xdr:row>209</xdr:row>
      <xdr:rowOff>142875</xdr:rowOff>
    </xdr:from>
    <xdr:to>
      <xdr:col>0</xdr:col>
      <xdr:colOff>2705101</xdr:colOff>
      <xdr:row>212</xdr:row>
      <xdr:rowOff>85725</xdr:rowOff>
    </xdr:to>
    <xdr:sp macro="" textlink="">
      <xdr:nvSpPr>
        <xdr:cNvPr id="2" name="TextBox 1"/>
        <xdr:cNvSpPr txBox="1"/>
      </xdr:nvSpPr>
      <xdr:spPr>
        <a:xfrm>
          <a:off x="438150" y="388239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95250</xdr:colOff>
      <xdr:row>209</xdr:row>
      <xdr:rowOff>123825</xdr:rowOff>
    </xdr:from>
    <xdr:to>
      <xdr:col>1</xdr:col>
      <xdr:colOff>2362201</xdr:colOff>
      <xdr:row>212</xdr:row>
      <xdr:rowOff>66675</xdr:rowOff>
    </xdr:to>
    <xdr:sp macro="" textlink="">
      <xdr:nvSpPr>
        <xdr:cNvPr id="3" name="TextBox 2"/>
        <xdr:cNvSpPr txBox="1"/>
      </xdr:nvSpPr>
      <xdr:spPr>
        <a:xfrm>
          <a:off x="2981325" y="3880485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twoCellAnchor editAs="oneCell">
    <xdr:from>
      <xdr:col>0</xdr:col>
      <xdr:colOff>533400</xdr:colOff>
      <xdr:row>203</xdr:row>
      <xdr:rowOff>47625</xdr:rowOff>
    </xdr:from>
    <xdr:to>
      <xdr:col>0</xdr:col>
      <xdr:colOff>2667000</xdr:colOff>
      <xdr:row>209</xdr:row>
      <xdr:rowOff>152400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37642800"/>
          <a:ext cx="21336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257175</xdr:colOff>
      <xdr:row>203</xdr:row>
      <xdr:rowOff>85725</xdr:rowOff>
    </xdr:from>
    <xdr:to>
      <xdr:col>1</xdr:col>
      <xdr:colOff>2333625</xdr:colOff>
      <xdr:row>209</xdr:row>
      <xdr:rowOff>161925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0" y="37680900"/>
          <a:ext cx="207645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y%202024/Monthly/Template%20Portfolio%20Disclosure%20-31.05%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3.2024"/>
      <sheetName val="GHS 3103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indexed="11"/>
    <pageSetUpPr fitToPage="1"/>
  </sheetPr>
  <dimension ref="A1:H223"/>
  <sheetViews>
    <sheetView tabSelected="1" zoomScaleNormal="100" workbookViewId="0">
      <selection sqref="A1:H1"/>
    </sheetView>
  </sheetViews>
  <sheetFormatPr defaultRowHeight="12.75" x14ac:dyDescent="0.2"/>
  <cols>
    <col min="1" max="1" width="44.42578125" style="90" customWidth="1"/>
    <col min="2" max="2" width="41" style="91" customWidth="1"/>
    <col min="3" max="3" width="13.42578125" style="92" customWidth="1"/>
    <col min="4" max="4" width="13.7109375" style="2" customWidth="1"/>
    <col min="5" max="5" width="10.28515625" style="2" customWidth="1"/>
    <col min="6" max="6" width="14.140625" style="2" customWidth="1"/>
    <col min="7" max="7" width="10.5703125" style="2" customWidth="1"/>
    <col min="8" max="8" width="14.57031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x14ac:dyDescent="0.2">
      <c r="A3" s="3" t="s">
        <v>2</v>
      </c>
      <c r="B3" s="3"/>
      <c r="C3" s="3"/>
      <c r="D3" s="3"/>
      <c r="E3" s="3"/>
      <c r="F3" s="3"/>
      <c r="G3" s="3"/>
      <c r="H3" s="3"/>
    </row>
    <row r="4" spans="1:8" s="6" customFormat="1" ht="25.5" x14ac:dyDescent="0.2">
      <c r="A4" s="4" t="s">
        <v>3</v>
      </c>
      <c r="B4" s="4" t="s">
        <v>4</v>
      </c>
      <c r="C4" s="5" t="s">
        <v>5</v>
      </c>
      <c r="D4" s="4" t="s">
        <v>6</v>
      </c>
      <c r="E4" s="4" t="s">
        <v>7</v>
      </c>
      <c r="F4" s="4" t="s">
        <v>8</v>
      </c>
      <c r="G4" s="4" t="s">
        <v>9</v>
      </c>
      <c r="H4" s="4" t="s">
        <v>10</v>
      </c>
    </row>
    <row r="5" spans="1:8" ht="14.25" x14ac:dyDescent="0.3">
      <c r="A5" s="7" t="s">
        <v>11</v>
      </c>
      <c r="B5" s="8"/>
      <c r="C5" s="9"/>
      <c r="D5" s="10"/>
      <c r="E5" s="10"/>
      <c r="F5" s="11"/>
      <c r="G5" s="12"/>
      <c r="H5" s="13"/>
    </row>
    <row r="6" spans="1:8" ht="14.25" x14ac:dyDescent="0.3">
      <c r="A6" s="14" t="s">
        <v>12</v>
      </c>
      <c r="B6" s="8"/>
      <c r="C6" s="9"/>
      <c r="D6" s="10"/>
      <c r="E6" s="10"/>
      <c r="F6" s="11"/>
      <c r="G6" s="12"/>
      <c r="H6" s="13"/>
    </row>
    <row r="7" spans="1:8" s="19" customFormat="1" ht="14.25" x14ac:dyDescent="0.3">
      <c r="A7" s="15" t="s">
        <v>13</v>
      </c>
      <c r="B7" s="16" t="s">
        <v>14</v>
      </c>
      <c r="C7" s="17">
        <v>64350</v>
      </c>
      <c r="D7" s="18">
        <v>985.55242499999997</v>
      </c>
      <c r="E7" s="18">
        <f t="shared" ref="E7:E67" si="0">(+D7/$D$107*100)</f>
        <v>6.554891964530869</v>
      </c>
      <c r="F7" s="18" t="s">
        <v>15</v>
      </c>
      <c r="G7" s="13"/>
      <c r="H7" s="13"/>
    </row>
    <row r="8" spans="1:8" s="19" customFormat="1" ht="14.25" x14ac:dyDescent="0.3">
      <c r="A8" s="15" t="s">
        <v>16</v>
      </c>
      <c r="B8" s="16" t="s">
        <v>17</v>
      </c>
      <c r="C8" s="17">
        <v>24500</v>
      </c>
      <c r="D8" s="18">
        <v>700.89599999999996</v>
      </c>
      <c r="E8" s="18">
        <f t="shared" si="0"/>
        <v>4.6616470538052077</v>
      </c>
      <c r="F8" s="18" t="s">
        <v>18</v>
      </c>
      <c r="G8" s="13"/>
      <c r="H8" s="12"/>
    </row>
    <row r="9" spans="1:8" s="19" customFormat="1" ht="14.25" x14ac:dyDescent="0.3">
      <c r="A9" s="15" t="s">
        <v>19</v>
      </c>
      <c r="B9" s="16" t="s">
        <v>14</v>
      </c>
      <c r="C9" s="17">
        <v>236925</v>
      </c>
      <c r="D9" s="18">
        <v>627.61432500000001</v>
      </c>
      <c r="E9" s="18">
        <f t="shared" si="0"/>
        <v>4.1742519133540412</v>
      </c>
      <c r="F9" s="18" t="s">
        <v>20</v>
      </c>
      <c r="G9" s="13"/>
      <c r="H9" s="13"/>
    </row>
    <row r="10" spans="1:8" s="19" customFormat="1" ht="14.25" x14ac:dyDescent="0.3">
      <c r="A10" s="15" t="s">
        <v>21</v>
      </c>
      <c r="B10" s="16" t="s">
        <v>22</v>
      </c>
      <c r="C10" s="17">
        <v>39875</v>
      </c>
      <c r="D10" s="18">
        <v>462.68956250000002</v>
      </c>
      <c r="E10" s="18">
        <f t="shared" si="0"/>
        <v>3.0773401986236841</v>
      </c>
      <c r="F10" s="18" t="s">
        <v>23</v>
      </c>
      <c r="G10" s="13"/>
      <c r="H10" s="13"/>
    </row>
    <row r="11" spans="1:8" s="19" customFormat="1" ht="14.25" x14ac:dyDescent="0.3">
      <c r="A11" s="15" t="s">
        <v>24</v>
      </c>
      <c r="B11" s="16" t="s">
        <v>25</v>
      </c>
      <c r="C11" s="17">
        <v>11800</v>
      </c>
      <c r="D11" s="18">
        <v>428.49930000000001</v>
      </c>
      <c r="E11" s="18">
        <f t="shared" si="0"/>
        <v>2.8499413599201504</v>
      </c>
      <c r="F11" s="18" t="s">
        <v>26</v>
      </c>
      <c r="G11" s="13"/>
      <c r="H11" s="12"/>
    </row>
    <row r="12" spans="1:8" s="19" customFormat="1" ht="14.25" x14ac:dyDescent="0.3">
      <c r="A12" s="15" t="s">
        <v>27</v>
      </c>
      <c r="B12" s="16" t="s">
        <v>28</v>
      </c>
      <c r="C12" s="17">
        <v>51975</v>
      </c>
      <c r="D12" s="18">
        <v>423.93408749999998</v>
      </c>
      <c r="E12" s="18">
        <f t="shared" si="0"/>
        <v>2.8195782113209007</v>
      </c>
      <c r="F12" s="18" t="s">
        <v>29</v>
      </c>
      <c r="G12" s="13"/>
      <c r="H12" s="13"/>
    </row>
    <row r="13" spans="1:8" s="19" customFormat="1" ht="14.25" x14ac:dyDescent="0.3">
      <c r="A13" s="15" t="s">
        <v>30</v>
      </c>
      <c r="B13" s="16" t="s">
        <v>31</v>
      </c>
      <c r="C13" s="17">
        <v>236000</v>
      </c>
      <c r="D13" s="18">
        <v>374.06</v>
      </c>
      <c r="E13" s="18">
        <f t="shared" si="0"/>
        <v>2.4878665264837809</v>
      </c>
      <c r="F13" s="18" t="s">
        <v>32</v>
      </c>
      <c r="G13" s="13"/>
      <c r="H13" s="12"/>
    </row>
    <row r="14" spans="1:8" s="19" customFormat="1" ht="14.25" x14ac:dyDescent="0.3">
      <c r="A14" s="15" t="s">
        <v>33</v>
      </c>
      <c r="B14" s="16" t="s">
        <v>34</v>
      </c>
      <c r="C14" s="17">
        <v>11375</v>
      </c>
      <c r="D14" s="18">
        <v>368.76612499999999</v>
      </c>
      <c r="E14" s="18">
        <f t="shared" si="0"/>
        <v>2.4526570563242092</v>
      </c>
      <c r="F14" s="18" t="s">
        <v>35</v>
      </c>
      <c r="G14" s="13"/>
      <c r="H14" s="12"/>
    </row>
    <row r="15" spans="1:8" s="19" customFormat="1" ht="14.25" x14ac:dyDescent="0.3">
      <c r="A15" s="15" t="s">
        <v>36</v>
      </c>
      <c r="B15" s="16" t="s">
        <v>37</v>
      </c>
      <c r="C15" s="17">
        <v>25900</v>
      </c>
      <c r="D15" s="18">
        <v>342.94189999999998</v>
      </c>
      <c r="E15" s="18">
        <f t="shared" si="0"/>
        <v>2.2809005869078436</v>
      </c>
      <c r="F15" s="18" t="s">
        <v>38</v>
      </c>
      <c r="G15" s="13"/>
      <c r="H15" s="13"/>
    </row>
    <row r="16" spans="1:8" s="19" customFormat="1" ht="14.25" x14ac:dyDescent="0.3">
      <c r="A16" s="15" t="s">
        <v>39</v>
      </c>
      <c r="B16" s="16" t="s">
        <v>40</v>
      </c>
      <c r="C16" s="17">
        <v>111000</v>
      </c>
      <c r="D16" s="18">
        <v>330.05849999999998</v>
      </c>
      <c r="E16" s="18">
        <f t="shared" si="0"/>
        <v>2.1952133185356546</v>
      </c>
      <c r="F16" s="18" t="s">
        <v>41</v>
      </c>
      <c r="G16" s="13"/>
      <c r="H16" s="12"/>
    </row>
    <row r="17" spans="1:8" s="19" customFormat="1" ht="14.25" x14ac:dyDescent="0.3">
      <c r="A17" s="15" t="s">
        <v>42</v>
      </c>
      <c r="B17" s="16" t="s">
        <v>43</v>
      </c>
      <c r="C17" s="17">
        <v>87450</v>
      </c>
      <c r="D17" s="18">
        <v>311.23455000000001</v>
      </c>
      <c r="E17" s="18">
        <f t="shared" si="0"/>
        <v>2.0700155558740376</v>
      </c>
      <c r="F17" s="18" t="s">
        <v>44</v>
      </c>
      <c r="G17" s="13"/>
      <c r="H17" s="13"/>
    </row>
    <row r="18" spans="1:8" s="19" customFormat="1" ht="14.25" x14ac:dyDescent="0.3">
      <c r="A18" s="15" t="s">
        <v>45</v>
      </c>
      <c r="B18" s="16" t="s">
        <v>14</v>
      </c>
      <c r="C18" s="17">
        <v>21000</v>
      </c>
      <c r="D18" s="18">
        <v>306.98849999999999</v>
      </c>
      <c r="E18" s="18">
        <f t="shared" si="0"/>
        <v>2.0417751514876388</v>
      </c>
      <c r="F18" s="18" t="s">
        <v>46</v>
      </c>
      <c r="G18" s="13"/>
      <c r="H18" s="13"/>
    </row>
    <row r="19" spans="1:8" s="19" customFormat="1" ht="14.25" x14ac:dyDescent="0.3">
      <c r="A19" s="15" t="s">
        <v>47</v>
      </c>
      <c r="B19" s="16" t="s">
        <v>48</v>
      </c>
      <c r="C19" s="17">
        <v>135000</v>
      </c>
      <c r="D19" s="18">
        <v>302.39999999999998</v>
      </c>
      <c r="E19" s="18">
        <f t="shared" si="0"/>
        <v>2.0112571181326397</v>
      </c>
      <c r="F19" s="18" t="s">
        <v>49</v>
      </c>
      <c r="G19" s="13"/>
      <c r="H19" s="13"/>
    </row>
    <row r="20" spans="1:8" s="19" customFormat="1" ht="14.25" x14ac:dyDescent="0.3">
      <c r="A20" s="15" t="s">
        <v>50</v>
      </c>
      <c r="B20" s="16" t="s">
        <v>51</v>
      </c>
      <c r="C20" s="17">
        <v>62100</v>
      </c>
      <c r="D20" s="18">
        <v>279.45</v>
      </c>
      <c r="E20" s="18">
        <f t="shared" si="0"/>
        <v>1.858617068988645</v>
      </c>
      <c r="F20" s="18" t="s">
        <v>52</v>
      </c>
      <c r="G20" s="13"/>
      <c r="H20" s="12"/>
    </row>
    <row r="21" spans="1:8" s="19" customFormat="1" ht="14.25" x14ac:dyDescent="0.3">
      <c r="A21" s="15" t="s">
        <v>53</v>
      </c>
      <c r="B21" s="16" t="s">
        <v>22</v>
      </c>
      <c r="C21" s="17">
        <v>87500</v>
      </c>
      <c r="D21" s="18">
        <v>270.59375</v>
      </c>
      <c r="E21" s="18">
        <f t="shared" si="0"/>
        <v>1.7997143049262698</v>
      </c>
      <c r="F21" s="18" t="s">
        <v>54</v>
      </c>
      <c r="G21" s="13"/>
      <c r="H21" s="13"/>
    </row>
    <row r="22" spans="1:8" s="19" customFormat="1" ht="14.25" x14ac:dyDescent="0.3">
      <c r="A22" s="15" t="s">
        <v>55</v>
      </c>
      <c r="B22" s="16" t="s">
        <v>14</v>
      </c>
      <c r="C22" s="17">
        <v>23800</v>
      </c>
      <c r="D22" s="18">
        <v>266.80990000000003</v>
      </c>
      <c r="E22" s="18">
        <f t="shared" si="0"/>
        <v>1.7745479846668581</v>
      </c>
      <c r="F22" s="18" t="s">
        <v>56</v>
      </c>
      <c r="G22" s="13"/>
      <c r="H22" s="13"/>
    </row>
    <row r="23" spans="1:8" s="19" customFormat="1" ht="14.25" x14ac:dyDescent="0.3">
      <c r="A23" s="15" t="s">
        <v>57</v>
      </c>
      <c r="B23" s="16" t="s">
        <v>58</v>
      </c>
      <c r="C23" s="17">
        <v>24000</v>
      </c>
      <c r="D23" s="18">
        <v>257.964</v>
      </c>
      <c r="E23" s="18">
        <f t="shared" si="0"/>
        <v>1.7157140582737047</v>
      </c>
      <c r="F23" s="18" t="s">
        <v>59</v>
      </c>
      <c r="G23" s="13"/>
      <c r="H23" s="13"/>
    </row>
    <row r="24" spans="1:8" s="19" customFormat="1" ht="14.25" x14ac:dyDescent="0.3">
      <c r="A24" s="15" t="s">
        <v>60</v>
      </c>
      <c r="B24" s="16" t="s">
        <v>61</v>
      </c>
      <c r="C24" s="17">
        <v>67200</v>
      </c>
      <c r="D24" s="18">
        <v>254.184</v>
      </c>
      <c r="E24" s="18">
        <f t="shared" si="0"/>
        <v>1.6905733442970468</v>
      </c>
      <c r="F24" s="18" t="s">
        <v>62</v>
      </c>
      <c r="G24" s="13"/>
      <c r="H24" s="13"/>
    </row>
    <row r="25" spans="1:8" s="19" customFormat="1" ht="14.25" x14ac:dyDescent="0.3">
      <c r="A25" s="15" t="s">
        <v>63</v>
      </c>
      <c r="B25" s="16" t="s">
        <v>64</v>
      </c>
      <c r="C25" s="17">
        <v>6600</v>
      </c>
      <c r="D25" s="18">
        <v>242.1738</v>
      </c>
      <c r="E25" s="18">
        <f t="shared" si="0"/>
        <v>1.6106937138731161</v>
      </c>
      <c r="F25" s="18" t="s">
        <v>65</v>
      </c>
      <c r="G25" s="13"/>
      <c r="H25" s="20"/>
    </row>
    <row r="26" spans="1:8" s="19" customFormat="1" ht="14.25" x14ac:dyDescent="0.3">
      <c r="A26" s="15" t="s">
        <v>66</v>
      </c>
      <c r="B26" s="16" t="s">
        <v>67</v>
      </c>
      <c r="C26" s="17">
        <v>79800</v>
      </c>
      <c r="D26" s="18">
        <v>236.16810000000001</v>
      </c>
      <c r="E26" s="18">
        <f t="shared" si="0"/>
        <v>1.570749908071631</v>
      </c>
      <c r="F26" s="18" t="s">
        <v>68</v>
      </c>
      <c r="G26" s="13"/>
      <c r="H26" s="13"/>
    </row>
    <row r="27" spans="1:8" s="19" customFormat="1" ht="14.25" x14ac:dyDescent="0.3">
      <c r="A27" s="15" t="s">
        <v>69</v>
      </c>
      <c r="B27" s="16" t="s">
        <v>70</v>
      </c>
      <c r="C27" s="17">
        <v>41800</v>
      </c>
      <c r="D27" s="18">
        <v>229.8373</v>
      </c>
      <c r="E27" s="18">
        <f t="shared" si="0"/>
        <v>1.5286438678485019</v>
      </c>
      <c r="F27" s="18" t="s">
        <v>71</v>
      </c>
      <c r="G27" s="13"/>
      <c r="H27" s="13"/>
    </row>
    <row r="28" spans="1:8" s="19" customFormat="1" ht="14.25" x14ac:dyDescent="0.3">
      <c r="A28" s="15" t="s">
        <v>72</v>
      </c>
      <c r="B28" s="16" t="s">
        <v>34</v>
      </c>
      <c r="C28" s="17">
        <v>2400</v>
      </c>
      <c r="D28" s="18">
        <v>225.51240000000001</v>
      </c>
      <c r="E28" s="18">
        <f t="shared" si="0"/>
        <v>1.4998790334893359</v>
      </c>
      <c r="F28" s="18" t="s">
        <v>73</v>
      </c>
      <c r="G28" s="13"/>
      <c r="H28" s="13"/>
    </row>
    <row r="29" spans="1:8" s="19" customFormat="1" ht="14.25" x14ac:dyDescent="0.3">
      <c r="A29" s="15" t="s">
        <v>74</v>
      </c>
      <c r="B29" s="16" t="s">
        <v>75</v>
      </c>
      <c r="C29" s="17">
        <v>3750</v>
      </c>
      <c r="D29" s="18">
        <v>218.97</v>
      </c>
      <c r="E29" s="18">
        <f t="shared" si="0"/>
        <v>1.456365645362117</v>
      </c>
      <c r="F29" s="18" t="s">
        <v>76</v>
      </c>
      <c r="G29" s="13"/>
      <c r="H29" s="13"/>
    </row>
    <row r="30" spans="1:8" s="19" customFormat="1" ht="14.25" x14ac:dyDescent="0.3">
      <c r="A30" s="15" t="s">
        <v>77</v>
      </c>
      <c r="B30" s="16" t="s">
        <v>78</v>
      </c>
      <c r="C30" s="17">
        <v>31000</v>
      </c>
      <c r="D30" s="18">
        <v>196.137</v>
      </c>
      <c r="E30" s="18">
        <f t="shared" si="0"/>
        <v>1.3045037611745425</v>
      </c>
      <c r="F30" s="18" t="s">
        <v>79</v>
      </c>
      <c r="G30" s="13"/>
      <c r="H30" s="20"/>
    </row>
    <row r="31" spans="1:8" s="19" customFormat="1" ht="14.25" x14ac:dyDescent="0.3">
      <c r="A31" s="15" t="s">
        <v>80</v>
      </c>
      <c r="B31" s="16" t="s">
        <v>22</v>
      </c>
      <c r="C31" s="17">
        <v>3800</v>
      </c>
      <c r="D31" s="18">
        <v>163.67359999999999</v>
      </c>
      <c r="E31" s="18">
        <f t="shared" si="0"/>
        <v>1.0885902547962778</v>
      </c>
      <c r="F31" s="18" t="s">
        <v>81</v>
      </c>
      <c r="G31" s="13"/>
      <c r="H31" s="13"/>
    </row>
    <row r="32" spans="1:8" s="19" customFormat="1" ht="14.25" x14ac:dyDescent="0.3">
      <c r="A32" s="15" t="s">
        <v>82</v>
      </c>
      <c r="B32" s="16" t="s">
        <v>83</v>
      </c>
      <c r="C32" s="17">
        <v>61600</v>
      </c>
      <c r="D32" s="18">
        <v>162.83959999999999</v>
      </c>
      <c r="E32" s="18">
        <f t="shared" si="0"/>
        <v>1.0830433353633329</v>
      </c>
      <c r="F32" s="18" t="s">
        <v>84</v>
      </c>
      <c r="G32" s="13"/>
      <c r="H32" s="12"/>
    </row>
    <row r="33" spans="1:8" s="19" customFormat="1" ht="14.25" x14ac:dyDescent="0.3">
      <c r="A33" s="15" t="s">
        <v>85</v>
      </c>
      <c r="B33" s="16" t="s">
        <v>22</v>
      </c>
      <c r="C33" s="17">
        <v>10400</v>
      </c>
      <c r="D33" s="18">
        <v>150.50880000000001</v>
      </c>
      <c r="E33" s="18">
        <f t="shared" si="0"/>
        <v>1.0010313999391598</v>
      </c>
      <c r="F33" s="18" t="s">
        <v>86</v>
      </c>
      <c r="G33" s="13"/>
      <c r="H33" s="13"/>
    </row>
    <row r="34" spans="1:8" s="19" customFormat="1" ht="14.25" x14ac:dyDescent="0.3">
      <c r="A34" s="15" t="s">
        <v>87</v>
      </c>
      <c r="B34" s="16" t="s">
        <v>88</v>
      </c>
      <c r="C34" s="17">
        <v>25200</v>
      </c>
      <c r="D34" s="18">
        <v>123.7824</v>
      </c>
      <c r="E34" s="18">
        <f t="shared" si="0"/>
        <v>0.82327458035562728</v>
      </c>
      <c r="F34" s="18" t="s">
        <v>89</v>
      </c>
      <c r="G34" s="13"/>
      <c r="H34" s="13"/>
    </row>
    <row r="35" spans="1:8" s="19" customFormat="1" ht="14.25" x14ac:dyDescent="0.3">
      <c r="A35" s="15" t="s">
        <v>90</v>
      </c>
      <c r="B35" s="16" t="s">
        <v>91</v>
      </c>
      <c r="C35" s="17">
        <v>146250</v>
      </c>
      <c r="D35" s="18">
        <v>123.72750000000001</v>
      </c>
      <c r="E35" s="18">
        <f t="shared" si="0"/>
        <v>0.8229094414145377</v>
      </c>
      <c r="F35" s="18" t="s">
        <v>92</v>
      </c>
      <c r="G35" s="13"/>
      <c r="H35" s="13"/>
    </row>
    <row r="36" spans="1:8" s="19" customFormat="1" ht="14.25" x14ac:dyDescent="0.3">
      <c r="A36" s="15" t="s">
        <v>93</v>
      </c>
      <c r="B36" s="16" t="s">
        <v>67</v>
      </c>
      <c r="C36" s="17">
        <v>2400</v>
      </c>
      <c r="D36" s="18">
        <v>119.3724</v>
      </c>
      <c r="E36" s="18">
        <f t="shared" si="0"/>
        <v>0.79394374738285967</v>
      </c>
      <c r="F36" s="18" t="s">
        <v>94</v>
      </c>
      <c r="G36" s="13"/>
      <c r="H36" s="13"/>
    </row>
    <row r="37" spans="1:8" s="19" customFormat="1" ht="14.25" x14ac:dyDescent="0.3">
      <c r="A37" s="15" t="s">
        <v>95</v>
      </c>
      <c r="B37" s="16" t="s">
        <v>96</v>
      </c>
      <c r="C37" s="17">
        <v>720000</v>
      </c>
      <c r="D37" s="18">
        <v>109.8</v>
      </c>
      <c r="E37" s="18">
        <f t="shared" si="0"/>
        <v>0.73027788217911327</v>
      </c>
      <c r="F37" s="18" t="s">
        <v>97</v>
      </c>
      <c r="G37" s="13"/>
      <c r="H37" s="13"/>
    </row>
    <row r="38" spans="1:8" s="19" customFormat="1" ht="14.25" x14ac:dyDescent="0.3">
      <c r="A38" s="15" t="s">
        <v>98</v>
      </c>
      <c r="B38" s="16" t="s">
        <v>14</v>
      </c>
      <c r="C38" s="17">
        <v>8750</v>
      </c>
      <c r="D38" s="18">
        <v>101.688125</v>
      </c>
      <c r="E38" s="18">
        <f t="shared" si="0"/>
        <v>0.67632594324011786</v>
      </c>
      <c r="F38" s="18" t="s">
        <v>99</v>
      </c>
      <c r="G38" s="13"/>
      <c r="H38" s="13"/>
    </row>
    <row r="39" spans="1:8" s="19" customFormat="1" ht="14.25" x14ac:dyDescent="0.3">
      <c r="A39" s="15" t="s">
        <v>100</v>
      </c>
      <c r="B39" s="16" t="s">
        <v>101</v>
      </c>
      <c r="C39" s="17">
        <v>22400</v>
      </c>
      <c r="D39" s="18">
        <v>95.524799999999999</v>
      </c>
      <c r="E39" s="18">
        <f t="shared" si="0"/>
        <v>0.63533377631678833</v>
      </c>
      <c r="F39" s="18" t="s">
        <v>102</v>
      </c>
      <c r="G39" s="13"/>
      <c r="H39" s="13"/>
    </row>
    <row r="40" spans="1:8" s="19" customFormat="1" ht="14.25" x14ac:dyDescent="0.3">
      <c r="A40" s="15" t="s">
        <v>103</v>
      </c>
      <c r="B40" s="16" t="s">
        <v>96</v>
      </c>
      <c r="C40" s="17">
        <v>27200</v>
      </c>
      <c r="D40" s="18">
        <v>94.696799999999996</v>
      </c>
      <c r="E40" s="18">
        <f t="shared" si="0"/>
        <v>0.62982676277904415</v>
      </c>
      <c r="F40" s="18" t="s">
        <v>104</v>
      </c>
      <c r="G40" s="13"/>
      <c r="H40" s="13"/>
    </row>
    <row r="41" spans="1:8" s="19" customFormat="1" ht="14.25" x14ac:dyDescent="0.3">
      <c r="A41" s="15" t="s">
        <v>105</v>
      </c>
      <c r="B41" s="16" t="s">
        <v>106</v>
      </c>
      <c r="C41" s="17">
        <v>9975</v>
      </c>
      <c r="D41" s="18">
        <v>92.069249999999997</v>
      </c>
      <c r="E41" s="18">
        <f t="shared" si="0"/>
        <v>0.61235097362312685</v>
      </c>
      <c r="F41" s="18" t="s">
        <v>107</v>
      </c>
      <c r="G41" s="13"/>
      <c r="H41" s="12"/>
    </row>
    <row r="42" spans="1:8" s="19" customFormat="1" ht="14.25" x14ac:dyDescent="0.3">
      <c r="A42" s="15" t="s">
        <v>108</v>
      </c>
      <c r="B42" s="16" t="s">
        <v>109</v>
      </c>
      <c r="C42" s="17">
        <v>15000</v>
      </c>
      <c r="D42" s="18">
        <v>91.747500000000002</v>
      </c>
      <c r="E42" s="18">
        <f t="shared" si="0"/>
        <v>0.61021101999297078</v>
      </c>
      <c r="F42" s="18" t="s">
        <v>110</v>
      </c>
      <c r="G42" s="13"/>
      <c r="H42" s="13"/>
    </row>
    <row r="43" spans="1:8" s="19" customFormat="1" ht="14.25" x14ac:dyDescent="0.3">
      <c r="A43" s="15" t="s">
        <v>111</v>
      </c>
      <c r="B43" s="16" t="s">
        <v>112</v>
      </c>
      <c r="C43" s="17">
        <v>1500</v>
      </c>
      <c r="D43" s="18">
        <v>85.456500000000005</v>
      </c>
      <c r="E43" s="18">
        <f t="shared" si="0"/>
        <v>0.56836968887467576</v>
      </c>
      <c r="F43" s="18" t="s">
        <v>113</v>
      </c>
      <c r="G43" s="13"/>
      <c r="H43" s="12"/>
    </row>
    <row r="44" spans="1:8" s="19" customFormat="1" ht="14.25" x14ac:dyDescent="0.3">
      <c r="A44" s="15" t="s">
        <v>114</v>
      </c>
      <c r="B44" s="16" t="s">
        <v>106</v>
      </c>
      <c r="C44" s="17">
        <v>3850</v>
      </c>
      <c r="D44" s="18">
        <v>83.901124999999993</v>
      </c>
      <c r="E44" s="18">
        <f t="shared" si="0"/>
        <v>0.55802491691662159</v>
      </c>
      <c r="F44" s="18" t="s">
        <v>115</v>
      </c>
      <c r="G44" s="13"/>
      <c r="H44" s="12"/>
    </row>
    <row r="45" spans="1:8" s="19" customFormat="1" ht="14.25" x14ac:dyDescent="0.3">
      <c r="A45" s="15" t="s">
        <v>116</v>
      </c>
      <c r="B45" s="16" t="s">
        <v>117</v>
      </c>
      <c r="C45" s="17">
        <v>19500</v>
      </c>
      <c r="D45" s="18">
        <v>70.004999999999995</v>
      </c>
      <c r="E45" s="18">
        <f t="shared" si="0"/>
        <v>0.46560203225818597</v>
      </c>
      <c r="F45" s="18" t="s">
        <v>118</v>
      </c>
      <c r="G45" s="13"/>
      <c r="H45" s="12"/>
    </row>
    <row r="46" spans="1:8" s="19" customFormat="1" ht="14.25" x14ac:dyDescent="0.3">
      <c r="A46" s="15" t="s">
        <v>119</v>
      </c>
      <c r="B46" s="16" t="s">
        <v>101</v>
      </c>
      <c r="C46" s="17">
        <v>3000</v>
      </c>
      <c r="D46" s="18">
        <v>69.871499999999997</v>
      </c>
      <c r="E46" s="18">
        <f t="shared" si="0"/>
        <v>0.46471412608996276</v>
      </c>
      <c r="F46" s="18" t="s">
        <v>120</v>
      </c>
      <c r="G46" s="13"/>
      <c r="H46" s="13"/>
    </row>
    <row r="47" spans="1:8" s="19" customFormat="1" ht="14.25" x14ac:dyDescent="0.3">
      <c r="A47" s="15" t="s">
        <v>121</v>
      </c>
      <c r="B47" s="16" t="s">
        <v>43</v>
      </c>
      <c r="C47" s="17">
        <v>9800</v>
      </c>
      <c r="D47" s="18">
        <v>67.556299999999993</v>
      </c>
      <c r="E47" s="18">
        <f t="shared" si="0"/>
        <v>0.44931577132838646</v>
      </c>
      <c r="F47" s="18" t="s">
        <v>122</v>
      </c>
      <c r="G47" s="13"/>
      <c r="H47" s="13"/>
    </row>
    <row r="48" spans="1:8" s="19" customFormat="1" ht="14.25" x14ac:dyDescent="0.3">
      <c r="A48" s="15" t="s">
        <v>123</v>
      </c>
      <c r="B48" s="16" t="s">
        <v>106</v>
      </c>
      <c r="C48" s="17">
        <v>2450</v>
      </c>
      <c r="D48" s="18">
        <v>61.403125000000003</v>
      </c>
      <c r="E48" s="18">
        <f t="shared" si="0"/>
        <v>0.40839111187777205</v>
      </c>
      <c r="F48" s="18" t="s">
        <v>124</v>
      </c>
      <c r="G48" s="13"/>
      <c r="H48" s="20"/>
    </row>
    <row r="49" spans="1:8" s="19" customFormat="1" ht="14.25" x14ac:dyDescent="0.3">
      <c r="A49" s="15" t="s">
        <v>125</v>
      </c>
      <c r="B49" s="16" t="s">
        <v>22</v>
      </c>
      <c r="C49" s="17">
        <v>14000</v>
      </c>
      <c r="D49" s="18">
        <v>58.59</v>
      </c>
      <c r="E49" s="18">
        <f t="shared" si="0"/>
        <v>0.38968106663819901</v>
      </c>
      <c r="F49" s="18" t="s">
        <v>126</v>
      </c>
      <c r="G49" s="13"/>
      <c r="H49" s="13"/>
    </row>
    <row r="50" spans="1:8" s="19" customFormat="1" ht="14.25" x14ac:dyDescent="0.3">
      <c r="A50" s="15" t="s">
        <v>127</v>
      </c>
      <c r="B50" s="16" t="s">
        <v>25</v>
      </c>
      <c r="C50" s="17">
        <v>37500</v>
      </c>
      <c r="D50" s="18">
        <v>57.431249999999999</v>
      </c>
      <c r="E50" s="18">
        <f t="shared" si="0"/>
        <v>0.38197424062749724</v>
      </c>
      <c r="F50" s="18" t="s">
        <v>128</v>
      </c>
      <c r="G50" s="13"/>
      <c r="H50" s="13"/>
    </row>
    <row r="51" spans="1:8" s="19" customFormat="1" ht="14.25" x14ac:dyDescent="0.3">
      <c r="A51" s="15" t="s">
        <v>129</v>
      </c>
      <c r="B51" s="16" t="s">
        <v>112</v>
      </c>
      <c r="C51" s="17">
        <v>1200</v>
      </c>
      <c r="D51" s="18">
        <v>54.709800000000001</v>
      </c>
      <c r="E51" s="18">
        <f t="shared" si="0"/>
        <v>0.36387392421168352</v>
      </c>
      <c r="F51" s="18" t="s">
        <v>130</v>
      </c>
      <c r="G51" s="13"/>
      <c r="H51" s="12"/>
    </row>
    <row r="52" spans="1:8" s="19" customFormat="1" ht="14.25" x14ac:dyDescent="0.3">
      <c r="A52" s="15" t="s">
        <v>131</v>
      </c>
      <c r="B52" s="16" t="s">
        <v>106</v>
      </c>
      <c r="C52" s="17">
        <v>375</v>
      </c>
      <c r="D52" s="18">
        <v>34.067812500000002</v>
      </c>
      <c r="E52" s="18">
        <f t="shared" si="0"/>
        <v>0.22658442589230535</v>
      </c>
      <c r="F52" s="18" t="s">
        <v>132</v>
      </c>
      <c r="G52" s="13"/>
      <c r="H52" s="13"/>
    </row>
    <row r="53" spans="1:8" s="19" customFormat="1" ht="14.25" x14ac:dyDescent="0.3">
      <c r="A53" s="15" t="s">
        <v>133</v>
      </c>
      <c r="B53" s="16" t="s">
        <v>117</v>
      </c>
      <c r="C53" s="17">
        <v>6750</v>
      </c>
      <c r="D53" s="18">
        <v>29.480625</v>
      </c>
      <c r="E53" s="18">
        <f t="shared" si="0"/>
        <v>0.19607512195188181</v>
      </c>
      <c r="F53" s="18" t="s">
        <v>134</v>
      </c>
      <c r="G53" s="13"/>
      <c r="H53" s="12"/>
    </row>
    <row r="54" spans="1:8" s="19" customFormat="1" ht="14.25" x14ac:dyDescent="0.3">
      <c r="A54" s="15" t="s">
        <v>135</v>
      </c>
      <c r="B54" s="16" t="s">
        <v>14</v>
      </c>
      <c r="C54" s="17">
        <v>20000</v>
      </c>
      <c r="D54" s="18">
        <v>28.62</v>
      </c>
      <c r="E54" s="18">
        <f t="shared" si="0"/>
        <v>0.190351120108982</v>
      </c>
      <c r="F54" s="18" t="s">
        <v>136</v>
      </c>
      <c r="G54" s="13"/>
      <c r="H54" s="13"/>
    </row>
    <row r="55" spans="1:8" s="19" customFormat="1" ht="14.25" x14ac:dyDescent="0.3">
      <c r="A55" s="15" t="s">
        <v>137</v>
      </c>
      <c r="B55" s="16" t="s">
        <v>138</v>
      </c>
      <c r="C55" s="17">
        <v>5000</v>
      </c>
      <c r="D55" s="18">
        <v>27.87</v>
      </c>
      <c r="E55" s="18">
        <f t="shared" si="0"/>
        <v>0.18536288320885144</v>
      </c>
      <c r="F55" s="18" t="s">
        <v>139</v>
      </c>
      <c r="G55" s="13"/>
      <c r="H55" s="13"/>
    </row>
    <row r="56" spans="1:8" s="19" customFormat="1" ht="14.25" x14ac:dyDescent="0.3">
      <c r="A56" s="15" t="s">
        <v>140</v>
      </c>
      <c r="B56" s="16" t="s">
        <v>78</v>
      </c>
      <c r="C56" s="17">
        <v>375</v>
      </c>
      <c r="D56" s="18">
        <v>25.116375000000001</v>
      </c>
      <c r="E56" s="18">
        <f t="shared" si="0"/>
        <v>0.16704857143002211</v>
      </c>
      <c r="F56" s="18" t="s">
        <v>141</v>
      </c>
      <c r="G56" s="13"/>
      <c r="H56" s="13"/>
    </row>
    <row r="57" spans="1:8" s="19" customFormat="1" ht="14.25" x14ac:dyDescent="0.3">
      <c r="A57" s="15" t="s">
        <v>142</v>
      </c>
      <c r="B57" s="16" t="s">
        <v>14</v>
      </c>
      <c r="C57" s="17">
        <v>10000</v>
      </c>
      <c r="D57" s="18">
        <v>24.57</v>
      </c>
      <c r="E57" s="18">
        <f t="shared" si="0"/>
        <v>0.163414640848277</v>
      </c>
      <c r="F57" s="18" t="s">
        <v>143</v>
      </c>
      <c r="G57" s="13"/>
      <c r="H57" s="12"/>
    </row>
    <row r="58" spans="1:8" s="19" customFormat="1" ht="14.25" x14ac:dyDescent="0.3">
      <c r="A58" s="15" t="s">
        <v>144</v>
      </c>
      <c r="B58" s="16" t="s">
        <v>31</v>
      </c>
      <c r="C58" s="17">
        <v>2700</v>
      </c>
      <c r="D58" s="18">
        <v>23.774850000000001</v>
      </c>
      <c r="E58" s="18">
        <f t="shared" si="0"/>
        <v>0.15812611208675859</v>
      </c>
      <c r="F58" s="18" t="s">
        <v>145</v>
      </c>
      <c r="G58" s="13"/>
      <c r="H58" s="13"/>
    </row>
    <row r="59" spans="1:8" s="19" customFormat="1" ht="14.25" x14ac:dyDescent="0.3">
      <c r="A59" s="15" t="s">
        <v>146</v>
      </c>
      <c r="B59" s="16" t="s">
        <v>17</v>
      </c>
      <c r="C59" s="17">
        <v>14625</v>
      </c>
      <c r="D59" s="18">
        <v>23.751000000000001</v>
      </c>
      <c r="E59" s="18">
        <f t="shared" si="0"/>
        <v>0.15796748615333445</v>
      </c>
      <c r="F59" s="18" t="s">
        <v>147</v>
      </c>
      <c r="G59" s="13"/>
      <c r="H59" s="13"/>
    </row>
    <row r="60" spans="1:8" s="19" customFormat="1" ht="14.25" x14ac:dyDescent="0.3">
      <c r="A60" s="15" t="s">
        <v>148</v>
      </c>
      <c r="B60" s="16" t="s">
        <v>22</v>
      </c>
      <c r="C60" s="17">
        <v>1800</v>
      </c>
      <c r="D60" s="18">
        <v>18.002700000000001</v>
      </c>
      <c r="E60" s="18">
        <f t="shared" si="0"/>
        <v>0.11973564325597381</v>
      </c>
      <c r="F60" s="18" t="s">
        <v>149</v>
      </c>
      <c r="G60" s="13"/>
      <c r="H60" s="12"/>
    </row>
    <row r="61" spans="1:8" s="19" customFormat="1" ht="14.25" x14ac:dyDescent="0.3">
      <c r="A61" s="15" t="s">
        <v>150</v>
      </c>
      <c r="B61" s="16" t="s">
        <v>151</v>
      </c>
      <c r="C61" s="17">
        <v>600</v>
      </c>
      <c r="D61" s="18">
        <v>15.2784</v>
      </c>
      <c r="E61" s="18">
        <f t="shared" si="0"/>
        <v>0.10161637153993956</v>
      </c>
      <c r="F61" s="18" t="s">
        <v>152</v>
      </c>
      <c r="G61" s="13"/>
      <c r="H61" s="13"/>
    </row>
    <row r="62" spans="1:8" s="19" customFormat="1" ht="14.25" x14ac:dyDescent="0.3">
      <c r="A62" s="15" t="s">
        <v>153</v>
      </c>
      <c r="B62" s="16" t="s">
        <v>14</v>
      </c>
      <c r="C62" s="17">
        <v>8000</v>
      </c>
      <c r="D62" s="18">
        <v>10.356</v>
      </c>
      <c r="E62" s="18">
        <f t="shared" si="0"/>
        <v>6.887757511700271E-2</v>
      </c>
      <c r="F62" s="18" t="s">
        <v>154</v>
      </c>
      <c r="G62" s="13"/>
      <c r="H62" s="12"/>
    </row>
    <row r="63" spans="1:8" s="19" customFormat="1" ht="14.25" x14ac:dyDescent="0.3">
      <c r="A63" s="15" t="s">
        <v>155</v>
      </c>
      <c r="B63" s="16" t="s">
        <v>22</v>
      </c>
      <c r="C63" s="17">
        <v>40</v>
      </c>
      <c r="D63" s="18">
        <v>10.3551</v>
      </c>
      <c r="E63" s="18">
        <f t="shared" si="0"/>
        <v>6.887158923272256E-2</v>
      </c>
      <c r="F63" s="18" t="s">
        <v>156</v>
      </c>
      <c r="G63" s="13"/>
      <c r="H63" s="13"/>
    </row>
    <row r="64" spans="1:8" s="19" customFormat="1" ht="14.25" x14ac:dyDescent="0.3">
      <c r="A64" s="15" t="s">
        <v>157</v>
      </c>
      <c r="B64" s="16" t="s">
        <v>158</v>
      </c>
      <c r="C64" s="17">
        <v>700</v>
      </c>
      <c r="D64" s="18">
        <v>8.1158000000000001</v>
      </c>
      <c r="E64" s="18">
        <f t="shared" si="0"/>
        <v>5.3978044045439419E-2</v>
      </c>
      <c r="F64" s="18" t="s">
        <v>159</v>
      </c>
      <c r="G64" s="13"/>
      <c r="H64" s="20"/>
    </row>
    <row r="65" spans="1:8" s="19" customFormat="1" ht="14.25" x14ac:dyDescent="0.3">
      <c r="A65" s="15" t="s">
        <v>160</v>
      </c>
      <c r="B65" s="16" t="s">
        <v>34</v>
      </c>
      <c r="C65" s="17">
        <v>1800</v>
      </c>
      <c r="D65" s="18">
        <v>7.0605000000000002</v>
      </c>
      <c r="E65" s="18">
        <f t="shared" si="0"/>
        <v>4.6959262177829052E-2</v>
      </c>
      <c r="F65" s="18" t="s">
        <v>161</v>
      </c>
      <c r="G65" s="13"/>
      <c r="H65" s="13"/>
    </row>
    <row r="66" spans="1:8" s="19" customFormat="1" ht="14.25" x14ac:dyDescent="0.3">
      <c r="A66" s="15" t="s">
        <v>162</v>
      </c>
      <c r="B66" s="16" t="s">
        <v>96</v>
      </c>
      <c r="C66" s="17">
        <v>475</v>
      </c>
      <c r="D66" s="18">
        <v>6.5205624999999996</v>
      </c>
      <c r="E66" s="18">
        <f t="shared" si="0"/>
        <v>4.336814729614339E-2</v>
      </c>
      <c r="F66" s="18" t="s">
        <v>163</v>
      </c>
      <c r="G66" s="13"/>
      <c r="H66" s="13"/>
    </row>
    <row r="67" spans="1:8" s="19" customFormat="1" ht="14.25" x14ac:dyDescent="0.3">
      <c r="A67" s="15" t="s">
        <v>164</v>
      </c>
      <c r="B67" s="16" t="s">
        <v>151</v>
      </c>
      <c r="C67" s="17">
        <v>850</v>
      </c>
      <c r="D67" s="18">
        <v>6.3057249999999998</v>
      </c>
      <c r="E67" s="18">
        <f t="shared" si="0"/>
        <v>4.1939266836100997E-2</v>
      </c>
      <c r="F67" s="18" t="s">
        <v>165</v>
      </c>
      <c r="G67" s="13"/>
      <c r="H67" s="12"/>
    </row>
    <row r="68" spans="1:8" s="19" customFormat="1" ht="14.25" x14ac:dyDescent="0.3">
      <c r="A68" s="14" t="s">
        <v>166</v>
      </c>
      <c r="B68" s="16"/>
      <c r="C68" s="17"/>
      <c r="D68" s="21">
        <f>IF(ISERROR(SUM(D7:D67)),0,SUM(D7:D67))</f>
        <v>10981.036349999997</v>
      </c>
      <c r="E68" s="21">
        <f>IF(ISERROR(SUM(E7:E67)),0,SUM(E7:E67))</f>
        <v>73.034680963659994</v>
      </c>
      <c r="F68" s="21"/>
      <c r="G68" s="13"/>
      <c r="H68" s="12"/>
    </row>
    <row r="69" spans="1:8" s="19" customFormat="1" ht="14.25" x14ac:dyDescent="0.3">
      <c r="A69" s="14"/>
      <c r="B69" s="14"/>
      <c r="C69" s="22"/>
      <c r="D69" s="23"/>
      <c r="E69" s="23"/>
      <c r="F69" s="23"/>
      <c r="G69" s="13"/>
      <c r="H69" s="12"/>
    </row>
    <row r="70" spans="1:8" s="19" customFormat="1" ht="14.25" x14ac:dyDescent="0.3">
      <c r="A70" s="14" t="s">
        <v>167</v>
      </c>
      <c r="B70" s="14"/>
      <c r="C70" s="22"/>
      <c r="D70" s="24" t="s">
        <v>168</v>
      </c>
      <c r="E70" s="24" t="s">
        <v>168</v>
      </c>
      <c r="F70" s="24"/>
      <c r="G70" s="13"/>
      <c r="H70" s="12"/>
    </row>
    <row r="71" spans="1:8" s="19" customFormat="1" ht="14.25" x14ac:dyDescent="0.3">
      <c r="A71" s="14"/>
      <c r="B71" s="7"/>
      <c r="C71" s="22"/>
      <c r="D71" s="24"/>
      <c r="E71" s="24"/>
      <c r="F71" s="25"/>
      <c r="G71" s="13"/>
      <c r="H71" s="12"/>
    </row>
    <row r="72" spans="1:8" s="19" customFormat="1" ht="14.25" x14ac:dyDescent="0.3">
      <c r="A72" s="14" t="s">
        <v>169</v>
      </c>
      <c r="B72" s="14"/>
      <c r="C72" s="22"/>
      <c r="D72" s="21">
        <f>IF(ISERROR(+D68),0,D68)+IF(ISERROR(+#REF!),0,#REF!)</f>
        <v>10981.036349999997</v>
      </c>
      <c r="E72" s="21">
        <f>IF(ISERROR(+E68),0,E68)+IF(ISERROR(+#REF!),0,#REF!)</f>
        <v>73.034680963659994</v>
      </c>
      <c r="F72" s="26"/>
      <c r="G72" s="13"/>
      <c r="H72" s="12"/>
    </row>
    <row r="73" spans="1:8" s="19" customFormat="1" ht="14.25" x14ac:dyDescent="0.3">
      <c r="A73" s="14"/>
      <c r="B73" s="7"/>
      <c r="C73" s="22"/>
      <c r="D73" s="24"/>
      <c r="E73" s="24"/>
      <c r="F73" s="25"/>
      <c r="G73" s="13"/>
      <c r="H73" s="12"/>
    </row>
    <row r="74" spans="1:8" s="19" customFormat="1" ht="14.25" x14ac:dyDescent="0.3">
      <c r="A74" s="14" t="s">
        <v>170</v>
      </c>
      <c r="B74" s="7"/>
      <c r="C74" s="22"/>
      <c r="D74" s="24"/>
      <c r="E74" s="24"/>
      <c r="F74" s="25"/>
      <c r="G74" s="13"/>
      <c r="H74" s="12"/>
    </row>
    <row r="75" spans="1:8" s="19" customFormat="1" ht="14.25" x14ac:dyDescent="0.3">
      <c r="A75" s="14" t="s">
        <v>12</v>
      </c>
      <c r="B75" s="7"/>
      <c r="C75" s="22"/>
      <c r="D75" s="24" t="s">
        <v>168</v>
      </c>
      <c r="E75" s="24" t="s">
        <v>168</v>
      </c>
      <c r="F75" s="27"/>
      <c r="G75" s="13"/>
      <c r="H75" s="12"/>
    </row>
    <row r="76" spans="1:8" s="19" customFormat="1" ht="14.25" x14ac:dyDescent="0.3">
      <c r="A76" s="14"/>
      <c r="B76" s="7"/>
      <c r="C76" s="28"/>
      <c r="D76" s="27"/>
      <c r="E76" s="27"/>
      <c r="F76" s="27"/>
      <c r="G76" s="13"/>
      <c r="H76" s="12"/>
    </row>
    <row r="77" spans="1:8" s="19" customFormat="1" ht="14.25" x14ac:dyDescent="0.3">
      <c r="A77" s="14" t="s">
        <v>171</v>
      </c>
      <c r="B77" s="7"/>
      <c r="C77" s="28"/>
      <c r="D77" s="24"/>
      <c r="E77" s="24"/>
      <c r="F77" s="25"/>
      <c r="G77" s="13"/>
      <c r="H77" s="12"/>
    </row>
    <row r="78" spans="1:8" s="19" customFormat="1" ht="14.25" x14ac:dyDescent="0.3">
      <c r="A78" s="14"/>
      <c r="B78" s="7"/>
      <c r="C78" s="28"/>
      <c r="D78" s="24"/>
      <c r="E78" s="24"/>
      <c r="F78" s="24"/>
      <c r="G78" s="13"/>
      <c r="H78" s="12"/>
    </row>
    <row r="79" spans="1:8" s="19" customFormat="1" ht="14.25" x14ac:dyDescent="0.3">
      <c r="A79" s="14" t="s">
        <v>172</v>
      </c>
      <c r="B79" s="7"/>
      <c r="C79" s="28"/>
      <c r="D79" s="24"/>
      <c r="E79" s="24"/>
      <c r="F79" s="24"/>
      <c r="G79" s="13"/>
      <c r="H79" s="12"/>
    </row>
    <row r="80" spans="1:8" s="19" customFormat="1" ht="14.25" x14ac:dyDescent="0.3">
      <c r="A80" s="14"/>
      <c r="B80" s="7"/>
      <c r="C80" s="28"/>
      <c r="D80" s="18"/>
      <c r="E80" s="18"/>
      <c r="F80" s="29"/>
      <c r="G80" s="13"/>
      <c r="H80" s="12"/>
    </row>
    <row r="81" spans="1:8" s="19" customFormat="1" ht="14.25" x14ac:dyDescent="0.3">
      <c r="A81" s="14" t="s">
        <v>173</v>
      </c>
      <c r="B81" s="7"/>
      <c r="C81" s="28"/>
      <c r="D81" s="24" t="s">
        <v>168</v>
      </c>
      <c r="E81" s="24" t="s">
        <v>168</v>
      </c>
      <c r="F81" s="24"/>
      <c r="G81" s="13"/>
      <c r="H81" s="12"/>
    </row>
    <row r="82" spans="1:8" s="19" customFormat="1" ht="14.25" x14ac:dyDescent="0.3">
      <c r="A82" s="14"/>
      <c r="B82" s="7"/>
      <c r="C82" s="28"/>
      <c r="D82" s="24"/>
      <c r="E82" s="24"/>
      <c r="F82" s="24"/>
      <c r="G82" s="13"/>
      <c r="H82" s="12"/>
    </row>
    <row r="83" spans="1:8" s="19" customFormat="1" ht="14.25" x14ac:dyDescent="0.3">
      <c r="A83" s="14" t="s">
        <v>174</v>
      </c>
      <c r="B83" s="7"/>
      <c r="C83" s="28"/>
      <c r="D83" s="24" t="s">
        <v>168</v>
      </c>
      <c r="E83" s="24" t="s">
        <v>168</v>
      </c>
      <c r="F83" s="24"/>
      <c r="G83" s="13"/>
      <c r="H83" s="12"/>
    </row>
    <row r="84" spans="1:8" s="19" customFormat="1" ht="14.25" x14ac:dyDescent="0.3">
      <c r="A84" s="14"/>
      <c r="B84" s="7"/>
      <c r="C84" s="28"/>
      <c r="D84" s="24"/>
      <c r="E84" s="24"/>
      <c r="F84" s="24"/>
      <c r="G84" s="13"/>
      <c r="H84" s="12"/>
    </row>
    <row r="85" spans="1:8" s="19" customFormat="1" ht="14.25" x14ac:dyDescent="0.3">
      <c r="A85" s="14" t="s">
        <v>175</v>
      </c>
      <c r="B85" s="7"/>
      <c r="C85" s="28"/>
      <c r="D85" s="24"/>
      <c r="E85" s="24"/>
      <c r="F85" s="25"/>
      <c r="G85" s="13"/>
      <c r="H85" s="12"/>
    </row>
    <row r="86" spans="1:8" s="19" customFormat="1" ht="14.25" x14ac:dyDescent="0.3">
      <c r="A86" s="14" t="s">
        <v>176</v>
      </c>
      <c r="B86" s="16"/>
      <c r="C86" s="17"/>
      <c r="D86" s="18"/>
      <c r="E86" s="27"/>
      <c r="F86" s="30"/>
      <c r="G86" s="13"/>
      <c r="H86" s="12"/>
    </row>
    <row r="87" spans="1:8" s="19" customFormat="1" ht="14.25" x14ac:dyDescent="0.3">
      <c r="A87" s="15" t="s">
        <v>177</v>
      </c>
      <c r="B87" s="16" t="s">
        <v>178</v>
      </c>
      <c r="C87" s="17">
        <v>500000</v>
      </c>
      <c r="D87" s="18">
        <v>497.63400000000001</v>
      </c>
      <c r="E87" s="18">
        <f t="shared" ref="E87:E95" si="1">(+D87/$D$107*100)</f>
        <v>3.3097550420794248</v>
      </c>
      <c r="F87" s="18" t="s">
        <v>179</v>
      </c>
      <c r="G87" s="13">
        <v>6.6753</v>
      </c>
      <c r="H87" s="12"/>
    </row>
    <row r="88" spans="1:8" s="19" customFormat="1" ht="14.25" x14ac:dyDescent="0.3">
      <c r="A88" s="15" t="s">
        <v>180</v>
      </c>
      <c r="B88" s="16" t="s">
        <v>178</v>
      </c>
      <c r="C88" s="17">
        <v>400000</v>
      </c>
      <c r="D88" s="18">
        <v>399.62599999999998</v>
      </c>
      <c r="E88" s="18">
        <f t="shared" si="1"/>
        <v>2.657905545935431</v>
      </c>
      <c r="F88" s="18" t="s">
        <v>181</v>
      </c>
      <c r="G88" s="13">
        <v>6.8319000000000001</v>
      </c>
      <c r="H88" s="12"/>
    </row>
    <row r="89" spans="1:8" s="19" customFormat="1" ht="14.25" x14ac:dyDescent="0.3">
      <c r="A89" s="15" t="s">
        <v>182</v>
      </c>
      <c r="B89" s="16" t="s">
        <v>178</v>
      </c>
      <c r="C89" s="17">
        <v>300000</v>
      </c>
      <c r="D89" s="18">
        <v>295.85399999999998</v>
      </c>
      <c r="E89" s="18">
        <f t="shared" si="1"/>
        <v>1.9677197864683003</v>
      </c>
      <c r="F89" s="18" t="s">
        <v>183</v>
      </c>
      <c r="G89" s="13">
        <v>6.82</v>
      </c>
      <c r="H89" s="12"/>
    </row>
    <row r="90" spans="1:8" s="19" customFormat="1" ht="14.25" x14ac:dyDescent="0.3">
      <c r="A90" s="15" t="s">
        <v>184</v>
      </c>
      <c r="B90" s="16" t="s">
        <v>178</v>
      </c>
      <c r="C90" s="17">
        <v>205000</v>
      </c>
      <c r="D90" s="18">
        <v>203.73679000000001</v>
      </c>
      <c r="E90" s="18">
        <f t="shared" si="1"/>
        <v>1.3550498317228665</v>
      </c>
      <c r="F90" s="18" t="s">
        <v>185</v>
      </c>
      <c r="G90" s="13">
        <v>6.8578000000000001</v>
      </c>
      <c r="H90" s="12"/>
    </row>
    <row r="91" spans="1:8" s="19" customFormat="1" ht="14.25" x14ac:dyDescent="0.3">
      <c r="A91" s="15" t="s">
        <v>186</v>
      </c>
      <c r="B91" s="16" t="s">
        <v>178</v>
      </c>
      <c r="C91" s="17">
        <v>200000</v>
      </c>
      <c r="D91" s="18">
        <v>199.56039999999999</v>
      </c>
      <c r="E91" s="18">
        <f t="shared" si="1"/>
        <v>1.3272727347797515</v>
      </c>
      <c r="F91" s="18" t="s">
        <v>187</v>
      </c>
      <c r="G91" s="13">
        <v>6.7003000000000004</v>
      </c>
      <c r="H91" s="12"/>
    </row>
    <row r="92" spans="1:8" s="19" customFormat="1" ht="14.25" x14ac:dyDescent="0.3">
      <c r="A92" s="15" t="s">
        <v>188</v>
      </c>
      <c r="B92" s="16" t="s">
        <v>178</v>
      </c>
      <c r="C92" s="17">
        <v>200000</v>
      </c>
      <c r="D92" s="18">
        <v>198.47040000000001</v>
      </c>
      <c r="E92" s="18">
        <f t="shared" si="1"/>
        <v>1.3200231638182287</v>
      </c>
      <c r="F92" s="18" t="s">
        <v>189</v>
      </c>
      <c r="G92" s="13">
        <v>6.8615000000000004</v>
      </c>
      <c r="H92" s="12"/>
    </row>
    <row r="93" spans="1:8" s="19" customFormat="1" ht="14.25" x14ac:dyDescent="0.3">
      <c r="A93" s="15" t="s">
        <v>190</v>
      </c>
      <c r="B93" s="16" t="s">
        <v>178</v>
      </c>
      <c r="C93" s="17">
        <v>200000</v>
      </c>
      <c r="D93" s="18">
        <v>198.2576</v>
      </c>
      <c r="E93" s="18">
        <f t="shared" si="1"/>
        <v>1.3186078347350982</v>
      </c>
      <c r="F93" s="18" t="s">
        <v>191</v>
      </c>
      <c r="G93" s="13">
        <v>6.8251999999999997</v>
      </c>
      <c r="H93" s="12"/>
    </row>
    <row r="94" spans="1:8" s="19" customFormat="1" ht="14.25" x14ac:dyDescent="0.3">
      <c r="A94" s="15" t="s">
        <v>192</v>
      </c>
      <c r="B94" s="16" t="s">
        <v>178</v>
      </c>
      <c r="C94" s="17">
        <v>200000</v>
      </c>
      <c r="D94" s="18">
        <v>196.95939999999999</v>
      </c>
      <c r="E94" s="18">
        <f t="shared" si="1"/>
        <v>1.3099735292100987</v>
      </c>
      <c r="F94" s="18" t="s">
        <v>193</v>
      </c>
      <c r="G94" s="13">
        <v>6.8716999999999997</v>
      </c>
      <c r="H94" s="12"/>
    </row>
    <row r="95" spans="1:8" s="19" customFormat="1" ht="14.25" x14ac:dyDescent="0.3">
      <c r="A95" s="15" t="s">
        <v>194</v>
      </c>
      <c r="B95" s="16" t="s">
        <v>178</v>
      </c>
      <c r="C95" s="17">
        <v>200000</v>
      </c>
      <c r="D95" s="18">
        <v>196.43</v>
      </c>
      <c r="E95" s="18">
        <f t="shared" si="1"/>
        <v>1.30645249905686</v>
      </c>
      <c r="F95" s="18" t="s">
        <v>195</v>
      </c>
      <c r="G95" s="13">
        <v>6.9100999999999999</v>
      </c>
      <c r="H95" s="12"/>
    </row>
    <row r="96" spans="1:8" s="19" customFormat="1" ht="14.25" x14ac:dyDescent="0.3">
      <c r="A96" s="14" t="s">
        <v>166</v>
      </c>
      <c r="B96" s="31"/>
      <c r="C96" s="32"/>
      <c r="D96" s="24">
        <f>IF(ISERROR(SUM(D87:D95)),0,SUM(D87:D95))</f>
        <v>2386.5285899999999</v>
      </c>
      <c r="E96" s="24">
        <f>IF(ISERROR(SUM(E87:E95)),0,SUM(E87:E95))</f>
        <v>15.87275996780606</v>
      </c>
      <c r="F96" s="33"/>
      <c r="G96" s="13"/>
      <c r="H96" s="12"/>
    </row>
    <row r="97" spans="1:8" s="19" customFormat="1" ht="14.25" x14ac:dyDescent="0.3">
      <c r="A97" s="15" t="s">
        <v>196</v>
      </c>
      <c r="B97" s="16"/>
      <c r="C97" s="17">
        <v>0</v>
      </c>
      <c r="D97" s="18">
        <v>830.11946680000005</v>
      </c>
      <c r="E97" s="18">
        <f>(+D97/$D$107*100)</f>
        <v>5.5211100744112827</v>
      </c>
      <c r="F97" s="18" t="s">
        <v>197</v>
      </c>
      <c r="G97" s="13">
        <v>6.6516999999999999</v>
      </c>
      <c r="H97" s="12"/>
    </row>
    <row r="98" spans="1:8" s="19" customFormat="1" ht="14.25" x14ac:dyDescent="0.3">
      <c r="A98" s="14" t="s">
        <v>166</v>
      </c>
      <c r="B98" s="7"/>
      <c r="C98" s="28"/>
      <c r="D98" s="24">
        <f>IF(ISERROR(SUM(D97:D97)),0,SUM(D97:D97))</f>
        <v>830.11946680000005</v>
      </c>
      <c r="E98" s="24">
        <f>IF(ISERROR(SUM(E97:E97)),0,SUM(E97:E97))</f>
        <v>5.5211100744112827</v>
      </c>
      <c r="F98" s="18"/>
      <c r="G98" s="13"/>
      <c r="H98" s="12"/>
    </row>
    <row r="99" spans="1:8" s="19" customFormat="1" ht="14.25" x14ac:dyDescent="0.3">
      <c r="A99" s="14" t="s">
        <v>198</v>
      </c>
      <c r="B99" s="7"/>
      <c r="C99" s="28"/>
      <c r="D99" s="24"/>
      <c r="E99" s="24"/>
      <c r="F99" s="24"/>
      <c r="G99" s="13"/>
      <c r="H99" s="12"/>
    </row>
    <row r="100" spans="1:8" s="19" customFormat="1" ht="14.25" x14ac:dyDescent="0.3">
      <c r="A100" s="15" t="s">
        <v>199</v>
      </c>
      <c r="B100" s="16"/>
      <c r="C100" s="17">
        <v>1914369.966</v>
      </c>
      <c r="D100" s="18">
        <v>1278.9331431856201</v>
      </c>
      <c r="E100" s="18">
        <f>(+D100/$D$107*100)</f>
        <v>8.5061619968512865</v>
      </c>
      <c r="F100" s="18" t="s">
        <v>200</v>
      </c>
      <c r="G100" s="13"/>
      <c r="H100" s="12"/>
    </row>
    <row r="101" spans="1:8" s="19" customFormat="1" ht="14.25" x14ac:dyDescent="0.3">
      <c r="A101" s="14" t="s">
        <v>166</v>
      </c>
      <c r="B101" s="7"/>
      <c r="C101" s="28"/>
      <c r="D101" s="24">
        <f>IF(ISERROR(SUM(D100:D100)),0,SUM(D100:D100))</f>
        <v>1278.9331431856201</v>
      </c>
      <c r="E101" s="24">
        <f>IF(ISERROR(SUM(E100:E100)),0,SUM(E100:E100))</f>
        <v>8.5061619968512865</v>
      </c>
      <c r="F101" s="34"/>
      <c r="G101" s="13"/>
      <c r="H101" s="12"/>
    </row>
    <row r="102" spans="1:8" s="19" customFormat="1" ht="14.25" x14ac:dyDescent="0.3">
      <c r="A102" s="14"/>
      <c r="B102" s="7"/>
      <c r="C102" s="28"/>
      <c r="D102" s="24"/>
      <c r="E102" s="24"/>
      <c r="F102" s="25"/>
      <c r="G102" s="13"/>
      <c r="H102" s="12"/>
    </row>
    <row r="103" spans="1:8" s="19" customFormat="1" ht="14.25" x14ac:dyDescent="0.3">
      <c r="A103" s="14" t="s">
        <v>169</v>
      </c>
      <c r="B103" s="7"/>
      <c r="C103" s="28" t="s">
        <v>201</v>
      </c>
      <c r="D103" s="24">
        <f>+IF(ISERROR(#REF!),0,#REF!)+IF(ISERROR(D98),0,D98)+IF(ISERROR(D72),0,D72)+IF(ISERROR(#REF!),0,#REF!)+IF(ISERROR(#REF!),0,#REF!)+IF(ISERROR(D96),0,D96)+IF(ISERROR(D101),0,D101)+IF(ISERROR(#REF!),0,#REF!)+IF(ISERROR(#REF!),0,#REF!)+IF(ISERROR(#REF!),0,#REF!)</f>
        <v>15476.617549985618</v>
      </c>
      <c r="E103" s="24">
        <f>+IF(ISERROR(#REF!),0,#REF!)+IF(ISERROR(E98),0,E98)+IF(ISERROR(E72),0,E72)+IF(ISERROR(#REF!),0,#REF!)+IF(ISERROR(#REF!),0,#REF!)+IF(ISERROR(E96),0,E96)+IF(ISERROR(E101),0,E101)+IF(ISERROR(#REF!),0,#REF!)+IF(ISERROR(#REF!),0,#REF!)+IF(ISERROR(#REF!),0,#REF!)</f>
        <v>102.93471300272863</v>
      </c>
      <c r="F103" s="24"/>
      <c r="G103" s="13"/>
      <c r="H103" s="12"/>
    </row>
    <row r="104" spans="1:8" s="19" customFormat="1" ht="14.25" x14ac:dyDescent="0.3">
      <c r="A104" s="14"/>
      <c r="B104" s="7"/>
      <c r="C104" s="28"/>
      <c r="D104" s="24"/>
      <c r="E104" s="24"/>
      <c r="F104" s="35"/>
      <c r="G104" s="36"/>
      <c r="H104" s="37"/>
    </row>
    <row r="105" spans="1:8" s="19" customFormat="1" ht="14.25" x14ac:dyDescent="0.3">
      <c r="A105" s="14" t="s">
        <v>202</v>
      </c>
      <c r="B105" s="7"/>
      <c r="C105" s="28"/>
      <c r="D105" s="24">
        <f>+D107-D103</f>
        <v>-441.24503228561662</v>
      </c>
      <c r="E105" s="24">
        <f>D105/$D$107*100</f>
        <v>-2.9347130027285484</v>
      </c>
      <c r="F105" s="35"/>
      <c r="G105" s="36"/>
      <c r="H105" s="37"/>
    </row>
    <row r="106" spans="1:8" s="19" customFormat="1" ht="14.25" x14ac:dyDescent="0.3">
      <c r="A106" s="14"/>
      <c r="B106" s="7"/>
      <c r="C106" s="28"/>
      <c r="D106" s="27"/>
      <c r="E106" s="27"/>
      <c r="F106" s="35"/>
      <c r="G106" s="36"/>
      <c r="H106" s="37"/>
    </row>
    <row r="107" spans="1:8" s="19" customFormat="1" ht="14.25" x14ac:dyDescent="0.3">
      <c r="A107" s="14" t="s">
        <v>203</v>
      </c>
      <c r="B107" s="7"/>
      <c r="C107" s="28"/>
      <c r="D107" s="24">
        <v>15035.372517700001</v>
      </c>
      <c r="E107" s="24">
        <f>+E103+E105</f>
        <v>100.00000000000009</v>
      </c>
      <c r="F107" s="35"/>
      <c r="G107" s="36"/>
      <c r="H107" s="37"/>
    </row>
    <row r="108" spans="1:8" s="19" customFormat="1" ht="14.25" x14ac:dyDescent="0.3">
      <c r="A108" s="38"/>
      <c r="B108" s="39"/>
      <c r="C108" s="40"/>
      <c r="D108" s="41"/>
      <c r="E108" s="41"/>
      <c r="F108" s="35"/>
      <c r="G108" s="36"/>
      <c r="H108" s="37"/>
    </row>
    <row r="109" spans="1:8" s="19" customFormat="1" ht="13.5" customHeight="1" x14ac:dyDescent="0.2">
      <c r="A109" s="42" t="s">
        <v>204</v>
      </c>
      <c r="B109" s="42"/>
      <c r="C109" s="42"/>
      <c r="D109" s="42"/>
      <c r="E109" s="42"/>
      <c r="F109" s="42"/>
      <c r="G109" s="42"/>
      <c r="H109" s="42"/>
    </row>
    <row r="110" spans="1:8" s="19" customFormat="1" ht="29.25" customHeight="1" x14ac:dyDescent="0.2">
      <c r="A110" s="42" t="s">
        <v>205</v>
      </c>
      <c r="B110" s="42"/>
      <c r="C110" s="42"/>
      <c r="D110" s="42"/>
      <c r="E110" s="42"/>
      <c r="F110" s="42"/>
      <c r="G110" s="42"/>
      <c r="H110" s="43"/>
    </row>
    <row r="111" spans="1:8" s="19" customFormat="1" ht="13.5" customHeight="1" x14ac:dyDescent="0.2">
      <c r="A111" s="44" t="s">
        <v>206</v>
      </c>
      <c r="B111" s="44"/>
      <c r="C111" s="44"/>
      <c r="D111" s="44"/>
      <c r="E111" s="44"/>
      <c r="F111" s="44"/>
      <c r="G111" s="44"/>
      <c r="H111" s="43"/>
    </row>
    <row r="112" spans="1:8" s="19" customFormat="1" ht="54.75" customHeight="1" x14ac:dyDescent="0.2">
      <c r="A112" s="45" t="s">
        <v>207</v>
      </c>
      <c r="B112" s="45"/>
      <c r="C112" s="45"/>
      <c r="D112" s="45"/>
      <c r="E112" s="45"/>
      <c r="F112" s="45"/>
      <c r="G112" s="45"/>
      <c r="H112" s="43"/>
    </row>
    <row r="113" spans="1:8" s="19" customFormat="1" ht="13.5" x14ac:dyDescent="0.2">
      <c r="A113" s="51"/>
      <c r="B113" s="51"/>
      <c r="C113" s="51"/>
      <c r="D113" s="51"/>
      <c r="E113" s="51"/>
      <c r="F113" s="51"/>
      <c r="G113" s="51"/>
      <c r="H113" s="52"/>
    </row>
    <row r="114" spans="1:8" s="19" customFormat="1" ht="14.25" x14ac:dyDescent="0.3">
      <c r="A114" s="46" t="s">
        <v>208</v>
      </c>
      <c r="B114" s="47"/>
      <c r="C114" s="48"/>
      <c r="D114" s="49"/>
      <c r="E114" s="49"/>
      <c r="F114" s="50"/>
      <c r="G114" s="51"/>
      <c r="H114" s="52"/>
    </row>
    <row r="115" spans="1:8" s="19" customFormat="1" ht="38.25" x14ac:dyDescent="0.2">
      <c r="A115" s="53" t="s">
        <v>209</v>
      </c>
      <c r="B115" s="54" t="s">
        <v>210</v>
      </c>
      <c r="C115" s="55" t="s">
        <v>5</v>
      </c>
      <c r="D115" s="53" t="s">
        <v>211</v>
      </c>
      <c r="E115" s="53" t="s">
        <v>212</v>
      </c>
      <c r="F115" s="53" t="s">
        <v>213</v>
      </c>
      <c r="G115" s="51"/>
      <c r="H115" s="52"/>
    </row>
    <row r="116" spans="1:8" s="19" customFormat="1" ht="14.25" x14ac:dyDescent="0.3">
      <c r="A116" s="56" t="s">
        <v>214</v>
      </c>
      <c r="B116" s="15" t="s">
        <v>215</v>
      </c>
      <c r="C116" s="57">
        <v>15000</v>
      </c>
      <c r="D116" s="58">
        <v>625.98659999999995</v>
      </c>
      <c r="E116" s="58">
        <v>620.95000000000005</v>
      </c>
      <c r="F116" s="59">
        <v>20.093362500000001</v>
      </c>
      <c r="G116" s="60"/>
      <c r="H116" s="61"/>
    </row>
    <row r="117" spans="1:8" s="19" customFormat="1" ht="14.25" x14ac:dyDescent="0.3">
      <c r="A117" s="56" t="s">
        <v>216</v>
      </c>
      <c r="B117" s="15" t="s">
        <v>215</v>
      </c>
      <c r="C117" s="57">
        <v>40</v>
      </c>
      <c r="D117" s="58">
        <v>26428.625</v>
      </c>
      <c r="E117" s="58">
        <v>26053.95</v>
      </c>
      <c r="F117" s="59">
        <v>1.8386985999999998</v>
      </c>
      <c r="G117" s="60"/>
      <c r="H117" s="61"/>
    </row>
    <row r="118" spans="1:8" s="19" customFormat="1" ht="14.25" x14ac:dyDescent="0.3">
      <c r="A118" s="56" t="s">
        <v>217</v>
      </c>
      <c r="B118" s="15" t="s">
        <v>215</v>
      </c>
      <c r="C118" s="57">
        <v>600</v>
      </c>
      <c r="D118" s="58">
        <v>2609.1999999999998</v>
      </c>
      <c r="E118" s="58">
        <v>2558.75</v>
      </c>
      <c r="F118" s="59">
        <v>3.0213645000000002</v>
      </c>
      <c r="G118" s="60"/>
      <c r="H118" s="61"/>
    </row>
    <row r="119" spans="1:8" s="19" customFormat="1" ht="14.25" x14ac:dyDescent="0.3">
      <c r="A119" s="56" t="s">
        <v>218</v>
      </c>
      <c r="B119" s="15" t="s">
        <v>215</v>
      </c>
      <c r="C119" s="57">
        <v>3750</v>
      </c>
      <c r="D119" s="58">
        <v>5907.1382853300001</v>
      </c>
      <c r="E119" s="58">
        <v>5928.35</v>
      </c>
      <c r="F119" s="59">
        <v>39.120825000000004</v>
      </c>
      <c r="G119" s="60"/>
      <c r="H119" s="61"/>
    </row>
    <row r="120" spans="1:8" s="19" customFormat="1" ht="14.25" x14ac:dyDescent="0.3">
      <c r="A120" s="56" t="s">
        <v>219</v>
      </c>
      <c r="B120" s="15" t="s">
        <v>215</v>
      </c>
      <c r="C120" s="57">
        <v>135000</v>
      </c>
      <c r="D120" s="58">
        <v>227.86849258999999</v>
      </c>
      <c r="E120" s="58">
        <v>225.3</v>
      </c>
      <c r="F120" s="59">
        <v>55.857599999999998</v>
      </c>
      <c r="G120" s="60"/>
      <c r="H120" s="61"/>
    </row>
    <row r="121" spans="1:8" s="19" customFormat="1" ht="14.25" x14ac:dyDescent="0.3">
      <c r="A121" s="56" t="s">
        <v>220</v>
      </c>
      <c r="B121" s="15" t="s">
        <v>215</v>
      </c>
      <c r="C121" s="57">
        <v>8750</v>
      </c>
      <c r="D121" s="58">
        <v>1187.6357005699999</v>
      </c>
      <c r="E121" s="58">
        <v>1172.45</v>
      </c>
      <c r="F121" s="59">
        <v>18.0693406</v>
      </c>
      <c r="G121" s="60"/>
      <c r="H121" s="61"/>
    </row>
    <row r="122" spans="1:8" s="19" customFormat="1" ht="14.25" x14ac:dyDescent="0.3">
      <c r="A122" s="56" t="s">
        <v>221</v>
      </c>
      <c r="B122" s="15" t="s">
        <v>215</v>
      </c>
      <c r="C122" s="57">
        <v>375</v>
      </c>
      <c r="D122" s="58">
        <v>8964.75</v>
      </c>
      <c r="E122" s="58">
        <v>9059.25</v>
      </c>
      <c r="F122" s="59">
        <v>6.0381871999999994</v>
      </c>
      <c r="G122" s="60"/>
      <c r="H122" s="61"/>
    </row>
    <row r="123" spans="1:8" s="19" customFormat="1" ht="14.25" x14ac:dyDescent="0.3">
      <c r="A123" s="56" t="s">
        <v>222</v>
      </c>
      <c r="B123" s="15" t="s">
        <v>215</v>
      </c>
      <c r="C123" s="57">
        <v>375</v>
      </c>
      <c r="D123" s="58">
        <v>6716.8166133300001</v>
      </c>
      <c r="E123" s="58">
        <v>6719.35</v>
      </c>
      <c r="F123" s="59">
        <v>4.4594494000000005</v>
      </c>
      <c r="G123" s="60"/>
      <c r="H123" s="61"/>
    </row>
    <row r="124" spans="1:8" s="19" customFormat="1" ht="14.25" x14ac:dyDescent="0.3">
      <c r="A124" s="56" t="s">
        <v>223</v>
      </c>
      <c r="B124" s="15" t="s">
        <v>215</v>
      </c>
      <c r="C124" s="57">
        <v>67200</v>
      </c>
      <c r="D124" s="58">
        <v>385.62020000000001</v>
      </c>
      <c r="E124" s="58">
        <v>381.4</v>
      </c>
      <c r="F124" s="59">
        <v>52.709327999999999</v>
      </c>
      <c r="G124" s="60"/>
      <c r="H124" s="61"/>
    </row>
    <row r="125" spans="1:8" s="19" customFormat="1" ht="14.25" x14ac:dyDescent="0.3">
      <c r="A125" s="56" t="s">
        <v>292</v>
      </c>
      <c r="B125" s="15" t="s">
        <v>215</v>
      </c>
      <c r="C125" s="57">
        <v>236925</v>
      </c>
      <c r="D125" s="58">
        <v>270.10984446999998</v>
      </c>
      <c r="E125" s="58">
        <v>266.89999999999998</v>
      </c>
      <c r="F125" s="59">
        <v>128.3553034</v>
      </c>
      <c r="G125" s="60"/>
      <c r="H125" s="61"/>
    </row>
    <row r="126" spans="1:8" s="19" customFormat="1" ht="14.25" x14ac:dyDescent="0.3">
      <c r="A126" s="56" t="s">
        <v>224</v>
      </c>
      <c r="B126" s="15" t="s">
        <v>215</v>
      </c>
      <c r="C126" s="57">
        <v>45600</v>
      </c>
      <c r="D126" s="58">
        <v>295.97179999999997</v>
      </c>
      <c r="E126" s="58">
        <v>299.75</v>
      </c>
      <c r="F126" s="59">
        <v>27.202696285714282</v>
      </c>
      <c r="G126" s="60"/>
      <c r="H126" s="61"/>
    </row>
    <row r="127" spans="1:8" s="19" customFormat="1" ht="14.25" x14ac:dyDescent="0.3">
      <c r="A127" s="56" t="s">
        <v>225</v>
      </c>
      <c r="B127" s="15" t="s">
        <v>215</v>
      </c>
      <c r="C127" s="57">
        <v>34200</v>
      </c>
      <c r="D127" s="58">
        <v>292.7208</v>
      </c>
      <c r="E127" s="58">
        <v>297.60000000000002</v>
      </c>
      <c r="F127" s="59">
        <v>20.402022214285715</v>
      </c>
      <c r="G127" s="60"/>
      <c r="H127" s="61"/>
    </row>
    <row r="128" spans="1:8" s="19" customFormat="1" ht="14.25" x14ac:dyDescent="0.3">
      <c r="A128" s="56" t="s">
        <v>226</v>
      </c>
      <c r="B128" s="15" t="s">
        <v>215</v>
      </c>
      <c r="C128" s="57">
        <v>475</v>
      </c>
      <c r="D128" s="58">
        <v>1346.6</v>
      </c>
      <c r="E128" s="58">
        <v>1380.9</v>
      </c>
      <c r="F128" s="59">
        <v>1.1562878000000001</v>
      </c>
      <c r="G128" s="60"/>
      <c r="H128" s="61"/>
    </row>
    <row r="129" spans="1:8" s="19" customFormat="1" ht="14.25" x14ac:dyDescent="0.3">
      <c r="A129" s="56" t="s">
        <v>227</v>
      </c>
      <c r="B129" s="15" t="s">
        <v>215</v>
      </c>
      <c r="C129" s="57">
        <v>87500</v>
      </c>
      <c r="D129" s="58">
        <v>325.20280000000002</v>
      </c>
      <c r="E129" s="58">
        <v>310.39999999999998</v>
      </c>
      <c r="F129" s="59">
        <v>57.307906299999999</v>
      </c>
      <c r="G129" s="60"/>
      <c r="H129" s="61"/>
    </row>
    <row r="130" spans="1:8" s="19" customFormat="1" ht="14.25" x14ac:dyDescent="0.3">
      <c r="A130" s="56" t="s">
        <v>228</v>
      </c>
      <c r="B130" s="15" t="s">
        <v>215</v>
      </c>
      <c r="C130" s="57">
        <v>10400</v>
      </c>
      <c r="D130" s="58">
        <v>1486.075</v>
      </c>
      <c r="E130" s="58">
        <v>1458.65</v>
      </c>
      <c r="F130" s="59">
        <v>26.724827999999999</v>
      </c>
      <c r="G130" s="60"/>
      <c r="H130" s="61"/>
    </row>
    <row r="131" spans="1:8" s="19" customFormat="1" ht="14.25" x14ac:dyDescent="0.3">
      <c r="A131" s="56" t="s">
        <v>229</v>
      </c>
      <c r="B131" s="15" t="s">
        <v>215</v>
      </c>
      <c r="C131" s="57">
        <v>25200</v>
      </c>
      <c r="D131" s="58">
        <v>494.08156842</v>
      </c>
      <c r="E131" s="58">
        <v>494.1</v>
      </c>
      <c r="F131" s="59">
        <v>24.842790000000001</v>
      </c>
      <c r="G131" s="60"/>
      <c r="H131" s="61"/>
    </row>
    <row r="132" spans="1:8" s="19" customFormat="1" ht="14.25" x14ac:dyDescent="0.3">
      <c r="A132" s="56" t="s">
        <v>230</v>
      </c>
      <c r="B132" s="15" t="s">
        <v>215</v>
      </c>
      <c r="C132" s="57">
        <v>24000</v>
      </c>
      <c r="D132" s="58">
        <v>1093.6374249999999</v>
      </c>
      <c r="E132" s="58">
        <v>1081.4000000000001</v>
      </c>
      <c r="F132" s="59">
        <v>50.922780000000003</v>
      </c>
      <c r="G132" s="60"/>
      <c r="H132" s="61"/>
    </row>
    <row r="133" spans="1:8" s="19" customFormat="1" ht="14.25" x14ac:dyDescent="0.3">
      <c r="A133" s="56" t="s">
        <v>231</v>
      </c>
      <c r="B133" s="15" t="s">
        <v>215</v>
      </c>
      <c r="C133" s="57">
        <v>1800</v>
      </c>
      <c r="D133" s="58">
        <v>394.9</v>
      </c>
      <c r="E133" s="58">
        <v>394.95</v>
      </c>
      <c r="F133" s="59">
        <v>1.4108354999999999</v>
      </c>
      <c r="G133" s="60"/>
      <c r="H133" s="61"/>
    </row>
    <row r="134" spans="1:8" s="19" customFormat="1" ht="14.25" x14ac:dyDescent="0.3">
      <c r="A134" s="56" t="s">
        <v>232</v>
      </c>
      <c r="B134" s="15" t="s">
        <v>215</v>
      </c>
      <c r="C134" s="57">
        <v>20000</v>
      </c>
      <c r="D134" s="58">
        <v>143.58750000000001</v>
      </c>
      <c r="E134" s="58">
        <v>144.30000000000001</v>
      </c>
      <c r="F134" s="59">
        <v>5.8807</v>
      </c>
      <c r="G134" s="60"/>
      <c r="H134" s="61"/>
    </row>
    <row r="135" spans="1:8" s="19" customFormat="1" ht="14.25" x14ac:dyDescent="0.3">
      <c r="A135" s="56" t="s">
        <v>233</v>
      </c>
      <c r="B135" s="15" t="s">
        <v>215</v>
      </c>
      <c r="C135" s="57">
        <v>3800</v>
      </c>
      <c r="D135" s="58">
        <v>4371.4210210499996</v>
      </c>
      <c r="E135" s="58">
        <v>4344.3</v>
      </c>
      <c r="F135" s="59">
        <v>29.097549999999998</v>
      </c>
      <c r="G135" s="60"/>
      <c r="H135" s="61"/>
    </row>
    <row r="136" spans="1:8" s="19" customFormat="1" ht="14.25" x14ac:dyDescent="0.3">
      <c r="A136" s="56" t="s">
        <v>234</v>
      </c>
      <c r="B136" s="15" t="s">
        <v>215</v>
      </c>
      <c r="C136" s="57">
        <v>2400</v>
      </c>
      <c r="D136" s="58">
        <v>9230.2749666700001</v>
      </c>
      <c r="E136" s="58">
        <v>9441.7000000000007</v>
      </c>
      <c r="F136" s="59">
        <v>49.603944000000006</v>
      </c>
      <c r="G136" s="60"/>
      <c r="H136" s="61"/>
    </row>
    <row r="137" spans="1:8" s="19" customFormat="1" ht="14.25" x14ac:dyDescent="0.3">
      <c r="A137" s="56" t="s">
        <v>235</v>
      </c>
      <c r="B137" s="15" t="s">
        <v>215</v>
      </c>
      <c r="C137" s="57">
        <v>51975</v>
      </c>
      <c r="D137" s="58">
        <v>818.41186513000002</v>
      </c>
      <c r="E137" s="58">
        <v>823.35</v>
      </c>
      <c r="F137" s="59">
        <v>83.520836399999993</v>
      </c>
      <c r="G137" s="60"/>
      <c r="H137" s="61"/>
    </row>
    <row r="138" spans="1:8" s="19" customFormat="1" ht="14.25" x14ac:dyDescent="0.3">
      <c r="A138" s="56" t="s">
        <v>236</v>
      </c>
      <c r="B138" s="15" t="s">
        <v>215</v>
      </c>
      <c r="C138" s="57">
        <v>39875</v>
      </c>
      <c r="D138" s="58">
        <v>1172.8390583099999</v>
      </c>
      <c r="E138" s="58">
        <v>1168</v>
      </c>
      <c r="F138" s="59">
        <v>167.40721250000001</v>
      </c>
      <c r="G138" s="60"/>
      <c r="H138" s="61"/>
    </row>
    <row r="139" spans="1:8" s="19" customFormat="1" ht="14.25" x14ac:dyDescent="0.3">
      <c r="A139" s="56" t="s">
        <v>237</v>
      </c>
      <c r="B139" s="15" t="s">
        <v>215</v>
      </c>
      <c r="C139" s="57">
        <v>146250</v>
      </c>
      <c r="D139" s="58">
        <v>88.407638500000004</v>
      </c>
      <c r="E139" s="58">
        <v>85.35</v>
      </c>
      <c r="F139" s="59">
        <v>31.0561875</v>
      </c>
      <c r="G139" s="60"/>
      <c r="H139" s="61"/>
    </row>
    <row r="140" spans="1:8" s="19" customFormat="1" ht="14.25" x14ac:dyDescent="0.3">
      <c r="A140" s="56" t="s">
        <v>238</v>
      </c>
      <c r="B140" s="15" t="s">
        <v>215</v>
      </c>
      <c r="C140" s="57">
        <v>14000</v>
      </c>
      <c r="D140" s="58">
        <v>443.85</v>
      </c>
      <c r="E140" s="58">
        <v>421.7</v>
      </c>
      <c r="F140" s="59">
        <v>11.51164</v>
      </c>
      <c r="G140" s="60"/>
      <c r="H140" s="61"/>
    </row>
    <row r="141" spans="1:8" s="19" customFormat="1" ht="14.25" x14ac:dyDescent="0.3">
      <c r="A141" s="56" t="s">
        <v>239</v>
      </c>
      <c r="B141" s="15" t="s">
        <v>215</v>
      </c>
      <c r="C141" s="57">
        <v>2100</v>
      </c>
      <c r="D141" s="58">
        <v>5104.3356999999996</v>
      </c>
      <c r="E141" s="58">
        <v>5065.95</v>
      </c>
      <c r="F141" s="59">
        <v>22.941444750000002</v>
      </c>
      <c r="G141" s="60"/>
      <c r="H141" s="61"/>
    </row>
    <row r="142" spans="1:8" s="19" customFormat="1" ht="14.25" x14ac:dyDescent="0.3">
      <c r="A142" s="56" t="s">
        <v>240</v>
      </c>
      <c r="B142" s="15" t="s">
        <v>215</v>
      </c>
      <c r="C142" s="57">
        <v>300</v>
      </c>
      <c r="D142" s="58">
        <v>5071.3500000000004</v>
      </c>
      <c r="E142" s="58">
        <v>5023.6499999999996</v>
      </c>
      <c r="F142" s="59">
        <v>3.2773492499999999</v>
      </c>
      <c r="G142" s="60"/>
      <c r="H142" s="61"/>
    </row>
    <row r="143" spans="1:8" s="19" customFormat="1" ht="14.25" x14ac:dyDescent="0.3">
      <c r="A143" s="56" t="s">
        <v>241</v>
      </c>
      <c r="B143" s="15" t="s">
        <v>215</v>
      </c>
      <c r="C143" s="57">
        <v>25900</v>
      </c>
      <c r="D143" s="58">
        <v>1363.7317405399999</v>
      </c>
      <c r="E143" s="58">
        <v>1332.25</v>
      </c>
      <c r="F143" s="59">
        <v>60.855870299999999</v>
      </c>
      <c r="G143" s="60"/>
      <c r="H143" s="61"/>
    </row>
    <row r="144" spans="1:8" s="19" customFormat="1" ht="14.25" x14ac:dyDescent="0.3">
      <c r="A144" s="56" t="s">
        <v>242</v>
      </c>
      <c r="B144" s="15" t="s">
        <v>215</v>
      </c>
      <c r="C144" s="57">
        <v>64350</v>
      </c>
      <c r="D144" s="58">
        <v>1519.10939751</v>
      </c>
      <c r="E144" s="58">
        <v>1539.75</v>
      </c>
      <c r="F144" s="59">
        <v>174.84538499999999</v>
      </c>
      <c r="G144" s="60"/>
      <c r="H144" s="61"/>
    </row>
    <row r="145" spans="1:8" s="19" customFormat="1" ht="14.25" x14ac:dyDescent="0.3">
      <c r="A145" s="56" t="s">
        <v>243</v>
      </c>
      <c r="B145" s="15" t="s">
        <v>215</v>
      </c>
      <c r="C145" s="57">
        <v>41800</v>
      </c>
      <c r="D145" s="58">
        <v>559.51578420999999</v>
      </c>
      <c r="E145" s="58">
        <v>551.5</v>
      </c>
      <c r="F145" s="59">
        <v>40.768898499999999</v>
      </c>
      <c r="G145" s="60"/>
      <c r="H145" s="61"/>
    </row>
    <row r="146" spans="1:8" s="19" customFormat="1" ht="14.25" x14ac:dyDescent="0.3">
      <c r="A146" s="56" t="s">
        <v>244</v>
      </c>
      <c r="B146" s="15" t="s">
        <v>215</v>
      </c>
      <c r="C146" s="57">
        <v>9800</v>
      </c>
      <c r="D146" s="58">
        <v>689.15</v>
      </c>
      <c r="E146" s="58">
        <v>694.75</v>
      </c>
      <c r="F146" s="59">
        <v>13.870283000000001</v>
      </c>
      <c r="G146" s="60"/>
      <c r="H146" s="61"/>
    </row>
    <row r="147" spans="1:8" s="19" customFormat="1" ht="14.25" x14ac:dyDescent="0.3">
      <c r="A147" s="56" t="s">
        <v>245</v>
      </c>
      <c r="B147" s="15" t="s">
        <v>215</v>
      </c>
      <c r="C147" s="57">
        <v>87450</v>
      </c>
      <c r="D147" s="58">
        <v>402.42720000000003</v>
      </c>
      <c r="E147" s="58">
        <v>359.1</v>
      </c>
      <c r="F147" s="59">
        <v>94.830780000000004</v>
      </c>
      <c r="G147" s="60"/>
      <c r="H147" s="61"/>
    </row>
    <row r="148" spans="1:8" s="19" customFormat="1" ht="14.25" x14ac:dyDescent="0.3">
      <c r="A148" s="56" t="s">
        <v>246</v>
      </c>
      <c r="B148" s="15" t="s">
        <v>215</v>
      </c>
      <c r="C148" s="57">
        <v>3000</v>
      </c>
      <c r="D148" s="58">
        <v>2381.98</v>
      </c>
      <c r="E148" s="58">
        <v>2323.85</v>
      </c>
      <c r="F148" s="59">
        <v>12.38475</v>
      </c>
      <c r="G148" s="60"/>
      <c r="H148" s="61"/>
    </row>
    <row r="149" spans="1:8" s="19" customFormat="1" ht="14.25" x14ac:dyDescent="0.3">
      <c r="A149" s="56" t="s">
        <v>247</v>
      </c>
      <c r="B149" s="15" t="s">
        <v>215</v>
      </c>
      <c r="C149" s="57">
        <v>23800</v>
      </c>
      <c r="D149" s="58">
        <v>1116.2852</v>
      </c>
      <c r="E149" s="58">
        <v>1129.2</v>
      </c>
      <c r="F149" s="59">
        <v>47.394368</v>
      </c>
      <c r="G149" s="60"/>
      <c r="H149" s="61"/>
    </row>
    <row r="150" spans="1:8" s="19" customFormat="1" ht="14.25" x14ac:dyDescent="0.3">
      <c r="A150" s="56" t="s">
        <v>248</v>
      </c>
      <c r="B150" s="15" t="s">
        <v>215</v>
      </c>
      <c r="C150" s="57">
        <v>720000</v>
      </c>
      <c r="D150" s="58">
        <v>15.108266670000001</v>
      </c>
      <c r="E150" s="58">
        <v>15.4</v>
      </c>
      <c r="F150" s="59">
        <v>37.864800000000002</v>
      </c>
      <c r="G150" s="60"/>
      <c r="H150" s="61"/>
    </row>
    <row r="151" spans="1:8" s="19" customFormat="1" ht="14.25" x14ac:dyDescent="0.3">
      <c r="A151" s="56" t="s">
        <v>249</v>
      </c>
      <c r="B151" s="15" t="s">
        <v>215</v>
      </c>
      <c r="C151" s="57">
        <v>37500</v>
      </c>
      <c r="D151" s="58">
        <v>161.285</v>
      </c>
      <c r="E151" s="58">
        <v>153.9</v>
      </c>
      <c r="F151" s="59">
        <v>13.070812500000001</v>
      </c>
      <c r="G151" s="60"/>
      <c r="H151" s="61"/>
    </row>
    <row r="152" spans="1:8" s="19" customFormat="1" ht="14.25" x14ac:dyDescent="0.3">
      <c r="A152" s="56" t="s">
        <v>250</v>
      </c>
      <c r="B152" s="15" t="s">
        <v>215</v>
      </c>
      <c r="C152" s="57">
        <v>5000</v>
      </c>
      <c r="D152" s="58">
        <v>573.66999999999996</v>
      </c>
      <c r="E152" s="58">
        <v>558.79999999999995</v>
      </c>
      <c r="F152" s="59">
        <v>5.2057874999999996</v>
      </c>
      <c r="G152" s="60"/>
      <c r="H152" s="61"/>
    </row>
    <row r="153" spans="1:8" s="19" customFormat="1" ht="14.25" x14ac:dyDescent="0.3">
      <c r="A153" s="56" t="s">
        <v>251</v>
      </c>
      <c r="B153" s="15" t="s">
        <v>215</v>
      </c>
      <c r="C153" s="57">
        <v>21000</v>
      </c>
      <c r="D153" s="58">
        <v>1469.0416595199999</v>
      </c>
      <c r="E153" s="58">
        <v>1471.45</v>
      </c>
      <c r="F153" s="59">
        <v>55.722555</v>
      </c>
      <c r="G153" s="60"/>
      <c r="H153" s="61"/>
    </row>
    <row r="154" spans="1:8" s="19" customFormat="1" ht="14.25" x14ac:dyDescent="0.3">
      <c r="A154" s="56" t="s">
        <v>252</v>
      </c>
      <c r="B154" s="15" t="s">
        <v>215</v>
      </c>
      <c r="C154" s="57">
        <v>27200</v>
      </c>
      <c r="D154" s="58">
        <v>347.94369999999998</v>
      </c>
      <c r="E154" s="58">
        <v>349.5</v>
      </c>
      <c r="F154" s="59">
        <v>23.1234</v>
      </c>
      <c r="G154" s="60"/>
      <c r="H154" s="61"/>
    </row>
    <row r="155" spans="1:8" s="19" customFormat="1" ht="14.25" x14ac:dyDescent="0.3">
      <c r="A155" s="56" t="s">
        <v>253</v>
      </c>
      <c r="B155" s="15" t="s">
        <v>215</v>
      </c>
      <c r="C155" s="57">
        <v>14625</v>
      </c>
      <c r="D155" s="58">
        <v>165.4</v>
      </c>
      <c r="E155" s="58">
        <v>163.85</v>
      </c>
      <c r="F155" s="59">
        <v>4.8415697</v>
      </c>
      <c r="G155" s="60"/>
      <c r="H155" s="61"/>
    </row>
    <row r="156" spans="1:8" s="19" customFormat="1" ht="14.25" x14ac:dyDescent="0.3">
      <c r="A156" s="56" t="s">
        <v>254</v>
      </c>
      <c r="B156" s="15" t="s">
        <v>215</v>
      </c>
      <c r="C156" s="57">
        <v>22400</v>
      </c>
      <c r="D156" s="58">
        <v>438.30709999999999</v>
      </c>
      <c r="E156" s="58">
        <v>424.65</v>
      </c>
      <c r="F156" s="59">
        <v>16.999583999999999</v>
      </c>
      <c r="G156" s="60"/>
      <c r="H156" s="61"/>
    </row>
    <row r="157" spans="1:8" s="19" customFormat="1" ht="14.25" x14ac:dyDescent="0.3">
      <c r="A157" s="56" t="s">
        <v>255</v>
      </c>
      <c r="B157" s="15" t="s">
        <v>215</v>
      </c>
      <c r="C157" s="57">
        <v>2700</v>
      </c>
      <c r="D157" s="58">
        <v>915.27499999999998</v>
      </c>
      <c r="E157" s="58">
        <v>888.25</v>
      </c>
      <c r="F157" s="59">
        <v>4.2225299999999999</v>
      </c>
      <c r="G157" s="60"/>
      <c r="H157" s="61"/>
    </row>
    <row r="158" spans="1:8" s="19" customFormat="1" ht="14.25" x14ac:dyDescent="0.3">
      <c r="A158" s="56" t="s">
        <v>256</v>
      </c>
      <c r="B158" s="15" t="s">
        <v>215</v>
      </c>
      <c r="C158" s="57">
        <v>31000</v>
      </c>
      <c r="D158" s="58">
        <v>650.57257742000002</v>
      </c>
      <c r="E158" s="58">
        <v>638</v>
      </c>
      <c r="F158" s="59">
        <v>37.2653325</v>
      </c>
      <c r="G158" s="60"/>
      <c r="H158" s="61"/>
    </row>
    <row r="159" spans="1:8" s="19" customFormat="1" ht="14.25" x14ac:dyDescent="0.3">
      <c r="A159" s="56" t="s">
        <v>257</v>
      </c>
      <c r="B159" s="15" t="s">
        <v>215</v>
      </c>
      <c r="C159" s="57">
        <v>6600</v>
      </c>
      <c r="D159" s="58">
        <v>3635.0056</v>
      </c>
      <c r="E159" s="58">
        <v>3672.35</v>
      </c>
      <c r="F159" s="59">
        <v>42.944615999999996</v>
      </c>
      <c r="G159" s="60"/>
      <c r="H159" s="61"/>
    </row>
    <row r="160" spans="1:8" s="19" customFormat="1" ht="14.25" x14ac:dyDescent="0.3">
      <c r="A160" s="56" t="s">
        <v>258</v>
      </c>
      <c r="B160" s="15" t="s">
        <v>215</v>
      </c>
      <c r="C160" s="57">
        <v>2450</v>
      </c>
      <c r="D160" s="58">
        <v>2542.2571428599999</v>
      </c>
      <c r="E160" s="58">
        <v>2527.15</v>
      </c>
      <c r="F160" s="59">
        <v>11.150103100000001</v>
      </c>
      <c r="G160" s="60"/>
      <c r="H160" s="61"/>
    </row>
    <row r="161" spans="1:8" s="19" customFormat="1" ht="14.25" x14ac:dyDescent="0.3">
      <c r="A161" s="56" t="s">
        <v>259</v>
      </c>
      <c r="B161" s="15" t="s">
        <v>215</v>
      </c>
      <c r="C161" s="57">
        <v>700</v>
      </c>
      <c r="D161" s="58">
        <v>1178.1500000000001</v>
      </c>
      <c r="E161" s="58">
        <v>1167.6500000000001</v>
      </c>
      <c r="F161" s="59">
        <v>1.4417638000000002</v>
      </c>
      <c r="G161" s="60"/>
      <c r="H161" s="61"/>
    </row>
    <row r="162" spans="1:8" s="19" customFormat="1" ht="14.25" x14ac:dyDescent="0.3">
      <c r="A162" s="56" t="s">
        <v>260</v>
      </c>
      <c r="B162" s="15" t="s">
        <v>215</v>
      </c>
      <c r="C162" s="57">
        <v>11800</v>
      </c>
      <c r="D162" s="58">
        <v>3714.8804542399998</v>
      </c>
      <c r="E162" s="58">
        <v>3661.3</v>
      </c>
      <c r="F162" s="59">
        <v>106.85608000000001</v>
      </c>
      <c r="G162" s="60"/>
      <c r="H162" s="61"/>
    </row>
    <row r="163" spans="1:8" s="19" customFormat="1" ht="14.25" x14ac:dyDescent="0.3">
      <c r="A163" s="56" t="s">
        <v>261</v>
      </c>
      <c r="B163" s="15" t="s">
        <v>215</v>
      </c>
      <c r="C163" s="57">
        <v>1500</v>
      </c>
      <c r="D163" s="58">
        <v>6288.585</v>
      </c>
      <c r="E163" s="58">
        <v>5729.8</v>
      </c>
      <c r="F163" s="59">
        <v>17.625225</v>
      </c>
      <c r="G163" s="60"/>
      <c r="H163" s="61"/>
    </row>
    <row r="164" spans="1:8" s="19" customFormat="1" ht="14.25" x14ac:dyDescent="0.3">
      <c r="A164" s="56" t="s">
        <v>262</v>
      </c>
      <c r="B164" s="15" t="s">
        <v>215</v>
      </c>
      <c r="C164" s="57">
        <v>19500</v>
      </c>
      <c r="D164" s="58">
        <v>367.79995385000001</v>
      </c>
      <c r="E164" s="58">
        <v>362.05</v>
      </c>
      <c r="F164" s="59">
        <v>12.435247499999999</v>
      </c>
      <c r="G164" s="60"/>
      <c r="H164" s="61"/>
    </row>
    <row r="165" spans="1:8" s="19" customFormat="1" ht="14.25" x14ac:dyDescent="0.3">
      <c r="A165" s="56" t="s">
        <v>263</v>
      </c>
      <c r="B165" s="15" t="s">
        <v>215</v>
      </c>
      <c r="C165" s="57">
        <v>61600</v>
      </c>
      <c r="D165" s="58">
        <v>268.70310000000001</v>
      </c>
      <c r="E165" s="58">
        <v>266.5</v>
      </c>
      <c r="F165" s="59">
        <v>30.770432000000003</v>
      </c>
      <c r="G165" s="60"/>
      <c r="H165" s="61"/>
    </row>
    <row r="166" spans="1:8" s="19" customFormat="1" ht="14.25" x14ac:dyDescent="0.3">
      <c r="A166" s="56" t="s">
        <v>264</v>
      </c>
      <c r="B166" s="15" t="s">
        <v>215</v>
      </c>
      <c r="C166" s="57">
        <v>111000</v>
      </c>
      <c r="D166" s="58">
        <v>301.23779730000001</v>
      </c>
      <c r="E166" s="58">
        <v>298.89999999999998</v>
      </c>
      <c r="F166" s="59">
        <v>60.432839999999999</v>
      </c>
      <c r="G166" s="60"/>
      <c r="H166" s="61"/>
    </row>
    <row r="167" spans="1:8" s="19" customFormat="1" ht="14.25" x14ac:dyDescent="0.3">
      <c r="A167" s="56" t="s">
        <v>265</v>
      </c>
      <c r="B167" s="15" t="s">
        <v>215</v>
      </c>
      <c r="C167" s="57">
        <v>8000</v>
      </c>
      <c r="D167" s="58">
        <v>127.15</v>
      </c>
      <c r="E167" s="58">
        <v>128.6</v>
      </c>
      <c r="F167" s="59">
        <v>2.3818199999999998</v>
      </c>
      <c r="G167" s="60"/>
      <c r="H167" s="61"/>
    </row>
    <row r="168" spans="1:8" s="19" customFormat="1" ht="14.25" x14ac:dyDescent="0.3">
      <c r="A168" s="56" t="s">
        <v>266</v>
      </c>
      <c r="B168" s="15" t="s">
        <v>215</v>
      </c>
      <c r="C168" s="57">
        <v>850</v>
      </c>
      <c r="D168" s="58">
        <v>780.9</v>
      </c>
      <c r="E168" s="58">
        <v>745.6</v>
      </c>
      <c r="F168" s="59">
        <v>1.1190122999999998</v>
      </c>
      <c r="G168" s="60"/>
      <c r="H168" s="61"/>
    </row>
    <row r="169" spans="1:8" s="19" customFormat="1" ht="14.25" x14ac:dyDescent="0.3">
      <c r="A169" s="56" t="s">
        <v>267</v>
      </c>
      <c r="B169" s="15" t="s">
        <v>215</v>
      </c>
      <c r="C169" s="57">
        <v>10000</v>
      </c>
      <c r="D169" s="58">
        <v>248.33750000000001</v>
      </c>
      <c r="E169" s="58">
        <v>247.75</v>
      </c>
      <c r="F169" s="59">
        <v>10.054074999999999</v>
      </c>
      <c r="G169" s="60"/>
      <c r="H169" s="61"/>
    </row>
    <row r="170" spans="1:8" s="19" customFormat="1" ht="14.25" x14ac:dyDescent="0.3">
      <c r="A170" s="56" t="s">
        <v>268</v>
      </c>
      <c r="B170" s="15" t="s">
        <v>215</v>
      </c>
      <c r="C170" s="57">
        <v>24500</v>
      </c>
      <c r="D170" s="58">
        <v>2915.0320999999999</v>
      </c>
      <c r="E170" s="58">
        <v>2880.9</v>
      </c>
      <c r="F170" s="59">
        <v>124.43580630000001</v>
      </c>
      <c r="G170" s="60"/>
      <c r="H170" s="61"/>
    </row>
    <row r="171" spans="1:8" s="19" customFormat="1" ht="14.25" x14ac:dyDescent="0.3">
      <c r="A171" s="56" t="s">
        <v>269</v>
      </c>
      <c r="B171" s="15" t="s">
        <v>215</v>
      </c>
      <c r="C171" s="57">
        <v>236000</v>
      </c>
      <c r="D171" s="58">
        <v>165.34065423999999</v>
      </c>
      <c r="E171" s="58">
        <v>159.9</v>
      </c>
      <c r="F171" s="59">
        <v>110.46334</v>
      </c>
      <c r="G171" s="60"/>
      <c r="H171" s="61"/>
    </row>
    <row r="172" spans="1:8" s="19" customFormat="1" ht="14.25" x14ac:dyDescent="0.3">
      <c r="A172" s="56" t="s">
        <v>270</v>
      </c>
      <c r="B172" s="15" t="s">
        <v>215</v>
      </c>
      <c r="C172" s="57">
        <v>9975</v>
      </c>
      <c r="D172" s="58">
        <v>924.61420050000004</v>
      </c>
      <c r="E172" s="58">
        <v>924.8</v>
      </c>
      <c r="F172" s="59">
        <v>17.410315100000002</v>
      </c>
      <c r="G172" s="60"/>
      <c r="H172" s="61"/>
    </row>
    <row r="173" spans="1:8" s="19" customFormat="1" ht="14.25" x14ac:dyDescent="0.3">
      <c r="A173" s="56" t="s">
        <v>271</v>
      </c>
      <c r="B173" s="15" t="s">
        <v>215</v>
      </c>
      <c r="C173" s="57">
        <v>6750</v>
      </c>
      <c r="D173" s="58">
        <v>453.35</v>
      </c>
      <c r="E173" s="58">
        <v>439.45</v>
      </c>
      <c r="F173" s="59">
        <v>6.1830843999999994</v>
      </c>
      <c r="G173" s="60"/>
      <c r="H173" s="61"/>
    </row>
    <row r="174" spans="1:8" s="19" customFormat="1" ht="14.25" x14ac:dyDescent="0.3">
      <c r="A174" s="56" t="s">
        <v>272</v>
      </c>
      <c r="B174" s="15" t="s">
        <v>215</v>
      </c>
      <c r="C174" s="57">
        <v>11375</v>
      </c>
      <c r="D174" s="58">
        <v>3424.35535385</v>
      </c>
      <c r="E174" s="58">
        <v>3264.35</v>
      </c>
      <c r="F174" s="59">
        <v>65.4880931</v>
      </c>
      <c r="G174" s="60"/>
      <c r="H174" s="61"/>
    </row>
    <row r="175" spans="1:8" s="19" customFormat="1" ht="14.25" x14ac:dyDescent="0.3">
      <c r="A175" s="56" t="s">
        <v>273</v>
      </c>
      <c r="B175" s="15" t="s">
        <v>215</v>
      </c>
      <c r="C175" s="57">
        <v>1200</v>
      </c>
      <c r="D175" s="58">
        <v>4737.8500000000004</v>
      </c>
      <c r="E175" s="58">
        <v>4594</v>
      </c>
      <c r="F175" s="59">
        <v>11.338374</v>
      </c>
      <c r="G175" s="60"/>
      <c r="H175" s="61"/>
    </row>
    <row r="176" spans="1:8" s="19" customFormat="1" ht="14.25" x14ac:dyDescent="0.3">
      <c r="A176" s="56" t="s">
        <v>274</v>
      </c>
      <c r="B176" s="15" t="s">
        <v>215</v>
      </c>
      <c r="C176" s="57">
        <v>3850</v>
      </c>
      <c r="D176" s="58">
        <v>2270.3272000000002</v>
      </c>
      <c r="E176" s="58">
        <v>2197.6999999999998</v>
      </c>
      <c r="F176" s="59">
        <v>14.915689299999999</v>
      </c>
      <c r="G176" s="60"/>
      <c r="H176" s="61"/>
    </row>
    <row r="177" spans="1:8" s="19" customFormat="1" ht="14.25" x14ac:dyDescent="0.3">
      <c r="A177" s="56" t="s">
        <v>275</v>
      </c>
      <c r="B177" s="15" t="s">
        <v>215</v>
      </c>
      <c r="C177" s="57">
        <v>62100</v>
      </c>
      <c r="D177" s="58">
        <v>461.90184443999999</v>
      </c>
      <c r="E177" s="58">
        <v>452.35</v>
      </c>
      <c r="F177" s="59">
        <v>65.119612500000002</v>
      </c>
      <c r="G177" s="60"/>
      <c r="H177" s="61"/>
    </row>
    <row r="178" spans="1:8" s="19" customFormat="1" ht="14.25" x14ac:dyDescent="0.3">
      <c r="A178" s="56" t="s">
        <v>276</v>
      </c>
      <c r="B178" s="15" t="s">
        <v>215</v>
      </c>
      <c r="C178" s="57">
        <v>1800</v>
      </c>
      <c r="D178" s="58">
        <v>1090.5250000000001</v>
      </c>
      <c r="E178" s="58">
        <v>1008.2</v>
      </c>
      <c r="F178" s="59">
        <v>3.2025240000000004</v>
      </c>
      <c r="G178" s="60"/>
      <c r="H178" s="61"/>
    </row>
    <row r="179" spans="1:8" ht="14.25" x14ac:dyDescent="0.3">
      <c r="A179" s="62"/>
      <c r="B179" s="63"/>
      <c r="C179" s="64"/>
      <c r="D179" s="37"/>
      <c r="E179" s="65"/>
      <c r="F179" s="37"/>
      <c r="G179" s="37"/>
      <c r="H179" s="37"/>
    </row>
    <row r="180" spans="1:8" ht="14.25" x14ac:dyDescent="0.3">
      <c r="A180" s="66" t="s">
        <v>293</v>
      </c>
      <c r="B180" s="63"/>
      <c r="C180" s="93"/>
      <c r="D180" s="37"/>
      <c r="E180" s="65"/>
      <c r="F180" s="37"/>
      <c r="G180" s="37"/>
      <c r="H180" s="37"/>
    </row>
    <row r="181" spans="1:8" ht="14.25" x14ac:dyDescent="0.3">
      <c r="A181" s="67"/>
      <c r="B181" s="47"/>
      <c r="C181" s="68"/>
      <c r="D181" s="37"/>
      <c r="E181" s="65"/>
      <c r="F181" s="37"/>
      <c r="G181" s="37"/>
      <c r="H181" s="37"/>
    </row>
    <row r="182" spans="1:8" ht="14.25" x14ac:dyDescent="0.3">
      <c r="A182" s="69" t="s">
        <v>277</v>
      </c>
      <c r="B182" s="69"/>
      <c r="C182" s="69"/>
      <c r="D182" s="70"/>
      <c r="E182" s="65"/>
      <c r="F182" s="37"/>
      <c r="G182" s="37"/>
      <c r="H182" s="37"/>
    </row>
    <row r="183" spans="1:8" ht="14.25" x14ac:dyDescent="0.3">
      <c r="A183" s="71" t="s">
        <v>278</v>
      </c>
      <c r="B183" s="71"/>
      <c r="C183" s="71"/>
      <c r="D183" s="71"/>
      <c r="E183" s="37"/>
      <c r="F183" s="37"/>
      <c r="G183" s="37"/>
      <c r="H183" s="37"/>
    </row>
    <row r="184" spans="1:8" ht="14.25" x14ac:dyDescent="0.3">
      <c r="A184" s="72" t="s">
        <v>279</v>
      </c>
      <c r="B184" s="73"/>
      <c r="C184" s="74"/>
      <c r="D184" s="75">
        <v>1964</v>
      </c>
      <c r="E184" s="37"/>
      <c r="F184" s="37"/>
      <c r="G184" s="37"/>
      <c r="H184" s="37"/>
    </row>
    <row r="185" spans="1:8" ht="14.25" x14ac:dyDescent="0.3">
      <c r="A185" s="72" t="s">
        <v>280</v>
      </c>
      <c r="B185" s="73"/>
      <c r="C185" s="74"/>
      <c r="D185" s="75">
        <v>2096</v>
      </c>
      <c r="E185" s="37"/>
      <c r="F185" s="37"/>
      <c r="G185" s="37"/>
      <c r="H185" s="37"/>
    </row>
    <row r="186" spans="1:8" ht="14.25" x14ac:dyDescent="0.3">
      <c r="A186" s="72" t="s">
        <v>281</v>
      </c>
      <c r="B186" s="73"/>
      <c r="C186" s="74"/>
      <c r="D186" s="76">
        <v>15010.265085699999</v>
      </c>
      <c r="E186" s="37"/>
      <c r="F186" s="37"/>
      <c r="G186" s="37"/>
      <c r="H186" s="37"/>
    </row>
    <row r="187" spans="1:8" ht="14.25" x14ac:dyDescent="0.3">
      <c r="A187" s="72" t="s">
        <v>282</v>
      </c>
      <c r="B187" s="73"/>
      <c r="C187" s="74"/>
      <c r="D187" s="76">
        <v>15693.0762311</v>
      </c>
      <c r="E187" s="37"/>
      <c r="F187" s="37"/>
      <c r="G187" s="37"/>
      <c r="H187" s="37"/>
    </row>
    <row r="188" spans="1:8" ht="14.25" x14ac:dyDescent="0.3">
      <c r="A188" s="72" t="s">
        <v>283</v>
      </c>
      <c r="B188" s="73"/>
      <c r="C188" s="74"/>
      <c r="D188" s="77">
        <v>-415.45432709999994</v>
      </c>
      <c r="E188" s="37"/>
      <c r="F188" s="37"/>
      <c r="G188" s="37"/>
      <c r="H188" s="37"/>
    </row>
    <row r="189" spans="1:8" ht="14.25" x14ac:dyDescent="0.3">
      <c r="A189" s="67"/>
      <c r="B189" s="47"/>
      <c r="C189" s="37"/>
      <c r="D189" s="37"/>
      <c r="E189" s="37"/>
      <c r="F189" s="37"/>
      <c r="G189" s="37"/>
      <c r="H189" s="37"/>
    </row>
    <row r="190" spans="1:8" ht="14.25" x14ac:dyDescent="0.3">
      <c r="A190" s="78" t="s">
        <v>284</v>
      </c>
      <c r="B190" s="78"/>
      <c r="C190" s="78"/>
      <c r="D190" s="37"/>
      <c r="E190" s="37"/>
      <c r="F190" s="37"/>
      <c r="G190" s="37"/>
      <c r="H190" s="37"/>
    </row>
    <row r="191" spans="1:8" ht="14.25" x14ac:dyDescent="0.3">
      <c r="A191" s="79" t="s">
        <v>285</v>
      </c>
      <c r="B191" s="80"/>
      <c r="C191" s="81"/>
      <c r="D191" s="82"/>
      <c r="E191" s="37"/>
      <c r="F191" s="37"/>
      <c r="G191" s="37"/>
      <c r="H191" s="37"/>
    </row>
    <row r="192" spans="1:8" ht="14.25" x14ac:dyDescent="0.3">
      <c r="A192" s="72" t="s">
        <v>279</v>
      </c>
      <c r="B192" s="73"/>
      <c r="C192" s="74"/>
      <c r="D192" s="83">
        <v>89</v>
      </c>
      <c r="E192" s="37"/>
      <c r="F192" s="37"/>
      <c r="G192" s="37"/>
      <c r="H192" s="37"/>
    </row>
    <row r="193" spans="1:8" ht="14.25" x14ac:dyDescent="0.3">
      <c r="A193" s="72" t="s">
        <v>280</v>
      </c>
      <c r="B193" s="73"/>
      <c r="C193" s="74"/>
      <c r="D193" s="83">
        <v>89</v>
      </c>
      <c r="E193" s="37"/>
      <c r="F193" s="37"/>
      <c r="G193" s="37"/>
      <c r="H193" s="37"/>
    </row>
    <row r="194" spans="1:8" ht="14.25" x14ac:dyDescent="0.3">
      <c r="A194" s="72" t="s">
        <v>281</v>
      </c>
      <c r="B194" s="73"/>
      <c r="C194" s="74"/>
      <c r="D194" s="84">
        <v>560.69604340000001</v>
      </c>
      <c r="E194" s="37"/>
      <c r="F194" s="37"/>
      <c r="G194" s="37"/>
      <c r="H194" s="37"/>
    </row>
    <row r="195" spans="1:8" ht="14.25" x14ac:dyDescent="0.3">
      <c r="A195" s="72" t="s">
        <v>282</v>
      </c>
      <c r="B195" s="73"/>
      <c r="C195" s="74"/>
      <c r="D195" s="84">
        <v>561.45056250000005</v>
      </c>
      <c r="E195" s="37"/>
      <c r="F195" s="37"/>
      <c r="G195" s="37"/>
      <c r="H195" s="37"/>
    </row>
    <row r="196" spans="1:8" ht="14.25" x14ac:dyDescent="0.3">
      <c r="A196" s="72" t="s">
        <v>283</v>
      </c>
      <c r="B196" s="73"/>
      <c r="C196" s="74"/>
      <c r="D196" s="84">
        <v>0.81055980000000005</v>
      </c>
      <c r="E196" s="37"/>
      <c r="F196" s="37"/>
      <c r="G196" s="37"/>
      <c r="H196" s="37"/>
    </row>
    <row r="197" spans="1:8" ht="14.25" x14ac:dyDescent="0.3">
      <c r="A197" s="62"/>
      <c r="B197" s="63"/>
      <c r="C197" s="64"/>
      <c r="D197" s="37"/>
      <c r="E197" s="37"/>
      <c r="F197" s="37"/>
      <c r="G197" s="37"/>
      <c r="H197" s="37"/>
    </row>
    <row r="198" spans="1:8" ht="14.25" x14ac:dyDescent="0.3">
      <c r="A198" s="85" t="s">
        <v>286</v>
      </c>
      <c r="B198" s="86"/>
      <c r="C198" s="86"/>
      <c r="D198" s="37"/>
      <c r="E198" s="37"/>
      <c r="F198" s="37"/>
      <c r="G198" s="37"/>
      <c r="H198" s="37"/>
    </row>
    <row r="199" spans="1:8" ht="14.25" x14ac:dyDescent="0.3">
      <c r="A199" s="87" t="s">
        <v>287</v>
      </c>
      <c r="B199" s="86"/>
      <c r="C199" s="86"/>
      <c r="D199" s="37"/>
      <c r="E199" s="37"/>
      <c r="F199" s="37"/>
      <c r="G199" s="37"/>
      <c r="H199" s="37"/>
    </row>
    <row r="200" spans="1:8" ht="14.25" x14ac:dyDescent="0.3">
      <c r="A200" s="87" t="s">
        <v>288</v>
      </c>
      <c r="B200" s="87"/>
      <c r="C200" s="87"/>
      <c r="D200" s="37"/>
      <c r="E200" s="37"/>
      <c r="F200" s="37"/>
      <c r="G200" s="37"/>
      <c r="H200" s="37"/>
    </row>
    <row r="201" spans="1:8" ht="14.25" x14ac:dyDescent="0.3">
      <c r="A201" s="87" t="s">
        <v>289</v>
      </c>
      <c r="B201" s="87"/>
      <c r="C201" s="87"/>
      <c r="D201" s="37"/>
      <c r="E201" s="37"/>
      <c r="F201" s="37"/>
      <c r="G201" s="37"/>
      <c r="H201" s="37"/>
    </row>
    <row r="202" spans="1:8" ht="14.25" x14ac:dyDescent="0.3">
      <c r="A202" s="87"/>
      <c r="B202" s="86"/>
      <c r="C202" s="86"/>
      <c r="D202" s="37"/>
      <c r="E202" s="37"/>
      <c r="F202" s="37"/>
      <c r="G202" s="37"/>
      <c r="H202" s="37"/>
    </row>
    <row r="203" spans="1:8" ht="14.25" x14ac:dyDescent="0.3">
      <c r="A203" s="88" t="s">
        <v>290</v>
      </c>
      <c r="B203" s="89" t="s">
        <v>291</v>
      </c>
      <c r="C203" s="2"/>
      <c r="D203" s="37"/>
      <c r="E203" s="37"/>
      <c r="F203" s="37"/>
      <c r="G203" s="37"/>
      <c r="H203" s="37"/>
    </row>
    <row r="204" spans="1:8" ht="14.25" x14ac:dyDescent="0.3">
      <c r="A204" s="86"/>
      <c r="B204" s="86"/>
      <c r="C204" s="86"/>
      <c r="D204" s="37"/>
      <c r="E204" s="37"/>
      <c r="F204" s="37"/>
      <c r="G204" s="37"/>
      <c r="H204" s="37"/>
    </row>
    <row r="205" spans="1:8" ht="14.25" x14ac:dyDescent="0.3">
      <c r="A205" s="86"/>
      <c r="B205" s="86"/>
      <c r="C205" s="86"/>
      <c r="D205" s="37"/>
      <c r="E205" s="37"/>
      <c r="F205" s="37"/>
      <c r="G205" s="37"/>
      <c r="H205" s="37"/>
    </row>
    <row r="206" spans="1:8" ht="14.25" x14ac:dyDescent="0.3">
      <c r="A206" s="86"/>
      <c r="B206" s="86"/>
      <c r="C206" s="86"/>
      <c r="D206" s="37"/>
      <c r="E206" s="37"/>
      <c r="F206" s="37"/>
      <c r="G206" s="37"/>
      <c r="H206" s="37"/>
    </row>
    <row r="207" spans="1:8" ht="14.25" x14ac:dyDescent="0.3">
      <c r="A207" s="86"/>
      <c r="B207" s="86"/>
      <c r="C207" s="86"/>
      <c r="D207" s="37"/>
      <c r="E207" s="37"/>
      <c r="F207" s="37"/>
      <c r="G207" s="37"/>
      <c r="H207" s="37"/>
    </row>
    <row r="208" spans="1:8" ht="14.25" x14ac:dyDescent="0.3">
      <c r="A208" s="86"/>
      <c r="B208" s="86"/>
      <c r="C208" s="86"/>
      <c r="D208" s="37"/>
      <c r="E208" s="37"/>
      <c r="F208" s="37"/>
      <c r="G208" s="37"/>
      <c r="H208" s="37"/>
    </row>
    <row r="209" spans="1:8" ht="14.25" x14ac:dyDescent="0.3">
      <c r="A209" s="86"/>
      <c r="B209" s="86"/>
      <c r="C209" s="86"/>
      <c r="D209" s="37"/>
      <c r="E209" s="37"/>
      <c r="F209" s="37"/>
      <c r="G209" s="37"/>
      <c r="H209" s="37"/>
    </row>
    <row r="210" spans="1:8" ht="14.25" x14ac:dyDescent="0.3">
      <c r="A210" s="86"/>
      <c r="B210" s="86"/>
      <c r="C210" s="86"/>
      <c r="D210" s="37"/>
      <c r="E210" s="37"/>
      <c r="F210" s="37"/>
      <c r="G210" s="37"/>
      <c r="H210" s="37"/>
    </row>
    <row r="211" spans="1:8" ht="14.25" x14ac:dyDescent="0.3">
      <c r="A211" s="62"/>
      <c r="B211" s="63"/>
      <c r="C211" s="64"/>
      <c r="D211" s="37"/>
      <c r="E211" s="37"/>
      <c r="F211" s="37"/>
      <c r="G211" s="37"/>
      <c r="H211" s="37"/>
    </row>
    <row r="212" spans="1:8" ht="14.25" x14ac:dyDescent="0.3">
      <c r="A212" s="62"/>
      <c r="B212" s="63"/>
      <c r="C212" s="64"/>
      <c r="D212" s="37"/>
      <c r="E212" s="37"/>
      <c r="F212" s="37"/>
      <c r="G212" s="37"/>
      <c r="H212" s="37"/>
    </row>
    <row r="213" spans="1:8" ht="14.25" x14ac:dyDescent="0.3">
      <c r="A213" s="62"/>
      <c r="B213" s="63"/>
      <c r="C213" s="64"/>
      <c r="D213" s="37"/>
      <c r="E213" s="37"/>
      <c r="F213" s="37"/>
      <c r="G213" s="37"/>
      <c r="H213" s="37"/>
    </row>
    <row r="214" spans="1:8" ht="14.25" x14ac:dyDescent="0.3">
      <c r="A214" s="62"/>
      <c r="B214" s="63"/>
      <c r="C214" s="64"/>
      <c r="D214" s="37"/>
      <c r="E214" s="37"/>
      <c r="F214" s="37"/>
      <c r="G214" s="37"/>
      <c r="H214" s="37"/>
    </row>
    <row r="215" spans="1:8" ht="14.25" x14ac:dyDescent="0.3">
      <c r="A215" s="62"/>
      <c r="B215" s="63"/>
      <c r="C215" s="64"/>
      <c r="D215" s="37"/>
      <c r="E215" s="37"/>
      <c r="F215" s="37"/>
      <c r="G215" s="37"/>
      <c r="H215" s="37"/>
    </row>
    <row r="216" spans="1:8" ht="14.25" x14ac:dyDescent="0.3">
      <c r="A216" s="62"/>
      <c r="B216" s="63"/>
      <c r="C216" s="64"/>
      <c r="D216" s="37"/>
      <c r="E216" s="37"/>
      <c r="F216" s="37"/>
      <c r="G216" s="37"/>
      <c r="H216" s="37"/>
    </row>
    <row r="217" spans="1:8" ht="14.25" x14ac:dyDescent="0.3">
      <c r="A217" s="62"/>
      <c r="B217" s="63"/>
      <c r="C217" s="64"/>
      <c r="D217" s="37"/>
      <c r="E217" s="37"/>
      <c r="F217" s="37"/>
      <c r="G217" s="37"/>
      <c r="H217" s="37"/>
    </row>
    <row r="218" spans="1:8" ht="14.25" x14ac:dyDescent="0.3">
      <c r="A218" s="62"/>
      <c r="B218" s="63"/>
      <c r="C218" s="64"/>
      <c r="D218" s="37"/>
      <c r="E218" s="37"/>
      <c r="F218" s="37"/>
      <c r="G218" s="37"/>
      <c r="H218" s="37"/>
    </row>
    <row r="219" spans="1:8" ht="14.25" x14ac:dyDescent="0.3">
      <c r="A219" s="62"/>
      <c r="B219" s="63"/>
      <c r="C219" s="64"/>
      <c r="D219" s="37"/>
      <c r="E219" s="37"/>
      <c r="F219" s="37"/>
      <c r="G219" s="37"/>
      <c r="H219" s="37"/>
    </row>
    <row r="220" spans="1:8" ht="14.25" x14ac:dyDescent="0.3">
      <c r="A220" s="62"/>
      <c r="B220" s="63"/>
      <c r="C220" s="64"/>
      <c r="D220" s="37"/>
      <c r="E220" s="37"/>
      <c r="F220" s="37"/>
      <c r="G220" s="37"/>
      <c r="H220" s="37"/>
    </row>
    <row r="221" spans="1:8" ht="14.25" x14ac:dyDescent="0.3">
      <c r="A221" s="62"/>
      <c r="B221" s="63"/>
      <c r="C221" s="64"/>
      <c r="D221" s="37"/>
      <c r="E221" s="37"/>
      <c r="F221" s="37"/>
      <c r="G221" s="37"/>
      <c r="H221" s="37"/>
    </row>
    <row r="222" spans="1:8" ht="14.25" x14ac:dyDescent="0.3">
      <c r="A222" s="62"/>
      <c r="B222" s="63"/>
      <c r="C222" s="64"/>
      <c r="D222" s="37"/>
      <c r="E222" s="37"/>
      <c r="F222" s="37"/>
      <c r="G222" s="37"/>
      <c r="H222" s="37"/>
    </row>
    <row r="223" spans="1:8" ht="14.25" x14ac:dyDescent="0.3">
      <c r="A223" s="62"/>
      <c r="B223" s="63"/>
      <c r="C223" s="64"/>
      <c r="D223" s="37"/>
      <c r="E223" s="37"/>
      <c r="F223" s="37"/>
      <c r="G223" s="37"/>
      <c r="H223" s="37"/>
    </row>
  </sheetData>
  <mergeCells count="18">
    <mergeCell ref="A188:C188"/>
    <mergeCell ref="A192:C192"/>
    <mergeCell ref="A193:C193"/>
    <mergeCell ref="A194:C194"/>
    <mergeCell ref="A195:C195"/>
    <mergeCell ref="A196:C196"/>
    <mergeCell ref="A112:H112"/>
    <mergeCell ref="A182:C182"/>
    <mergeCell ref="A184:C184"/>
    <mergeCell ref="A185:C185"/>
    <mergeCell ref="A186:C186"/>
    <mergeCell ref="A187:C187"/>
    <mergeCell ref="A1:H1"/>
    <mergeCell ref="A2:H2"/>
    <mergeCell ref="A3:H3"/>
    <mergeCell ref="A109:H109"/>
    <mergeCell ref="A110:H110"/>
    <mergeCell ref="A111:H111"/>
  </mergeCells>
  <pageMargins left="0.75" right="0.25" top="1" bottom="1" header="0.5" footer="0.5"/>
  <pageSetup paperSize="9" scale="56"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2024-06-04T08:03:41Z</dcterms:created>
  <dcterms:modified xsi:type="dcterms:W3CDTF">2024-06-04T08:25:59Z</dcterms:modified>
</cp:coreProperties>
</file>