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December 2021\Monthly\"/>
    </mc:Choice>
  </mc:AlternateContent>
  <bookViews>
    <workbookView xWindow="0" yWindow="0" windowWidth="20490" windowHeight="7320"/>
  </bookViews>
  <sheets>
    <sheet name="TG" sheetId="1" r:id="rId1"/>
  </sheets>
  <externalReferences>
    <externalReference r:id="rId2"/>
  </externalReferences>
  <definedNames>
    <definedName name="_xlnm._FilterDatabase" localSheetId="0" hidden="1">TG!$A$1:$I$93</definedName>
    <definedName name="Afs">#REF!</definedName>
    <definedName name="_xlnm.Database">#REF!</definedName>
    <definedName name="EBLDB">#REF!</definedName>
    <definedName name="fl">#REF!</definedName>
    <definedName name="_xlnm.Print_Area" localSheetId="0">TG!$A$1:$E$59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5" i="1" l="1"/>
  <c r="D62" i="1"/>
  <c r="E61" i="1"/>
  <c r="E62" i="1" s="1"/>
  <c r="D41" i="1"/>
  <c r="D45" i="1" s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41" i="1" s="1"/>
  <c r="E45" i="1" s="1"/>
  <c r="E5" i="1"/>
  <c r="E65" i="1" l="1"/>
  <c r="E69" i="1" s="1"/>
  <c r="D65" i="1"/>
  <c r="D67" i="1" s="1"/>
  <c r="E67" i="1" s="1"/>
</calcChain>
</file>

<file path=xl/sharedStrings.xml><?xml version="1.0" encoding="utf-8"?>
<sst xmlns="http://schemas.openxmlformats.org/spreadsheetml/2006/main" count="155" uniqueCount="124">
  <si>
    <t>JM Tax Gain Fund (An open ended equity linked saving scheme with a statutory lock in of 3 years and tax benefit)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</si>
  <si>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</si>
  <si>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</si>
  <si>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</si>
  <si>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</si>
  <si>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</si>
  <si>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</si>
  <si>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</si>
  <si>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</si>
  <si>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</si>
  <si>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</si>
  <si>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Infosys Ltd.</t>
  </si>
  <si>
    <t>Software</t>
  </si>
  <si>
    <t>INE009A01021</t>
  </si>
  <si>
    <t>HDFC Bank Ltd.</t>
  </si>
  <si>
    <t>Banks</t>
  </si>
  <si>
    <t>INE040A01034</t>
  </si>
  <si>
    <t>Larsen &amp; Toubro Ltd.</t>
  </si>
  <si>
    <t>Construction Project</t>
  </si>
  <si>
    <t>INE018A01030</t>
  </si>
  <si>
    <t>Tech Mahindra Ltd.</t>
  </si>
  <si>
    <t>INE669C01036</t>
  </si>
  <si>
    <t>Ultratech Cement Ltd.</t>
  </si>
  <si>
    <t>Cement &amp; Cement Products</t>
  </si>
  <si>
    <t>INE481G01011</t>
  </si>
  <si>
    <t>Reliance Industries Ltd.</t>
  </si>
  <si>
    <t>Petroleum Products</t>
  </si>
  <si>
    <t>INE002A01018</t>
  </si>
  <si>
    <t>Maruti Suzuki India Ltd.</t>
  </si>
  <si>
    <t>Auto</t>
  </si>
  <si>
    <t>INE585B01010</t>
  </si>
  <si>
    <t>Axis Bank Ltd.</t>
  </si>
  <si>
    <t>INE238A01034</t>
  </si>
  <si>
    <t>Bajaj Finance Ltd.</t>
  </si>
  <si>
    <t>Finance</t>
  </si>
  <si>
    <t>INE296A01024</t>
  </si>
  <si>
    <t>Kotak Mahindra Bank Ltd.</t>
  </si>
  <si>
    <t>INE237A01028</t>
  </si>
  <si>
    <t>Mahindra &amp; Mahindra Financial Services Ltd.</t>
  </si>
  <si>
    <t>INE774D01024</t>
  </si>
  <si>
    <t>Bajaj Finserv Ltd.</t>
  </si>
  <si>
    <t>Insurance</t>
  </si>
  <si>
    <t>INE918I01018</t>
  </si>
  <si>
    <t>State Bank of India</t>
  </si>
  <si>
    <t>INE062A01020</t>
  </si>
  <si>
    <t>Larsen &amp; Toubro Infotech Ltd.</t>
  </si>
  <si>
    <t>INE214T01019</t>
  </si>
  <si>
    <t>Pidilite Industries Ltd.</t>
  </si>
  <si>
    <t>Chemicals</t>
  </si>
  <si>
    <t>INE318A01026</t>
  </si>
  <si>
    <t>Titan Company Ltd.</t>
  </si>
  <si>
    <t>Consumer Durables</t>
  </si>
  <si>
    <t>INE280A01028</t>
  </si>
  <si>
    <t>United Spirits Ltd.</t>
  </si>
  <si>
    <t>Consumer Non Durables</t>
  </si>
  <si>
    <t>INE854D01024</t>
  </si>
  <si>
    <t>Housing Development Finance Corporation Ltd.</t>
  </si>
  <si>
    <t>INE001A01036</t>
  </si>
  <si>
    <t>ICICI Securities Ltd.</t>
  </si>
  <si>
    <t>Capital Markets</t>
  </si>
  <si>
    <t>INE763G01038</t>
  </si>
  <si>
    <t>Trent Ltd.</t>
  </si>
  <si>
    <t>Retailing</t>
  </si>
  <si>
    <t>INE849A01020</t>
  </si>
  <si>
    <t>Voltas Ltd.</t>
  </si>
  <si>
    <t>INE226A01021</t>
  </si>
  <si>
    <t>SKF India Ltd.</t>
  </si>
  <si>
    <t>Industrial Products</t>
  </si>
  <si>
    <t>INE640A01023</t>
  </si>
  <si>
    <t>Ashok Leyland Ltd.</t>
  </si>
  <si>
    <t>INE208A01029</t>
  </si>
  <si>
    <t>Asian Paints Ltd.</t>
  </si>
  <si>
    <t>INE021A01026</t>
  </si>
  <si>
    <t>ABB India Ltd.</t>
  </si>
  <si>
    <t>Industrial Capital Goods</t>
  </si>
  <si>
    <t>INE117A01022</t>
  </si>
  <si>
    <t>Cipla Ltd.</t>
  </si>
  <si>
    <t>Pharmaceuticals</t>
  </si>
  <si>
    <t>INE059A01026</t>
  </si>
  <si>
    <t>Godrej Properties Ltd.</t>
  </si>
  <si>
    <t>Construction</t>
  </si>
  <si>
    <t>INE484J01027</t>
  </si>
  <si>
    <t>Canara Bank</t>
  </si>
  <si>
    <t>INE476A01014</t>
  </si>
  <si>
    <t>Central Depository Services India Ltd.</t>
  </si>
  <si>
    <t>INE736A01011</t>
  </si>
  <si>
    <t>Bharti Airtel Ltd.</t>
  </si>
  <si>
    <t>Telecom - Services</t>
  </si>
  <si>
    <t>INE397D01024</t>
  </si>
  <si>
    <t>Chemplast Sanmar Ltd.</t>
  </si>
  <si>
    <t>INE488A01050</t>
  </si>
  <si>
    <t>Cummins India Ltd.</t>
  </si>
  <si>
    <t>INE298A01020</t>
  </si>
  <si>
    <t>Balkrishna Industries Ltd.</t>
  </si>
  <si>
    <t>Auto Ancillaries</t>
  </si>
  <si>
    <t>INE787D01026</t>
  </si>
  <si>
    <t>Alkem Laboratories Ltd.</t>
  </si>
  <si>
    <t>INE540L01014</t>
  </si>
  <si>
    <t>Sundaram Finance Ltd.</t>
  </si>
  <si>
    <t>INE660A01013</t>
  </si>
  <si>
    <t>Bharti Airtel Limited -  Rights Partly Paid</t>
  </si>
  <si>
    <t>IN9397D01014</t>
  </si>
  <si>
    <t>Sub Total:</t>
  </si>
  <si>
    <t>b) Unlisted</t>
  </si>
  <si>
    <t>NIL</t>
  </si>
  <si>
    <t>Total:</t>
  </si>
  <si>
    <t>DEBT INSTRUMENTS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</si>
  <si>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</si>
  <si>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</si>
  <si>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</si>
  <si>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</si>
  <si>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</si>
  <si>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TREPS-Triparty Repo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</si>
  <si>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</si>
  <si>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</si>
  <si>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</si>
  <si>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</si>
  <si>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</si>
  <si>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</si>
  <si>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</si>
  <si>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S&amp;P BSE 500 TRI</t>
  </si>
  <si>
    <t>• Capital Appreciation Over Long Term</t>
  </si>
  <si>
    <t>• Investment predominantly in Equity &amp; Equity related securities and to enable investors tax deduction from total income as permitted under Income Tax Act, 1961 from time to time.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</si>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</sst>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2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center" wrapText="1"/>
    </xf>
    <xf numFmtId="165" fontId="4" fillId="0" borderId="2" xfId="1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/>
    </xf>
    <xf numFmtId="0" fontId="4" fillId="0" borderId="2" xfId="0" applyFont="1" applyBorder="1"/>
    <xf numFmtId="166" fontId="4" fillId="0" borderId="2" xfId="0" applyNumberFormat="1" applyFont="1" applyFill="1" applyBorder="1"/>
    <xf numFmtId="0" fontId="5" fillId="0" borderId="2" xfId="0" applyFont="1" applyFill="1" applyBorder="1" applyAlignment="1">
      <alignment wrapText="1"/>
    </xf>
    <xf numFmtId="4" fontId="4" fillId="0" borderId="2" xfId="0" applyNumberFormat="1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165" fontId="4" fillId="0" borderId="2" xfId="1" applyNumberFormat="1" applyFont="1" applyFill="1" applyBorder="1"/>
    <xf numFmtId="164" fontId="4" fillId="0" borderId="2" xfId="1" applyFont="1" applyFill="1" applyBorder="1"/>
    <xf numFmtId="0" fontId="4" fillId="0" borderId="0" xfId="0" applyFont="1" applyFill="1"/>
    <xf numFmtId="0" fontId="4" fillId="0" borderId="2" xfId="0" applyFont="1" applyFill="1" applyBorder="1"/>
    <xf numFmtId="164" fontId="5" fillId="0" borderId="2" xfId="1" applyFont="1" applyFill="1" applyBorder="1"/>
    <xf numFmtId="165" fontId="5" fillId="0" borderId="2" xfId="1" applyNumberFormat="1" applyFont="1" applyFill="1" applyBorder="1"/>
    <xf numFmtId="164" fontId="4" fillId="0" borderId="2" xfId="1" applyFont="1" applyFill="1" applyBorder="1" applyAlignment="1">
      <alignment horizontal="center"/>
    </xf>
    <xf numFmtId="164" fontId="5" fillId="0" borderId="2" xfId="1" applyFont="1" applyFill="1" applyBorder="1" applyAlignment="1">
      <alignment horizontal="right"/>
    </xf>
    <xf numFmtId="0" fontId="4" fillId="0" borderId="2" xfId="0" applyFont="1" applyFill="1" applyBorder="1" applyAlignment="1">
      <alignment horizontal="right"/>
    </xf>
    <xf numFmtId="4" fontId="5" fillId="0" borderId="2" xfId="1" applyNumberFormat="1" applyFont="1" applyFill="1" applyBorder="1"/>
    <xf numFmtId="164" fontId="4" fillId="0" borderId="2" xfId="1" applyFont="1" applyFill="1" applyBorder="1" applyAlignment="1">
      <alignment horizontal="right"/>
    </xf>
    <xf numFmtId="165" fontId="5" fillId="0" borderId="2" xfId="1" applyNumberFormat="1" applyFont="1" applyFill="1" applyBorder="1" applyAlignment="1">
      <alignment horizontal="right"/>
    </xf>
    <xf numFmtId="164" fontId="4" fillId="0" borderId="3" xfId="1" applyFont="1" applyFill="1" applyBorder="1"/>
    <xf numFmtId="0" fontId="4" fillId="0" borderId="2" xfId="0" applyFont="1" applyFill="1" applyBorder="1" applyAlignment="1">
      <alignment horizontal="left" wrapText="1"/>
    </xf>
    <xf numFmtId="165" fontId="4" fillId="0" borderId="2" xfId="1" applyNumberFormat="1" applyFont="1" applyFill="1" applyBorder="1" applyAlignment="1">
      <alignment horizontal="right"/>
    </xf>
    <xf numFmtId="2" fontId="4" fillId="0" borderId="2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164" fontId="5" fillId="0" borderId="0" xfId="1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Alignment="1">
      <alignment horizontal="right"/>
    </xf>
    <xf numFmtId="0" fontId="4" fillId="0" borderId="0" xfId="2" applyFont="1" applyAlignment="1">
      <alignment horizontal="left" wrapText="1"/>
    </xf>
    <xf numFmtId="0" fontId="4" fillId="0" borderId="0" xfId="2" applyFont="1" applyAlignment="1">
      <alignment horizontal="left" vertical="top" wrapText="1"/>
    </xf>
    <xf numFmtId="164" fontId="4" fillId="0" borderId="0" xfId="3" applyFont="1" applyFill="1" applyAlignment="1">
      <alignment horizontal="right"/>
    </xf>
    <xf numFmtId="0" fontId="4" fillId="0" borderId="0" xfId="0" applyFont="1" applyFill="1" applyBorder="1" applyAlignment="1">
      <alignment horizontal="left" wrapText="1"/>
    </xf>
    <xf numFmtId="165" fontId="4" fillId="0" borderId="0" xfId="4" applyNumberFormat="1" applyFont="1" applyFill="1" applyBorder="1"/>
    <xf numFmtId="164" fontId="4" fillId="0" borderId="0" xfId="4" applyFont="1" applyFill="1" applyBorder="1" applyAlignment="1">
      <alignment horizontal="right"/>
    </xf>
    <xf numFmtId="0" fontId="4" fillId="0" borderId="0" xfId="0" applyFont="1" applyFill="1" applyBorder="1"/>
    <xf numFmtId="0" fontId="7" fillId="0" borderId="0" xfId="5" applyFont="1" applyBorder="1"/>
    <xf numFmtId="0" fontId="3" fillId="0" borderId="0" xfId="0" applyFont="1" applyFill="1" applyBorder="1" applyAlignment="1">
      <alignment horizontal="left" wrapText="1"/>
    </xf>
    <xf numFmtId="0" fontId="8" fillId="0" borderId="0" xfId="0" applyFont="1" applyFill="1" applyBorder="1" applyAlignment="1">
      <alignment horizontal="left"/>
    </xf>
    <xf numFmtId="0" fontId="1" fillId="0" borderId="0" xfId="5" applyBorder="1"/>
    <xf numFmtId="0" fontId="1" fillId="0" borderId="0" xfId="5" applyBorder="1" applyAlignment="1">
      <alignment horizontal="left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65" fontId="4" fillId="0" borderId="0" xfId="1" applyNumberFormat="1" applyFont="1"/>
  </cellXfs>
  <cellStyles count="6">
    <cellStyle name="Comma" xfId="1" builtinId="3"/>
    <cellStyle name="Comma 2" xfId="3"/>
    <cellStyle name="Comma 4" xfId="4"/>
    <cellStyle name="Normal" xfId="0" builtinId="0"/>
    <cellStyle name="Normal 2 3" xfId="2"/>
    <cellStyle name="Normal 4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133350</xdr:colOff>
      <xdr:row>80</xdr:row>
      <xdr:rowOff>57150</xdr:rowOff>
    </xdr:from>
    <xdr:to>
      <xdr:col>6</xdr:col>
      <xdr:colOff>438150</xdr:colOff>
      <xdr:row>93</xdr:row>
      <xdr:rowOff>85725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050" y="14392275"/>
          <a:ext cx="3829050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914400</xdr:colOff>
      <xdr:row>80</xdr:row>
      <xdr:rowOff>19050</xdr:rowOff>
    </xdr:from>
    <xdr:to>
      <xdr:col>1</xdr:col>
      <xdr:colOff>1057275</xdr:colOff>
      <xdr:row>93</xdr:row>
      <xdr:rowOff>57150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14354175"/>
          <a:ext cx="3905250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Portfolio%20Disclosure%20-31st%20Dec%202021-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"/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93"/>
  <sheetViews>
    <sheetView tabSelected="1" zoomScale="80" zoomScaleNormal="80" workbookViewId="0">
      <pane xSplit="1" ySplit="2" topLeftCell="B3" activePane="bottomRight" state="frozen"/>
      <selection activeCell="A73" sqref="A73:D73"/>
      <selection pane="topRight" activeCell="A73" sqref="A73:D73"/>
      <selection pane="bottomLeft" activeCell="A73" sqref="A73:D73"/>
      <selection pane="bottomRight" sqref="A1:H1"/>
    </sheetView>
  </sheetViews>
  <sheetFormatPr defaultRowHeight="12.75" x14ac:dyDescent="0.2"/>
  <cols>
    <col min="1" max="1" width="56.42578125" style="53" bestFit="1" customWidth="1"/>
    <col min="2" max="2" width="25.5703125" style="54" customWidth="1"/>
    <col min="3" max="3" width="13.42578125" style="55" customWidth="1"/>
    <col min="4" max="4" width="20.85546875" style="2" customWidth="1"/>
    <col min="5" max="5" width="15.7109375" style="2" customWidth="1"/>
    <col min="6" max="6" width="16.28515625" style="2" customWidth="1"/>
    <col min="7" max="7" width="9.5703125" style="2" bestFit="1" customWidth="1"/>
    <col min="8" max="8" width="12.28515625" style="2" customWidth="1"/>
    <col min="9" max="16384" width="9.140625" style="2"/>
  </cols>
  <sheetData>
    <row r="1" spans="1: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s="7" customFormat="1" ht="53.25" customHeight="1" x14ac:dyDescent="0.2">
      <c r="A2" s="3" t="s">
        <v>1</v>
      </c>
      <c r="B2" s="4" t="s">
        <v>2</v>
      </c>
      <c r="C2" s="5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6" t="s">
        <v>8</v>
      </c>
    </row>
    <row r="3" spans="1:8" x14ac:dyDescent="0.2">
      <c r="A3" s="8" t="s">
        <v>9</v>
      </c>
      <c r="B3" s="9"/>
      <c r="C3" s="10"/>
      <c r="D3" s="11"/>
      <c r="E3" s="11"/>
      <c r="F3" s="12"/>
      <c r="G3" s="13"/>
      <c r="H3" s="14"/>
    </row>
    <row r="4" spans="1:8" ht="36" customHeight="1" x14ac:dyDescent="0.2">
      <c r="A4" s="15" t="s">
        <v>10</v>
      </c>
      <c r="B4" s="9"/>
      <c r="C4" s="10"/>
      <c r="D4" s="11"/>
      <c r="E4" s="11"/>
      <c r="F4" s="12"/>
      <c r="G4" s="13"/>
      <c r="H4" s="14"/>
    </row>
    <row r="5" spans="1:8" s="20" customFormat="1" x14ac:dyDescent="0.2">
      <c r="A5" s="16" t="s">
        <v>11</v>
      </c>
      <c r="B5" s="17" t="s">
        <v>12</v>
      </c>
      <c r="C5" s="18">
        <v>19915</v>
      </c>
      <c r="D5" s="19">
        <v>375.94541249999997</v>
      </c>
      <c r="E5" s="19">
        <f t="shared" ref="E5:E40" si="0">(+D5/$D$69*100)</f>
        <v>5.6830485185338491</v>
      </c>
      <c r="F5" s="19" t="s">
        <v>13</v>
      </c>
      <c r="G5" s="14"/>
      <c r="H5" s="13"/>
    </row>
    <row r="6" spans="1:8" s="20" customFormat="1" x14ac:dyDescent="0.2">
      <c r="A6" s="16" t="s">
        <v>14</v>
      </c>
      <c r="B6" s="17" t="s">
        <v>15</v>
      </c>
      <c r="C6" s="18">
        <v>23128</v>
      </c>
      <c r="D6" s="19">
        <v>342.15563200000003</v>
      </c>
      <c r="E6" s="19">
        <f t="shared" si="0"/>
        <v>5.1722590378612825</v>
      </c>
      <c r="F6" s="19" t="s">
        <v>16</v>
      </c>
      <c r="G6" s="14"/>
      <c r="H6" s="13"/>
    </row>
    <row r="7" spans="1:8" s="20" customFormat="1" x14ac:dyDescent="0.2">
      <c r="A7" s="16" t="s">
        <v>17</v>
      </c>
      <c r="B7" s="17" t="s">
        <v>18</v>
      </c>
      <c r="C7" s="18">
        <v>17500</v>
      </c>
      <c r="D7" s="19">
        <v>331.78250000000003</v>
      </c>
      <c r="E7" s="19">
        <f t="shared" si="0"/>
        <v>5.015451665075064</v>
      </c>
      <c r="F7" s="19" t="s">
        <v>19</v>
      </c>
      <c r="G7" s="14"/>
      <c r="H7" s="13"/>
    </row>
    <row r="8" spans="1:8" s="20" customFormat="1" x14ac:dyDescent="0.2">
      <c r="A8" s="16" t="s">
        <v>20</v>
      </c>
      <c r="B8" s="17" t="s">
        <v>12</v>
      </c>
      <c r="C8" s="18">
        <v>16832</v>
      </c>
      <c r="D8" s="19">
        <v>301.38537600000001</v>
      </c>
      <c r="E8" s="19">
        <f t="shared" si="0"/>
        <v>4.5559479052948069</v>
      </c>
      <c r="F8" s="19" t="s">
        <v>21</v>
      </c>
      <c r="G8" s="14"/>
      <c r="H8" s="13"/>
    </row>
    <row r="9" spans="1:8" s="20" customFormat="1" x14ac:dyDescent="0.2">
      <c r="A9" s="16" t="s">
        <v>22</v>
      </c>
      <c r="B9" s="17" t="s">
        <v>23</v>
      </c>
      <c r="C9" s="18">
        <v>3900</v>
      </c>
      <c r="D9" s="19">
        <v>296.05095</v>
      </c>
      <c r="E9" s="19">
        <f t="shared" si="0"/>
        <v>4.4753090658023087</v>
      </c>
      <c r="F9" s="19" t="s">
        <v>24</v>
      </c>
      <c r="G9" s="14"/>
      <c r="H9" s="13"/>
    </row>
    <row r="10" spans="1:8" s="20" customFormat="1" x14ac:dyDescent="0.2">
      <c r="A10" s="16" t="s">
        <v>25</v>
      </c>
      <c r="B10" s="17" t="s">
        <v>26</v>
      </c>
      <c r="C10" s="18">
        <v>9650</v>
      </c>
      <c r="D10" s="19">
        <v>228.526475</v>
      </c>
      <c r="E10" s="19">
        <f t="shared" si="0"/>
        <v>3.454562822187683</v>
      </c>
      <c r="F10" s="19" t="s">
        <v>27</v>
      </c>
      <c r="G10" s="14"/>
      <c r="H10" s="13"/>
    </row>
    <row r="11" spans="1:8" s="20" customFormat="1" x14ac:dyDescent="0.2">
      <c r="A11" s="16" t="s">
        <v>28</v>
      </c>
      <c r="B11" s="17" t="s">
        <v>29</v>
      </c>
      <c r="C11" s="18">
        <v>3029</v>
      </c>
      <c r="D11" s="19">
        <v>224.9471705</v>
      </c>
      <c r="E11" s="19">
        <f t="shared" si="0"/>
        <v>3.4004556022037011</v>
      </c>
      <c r="F11" s="19" t="s">
        <v>30</v>
      </c>
      <c r="G11" s="14"/>
      <c r="H11" s="13"/>
    </row>
    <row r="12" spans="1:8" s="20" customFormat="1" x14ac:dyDescent="0.2">
      <c r="A12" s="16" t="s">
        <v>31</v>
      </c>
      <c r="B12" s="17" t="s">
        <v>15</v>
      </c>
      <c r="C12" s="18">
        <v>31885</v>
      </c>
      <c r="D12" s="19">
        <v>216.35566750000001</v>
      </c>
      <c r="E12" s="19">
        <f t="shared" si="0"/>
        <v>3.2705805544635473</v>
      </c>
      <c r="F12" s="19" t="s">
        <v>32</v>
      </c>
      <c r="G12" s="14"/>
      <c r="H12" s="14"/>
    </row>
    <row r="13" spans="1:8" s="20" customFormat="1" x14ac:dyDescent="0.2">
      <c r="A13" s="16" t="s">
        <v>33</v>
      </c>
      <c r="B13" s="17" t="s">
        <v>34</v>
      </c>
      <c r="C13" s="18">
        <v>2921</v>
      </c>
      <c r="D13" s="19">
        <v>203.80693300000001</v>
      </c>
      <c r="E13" s="19">
        <f t="shared" si="0"/>
        <v>3.0808852831860993</v>
      </c>
      <c r="F13" s="19" t="s">
        <v>35</v>
      </c>
      <c r="G13" s="14"/>
      <c r="H13" s="14"/>
    </row>
    <row r="14" spans="1:8" s="20" customFormat="1" x14ac:dyDescent="0.2">
      <c r="A14" s="16" t="s">
        <v>36</v>
      </c>
      <c r="B14" s="17" t="s">
        <v>15</v>
      </c>
      <c r="C14" s="18">
        <v>11215</v>
      </c>
      <c r="D14" s="19">
        <v>201.432615</v>
      </c>
      <c r="E14" s="19">
        <f t="shared" si="0"/>
        <v>3.0449934650024466</v>
      </c>
      <c r="F14" s="19" t="s">
        <v>37</v>
      </c>
      <c r="G14" s="14"/>
      <c r="H14" s="13"/>
    </row>
    <row r="15" spans="1:8" s="20" customFormat="1" x14ac:dyDescent="0.2">
      <c r="A15" s="16" t="s">
        <v>38</v>
      </c>
      <c r="B15" s="17" t="s">
        <v>34</v>
      </c>
      <c r="C15" s="18">
        <v>135000</v>
      </c>
      <c r="D15" s="19">
        <v>201.08250000000001</v>
      </c>
      <c r="E15" s="19">
        <f t="shared" si="0"/>
        <v>3.0397008867027542</v>
      </c>
      <c r="F15" s="19" t="s">
        <v>39</v>
      </c>
      <c r="G15" s="14"/>
      <c r="H15" s="13"/>
    </row>
    <row r="16" spans="1:8" s="20" customFormat="1" x14ac:dyDescent="0.2">
      <c r="A16" s="16" t="s">
        <v>40</v>
      </c>
      <c r="B16" s="17" t="s">
        <v>41</v>
      </c>
      <c r="C16" s="18">
        <v>1180</v>
      </c>
      <c r="D16" s="19">
        <v>193.59316000000001</v>
      </c>
      <c r="E16" s="19">
        <f t="shared" si="0"/>
        <v>2.926486890264385</v>
      </c>
      <c r="F16" s="19" t="s">
        <v>42</v>
      </c>
      <c r="G16" s="14"/>
      <c r="H16" s="14"/>
    </row>
    <row r="17" spans="1:8" s="20" customFormat="1" x14ac:dyDescent="0.2">
      <c r="A17" s="16" t="s">
        <v>43</v>
      </c>
      <c r="B17" s="17" t="s">
        <v>15</v>
      </c>
      <c r="C17" s="18">
        <v>41500</v>
      </c>
      <c r="D17" s="19">
        <v>191.08674999999999</v>
      </c>
      <c r="E17" s="19">
        <f t="shared" si="0"/>
        <v>2.8885982788763194</v>
      </c>
      <c r="F17" s="19" t="s">
        <v>44</v>
      </c>
      <c r="G17" s="14"/>
      <c r="H17" s="13"/>
    </row>
    <row r="18" spans="1:8" s="20" customFormat="1" x14ac:dyDescent="0.2">
      <c r="A18" s="16" t="s">
        <v>45</v>
      </c>
      <c r="B18" s="17" t="s">
        <v>12</v>
      </c>
      <c r="C18" s="18">
        <v>2576</v>
      </c>
      <c r="D18" s="19">
        <v>188.87232</v>
      </c>
      <c r="E18" s="19">
        <f t="shared" si="0"/>
        <v>2.8551234372837335</v>
      </c>
      <c r="F18" s="19" t="s">
        <v>46</v>
      </c>
      <c r="G18" s="14"/>
      <c r="H18" s="13"/>
    </row>
    <row r="19" spans="1:8" s="20" customFormat="1" x14ac:dyDescent="0.2">
      <c r="A19" s="16" t="s">
        <v>47</v>
      </c>
      <c r="B19" s="17" t="s">
        <v>48</v>
      </c>
      <c r="C19" s="18">
        <v>7631</v>
      </c>
      <c r="D19" s="19">
        <v>187.93626800000001</v>
      </c>
      <c r="E19" s="19">
        <f t="shared" si="0"/>
        <v>2.8409734337060981</v>
      </c>
      <c r="F19" s="19" t="s">
        <v>49</v>
      </c>
      <c r="G19" s="14"/>
      <c r="H19" s="13"/>
    </row>
    <row r="20" spans="1:8" s="20" customFormat="1" x14ac:dyDescent="0.2">
      <c r="A20" s="16" t="s">
        <v>50</v>
      </c>
      <c r="B20" s="17" t="s">
        <v>51</v>
      </c>
      <c r="C20" s="18">
        <v>7380</v>
      </c>
      <c r="D20" s="19">
        <v>186.15312</v>
      </c>
      <c r="E20" s="19">
        <f t="shared" si="0"/>
        <v>2.8140181464149499</v>
      </c>
      <c r="F20" s="19" t="s">
        <v>52</v>
      </c>
      <c r="G20" s="14"/>
      <c r="H20" s="13"/>
    </row>
    <row r="21" spans="1:8" s="20" customFormat="1" x14ac:dyDescent="0.2">
      <c r="A21" s="16" t="s">
        <v>53</v>
      </c>
      <c r="B21" s="17" t="s">
        <v>54</v>
      </c>
      <c r="C21" s="18">
        <v>20200</v>
      </c>
      <c r="D21" s="19">
        <v>181.44649999999999</v>
      </c>
      <c r="E21" s="19">
        <f t="shared" si="0"/>
        <v>2.7428696527003158</v>
      </c>
      <c r="F21" s="19" t="s">
        <v>55</v>
      </c>
      <c r="G21" s="14"/>
      <c r="H21" s="13"/>
    </row>
    <row r="22" spans="1:8" s="20" customFormat="1" x14ac:dyDescent="0.2">
      <c r="A22" s="16" t="s">
        <v>56</v>
      </c>
      <c r="B22" s="17" t="s">
        <v>34</v>
      </c>
      <c r="C22" s="18">
        <v>6900</v>
      </c>
      <c r="D22" s="19">
        <v>178.46504999999999</v>
      </c>
      <c r="E22" s="19">
        <f t="shared" si="0"/>
        <v>2.69780001109222</v>
      </c>
      <c r="F22" s="19" t="s">
        <v>57</v>
      </c>
      <c r="G22" s="14"/>
      <c r="H22" s="21"/>
    </row>
    <row r="23" spans="1:8" s="20" customFormat="1" x14ac:dyDescent="0.2">
      <c r="A23" s="16" t="s">
        <v>58</v>
      </c>
      <c r="B23" s="17" t="s">
        <v>59</v>
      </c>
      <c r="C23" s="18">
        <v>22500</v>
      </c>
      <c r="D23" s="19">
        <v>178.14375000000001</v>
      </c>
      <c r="E23" s="19">
        <f t="shared" si="0"/>
        <v>2.6929430200815774</v>
      </c>
      <c r="F23" s="19" t="s">
        <v>60</v>
      </c>
      <c r="G23" s="14"/>
      <c r="H23" s="13"/>
    </row>
    <row r="24" spans="1:8" s="20" customFormat="1" x14ac:dyDescent="0.2">
      <c r="A24" s="16" t="s">
        <v>61</v>
      </c>
      <c r="B24" s="17" t="s">
        <v>62</v>
      </c>
      <c r="C24" s="18">
        <v>16396</v>
      </c>
      <c r="D24" s="19">
        <v>174.6174</v>
      </c>
      <c r="E24" s="19">
        <f t="shared" si="0"/>
        <v>2.6396362966132285</v>
      </c>
      <c r="F24" s="19" t="s">
        <v>63</v>
      </c>
      <c r="G24" s="14"/>
      <c r="H24" s="13"/>
    </row>
    <row r="25" spans="1:8" s="20" customFormat="1" x14ac:dyDescent="0.2">
      <c r="A25" s="16" t="s">
        <v>64</v>
      </c>
      <c r="B25" s="17" t="s">
        <v>51</v>
      </c>
      <c r="C25" s="18">
        <v>14255</v>
      </c>
      <c r="D25" s="19">
        <v>173.78983249999999</v>
      </c>
      <c r="E25" s="19">
        <f t="shared" si="0"/>
        <v>2.6271262190900408</v>
      </c>
      <c r="F25" s="19" t="s">
        <v>65</v>
      </c>
      <c r="G25" s="14"/>
      <c r="H25" s="13"/>
    </row>
    <row r="26" spans="1:8" s="20" customFormat="1" x14ac:dyDescent="0.2">
      <c r="A26" s="16" t="s">
        <v>66</v>
      </c>
      <c r="B26" s="17" t="s">
        <v>67</v>
      </c>
      <c r="C26" s="18">
        <v>4581</v>
      </c>
      <c r="D26" s="19">
        <v>171.38895300000001</v>
      </c>
      <c r="E26" s="19">
        <f t="shared" si="0"/>
        <v>2.590832879067829</v>
      </c>
      <c r="F26" s="19" t="s">
        <v>68</v>
      </c>
      <c r="G26" s="14"/>
      <c r="H26" s="13"/>
    </row>
    <row r="27" spans="1:8" s="20" customFormat="1" x14ac:dyDescent="0.2">
      <c r="A27" s="16" t="s">
        <v>69</v>
      </c>
      <c r="B27" s="17" t="s">
        <v>29</v>
      </c>
      <c r="C27" s="18">
        <v>133750</v>
      </c>
      <c r="D27" s="19">
        <v>163.77687499999999</v>
      </c>
      <c r="E27" s="19">
        <f t="shared" si="0"/>
        <v>2.4757634909000341</v>
      </c>
      <c r="F27" s="19" t="s">
        <v>70</v>
      </c>
      <c r="G27" s="14"/>
      <c r="H27" s="14"/>
    </row>
    <row r="28" spans="1:8" s="20" customFormat="1" x14ac:dyDescent="0.2">
      <c r="A28" s="16" t="s">
        <v>71</v>
      </c>
      <c r="B28" s="17" t="s">
        <v>54</v>
      </c>
      <c r="C28" s="18">
        <v>4750</v>
      </c>
      <c r="D28" s="19">
        <v>160.69012499999999</v>
      </c>
      <c r="E28" s="19">
        <f t="shared" si="0"/>
        <v>2.4291020623220638</v>
      </c>
      <c r="F28" s="19" t="s">
        <v>72</v>
      </c>
      <c r="G28" s="14"/>
      <c r="H28" s="14"/>
    </row>
    <row r="29" spans="1:8" s="20" customFormat="1" x14ac:dyDescent="0.2">
      <c r="A29" s="16" t="s">
        <v>73</v>
      </c>
      <c r="B29" s="17" t="s">
        <v>74</v>
      </c>
      <c r="C29" s="18">
        <v>6750</v>
      </c>
      <c r="D29" s="19">
        <v>150.768</v>
      </c>
      <c r="E29" s="19">
        <f t="shared" si="0"/>
        <v>2.2791124204562845</v>
      </c>
      <c r="F29" s="19" t="s">
        <v>75</v>
      </c>
      <c r="G29" s="14"/>
      <c r="H29" s="14"/>
    </row>
    <row r="30" spans="1:8" s="20" customFormat="1" x14ac:dyDescent="0.2">
      <c r="A30" s="16" t="s">
        <v>76</v>
      </c>
      <c r="B30" s="17" t="s">
        <v>77</v>
      </c>
      <c r="C30" s="18">
        <v>14850</v>
      </c>
      <c r="D30" s="19">
        <v>140.19884999999999</v>
      </c>
      <c r="E30" s="19">
        <f t="shared" si="0"/>
        <v>2.1193419052364399</v>
      </c>
      <c r="F30" s="19" t="s">
        <v>78</v>
      </c>
      <c r="G30" s="14"/>
      <c r="H30" s="21"/>
    </row>
    <row r="31" spans="1:8" s="20" customFormat="1" x14ac:dyDescent="0.2">
      <c r="A31" s="16" t="s">
        <v>79</v>
      </c>
      <c r="B31" s="17" t="s">
        <v>80</v>
      </c>
      <c r="C31" s="18">
        <v>6955</v>
      </c>
      <c r="D31" s="19">
        <v>130.18369000000001</v>
      </c>
      <c r="E31" s="19">
        <f t="shared" si="0"/>
        <v>1.9679458825468974</v>
      </c>
      <c r="F31" s="19" t="s">
        <v>81</v>
      </c>
      <c r="G31" s="14"/>
      <c r="H31" s="21"/>
    </row>
    <row r="32" spans="1:8" s="20" customFormat="1" x14ac:dyDescent="0.2">
      <c r="A32" s="16" t="s">
        <v>82</v>
      </c>
      <c r="B32" s="17" t="s">
        <v>15</v>
      </c>
      <c r="C32" s="18">
        <v>65000</v>
      </c>
      <c r="D32" s="19">
        <v>129.9675</v>
      </c>
      <c r="E32" s="19">
        <f t="shared" si="0"/>
        <v>1.9646778063359078</v>
      </c>
      <c r="F32" s="19" t="s">
        <v>83</v>
      </c>
      <c r="G32" s="14"/>
      <c r="H32" s="14"/>
    </row>
    <row r="33" spans="1:8" s="20" customFormat="1" x14ac:dyDescent="0.2">
      <c r="A33" s="16" t="s">
        <v>84</v>
      </c>
      <c r="B33" s="17" t="s">
        <v>59</v>
      </c>
      <c r="C33" s="18">
        <v>8590</v>
      </c>
      <c r="D33" s="19">
        <v>128.83282</v>
      </c>
      <c r="E33" s="19">
        <f t="shared" si="0"/>
        <v>1.9475252057758199</v>
      </c>
      <c r="F33" s="19" t="s">
        <v>85</v>
      </c>
      <c r="G33" s="14"/>
      <c r="H33" s="14"/>
    </row>
    <row r="34" spans="1:8" s="20" customFormat="1" x14ac:dyDescent="0.2">
      <c r="A34" s="16" t="s">
        <v>86</v>
      </c>
      <c r="B34" s="17" t="s">
        <v>87</v>
      </c>
      <c r="C34" s="18">
        <v>18205</v>
      </c>
      <c r="D34" s="19">
        <v>124.48578999999999</v>
      </c>
      <c r="E34" s="19">
        <f t="shared" si="0"/>
        <v>1.8818125209547965</v>
      </c>
      <c r="F34" s="19" t="s">
        <v>88</v>
      </c>
      <c r="G34" s="14"/>
      <c r="H34" s="14"/>
    </row>
    <row r="35" spans="1:8" s="20" customFormat="1" x14ac:dyDescent="0.2">
      <c r="A35" s="16" t="s">
        <v>89</v>
      </c>
      <c r="B35" s="17" t="s">
        <v>48</v>
      </c>
      <c r="C35" s="18">
        <v>20835</v>
      </c>
      <c r="D35" s="19">
        <v>115.113375</v>
      </c>
      <c r="E35" s="19">
        <f t="shared" si="0"/>
        <v>1.7401326722059189</v>
      </c>
      <c r="F35" s="19" t="s">
        <v>90</v>
      </c>
      <c r="G35" s="14"/>
      <c r="H35" s="21"/>
    </row>
    <row r="36" spans="1:8" s="20" customFormat="1" x14ac:dyDescent="0.2">
      <c r="A36" s="16" t="s">
        <v>91</v>
      </c>
      <c r="B36" s="17" t="s">
        <v>67</v>
      </c>
      <c r="C36" s="18">
        <v>11950</v>
      </c>
      <c r="D36" s="19">
        <v>112.54510000000001</v>
      </c>
      <c r="E36" s="19">
        <f t="shared" si="0"/>
        <v>1.7013088670771954</v>
      </c>
      <c r="F36" s="19" t="s">
        <v>92</v>
      </c>
      <c r="G36" s="14"/>
      <c r="H36" s="21"/>
    </row>
    <row r="37" spans="1:8" s="20" customFormat="1" x14ac:dyDescent="0.2">
      <c r="A37" s="16" t="s">
        <v>93</v>
      </c>
      <c r="B37" s="17" t="s">
        <v>94</v>
      </c>
      <c r="C37" s="18">
        <v>4478</v>
      </c>
      <c r="D37" s="19">
        <v>104.04185199999999</v>
      </c>
      <c r="E37" s="19">
        <f t="shared" si="0"/>
        <v>1.5727679424047181</v>
      </c>
      <c r="F37" s="19" t="s">
        <v>95</v>
      </c>
      <c r="G37" s="14"/>
      <c r="H37" s="14"/>
    </row>
    <row r="38" spans="1:8" s="20" customFormat="1" x14ac:dyDescent="0.2">
      <c r="A38" s="16" t="s">
        <v>96</v>
      </c>
      <c r="B38" s="17" t="s">
        <v>77</v>
      </c>
      <c r="C38" s="18">
        <v>2750</v>
      </c>
      <c r="D38" s="19">
        <v>99.661375000000007</v>
      </c>
      <c r="E38" s="19">
        <f t="shared" si="0"/>
        <v>1.5065496498079929</v>
      </c>
      <c r="F38" s="19" t="s">
        <v>97</v>
      </c>
      <c r="G38" s="14"/>
      <c r="H38" s="14"/>
    </row>
    <row r="39" spans="1:8" s="20" customFormat="1" x14ac:dyDescent="0.2">
      <c r="A39" s="16" t="s">
        <v>98</v>
      </c>
      <c r="B39" s="17" t="s">
        <v>34</v>
      </c>
      <c r="C39" s="18">
        <v>3838</v>
      </c>
      <c r="D39" s="19">
        <v>87.794250000000005</v>
      </c>
      <c r="E39" s="19">
        <f t="shared" si="0"/>
        <v>1.3271580548899247</v>
      </c>
      <c r="F39" s="19" t="s">
        <v>99</v>
      </c>
      <c r="G39" s="14"/>
      <c r="H39" s="13"/>
    </row>
    <row r="40" spans="1:8" s="20" customFormat="1" x14ac:dyDescent="0.2">
      <c r="A40" s="16" t="s">
        <v>100</v>
      </c>
      <c r="B40" s="17" t="s">
        <v>87</v>
      </c>
      <c r="C40" s="18">
        <v>1400</v>
      </c>
      <c r="D40" s="19">
        <v>4.9371</v>
      </c>
      <c r="E40" s="19">
        <f t="shared" si="0"/>
        <v>7.4632587359616906E-2</v>
      </c>
      <c r="F40" s="19" t="s">
        <v>101</v>
      </c>
      <c r="G40" s="14"/>
      <c r="H40" s="14"/>
    </row>
    <row r="41" spans="1:8" s="20" customFormat="1" x14ac:dyDescent="0.2">
      <c r="A41" s="15" t="s">
        <v>102</v>
      </c>
      <c r="B41" s="17"/>
      <c r="C41" s="18"/>
      <c r="D41" s="22">
        <f>IF(ISERROR(SUM(D5:D40)),0,SUM(D5:D40))</f>
        <v>6581.9610369999982</v>
      </c>
      <c r="E41" s="22">
        <f>IF(ISERROR(SUM(E5:E40)),0,SUM(E5:E40))</f>
        <v>99.497434139777866</v>
      </c>
      <c r="F41" s="22"/>
      <c r="G41" s="14"/>
      <c r="H41" s="13"/>
    </row>
    <row r="42" spans="1:8" s="20" customFormat="1" x14ac:dyDescent="0.2">
      <c r="A42" s="15"/>
      <c r="B42" s="15"/>
      <c r="C42" s="23"/>
      <c r="D42" s="24"/>
      <c r="E42" s="24"/>
      <c r="F42" s="24"/>
      <c r="G42" s="14"/>
      <c r="H42" s="13"/>
    </row>
    <row r="43" spans="1:8" s="20" customFormat="1" x14ac:dyDescent="0.2">
      <c r="A43" s="15" t="s">
        <v>103</v>
      </c>
      <c r="B43" s="15"/>
      <c r="C43" s="23"/>
      <c r="D43" s="25" t="s">
        <v>104</v>
      </c>
      <c r="E43" s="25" t="s">
        <v>104</v>
      </c>
      <c r="F43" s="25"/>
      <c r="G43" s="14"/>
      <c r="H43" s="13"/>
    </row>
    <row r="44" spans="1:8" s="20" customFormat="1" x14ac:dyDescent="0.2">
      <c r="A44" s="15"/>
      <c r="B44" s="8"/>
      <c r="C44" s="23"/>
      <c r="D44" s="25"/>
      <c r="E44" s="25"/>
      <c r="F44" s="26"/>
      <c r="G44" s="14"/>
      <c r="H44" s="13"/>
    </row>
    <row r="45" spans="1:8" s="20" customFormat="1" x14ac:dyDescent="0.2">
      <c r="A45" s="15" t="s">
        <v>105</v>
      </c>
      <c r="B45" s="15"/>
      <c r="C45" s="23"/>
      <c r="D45" s="22">
        <f>IF(ISERROR(+D41),0,D41)+IF(ISERROR(+#REF!),0,#REF!)</f>
        <v>6581.9610369999982</v>
      </c>
      <c r="E45" s="22">
        <f>IF(ISERROR(+E41),0,E41)+IF(ISERROR(+#REF!),0,#REF!)</f>
        <v>99.497434139777866</v>
      </c>
      <c r="F45" s="27"/>
      <c r="G45" s="14"/>
      <c r="H45" s="13"/>
    </row>
    <row r="46" spans="1:8" s="20" customFormat="1" x14ac:dyDescent="0.2">
      <c r="A46" s="15"/>
      <c r="B46" s="8"/>
      <c r="C46" s="23"/>
      <c r="D46" s="25"/>
      <c r="E46" s="25"/>
      <c r="F46" s="26"/>
      <c r="G46" s="14"/>
      <c r="H46" s="13"/>
    </row>
    <row r="47" spans="1:8" s="20" customFormat="1" x14ac:dyDescent="0.2">
      <c r="A47" s="15"/>
      <c r="B47" s="8"/>
      <c r="C47" s="23"/>
      <c r="D47" s="25"/>
      <c r="E47" s="25"/>
      <c r="F47" s="26"/>
      <c r="G47" s="14"/>
      <c r="H47" s="13"/>
    </row>
    <row r="48" spans="1:8" s="20" customFormat="1" x14ac:dyDescent="0.2">
      <c r="A48" s="15" t="s">
        <v>106</v>
      </c>
      <c r="B48" s="8"/>
      <c r="C48" s="23"/>
      <c r="D48" s="25"/>
      <c r="E48" s="25"/>
      <c r="F48" s="26"/>
      <c r="G48" s="14"/>
      <c r="H48" s="13"/>
    </row>
    <row r="49" spans="1:8" s="20" customFormat="1" ht="29.25" customHeight="1" x14ac:dyDescent="0.2">
      <c r="A49" s="15" t="s">
        <v>10</v>
      </c>
      <c r="B49" s="8"/>
      <c r="C49" s="23"/>
      <c r="D49" s="25" t="s">
        <v>104</v>
      </c>
      <c r="E49" s="25" t="s">
        <v>104</v>
      </c>
      <c r="F49" s="28"/>
      <c r="G49" s="14"/>
      <c r="H49" s="13"/>
    </row>
    <row r="50" spans="1:8" s="20" customFormat="1" x14ac:dyDescent="0.2">
      <c r="A50" s="15"/>
      <c r="B50" s="8"/>
      <c r="C50" s="29"/>
      <c r="D50" s="28"/>
      <c r="E50" s="28"/>
      <c r="F50" s="28"/>
      <c r="G50" s="14"/>
      <c r="H50" s="13"/>
    </row>
    <row r="51" spans="1:8" s="20" customFormat="1" x14ac:dyDescent="0.2">
      <c r="A51" s="15" t="s">
        <v>107</v>
      </c>
      <c r="B51" s="8"/>
      <c r="C51" s="29"/>
      <c r="D51" s="25" t="s">
        <v>104</v>
      </c>
      <c r="E51" s="25" t="s">
        <v>104</v>
      </c>
      <c r="F51" s="26"/>
      <c r="G51" s="14"/>
      <c r="H51" s="13"/>
    </row>
    <row r="52" spans="1:8" s="20" customFormat="1" x14ac:dyDescent="0.2">
      <c r="A52" s="15"/>
      <c r="B52" s="8"/>
      <c r="C52" s="29"/>
      <c r="D52" s="25"/>
      <c r="E52" s="25"/>
      <c r="F52" s="25"/>
      <c r="G52" s="14"/>
      <c r="H52" s="13"/>
    </row>
    <row r="53" spans="1:8" s="20" customFormat="1" x14ac:dyDescent="0.2">
      <c r="A53" s="15" t="s">
        <v>108</v>
      </c>
      <c r="B53" s="8"/>
      <c r="C53" s="29"/>
      <c r="D53" s="25"/>
      <c r="E53" s="25"/>
      <c r="F53" s="25"/>
      <c r="G53" s="14"/>
      <c r="H53" s="13"/>
    </row>
    <row r="54" spans="1:8" s="20" customFormat="1" x14ac:dyDescent="0.2">
      <c r="A54" s="15"/>
      <c r="B54" s="8"/>
      <c r="C54" s="29"/>
      <c r="D54" s="19"/>
      <c r="E54" s="19"/>
      <c r="F54" s="30"/>
      <c r="G54" s="14"/>
      <c r="H54" s="13"/>
    </row>
    <row r="55" spans="1:8" s="20" customFormat="1" x14ac:dyDescent="0.2">
      <c r="A55" s="15" t="s">
        <v>109</v>
      </c>
      <c r="B55" s="8"/>
      <c r="C55" s="29"/>
      <c r="D55" s="25" t="s">
        <v>104</v>
      </c>
      <c r="E55" s="25" t="s">
        <v>104</v>
      </c>
      <c r="F55" s="25"/>
      <c r="G55" s="14"/>
      <c r="H55" s="13"/>
    </row>
    <row r="56" spans="1:8" s="20" customFormat="1" x14ac:dyDescent="0.2">
      <c r="A56" s="15"/>
      <c r="B56" s="8"/>
      <c r="C56" s="29"/>
      <c r="D56" s="25"/>
      <c r="E56" s="25"/>
      <c r="F56" s="25"/>
      <c r="G56" s="14"/>
      <c r="H56" s="13"/>
    </row>
    <row r="57" spans="1:8" s="20" customFormat="1" x14ac:dyDescent="0.2">
      <c r="A57" s="15" t="s">
        <v>110</v>
      </c>
      <c r="B57" s="8"/>
      <c r="C57" s="29"/>
      <c r="D57" s="25" t="s">
        <v>104</v>
      </c>
      <c r="E57" s="25" t="s">
        <v>104</v>
      </c>
      <c r="F57" s="25"/>
      <c r="G57" s="14"/>
      <c r="H57" s="13"/>
    </row>
    <row r="58" spans="1:8" s="20" customFormat="1" x14ac:dyDescent="0.2">
      <c r="A58" s="15"/>
      <c r="B58" s="8"/>
      <c r="C58" s="29"/>
      <c r="D58" s="25"/>
      <c r="E58" s="25"/>
      <c r="F58" s="25"/>
      <c r="G58" s="14"/>
      <c r="H58" s="13"/>
    </row>
    <row r="59" spans="1:8" s="20" customFormat="1" x14ac:dyDescent="0.2">
      <c r="A59" s="15" t="s">
        <v>111</v>
      </c>
      <c r="B59" s="8"/>
      <c r="C59" s="29"/>
      <c r="D59" s="25"/>
      <c r="E59" s="25"/>
      <c r="F59" s="26"/>
      <c r="G59" s="14"/>
      <c r="H59" s="13"/>
    </row>
    <row r="60" spans="1:8" s="20" customFormat="1" x14ac:dyDescent="0.2">
      <c r="A60" s="15"/>
      <c r="B60" s="31"/>
      <c r="C60" s="32"/>
      <c r="D60" s="28"/>
      <c r="E60" s="28"/>
      <c r="F60" s="33"/>
      <c r="G60" s="14"/>
      <c r="H60" s="13"/>
    </row>
    <row r="61" spans="1:8" s="20" customFormat="1" x14ac:dyDescent="0.2">
      <c r="A61" s="16" t="s">
        <v>112</v>
      </c>
      <c r="B61" s="17"/>
      <c r="C61" s="18">
        <v>0</v>
      </c>
      <c r="D61" s="19">
        <v>63.420340700000004</v>
      </c>
      <c r="E61" s="19">
        <f>(+D61/$D$69*100)</f>
        <v>0.9587053366691819</v>
      </c>
      <c r="F61" s="19">
        <v>0</v>
      </c>
      <c r="G61" s="14">
        <v>3.4186999999999999</v>
      </c>
      <c r="H61" s="13"/>
    </row>
    <row r="62" spans="1:8" s="20" customFormat="1" x14ac:dyDescent="0.2">
      <c r="A62" s="15" t="s">
        <v>102</v>
      </c>
      <c r="B62" s="8"/>
      <c r="C62" s="29"/>
      <c r="D62" s="25">
        <f>IF(ISERROR(SUM(D61:D61)),0,SUM(D61:D61))</f>
        <v>63.420340700000004</v>
      </c>
      <c r="E62" s="25">
        <f>IF(ISERROR(SUM(E61:E61)),0,SUM(E61:E61))</f>
        <v>0.9587053366691819</v>
      </c>
      <c r="F62" s="19"/>
      <c r="G62" s="14"/>
      <c r="H62" s="13"/>
    </row>
    <row r="63" spans="1:8" s="20" customFormat="1" x14ac:dyDescent="0.2">
      <c r="A63" s="15"/>
      <c r="B63" s="8"/>
      <c r="C63" s="29"/>
      <c r="D63" s="25"/>
      <c r="E63" s="25"/>
      <c r="F63" s="25"/>
      <c r="G63" s="14"/>
      <c r="H63" s="13"/>
    </row>
    <row r="64" spans="1:8" s="20" customFormat="1" x14ac:dyDescent="0.2">
      <c r="A64" s="15"/>
      <c r="B64" s="8"/>
      <c r="C64" s="29"/>
      <c r="D64" s="25"/>
      <c r="E64" s="25"/>
      <c r="F64" s="26"/>
      <c r="G64" s="14"/>
      <c r="H64" s="13"/>
    </row>
    <row r="65" spans="1:8" s="20" customFormat="1" x14ac:dyDescent="0.2">
      <c r="A65" s="15" t="s">
        <v>105</v>
      </c>
      <c r="B65" s="8"/>
      <c r="C65" s="29" t="s">
        <v>113</v>
      </c>
      <c r="D65" s="25">
        <f>+IF(ISERROR(#REF!),0,#REF!)+IF(ISERROR(D62),0,D62)+IF(ISERROR(D45),0,D45)+IF(ISERROR(#REF!),0,#REF!)+IF(ISERROR(#REF!),0,#REF!)+IF(ISERROR(#REF!),0,#REF!)+IF(ISERROR(#REF!),0,#REF!)+IF(ISERROR(#REF!),0,#REF!)+IF(ISERROR(#REF!),0,#REF!)</f>
        <v>6645.3813776999987</v>
      </c>
      <c r="E65" s="25">
        <f>+IF(ISERROR(#REF!),0,#REF!)+IF(ISERROR(E62),0,E62)+IF(ISERROR(E45),0,E45)+IF(ISERROR(#REF!),0,#REF!)+IF(ISERROR(#REF!),0,#REF!)+IF(ISERROR(#REF!),0,#REF!)+IF(ISERROR(#REF!),0,#REF!)+IF(ISERROR(#REF!),0,#REF!)+IF(ISERROR(#REF!),0,#REF!)</f>
        <v>100.45613947644705</v>
      </c>
      <c r="F65" s="25">
        <f>+IF(ISERROR(#REF!),0,#REF!)+IF(ISERROR(F62),0,F62)+IF(ISERROR(F45),0,F45)+IF(ISERROR(#REF!),0,#REF!)+IF(ISERROR(#REF!),0,#REF!)+IF(ISERROR(#REF!),0,#REF!)+IF(ISERROR(#REF!),0,#REF!)</f>
        <v>0</v>
      </c>
      <c r="G65" s="14"/>
      <c r="H65" s="13"/>
    </row>
    <row r="66" spans="1:8" s="20" customFormat="1" x14ac:dyDescent="0.2">
      <c r="A66" s="15"/>
      <c r="B66" s="8"/>
      <c r="C66" s="29"/>
      <c r="D66" s="25"/>
      <c r="E66" s="25"/>
      <c r="F66" s="34"/>
      <c r="H66" s="2"/>
    </row>
    <row r="67" spans="1:8" s="20" customFormat="1" x14ac:dyDescent="0.2">
      <c r="A67" s="15" t="s">
        <v>114</v>
      </c>
      <c r="B67" s="8"/>
      <c r="C67" s="29"/>
      <c r="D67" s="25">
        <f>+D69-D65</f>
        <v>-30.174569699898711</v>
      </c>
      <c r="E67" s="25">
        <f>D67/$D$69*100</f>
        <v>-0.45613947644701136</v>
      </c>
      <c r="F67" s="34"/>
      <c r="H67" s="2"/>
    </row>
    <row r="68" spans="1:8" s="20" customFormat="1" x14ac:dyDescent="0.2">
      <c r="A68" s="15"/>
      <c r="B68" s="8"/>
      <c r="C68" s="29"/>
      <c r="D68" s="28"/>
      <c r="E68" s="28"/>
      <c r="F68" s="34"/>
      <c r="H68" s="2"/>
    </row>
    <row r="69" spans="1:8" s="20" customFormat="1" x14ac:dyDescent="0.2">
      <c r="A69" s="15" t="s">
        <v>115</v>
      </c>
      <c r="B69" s="8"/>
      <c r="C69" s="29"/>
      <c r="D69" s="25">
        <v>6615.2068080001</v>
      </c>
      <c r="E69" s="25">
        <f>+E65+E67</f>
        <v>100.00000000000004</v>
      </c>
      <c r="F69" s="34"/>
      <c r="H69" s="2"/>
    </row>
    <row r="70" spans="1:8" s="20" customFormat="1" x14ac:dyDescent="0.2">
      <c r="A70" s="35"/>
      <c r="B70" s="36"/>
      <c r="C70" s="37"/>
      <c r="D70" s="38"/>
      <c r="E70" s="38"/>
      <c r="F70" s="34"/>
      <c r="H70" s="2"/>
    </row>
    <row r="71" spans="1:8" s="20" customFormat="1" x14ac:dyDescent="0.2">
      <c r="A71" s="39"/>
      <c r="B71" s="36"/>
      <c r="C71" s="37"/>
      <c r="D71" s="38"/>
      <c r="E71" s="38"/>
      <c r="F71" s="40"/>
      <c r="H71" s="2"/>
    </row>
    <row r="72" spans="1:8" s="20" customFormat="1" x14ac:dyDescent="0.2">
      <c r="A72" s="41" t="s">
        <v>116</v>
      </c>
      <c r="B72" s="41"/>
      <c r="C72" s="41"/>
      <c r="D72" s="41"/>
      <c r="E72" s="41"/>
      <c r="F72" s="40"/>
      <c r="H72" s="2"/>
    </row>
    <row r="73" spans="1:8" s="20" customFormat="1" ht="32.25" customHeight="1" x14ac:dyDescent="0.2">
      <c r="A73" s="42" t="s">
        <v>117</v>
      </c>
      <c r="B73" s="42" t="s">
        <v>118</v>
      </c>
      <c r="C73" s="42" t="s">
        <v>118</v>
      </c>
      <c r="D73" s="42" t="s">
        <v>118</v>
      </c>
      <c r="E73" s="43"/>
      <c r="F73" s="40"/>
      <c r="H73" s="2"/>
    </row>
    <row r="74" spans="1:8" s="20" customFormat="1" x14ac:dyDescent="0.2">
      <c r="A74" s="39"/>
      <c r="B74" s="44"/>
      <c r="C74" s="45"/>
      <c r="D74" s="46"/>
      <c r="E74" s="46"/>
      <c r="F74" s="34"/>
      <c r="G74" s="47"/>
      <c r="H74" s="2"/>
    </row>
    <row r="75" spans="1:8" s="20" customFormat="1" x14ac:dyDescent="0.2">
      <c r="A75" s="39"/>
      <c r="B75" s="44"/>
      <c r="C75" s="45"/>
      <c r="D75" s="46"/>
      <c r="E75" s="46"/>
      <c r="F75" s="34"/>
      <c r="G75" s="47"/>
      <c r="H75" s="2"/>
    </row>
    <row r="76" spans="1:8" s="20" customFormat="1" ht="15" x14ac:dyDescent="0.25">
      <c r="A76" s="48" t="s">
        <v>119</v>
      </c>
      <c r="B76" s="49"/>
      <c r="C76" s="49"/>
      <c r="D76" s="50" t="s">
        <v>120</v>
      </c>
      <c r="E76" s="49"/>
      <c r="F76" s="49"/>
      <c r="G76" s="49"/>
      <c r="H76" s="2"/>
    </row>
    <row r="77" spans="1:8" ht="15" x14ac:dyDescent="0.25">
      <c r="A77" s="51" t="s">
        <v>121</v>
      </c>
      <c r="B77" s="49"/>
      <c r="C77" s="49"/>
      <c r="D77" s="49"/>
      <c r="E77" s="49"/>
      <c r="F77" s="49"/>
      <c r="G77" s="49"/>
    </row>
    <row r="78" spans="1:8" ht="15" x14ac:dyDescent="0.25">
      <c r="A78" s="52" t="s">
        <v>122</v>
      </c>
      <c r="B78" s="52"/>
      <c r="C78" s="52"/>
      <c r="D78" s="49"/>
      <c r="E78" s="49"/>
      <c r="F78" s="49"/>
      <c r="G78" s="49"/>
    </row>
    <row r="79" spans="1:8" ht="15" x14ac:dyDescent="0.25">
      <c r="A79" s="51" t="s">
        <v>123</v>
      </c>
      <c r="B79" s="49"/>
      <c r="C79" s="49"/>
      <c r="D79" s="49"/>
      <c r="E79" s="49"/>
      <c r="F79" s="49"/>
      <c r="G79" s="49"/>
    </row>
    <row r="80" spans="1:8" x14ac:dyDescent="0.2">
      <c r="A80" s="49"/>
      <c r="B80" s="49"/>
      <c r="C80" s="49"/>
      <c r="D80" s="49"/>
      <c r="E80" s="49"/>
      <c r="F80" s="49"/>
      <c r="G80" s="49"/>
    </row>
    <row r="81" spans="1:7" x14ac:dyDescent="0.2">
      <c r="A81" s="49"/>
      <c r="B81" s="49"/>
      <c r="C81" s="49"/>
      <c r="D81" s="49"/>
      <c r="E81" s="49"/>
      <c r="F81" s="49"/>
      <c r="G81" s="49"/>
    </row>
    <row r="82" spans="1:7" x14ac:dyDescent="0.2">
      <c r="A82" s="49"/>
      <c r="B82" s="49"/>
      <c r="C82" s="49"/>
      <c r="D82" s="49"/>
      <c r="E82" s="49"/>
      <c r="F82" s="49"/>
      <c r="G82" s="49"/>
    </row>
    <row r="83" spans="1:7" x14ac:dyDescent="0.2">
      <c r="A83" s="49"/>
      <c r="B83" s="49"/>
      <c r="C83" s="49"/>
      <c r="D83" s="49"/>
      <c r="E83" s="49"/>
      <c r="F83" s="49"/>
      <c r="G83" s="49"/>
    </row>
    <row r="84" spans="1:7" x14ac:dyDescent="0.2">
      <c r="A84" s="49"/>
      <c r="B84" s="49"/>
      <c r="C84" s="49"/>
      <c r="D84" s="49"/>
      <c r="E84" s="49"/>
      <c r="F84" s="49"/>
      <c r="G84" s="49"/>
    </row>
    <row r="85" spans="1:7" x14ac:dyDescent="0.2">
      <c r="A85" s="49"/>
      <c r="B85" s="49"/>
      <c r="C85" s="49"/>
      <c r="D85" s="49"/>
      <c r="E85" s="49"/>
      <c r="F85" s="49"/>
      <c r="G85" s="49"/>
    </row>
    <row r="86" spans="1:7" x14ac:dyDescent="0.2">
      <c r="A86" s="49"/>
      <c r="B86" s="49"/>
      <c r="C86" s="49"/>
      <c r="D86" s="49"/>
      <c r="E86" s="49"/>
      <c r="F86" s="49"/>
      <c r="G86" s="49"/>
    </row>
    <row r="87" spans="1:7" x14ac:dyDescent="0.2">
      <c r="A87" s="49"/>
      <c r="B87" s="49"/>
      <c r="C87" s="49"/>
      <c r="D87" s="49"/>
      <c r="E87" s="49"/>
      <c r="F87" s="49"/>
      <c r="G87" s="49"/>
    </row>
    <row r="88" spans="1:7" x14ac:dyDescent="0.2">
      <c r="A88" s="49"/>
      <c r="B88" s="49"/>
      <c r="C88" s="49"/>
      <c r="D88" s="49"/>
      <c r="E88" s="49"/>
      <c r="F88" s="49"/>
      <c r="G88" s="49"/>
    </row>
    <row r="89" spans="1:7" x14ac:dyDescent="0.2">
      <c r="A89" s="49"/>
      <c r="B89" s="49"/>
      <c r="C89" s="49"/>
      <c r="D89" s="49"/>
      <c r="E89" s="49"/>
      <c r="F89" s="49"/>
      <c r="G89" s="49"/>
    </row>
    <row r="90" spans="1:7" x14ac:dyDescent="0.2">
      <c r="A90" s="49"/>
      <c r="B90" s="49"/>
      <c r="C90" s="49"/>
      <c r="D90" s="49"/>
      <c r="E90" s="49"/>
      <c r="F90" s="49"/>
      <c r="G90" s="49"/>
    </row>
    <row r="91" spans="1:7" x14ac:dyDescent="0.2">
      <c r="A91" s="49"/>
      <c r="B91" s="49"/>
      <c r="C91" s="49"/>
      <c r="D91" s="49"/>
      <c r="E91" s="49"/>
      <c r="F91" s="49"/>
      <c r="G91" s="49"/>
    </row>
    <row r="92" spans="1:7" x14ac:dyDescent="0.2">
      <c r="A92" s="49"/>
      <c r="B92" s="49"/>
      <c r="C92" s="49"/>
      <c r="D92" s="49"/>
      <c r="E92" s="49"/>
      <c r="F92" s="49"/>
      <c r="G92" s="49"/>
    </row>
    <row r="93" spans="1:7" x14ac:dyDescent="0.2">
      <c r="A93" s="49"/>
      <c r="B93" s="49"/>
      <c r="C93" s="49"/>
      <c r="D93" s="49"/>
      <c r="E93" s="49"/>
      <c r="F93" s="49"/>
      <c r="G93" s="49"/>
    </row>
  </sheetData>
  <mergeCells count="4">
    <mergeCell ref="A1:H1"/>
    <mergeCell ref="A72:E72"/>
    <mergeCell ref="A73:D73"/>
    <mergeCell ref="A78:C78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TG</vt:lpstr>
      <vt:lpstr>TG!Print_Area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2022-01-07T07:32:32Z</dcterms:created>
  <dcterms:modified xsi:type="dcterms:W3CDTF">2022-01-07T07:33:09Z</dcterms:modified>
</cp:coreProperties>
</file>