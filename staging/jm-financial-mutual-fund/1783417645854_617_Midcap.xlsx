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MD" sheetId="1" r:id="rId1"/>
  </sheets>
  <definedNames>
    <definedName name="_xlnm._FilterDatabase" localSheetId="0" hidden="1">MD!$A$1:$H$78</definedName>
    <definedName name="Afs">#REF!</definedName>
    <definedName name="_xlnm.Database">#REF!</definedName>
    <definedName name="EBLDB">#REF!</definedName>
    <definedName name="fl">#REF!</definedName>
    <definedName name="_xlnm.Print_Area" localSheetId="0">MD!$A$1:$E$66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2" i="1" l="1"/>
  <c r="D69" i="1"/>
  <c r="E68" i="1"/>
  <c r="E69" i="1" s="1"/>
  <c r="D49" i="1"/>
  <c r="D53" i="1" s="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9" i="1" l="1"/>
  <c r="E53" i="1" s="1"/>
  <c r="D72" i="1"/>
  <c r="D74" i="1" s="1"/>
  <c r="E74" i="1" s="1"/>
  <c r="E72" i="1"/>
  <c r="E76" i="1" l="1"/>
</calcChain>
</file>

<file path=xl/sharedStrings.xml><?xml version="1.0" encoding="utf-8"?>
<sst xmlns="http://schemas.openxmlformats.org/spreadsheetml/2006/main" count="178" uniqueCount="147">
  <si>
    <t>JM Midcap Fund (An open ended equity scheme predominantly investing in mid cap stocks)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</si>
  <si>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</si>
  <si>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</si>
  <si>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</si>
  <si>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</si>
  <si>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</si>
  <si>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</si>
  <si>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</si>
  <si>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</si>
  <si>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</si>
  <si>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</si>
  <si>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</si>
  <si>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The Federal Bank  Ltd.</t>
  </si>
  <si>
    <t>Banks</t>
  </si>
  <si>
    <t>INE171A01029</t>
  </si>
  <si>
    <t>Canara Bank</t>
  </si>
  <si>
    <t>INE476A01014</t>
  </si>
  <si>
    <t>Blue Star Ltd.</t>
  </si>
  <si>
    <t>Consumer Durables</t>
  </si>
  <si>
    <t>INE472A01039</t>
  </si>
  <si>
    <t>Narayana Hrudayalaya Ltd</t>
  </si>
  <si>
    <t>Healthcare Services</t>
  </si>
  <si>
    <t>INE410P01011</t>
  </si>
  <si>
    <t>REC Ltd.</t>
  </si>
  <si>
    <t>Finance</t>
  </si>
  <si>
    <t>INE020B01018</t>
  </si>
  <si>
    <t>Cummins India Ltd.</t>
  </si>
  <si>
    <t>Industrial Products</t>
  </si>
  <si>
    <t>INE298A01020</t>
  </si>
  <si>
    <t>Balkrishna Industries Ltd.</t>
  </si>
  <si>
    <t>Auto Components</t>
  </si>
  <si>
    <t>INE787D01026</t>
  </si>
  <si>
    <t>KEC International Ltd.</t>
  </si>
  <si>
    <t>Electrical Equipment</t>
  </si>
  <si>
    <t>INE389H01022</t>
  </si>
  <si>
    <t>Tata Elxsi Ltd</t>
  </si>
  <si>
    <t>IT - Software</t>
  </si>
  <si>
    <t>INE670A01012</t>
  </si>
  <si>
    <t>Mahindra &amp; Mahindra Financial Services Ltd.</t>
  </si>
  <si>
    <t>INE774D01024</t>
  </si>
  <si>
    <t>Kalpataru Power Transmission Ltd.</t>
  </si>
  <si>
    <t>Construction</t>
  </si>
  <si>
    <t>INE220B01022</t>
  </si>
  <si>
    <t>Schaeffler India Ltd.</t>
  </si>
  <si>
    <t>INE513A01022</t>
  </si>
  <si>
    <t>IIFL Wealth Management Ltd.</t>
  </si>
  <si>
    <t>INE466L01020</t>
  </si>
  <si>
    <t>Bharat Heavy Electricals Ltd.</t>
  </si>
  <si>
    <t>INE257A01026</t>
  </si>
  <si>
    <t>Gujarat Gas Ltd.</t>
  </si>
  <si>
    <t>Gas</t>
  </si>
  <si>
    <t>INE844O01030</t>
  </si>
  <si>
    <t>Sumitomo Chemical India Ltd.</t>
  </si>
  <si>
    <t>Fertilizers &amp; Agrochemicals</t>
  </si>
  <si>
    <t>INE258G01013</t>
  </si>
  <si>
    <t>Fortis Healthcare Ltd.</t>
  </si>
  <si>
    <t>INE061F01013</t>
  </si>
  <si>
    <t>Agricultural, Commercial &amp; Construction Vehicles</t>
  </si>
  <si>
    <t>INE042A01014</t>
  </si>
  <si>
    <t>Varun Beverages Ltd.</t>
  </si>
  <si>
    <t>Beverages</t>
  </si>
  <si>
    <t>INE200M01013</t>
  </si>
  <si>
    <t>Sundram Fasteners Ltd.</t>
  </si>
  <si>
    <t>INE387A01021</t>
  </si>
  <si>
    <t>Bharat Forge Ltd.</t>
  </si>
  <si>
    <t>INE465A01025</t>
  </si>
  <si>
    <t>City Union Bank Ltd.</t>
  </si>
  <si>
    <t>INE491A01021</t>
  </si>
  <si>
    <t>Supreme Industries Ltd.</t>
  </si>
  <si>
    <t>INE195A01028</t>
  </si>
  <si>
    <t>Indraprastha Gas Ltd.</t>
  </si>
  <si>
    <t>INE203G01027</t>
  </si>
  <si>
    <t>JK Cement Ltd.</t>
  </si>
  <si>
    <t>Cement &amp; Cement Products</t>
  </si>
  <si>
    <t>INE823G01014</t>
  </si>
  <si>
    <t>Coromandel International Ltd.</t>
  </si>
  <si>
    <t>INE169A01031</t>
  </si>
  <si>
    <t>CG Power and Industrial Solutions Ltd.</t>
  </si>
  <si>
    <t>INE067A01029</t>
  </si>
  <si>
    <t>ACC Ltd.</t>
  </si>
  <si>
    <t>INE012A01025</t>
  </si>
  <si>
    <t>L&amp;T Technology Services Ltd.</t>
  </si>
  <si>
    <t>IT - Services</t>
  </si>
  <si>
    <t>INE010V01017</t>
  </si>
  <si>
    <t>Devyani International Ltd.</t>
  </si>
  <si>
    <t>Leisure Services</t>
  </si>
  <si>
    <t>INE872J01023</t>
  </si>
  <si>
    <t>Jubilant Foodworks Ltd.</t>
  </si>
  <si>
    <t>INE797F01020</t>
  </si>
  <si>
    <t>Trent Ltd.</t>
  </si>
  <si>
    <t>Retailing</t>
  </si>
  <si>
    <t>INE849A01020</t>
  </si>
  <si>
    <t>Bharat Electronics Ltd.</t>
  </si>
  <si>
    <t>Aerospace &amp; Defense</t>
  </si>
  <si>
    <t>INE263A01024</t>
  </si>
  <si>
    <t>Hindustan Aeronautics Ltd.</t>
  </si>
  <si>
    <t>INE066F01012</t>
  </si>
  <si>
    <t>One 97 Communications Ltd.</t>
  </si>
  <si>
    <t>Financial Technology (Fintech)</t>
  </si>
  <si>
    <t>INE982J01020</t>
  </si>
  <si>
    <t>TVS Motor Company Ltd.</t>
  </si>
  <si>
    <t>Automobiles</t>
  </si>
  <si>
    <t>INE494B01023</t>
  </si>
  <si>
    <t>Navin Fluorine International Ltd.</t>
  </si>
  <si>
    <t>Chemicals &amp; Petrochemicals</t>
  </si>
  <si>
    <t>INE048G01026</t>
  </si>
  <si>
    <t>NHPC Ltd.</t>
  </si>
  <si>
    <t>Power</t>
  </si>
  <si>
    <t>INE848E01016</t>
  </si>
  <si>
    <t>K.P.R. Mill Ltd.</t>
  </si>
  <si>
    <t>Textiles &amp; Apparels</t>
  </si>
  <si>
    <t>INE930H01031</t>
  </si>
  <si>
    <t>Crompton Greaves Consumer Electricals Ltd.</t>
  </si>
  <si>
    <t>INE299U01018</t>
  </si>
  <si>
    <t>United Breweries Ltd.</t>
  </si>
  <si>
    <t>INE686F01025</t>
  </si>
  <si>
    <t>Alkem Laboratories Ltd.</t>
  </si>
  <si>
    <t>Pharmaceuticals &amp; Biotechnology</t>
  </si>
  <si>
    <t>INE540L01014</t>
  </si>
  <si>
    <t>Aditya Birla Fashion and Retail Ltd.</t>
  </si>
  <si>
    <t>INE647O01011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</si>
  <si>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</si>
  <si>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</si>
  <si>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</si>
  <si>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</si>
  <si>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</si>
  <si>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</si>
  <si>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</si>
  <si>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</si>
  <si>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</si>
  <si>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</si>
  <si>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</si>
  <si>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</si>
  <si>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</si>
  <si>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</si>
  <si>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</si>
  <si>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</si>
  <si>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</si>
  <si>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</si>
  <si>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</si>
  <si>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</si>
  <si>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</si>
  <si>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</si>
  <si>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</si>
  <si>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</si>
  <si>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</si>
  <si>
    <t>Escorts Kubota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</si>
</sst>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11"/>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5">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165" fontId="3" fillId="0" borderId="0" xfId="1" applyNumberFormat="1" applyFont="1"/>
    <xf numFmtId="0" fontId="6" fillId="0" borderId="0" xfId="5" applyBorder="1" applyAlignment="1"/>
    <xf numFmtId="0" fontId="6" fillId="0" borderId="0" xfId="5" applyBorder="1" applyAlignment="1">
      <alignment horizontal="left" wrapText="1"/>
    </xf>
    <xf numFmtId="0" fontId="9" fillId="0" borderId="0" xfId="6" applyFont="1"/>
    <xf numFmtId="0" fontId="10" fillId="0" borderId="0" xfId="0"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6" fillId="0" borderId="0" xfId="3" applyBorder="1" applyAlignment="1">
      <alignment horizontal="left" vertical="center"/>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95</xdr:row>
      <xdr:rowOff>0</xdr:rowOff>
    </xdr:from>
    <xdr:to>
      <xdr:col>1</xdr:col>
      <xdr:colOff>504825</xdr:colOff>
      <xdr:row>108</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859375"/>
          <a:ext cx="3924300" cy="2209800"/>
        </a:xfrm>
        <a:prstGeom prst="rect">
          <a:avLst/>
        </a:prstGeom>
        <a:noFill/>
        <a:ln w="9525">
          <a:noFill/>
          <a:miter lim="800000"/>
          <a:headEnd/>
          <a:tailEnd/>
        </a:ln>
      </xdr:spPr>
    </xdr:pic>
    <xdr:clientData/>
  </xdr:twoCellAnchor>
  <xdr:twoCellAnchor editAs="oneCell">
    <xdr:from>
      <xdr:col>2</xdr:col>
      <xdr:colOff>114300</xdr:colOff>
      <xdr:row>95</xdr:row>
      <xdr:rowOff>9525</xdr:rowOff>
    </xdr:from>
    <xdr:to>
      <xdr:col>5</xdr:col>
      <xdr:colOff>609600</xdr:colOff>
      <xdr:row>108</xdr:row>
      <xdr:rowOff>104775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334125" y="17868900"/>
          <a:ext cx="3829050"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8"/>
  <sheetViews>
    <sheetView tabSelected="1" zoomScaleNormal="100" workbookViewId="0"/>
  </sheetViews>
  <sheetFormatPr defaultRowHeight="12.75" x14ac:dyDescent="0.2"/>
  <cols>
    <col min="1" max="1" width="51.28515625" style="57" customWidth="1"/>
    <col min="2" max="2" width="31.28515625" style="58" customWidth="1"/>
    <col min="3" max="3" width="13.42578125" style="52" customWidth="1"/>
    <col min="4" max="4" width="20.85546875" style="4" customWidth="1"/>
    <col min="5" max="5" width="15.7109375" style="4" customWidth="1"/>
    <col min="6" max="6" width="16.8554687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5" t="s">
        <v>1</v>
      </c>
      <c r="B2" s="2"/>
      <c r="C2" s="2"/>
      <c r="D2" s="2"/>
      <c r="E2" s="3"/>
      <c r="F2" s="3"/>
      <c r="G2" s="3"/>
      <c r="H2" s="3"/>
    </row>
    <row r="3" spans="1:8" s="11" customFormat="1" ht="38.25" x14ac:dyDescent="0.2">
      <c r="A3" s="6" t="s">
        <v>2</v>
      </c>
      <c r="B3" s="7" t="s">
        <v>3</v>
      </c>
      <c r="C3" s="8" t="s">
        <v>4</v>
      </c>
      <c r="D3" s="6" t="s">
        <v>5</v>
      </c>
      <c r="E3" s="6" t="s">
        <v>6</v>
      </c>
      <c r="F3" s="6" t="s">
        <v>7</v>
      </c>
      <c r="G3" s="9" t="s">
        <v>8</v>
      </c>
      <c r="H3" s="10" t="s">
        <v>9</v>
      </c>
    </row>
    <row r="4" spans="1:8" x14ac:dyDescent="0.2">
      <c r="A4" s="12" t="s">
        <v>10</v>
      </c>
      <c r="B4" s="13"/>
      <c r="C4" s="14"/>
      <c r="D4" s="15"/>
      <c r="E4" s="15"/>
      <c r="F4" s="16"/>
      <c r="G4" s="17"/>
      <c r="H4" s="18"/>
    </row>
    <row r="5" spans="1:8" x14ac:dyDescent="0.2">
      <c r="A5" s="19" t="s">
        <v>11</v>
      </c>
      <c r="B5" s="13"/>
      <c r="C5" s="14"/>
      <c r="D5" s="15"/>
      <c r="E5" s="15"/>
      <c r="F5" s="16"/>
      <c r="G5" s="17"/>
      <c r="H5" s="18"/>
    </row>
    <row r="6" spans="1:8" s="24" customFormat="1" x14ac:dyDescent="0.2">
      <c r="A6" s="20" t="s">
        <v>12</v>
      </c>
      <c r="B6" s="21" t="s">
        <v>13</v>
      </c>
      <c r="C6" s="22">
        <v>270500</v>
      </c>
      <c r="D6" s="23">
        <v>376.13024999999999</v>
      </c>
      <c r="E6" s="23">
        <f t="shared" ref="E6:E48" si="0">(+D6/$D$76*100)</f>
        <v>3.763861989009059</v>
      </c>
      <c r="F6" s="23" t="s">
        <v>14</v>
      </c>
      <c r="G6" s="18"/>
      <c r="H6" s="18"/>
    </row>
    <row r="7" spans="1:8" s="24" customFormat="1" x14ac:dyDescent="0.2">
      <c r="A7" s="20" t="s">
        <v>15</v>
      </c>
      <c r="B7" s="21" t="s">
        <v>13</v>
      </c>
      <c r="C7" s="22">
        <v>112000</v>
      </c>
      <c r="D7" s="23">
        <v>373.29599999999999</v>
      </c>
      <c r="E7" s="23">
        <f t="shared" si="0"/>
        <v>3.7355002025206043</v>
      </c>
      <c r="F7" s="23" t="s">
        <v>16</v>
      </c>
      <c r="G7" s="18"/>
      <c r="H7" s="18"/>
    </row>
    <row r="8" spans="1:8" s="24" customFormat="1" x14ac:dyDescent="0.2">
      <c r="A8" s="20" t="s">
        <v>17</v>
      </c>
      <c r="B8" s="21" t="s">
        <v>18</v>
      </c>
      <c r="C8" s="22">
        <v>26500</v>
      </c>
      <c r="D8" s="23">
        <v>317.88074999999998</v>
      </c>
      <c r="E8" s="23">
        <f t="shared" si="0"/>
        <v>3.1809706131391753</v>
      </c>
      <c r="F8" s="23" t="s">
        <v>19</v>
      </c>
      <c r="G8" s="18"/>
      <c r="H8" s="18"/>
    </row>
    <row r="9" spans="1:8" s="24" customFormat="1" x14ac:dyDescent="0.2">
      <c r="A9" s="20" t="s">
        <v>20</v>
      </c>
      <c r="B9" s="21" t="s">
        <v>21</v>
      </c>
      <c r="C9" s="22">
        <v>39650</v>
      </c>
      <c r="D9" s="23">
        <v>301.51842499999998</v>
      </c>
      <c r="E9" s="23">
        <f t="shared" si="0"/>
        <v>3.0172360208820712</v>
      </c>
      <c r="F9" s="23" t="s">
        <v>22</v>
      </c>
      <c r="G9" s="18"/>
      <c r="H9" s="17"/>
    </row>
    <row r="10" spans="1:8" s="24" customFormat="1" x14ac:dyDescent="0.2">
      <c r="A10" s="20" t="s">
        <v>23</v>
      </c>
      <c r="B10" s="21" t="s">
        <v>24</v>
      </c>
      <c r="C10" s="22">
        <v>258500</v>
      </c>
      <c r="D10" s="23">
        <v>301.15249999999997</v>
      </c>
      <c r="E10" s="23">
        <f t="shared" si="0"/>
        <v>3.0135742808376897</v>
      </c>
      <c r="F10" s="23" t="s">
        <v>25</v>
      </c>
      <c r="G10" s="18"/>
      <c r="H10" s="17"/>
    </row>
    <row r="11" spans="1:8" s="24" customFormat="1" x14ac:dyDescent="0.2">
      <c r="A11" s="20" t="s">
        <v>26</v>
      </c>
      <c r="B11" s="21" t="s">
        <v>27</v>
      </c>
      <c r="C11" s="22">
        <v>20500</v>
      </c>
      <c r="D11" s="23">
        <v>282.98200000000003</v>
      </c>
      <c r="E11" s="23">
        <f t="shared" si="0"/>
        <v>2.831745634321519</v>
      </c>
      <c r="F11" s="23" t="s">
        <v>28</v>
      </c>
      <c r="G11" s="18"/>
      <c r="H11" s="18"/>
    </row>
    <row r="12" spans="1:8" s="24" customFormat="1" x14ac:dyDescent="0.2">
      <c r="A12" s="20" t="s">
        <v>29</v>
      </c>
      <c r="B12" s="21" t="s">
        <v>30</v>
      </c>
      <c r="C12" s="22">
        <v>12550</v>
      </c>
      <c r="D12" s="23">
        <v>267.47187500000001</v>
      </c>
      <c r="E12" s="23">
        <f t="shared" si="0"/>
        <v>2.6765388411101805</v>
      </c>
      <c r="F12" s="23" t="s">
        <v>31</v>
      </c>
      <c r="G12" s="18"/>
      <c r="H12" s="18"/>
    </row>
    <row r="13" spans="1:8" s="24" customFormat="1" x14ac:dyDescent="0.2">
      <c r="A13" s="20" t="s">
        <v>32</v>
      </c>
      <c r="B13" s="21" t="s">
        <v>33</v>
      </c>
      <c r="C13" s="22">
        <v>52666</v>
      </c>
      <c r="D13" s="23">
        <v>260.407037</v>
      </c>
      <c r="E13" s="23">
        <f t="shared" si="0"/>
        <v>2.6058423863403051</v>
      </c>
      <c r="F13" s="23" t="s">
        <v>34</v>
      </c>
      <c r="G13" s="18"/>
      <c r="H13" s="25"/>
    </row>
    <row r="14" spans="1:8" s="24" customFormat="1" x14ac:dyDescent="0.2">
      <c r="A14" s="20" t="s">
        <v>35</v>
      </c>
      <c r="B14" s="21" t="s">
        <v>36</v>
      </c>
      <c r="C14" s="22">
        <v>4050</v>
      </c>
      <c r="D14" s="23">
        <v>254.57894999999999</v>
      </c>
      <c r="E14" s="23">
        <f t="shared" si="0"/>
        <v>2.5475218574066769</v>
      </c>
      <c r="F14" s="23" t="s">
        <v>37</v>
      </c>
      <c r="G14" s="18"/>
      <c r="H14" s="17"/>
    </row>
    <row r="15" spans="1:8" s="24" customFormat="1" x14ac:dyDescent="0.2">
      <c r="A15" s="20" t="s">
        <v>38</v>
      </c>
      <c r="B15" s="21" t="s">
        <v>24</v>
      </c>
      <c r="C15" s="22">
        <v>104000</v>
      </c>
      <c r="D15" s="23">
        <v>243.98400000000001</v>
      </c>
      <c r="E15" s="23">
        <f t="shared" si="0"/>
        <v>2.4415002609505252</v>
      </c>
      <c r="F15" s="23" t="s">
        <v>39</v>
      </c>
      <c r="G15" s="18"/>
      <c r="H15" s="17"/>
    </row>
    <row r="16" spans="1:8" s="24" customFormat="1" x14ac:dyDescent="0.2">
      <c r="A16" s="20" t="s">
        <v>40</v>
      </c>
      <c r="B16" s="21" t="s">
        <v>41</v>
      </c>
      <c r="C16" s="22">
        <v>42958</v>
      </c>
      <c r="D16" s="23">
        <v>240.09226200000001</v>
      </c>
      <c r="E16" s="23">
        <f t="shared" si="0"/>
        <v>2.4025563984736777</v>
      </c>
      <c r="F16" s="23" t="s">
        <v>42</v>
      </c>
      <c r="G16" s="18"/>
      <c r="H16" s="25"/>
    </row>
    <row r="17" spans="1:8" s="24" customFormat="1" x14ac:dyDescent="0.2">
      <c r="A17" s="20" t="s">
        <v>43</v>
      </c>
      <c r="B17" s="21" t="s">
        <v>30</v>
      </c>
      <c r="C17" s="22">
        <v>8500</v>
      </c>
      <c r="D17" s="23">
        <v>233.46525</v>
      </c>
      <c r="E17" s="23">
        <f t="shared" si="0"/>
        <v>2.3362411830197041</v>
      </c>
      <c r="F17" s="23" t="s">
        <v>44</v>
      </c>
      <c r="G17" s="18"/>
      <c r="H17" s="17"/>
    </row>
    <row r="18" spans="1:8" s="24" customFormat="1" x14ac:dyDescent="0.2">
      <c r="A18" s="20" t="s">
        <v>45</v>
      </c>
      <c r="B18" s="21" t="s">
        <v>24</v>
      </c>
      <c r="C18" s="22">
        <v>12650</v>
      </c>
      <c r="D18" s="23">
        <v>224.72725</v>
      </c>
      <c r="E18" s="23">
        <f t="shared" si="0"/>
        <v>2.2488017227264652</v>
      </c>
      <c r="F18" s="23" t="s">
        <v>46</v>
      </c>
      <c r="G18" s="18"/>
      <c r="H18" s="25"/>
    </row>
    <row r="19" spans="1:8" s="24" customFormat="1" x14ac:dyDescent="0.2">
      <c r="A19" s="20" t="s">
        <v>47</v>
      </c>
      <c r="B19" s="21" t="s">
        <v>33</v>
      </c>
      <c r="C19" s="22">
        <v>283000</v>
      </c>
      <c r="D19" s="23">
        <v>224.136</v>
      </c>
      <c r="E19" s="23">
        <f t="shared" si="0"/>
        <v>2.2428851993917918</v>
      </c>
      <c r="F19" s="23" t="s">
        <v>48</v>
      </c>
      <c r="G19" s="18"/>
      <c r="H19" s="18"/>
    </row>
    <row r="20" spans="1:8" s="24" customFormat="1" x14ac:dyDescent="0.2">
      <c r="A20" s="20" t="s">
        <v>49</v>
      </c>
      <c r="B20" s="21" t="s">
        <v>50</v>
      </c>
      <c r="C20" s="22">
        <v>45100</v>
      </c>
      <c r="D20" s="23">
        <v>219.25364999999999</v>
      </c>
      <c r="E20" s="23">
        <f t="shared" si="0"/>
        <v>2.1940284760039801</v>
      </c>
      <c r="F20" s="23" t="s">
        <v>51</v>
      </c>
      <c r="G20" s="18"/>
      <c r="H20" s="18"/>
    </row>
    <row r="21" spans="1:8" s="24" customFormat="1" x14ac:dyDescent="0.2">
      <c r="A21" s="20" t="s">
        <v>52</v>
      </c>
      <c r="B21" s="21" t="s">
        <v>53</v>
      </c>
      <c r="C21" s="22">
        <v>44000</v>
      </c>
      <c r="D21" s="23">
        <v>214.80799999999999</v>
      </c>
      <c r="E21" s="23">
        <f t="shared" si="0"/>
        <v>2.1495417242698713</v>
      </c>
      <c r="F21" s="23" t="s">
        <v>54</v>
      </c>
      <c r="G21" s="18"/>
      <c r="H21" s="17"/>
    </row>
    <row r="22" spans="1:8" s="24" customFormat="1" x14ac:dyDescent="0.2">
      <c r="A22" s="20" t="s">
        <v>55</v>
      </c>
      <c r="B22" s="21" t="s">
        <v>21</v>
      </c>
      <c r="C22" s="22">
        <v>74500</v>
      </c>
      <c r="D22" s="23">
        <v>213.14449999999999</v>
      </c>
      <c r="E22" s="23">
        <f t="shared" si="0"/>
        <v>2.1328954044944304</v>
      </c>
      <c r="F22" s="23" t="s">
        <v>56</v>
      </c>
      <c r="G22" s="18"/>
      <c r="H22" s="18"/>
    </row>
    <row r="23" spans="1:8" s="24" customFormat="1" x14ac:dyDescent="0.2">
      <c r="A23" s="20" t="s">
        <v>146</v>
      </c>
      <c r="B23" s="21" t="s">
        <v>57</v>
      </c>
      <c r="C23" s="22">
        <v>9750</v>
      </c>
      <c r="D23" s="23">
        <v>208.664625</v>
      </c>
      <c r="E23" s="23">
        <f t="shared" si="0"/>
        <v>2.0880661698662348</v>
      </c>
      <c r="F23" s="23" t="s">
        <v>58</v>
      </c>
      <c r="G23" s="18"/>
      <c r="H23" s="18"/>
    </row>
    <row r="24" spans="1:8" s="24" customFormat="1" x14ac:dyDescent="0.2">
      <c r="A24" s="20" t="s">
        <v>59</v>
      </c>
      <c r="B24" s="21" t="s">
        <v>60</v>
      </c>
      <c r="C24" s="22">
        <v>15710</v>
      </c>
      <c r="D24" s="23">
        <v>207.772605</v>
      </c>
      <c r="E24" s="23">
        <f t="shared" si="0"/>
        <v>2.0791398998535571</v>
      </c>
      <c r="F24" s="23" t="s">
        <v>61</v>
      </c>
      <c r="G24" s="18"/>
      <c r="H24" s="17"/>
    </row>
    <row r="25" spans="1:8" s="24" customFormat="1" x14ac:dyDescent="0.2">
      <c r="A25" s="20" t="s">
        <v>62</v>
      </c>
      <c r="B25" s="21" t="s">
        <v>30</v>
      </c>
      <c r="C25" s="22">
        <v>20300</v>
      </c>
      <c r="D25" s="23">
        <v>197.2551</v>
      </c>
      <c r="E25" s="23">
        <f t="shared" si="0"/>
        <v>1.9738932803947058</v>
      </c>
      <c r="F25" s="23" t="s">
        <v>63</v>
      </c>
      <c r="G25" s="18"/>
      <c r="H25" s="17"/>
    </row>
    <row r="26" spans="1:8" s="24" customFormat="1" x14ac:dyDescent="0.2">
      <c r="A26" s="20" t="s">
        <v>64</v>
      </c>
      <c r="B26" s="21" t="s">
        <v>27</v>
      </c>
      <c r="C26" s="22">
        <v>21500</v>
      </c>
      <c r="D26" s="23">
        <v>189.16775000000001</v>
      </c>
      <c r="E26" s="23">
        <f t="shared" si="0"/>
        <v>1.8929647476409259</v>
      </c>
      <c r="F26" s="23" t="s">
        <v>65</v>
      </c>
      <c r="G26" s="18"/>
      <c r="H26" s="18"/>
    </row>
    <row r="27" spans="1:8" s="24" customFormat="1" x14ac:dyDescent="0.2">
      <c r="A27" s="20" t="s">
        <v>66</v>
      </c>
      <c r="B27" s="21" t="s">
        <v>13</v>
      </c>
      <c r="C27" s="22">
        <v>103500</v>
      </c>
      <c r="D27" s="23">
        <v>186.714</v>
      </c>
      <c r="E27" s="23">
        <f t="shared" si="0"/>
        <v>1.8684105503767308</v>
      </c>
      <c r="F27" s="23" t="s">
        <v>67</v>
      </c>
      <c r="G27" s="18"/>
      <c r="H27" s="18"/>
    </row>
    <row r="28" spans="1:8" s="24" customFormat="1" x14ac:dyDescent="0.2">
      <c r="A28" s="20" t="s">
        <v>68</v>
      </c>
      <c r="B28" s="21" t="s">
        <v>27</v>
      </c>
      <c r="C28" s="22">
        <v>7600</v>
      </c>
      <c r="D28" s="23">
        <v>186.2038</v>
      </c>
      <c r="E28" s="23">
        <f t="shared" si="0"/>
        <v>1.8633050785706415</v>
      </c>
      <c r="F28" s="23" t="s">
        <v>69</v>
      </c>
      <c r="G28" s="18"/>
      <c r="H28" s="17"/>
    </row>
    <row r="29" spans="1:8" s="24" customFormat="1" x14ac:dyDescent="0.2">
      <c r="A29" s="20" t="s">
        <v>70</v>
      </c>
      <c r="B29" s="21" t="s">
        <v>50</v>
      </c>
      <c r="C29" s="22">
        <v>43500</v>
      </c>
      <c r="D29" s="23">
        <v>180.06825000000001</v>
      </c>
      <c r="E29" s="23">
        <f t="shared" si="0"/>
        <v>1.8019078274145208</v>
      </c>
      <c r="F29" s="23" t="s">
        <v>71</v>
      </c>
      <c r="G29" s="18"/>
      <c r="H29" s="25"/>
    </row>
    <row r="30" spans="1:8" s="24" customFormat="1" x14ac:dyDescent="0.2">
      <c r="A30" s="20" t="s">
        <v>72</v>
      </c>
      <c r="B30" s="21" t="s">
        <v>73</v>
      </c>
      <c r="C30" s="22">
        <v>6100</v>
      </c>
      <c r="D30" s="23">
        <v>178.1566</v>
      </c>
      <c r="E30" s="23">
        <f t="shared" si="0"/>
        <v>1.7827783190293556</v>
      </c>
      <c r="F30" s="23" t="s">
        <v>74</v>
      </c>
      <c r="G30" s="18"/>
      <c r="H30" s="25"/>
    </row>
    <row r="31" spans="1:8" s="24" customFormat="1" x14ac:dyDescent="0.2">
      <c r="A31" s="20" t="s">
        <v>75</v>
      </c>
      <c r="B31" s="21" t="s">
        <v>53</v>
      </c>
      <c r="C31" s="22">
        <v>20000</v>
      </c>
      <c r="D31" s="23">
        <v>177.43</v>
      </c>
      <c r="E31" s="23">
        <f t="shared" si="0"/>
        <v>1.7755073746657635</v>
      </c>
      <c r="F31" s="23" t="s">
        <v>76</v>
      </c>
      <c r="G31" s="18"/>
      <c r="H31" s="18"/>
    </row>
    <row r="32" spans="1:8" s="24" customFormat="1" x14ac:dyDescent="0.2">
      <c r="A32" s="20" t="s">
        <v>77</v>
      </c>
      <c r="B32" s="21" t="s">
        <v>33</v>
      </c>
      <c r="C32" s="22">
        <v>65500</v>
      </c>
      <c r="D32" s="23">
        <v>177.04650000000001</v>
      </c>
      <c r="E32" s="23">
        <f t="shared" si="0"/>
        <v>1.7716697650271211</v>
      </c>
      <c r="F32" s="23" t="s">
        <v>78</v>
      </c>
      <c r="G32" s="18"/>
      <c r="H32" s="18"/>
    </row>
    <row r="33" spans="1:8" s="24" customFormat="1" x14ac:dyDescent="0.2">
      <c r="A33" s="20" t="s">
        <v>79</v>
      </c>
      <c r="B33" s="21" t="s">
        <v>73</v>
      </c>
      <c r="C33" s="22">
        <v>7200</v>
      </c>
      <c r="D33" s="23">
        <v>175.79519999999999</v>
      </c>
      <c r="E33" s="23">
        <f t="shared" si="0"/>
        <v>1.759148250187921</v>
      </c>
      <c r="F33" s="23" t="s">
        <v>80</v>
      </c>
      <c r="G33" s="18"/>
      <c r="H33" s="18"/>
    </row>
    <row r="34" spans="1:8" s="24" customFormat="1" x14ac:dyDescent="0.2">
      <c r="A34" s="20" t="s">
        <v>81</v>
      </c>
      <c r="B34" s="21" t="s">
        <v>82</v>
      </c>
      <c r="C34" s="22">
        <v>4700</v>
      </c>
      <c r="D34" s="23">
        <v>173.12684999999999</v>
      </c>
      <c r="E34" s="23">
        <f t="shared" si="0"/>
        <v>1.7324465926148533</v>
      </c>
      <c r="F34" s="23" t="s">
        <v>83</v>
      </c>
      <c r="G34" s="18"/>
      <c r="H34" s="17"/>
    </row>
    <row r="35" spans="1:8" s="24" customFormat="1" x14ac:dyDescent="0.2">
      <c r="A35" s="20" t="s">
        <v>84</v>
      </c>
      <c r="B35" s="21" t="s">
        <v>85</v>
      </c>
      <c r="C35" s="22">
        <v>94000</v>
      </c>
      <c r="D35" s="23">
        <v>169.905</v>
      </c>
      <c r="E35" s="23">
        <f t="shared" si="0"/>
        <v>1.7002061685881</v>
      </c>
      <c r="F35" s="23" t="s">
        <v>86</v>
      </c>
      <c r="G35" s="18"/>
      <c r="H35" s="18"/>
    </row>
    <row r="36" spans="1:8" s="24" customFormat="1" x14ac:dyDescent="0.2">
      <c r="A36" s="20" t="s">
        <v>87</v>
      </c>
      <c r="B36" s="21" t="s">
        <v>85</v>
      </c>
      <c r="C36" s="22">
        <v>33100</v>
      </c>
      <c r="D36" s="23">
        <v>169.15754999999999</v>
      </c>
      <c r="E36" s="23">
        <f t="shared" si="0"/>
        <v>1.6927265823445448</v>
      </c>
      <c r="F36" s="23" t="s">
        <v>88</v>
      </c>
      <c r="G36" s="18"/>
      <c r="H36" s="25"/>
    </row>
    <row r="37" spans="1:8" s="24" customFormat="1" x14ac:dyDescent="0.2">
      <c r="A37" s="20" t="s">
        <v>89</v>
      </c>
      <c r="B37" s="21" t="s">
        <v>90</v>
      </c>
      <c r="C37" s="22">
        <v>12500</v>
      </c>
      <c r="D37" s="23">
        <v>168.91874999999999</v>
      </c>
      <c r="E37" s="23">
        <f t="shared" si="0"/>
        <v>1.6903369573596485</v>
      </c>
      <c r="F37" s="23" t="s">
        <v>91</v>
      </c>
      <c r="G37" s="18"/>
      <c r="H37" s="17"/>
    </row>
    <row r="38" spans="1:8" s="24" customFormat="1" x14ac:dyDescent="0.2">
      <c r="A38" s="20" t="s">
        <v>92</v>
      </c>
      <c r="B38" s="21" t="s">
        <v>93</v>
      </c>
      <c r="C38" s="22">
        <v>168000</v>
      </c>
      <c r="D38" s="23">
        <v>167.83199999999999</v>
      </c>
      <c r="E38" s="23">
        <f t="shared" si="0"/>
        <v>1.6794620622493626</v>
      </c>
      <c r="F38" s="23" t="s">
        <v>94</v>
      </c>
      <c r="G38" s="18"/>
      <c r="H38" s="18"/>
    </row>
    <row r="39" spans="1:8" s="24" customFormat="1" x14ac:dyDescent="0.2">
      <c r="A39" s="20" t="s">
        <v>95</v>
      </c>
      <c r="B39" s="21" t="s">
        <v>93</v>
      </c>
      <c r="C39" s="22">
        <v>6500</v>
      </c>
      <c r="D39" s="23">
        <v>164.53125</v>
      </c>
      <c r="E39" s="23">
        <f t="shared" si="0"/>
        <v>1.646432101324333</v>
      </c>
      <c r="F39" s="23" t="s">
        <v>96</v>
      </c>
      <c r="G39" s="18"/>
      <c r="H39" s="18"/>
    </row>
    <row r="40" spans="1:8" s="24" customFormat="1" x14ac:dyDescent="0.2">
      <c r="A40" s="20" t="s">
        <v>97</v>
      </c>
      <c r="B40" s="21" t="s">
        <v>98</v>
      </c>
      <c r="C40" s="22">
        <v>28000</v>
      </c>
      <c r="D40" s="23">
        <v>148.68</v>
      </c>
      <c r="E40" s="23">
        <f t="shared" si="0"/>
        <v>1.4878117368275137</v>
      </c>
      <c r="F40" s="23" t="s">
        <v>99</v>
      </c>
      <c r="G40" s="18"/>
      <c r="H40" s="17"/>
    </row>
    <row r="41" spans="1:8" s="24" customFormat="1" x14ac:dyDescent="0.2">
      <c r="A41" s="20" t="s">
        <v>100</v>
      </c>
      <c r="B41" s="21" t="s">
        <v>101</v>
      </c>
      <c r="C41" s="22">
        <v>12850</v>
      </c>
      <c r="D41" s="23">
        <v>139.47389999999999</v>
      </c>
      <c r="E41" s="23">
        <f t="shared" si="0"/>
        <v>1.3956880912100278</v>
      </c>
      <c r="F41" s="23" t="s">
        <v>102</v>
      </c>
      <c r="G41" s="18"/>
      <c r="H41" s="17"/>
    </row>
    <row r="42" spans="1:8" s="24" customFormat="1" x14ac:dyDescent="0.2">
      <c r="A42" s="20" t="s">
        <v>103</v>
      </c>
      <c r="B42" s="21" t="s">
        <v>104</v>
      </c>
      <c r="C42" s="22">
        <v>3150</v>
      </c>
      <c r="D42" s="23">
        <v>128.181375</v>
      </c>
      <c r="E42" s="23">
        <f t="shared" si="0"/>
        <v>1.2826859978994405</v>
      </c>
      <c r="F42" s="23" t="s">
        <v>105</v>
      </c>
      <c r="G42" s="18"/>
      <c r="H42" s="17"/>
    </row>
    <row r="43" spans="1:8" s="24" customFormat="1" x14ac:dyDescent="0.2">
      <c r="A43" s="20" t="s">
        <v>106</v>
      </c>
      <c r="B43" s="21" t="s">
        <v>107</v>
      </c>
      <c r="C43" s="22">
        <v>315000</v>
      </c>
      <c r="D43" s="23">
        <v>125.21250000000001</v>
      </c>
      <c r="E43" s="23">
        <f t="shared" si="0"/>
        <v>1.2529770453155438</v>
      </c>
      <c r="F43" s="23" t="s">
        <v>108</v>
      </c>
      <c r="G43" s="18"/>
      <c r="H43" s="17"/>
    </row>
    <row r="44" spans="1:8" s="24" customFormat="1" x14ac:dyDescent="0.2">
      <c r="A44" s="20" t="s">
        <v>109</v>
      </c>
      <c r="B44" s="21" t="s">
        <v>110</v>
      </c>
      <c r="C44" s="22">
        <v>20000</v>
      </c>
      <c r="D44" s="23">
        <v>103.35</v>
      </c>
      <c r="E44" s="23">
        <f t="shared" si="0"/>
        <v>1.034203275498544</v>
      </c>
      <c r="F44" s="23" t="s">
        <v>111</v>
      </c>
      <c r="G44" s="18"/>
      <c r="H44" s="17"/>
    </row>
    <row r="45" spans="1:8" s="24" customFormat="1" x14ac:dyDescent="0.2">
      <c r="A45" s="20" t="s">
        <v>112</v>
      </c>
      <c r="B45" s="21" t="s">
        <v>18</v>
      </c>
      <c r="C45" s="22">
        <v>27500</v>
      </c>
      <c r="D45" s="23">
        <v>92.523750000000007</v>
      </c>
      <c r="E45" s="23">
        <f t="shared" si="0"/>
        <v>0.9258671050934536</v>
      </c>
      <c r="F45" s="23" t="s">
        <v>113</v>
      </c>
      <c r="G45" s="18"/>
      <c r="H45" s="18"/>
    </row>
    <row r="46" spans="1:8" s="24" customFormat="1" x14ac:dyDescent="0.2">
      <c r="A46" s="20" t="s">
        <v>114</v>
      </c>
      <c r="B46" s="21" t="s">
        <v>60</v>
      </c>
      <c r="C46" s="22">
        <v>5400</v>
      </c>
      <c r="D46" s="23">
        <v>91.789199999999994</v>
      </c>
      <c r="E46" s="23">
        <f t="shared" si="0"/>
        <v>0.91851660663174606</v>
      </c>
      <c r="F46" s="23" t="s">
        <v>115</v>
      </c>
      <c r="G46" s="18"/>
      <c r="H46" s="17"/>
    </row>
    <row r="47" spans="1:8" s="24" customFormat="1" x14ac:dyDescent="0.2">
      <c r="A47" s="20" t="s">
        <v>116</v>
      </c>
      <c r="B47" s="21" t="s">
        <v>117</v>
      </c>
      <c r="C47" s="22">
        <v>3000</v>
      </c>
      <c r="D47" s="23">
        <v>90.141000000000005</v>
      </c>
      <c r="E47" s="23">
        <f t="shared" si="0"/>
        <v>0.902023390969659</v>
      </c>
      <c r="F47" s="23" t="s">
        <v>118</v>
      </c>
      <c r="G47" s="18"/>
      <c r="H47" s="18"/>
    </row>
    <row r="48" spans="1:8" s="24" customFormat="1" x14ac:dyDescent="0.2">
      <c r="A48" s="20" t="s">
        <v>119</v>
      </c>
      <c r="B48" s="21" t="s">
        <v>90</v>
      </c>
      <c r="C48" s="22">
        <v>30000</v>
      </c>
      <c r="D48" s="23">
        <v>86.25</v>
      </c>
      <c r="E48" s="23">
        <f t="shared" si="0"/>
        <v>0.86308691351474998</v>
      </c>
      <c r="F48" s="23" t="s">
        <v>120</v>
      </c>
      <c r="G48" s="18"/>
      <c r="H48" s="18"/>
    </row>
    <row r="49" spans="1:8" s="24" customFormat="1" x14ac:dyDescent="0.2">
      <c r="A49" s="19" t="s">
        <v>121</v>
      </c>
      <c r="B49" s="21"/>
      <c r="C49" s="22"/>
      <c r="D49" s="26">
        <f>IF(ISERROR(SUM(D6:D48)),0,SUM(D6:D48))</f>
        <v>8632.3762540000007</v>
      </c>
      <c r="E49" s="26">
        <f>IF(ISERROR(SUM(E6:E48)),0,SUM(E6:E48))</f>
        <v>86.382504085366705</v>
      </c>
      <c r="F49" s="26"/>
      <c r="G49" s="18"/>
      <c r="H49" s="17"/>
    </row>
    <row r="50" spans="1:8" s="24" customFormat="1" x14ac:dyDescent="0.2">
      <c r="A50" s="19"/>
      <c r="B50" s="19"/>
      <c r="C50" s="27"/>
      <c r="D50" s="28"/>
      <c r="E50" s="28"/>
      <c r="F50" s="28"/>
      <c r="G50" s="18"/>
      <c r="H50" s="17"/>
    </row>
    <row r="51" spans="1:8" s="24" customFormat="1" x14ac:dyDescent="0.2">
      <c r="A51" s="19" t="s">
        <v>122</v>
      </c>
      <c r="B51" s="19"/>
      <c r="C51" s="27"/>
      <c r="D51" s="29" t="s">
        <v>123</v>
      </c>
      <c r="E51" s="29" t="s">
        <v>123</v>
      </c>
      <c r="F51" s="29"/>
      <c r="G51" s="18"/>
      <c r="H51" s="17"/>
    </row>
    <row r="52" spans="1:8" s="24" customFormat="1" x14ac:dyDescent="0.2">
      <c r="A52" s="19"/>
      <c r="B52" s="12"/>
      <c r="C52" s="27"/>
      <c r="D52" s="29"/>
      <c r="E52" s="29"/>
      <c r="F52" s="30"/>
      <c r="G52" s="18"/>
      <c r="H52" s="17"/>
    </row>
    <row r="53" spans="1:8" s="24" customFormat="1" x14ac:dyDescent="0.2">
      <c r="A53" s="19" t="s">
        <v>124</v>
      </c>
      <c r="B53" s="19"/>
      <c r="C53" s="27"/>
      <c r="D53" s="26">
        <f>IF(ISERROR(+D49),0,D49)+IF(ISERROR(+#REF!),0,#REF!)</f>
        <v>8632.3762540000007</v>
      </c>
      <c r="E53" s="26">
        <f>IF(ISERROR(+E49),0,E49)+IF(ISERROR(+#REF!),0,#REF!)</f>
        <v>86.382504085366705</v>
      </c>
      <c r="F53" s="31"/>
      <c r="G53" s="18"/>
      <c r="H53" s="17"/>
    </row>
    <row r="54" spans="1:8" s="24" customFormat="1" x14ac:dyDescent="0.2">
      <c r="A54" s="19"/>
      <c r="B54" s="12"/>
      <c r="C54" s="27"/>
      <c r="D54" s="29"/>
      <c r="E54" s="29"/>
      <c r="F54" s="30"/>
      <c r="G54" s="18"/>
      <c r="H54" s="17"/>
    </row>
    <row r="55" spans="1:8" s="24" customFormat="1" x14ac:dyDescent="0.2">
      <c r="A55" s="19" t="s">
        <v>125</v>
      </c>
      <c r="B55" s="12"/>
      <c r="C55" s="27"/>
      <c r="D55" s="29"/>
      <c r="E55" s="29"/>
      <c r="F55" s="30"/>
      <c r="G55" s="18"/>
      <c r="H55" s="17"/>
    </row>
    <row r="56" spans="1:8" s="24" customFormat="1" x14ac:dyDescent="0.2">
      <c r="A56" s="19" t="s">
        <v>11</v>
      </c>
      <c r="B56" s="12"/>
      <c r="C56" s="27"/>
      <c r="D56" s="29" t="s">
        <v>123</v>
      </c>
      <c r="E56" s="29" t="s">
        <v>123</v>
      </c>
      <c r="F56" s="32"/>
      <c r="G56" s="18"/>
      <c r="H56" s="17"/>
    </row>
    <row r="57" spans="1:8" s="24" customFormat="1" x14ac:dyDescent="0.2">
      <c r="A57" s="19"/>
      <c r="B57" s="12"/>
      <c r="C57" s="33"/>
      <c r="D57" s="32"/>
      <c r="E57" s="32"/>
      <c r="F57" s="32"/>
      <c r="G57" s="18"/>
      <c r="H57" s="17"/>
    </row>
    <row r="58" spans="1:8" s="24" customFormat="1" x14ac:dyDescent="0.2">
      <c r="A58" s="19" t="s">
        <v>126</v>
      </c>
      <c r="B58" s="12"/>
      <c r="C58" s="33"/>
      <c r="D58" s="29" t="s">
        <v>123</v>
      </c>
      <c r="E58" s="29" t="s">
        <v>123</v>
      </c>
      <c r="F58" s="30"/>
      <c r="G58" s="18"/>
      <c r="H58" s="17"/>
    </row>
    <row r="59" spans="1:8" s="24" customFormat="1" x14ac:dyDescent="0.2">
      <c r="A59" s="19"/>
      <c r="B59" s="12"/>
      <c r="C59" s="33"/>
      <c r="D59" s="29"/>
      <c r="E59" s="29"/>
      <c r="F59" s="29"/>
      <c r="G59" s="18"/>
      <c r="H59" s="17"/>
    </row>
    <row r="60" spans="1:8" s="24" customFormat="1" x14ac:dyDescent="0.2">
      <c r="A60" s="19" t="s">
        <v>127</v>
      </c>
      <c r="B60" s="12"/>
      <c r="C60" s="33"/>
      <c r="D60" s="29"/>
      <c r="E60" s="29"/>
      <c r="F60" s="29"/>
      <c r="G60" s="18"/>
      <c r="H60" s="17"/>
    </row>
    <row r="61" spans="1:8" s="24" customFormat="1" x14ac:dyDescent="0.2">
      <c r="A61" s="19"/>
      <c r="B61" s="12"/>
      <c r="C61" s="33"/>
      <c r="D61" s="23"/>
      <c r="E61" s="23"/>
      <c r="F61" s="34"/>
      <c r="G61" s="18"/>
      <c r="H61" s="17"/>
    </row>
    <row r="62" spans="1:8" s="24" customFormat="1" x14ac:dyDescent="0.2">
      <c r="A62" s="19" t="s">
        <v>128</v>
      </c>
      <c r="B62" s="12"/>
      <c r="C62" s="33"/>
      <c r="D62" s="29" t="s">
        <v>123</v>
      </c>
      <c r="E62" s="29" t="s">
        <v>123</v>
      </c>
      <c r="F62" s="29"/>
      <c r="G62" s="18"/>
      <c r="H62" s="17"/>
    </row>
    <row r="63" spans="1:8" s="24" customFormat="1" x14ac:dyDescent="0.2">
      <c r="A63" s="19"/>
      <c r="B63" s="12"/>
      <c r="C63" s="33"/>
      <c r="D63" s="29"/>
      <c r="E63" s="29"/>
      <c r="F63" s="29"/>
      <c r="G63" s="18"/>
      <c r="H63" s="17"/>
    </row>
    <row r="64" spans="1:8" s="24" customFormat="1" x14ac:dyDescent="0.2">
      <c r="A64" s="19" t="s">
        <v>129</v>
      </c>
      <c r="B64" s="12"/>
      <c r="C64" s="33"/>
      <c r="D64" s="29" t="s">
        <v>123</v>
      </c>
      <c r="E64" s="29" t="s">
        <v>123</v>
      </c>
      <c r="F64" s="29"/>
      <c r="G64" s="18"/>
      <c r="H64" s="17"/>
    </row>
    <row r="65" spans="1:8" s="24" customFormat="1" x14ac:dyDescent="0.2">
      <c r="A65" s="19"/>
      <c r="B65" s="12"/>
      <c r="C65" s="33"/>
      <c r="D65" s="29"/>
      <c r="E65" s="29"/>
      <c r="F65" s="29"/>
      <c r="G65" s="18"/>
      <c r="H65" s="17"/>
    </row>
    <row r="66" spans="1:8" s="24" customFormat="1" x14ac:dyDescent="0.2">
      <c r="A66" s="19" t="s">
        <v>130</v>
      </c>
      <c r="B66" s="12"/>
      <c r="C66" s="33"/>
      <c r="D66" s="29"/>
      <c r="E66" s="29"/>
      <c r="F66" s="30"/>
      <c r="G66" s="18"/>
      <c r="H66" s="17"/>
    </row>
    <row r="67" spans="1:8" s="24" customFormat="1" x14ac:dyDescent="0.2">
      <c r="A67" s="19"/>
      <c r="B67" s="35"/>
      <c r="C67" s="36"/>
      <c r="D67" s="32"/>
      <c r="E67" s="32"/>
      <c r="F67" s="37"/>
      <c r="G67" s="18"/>
      <c r="H67" s="17"/>
    </row>
    <row r="68" spans="1:8" s="24" customFormat="1" x14ac:dyDescent="0.2">
      <c r="A68" s="20" t="s">
        <v>131</v>
      </c>
      <c r="B68" s="21"/>
      <c r="C68" s="22">
        <v>0</v>
      </c>
      <c r="D68" s="23">
        <v>1247.9637600000001</v>
      </c>
      <c r="E68" s="23">
        <f>(+D68/$D$76*100)</f>
        <v>12.488129736772898</v>
      </c>
      <c r="F68" s="23" t="s">
        <v>132</v>
      </c>
      <c r="G68" s="18">
        <v>6.4866999999999999</v>
      </c>
      <c r="H68" s="17"/>
    </row>
    <row r="69" spans="1:8" s="24" customFormat="1" x14ac:dyDescent="0.2">
      <c r="A69" s="19" t="s">
        <v>121</v>
      </c>
      <c r="B69" s="12"/>
      <c r="C69" s="33"/>
      <c r="D69" s="29">
        <f>IF(ISERROR(SUM(D68:D68)),0,SUM(D68:D68))</f>
        <v>1247.9637600000001</v>
      </c>
      <c r="E69" s="29">
        <f>IF(ISERROR(SUM(E68:E68)),0,SUM(E68:E68))</f>
        <v>12.488129736772898</v>
      </c>
      <c r="F69" s="23"/>
      <c r="G69" s="18"/>
      <c r="H69" s="17"/>
    </row>
    <row r="70" spans="1:8" s="24" customFormat="1" x14ac:dyDescent="0.2">
      <c r="A70" s="19"/>
      <c r="B70" s="12"/>
      <c r="C70" s="33"/>
      <c r="D70" s="29"/>
      <c r="E70" s="29"/>
      <c r="F70" s="29"/>
      <c r="G70" s="18"/>
      <c r="H70" s="17"/>
    </row>
    <row r="71" spans="1:8" s="24" customFormat="1" x14ac:dyDescent="0.2">
      <c r="A71" s="19"/>
      <c r="B71" s="12"/>
      <c r="C71" s="33"/>
      <c r="D71" s="29"/>
      <c r="E71" s="29"/>
      <c r="F71" s="30"/>
      <c r="G71" s="18"/>
      <c r="H71" s="17"/>
    </row>
    <row r="72" spans="1:8" s="24" customFormat="1" x14ac:dyDescent="0.2">
      <c r="A72" s="19" t="s">
        <v>124</v>
      </c>
      <c r="B72" s="12"/>
      <c r="C72" s="33" t="s">
        <v>133</v>
      </c>
      <c r="D72" s="29">
        <f>+IF(ISERROR(#REF!),0,#REF!)+IF(ISERROR(D69),0,D69)+IF(ISERROR(D53),0,D53)+IF(ISERROR(#REF!),0,#REF!)+IF(ISERROR(#REF!),0,#REF!)+IF(ISERROR(#REF!),0,#REF!)+IF(ISERROR(#REF!),0,#REF!)+IF(ISERROR(#REF!),0,#REF!)+IF(ISERROR(#REF!),0,#REF!)</f>
        <v>9880.3400140000012</v>
      </c>
      <c r="E72" s="29">
        <f>+IF(ISERROR(#REF!),0,#REF!)+IF(ISERROR(E69),0,E69)+IF(ISERROR(E53),0,E53)+IF(ISERROR(#REF!),0,#REF!)+IF(ISERROR(#REF!),0,#REF!)+IF(ISERROR(#REF!),0,#REF!)+IF(ISERROR(#REF!),0,#REF!)+IF(ISERROR(#REF!),0,#REF!)+IF(ISERROR(#REF!),0,#REF!)</f>
        <v>98.870633822139609</v>
      </c>
      <c r="F72" s="29">
        <f>+IF(ISERROR(#REF!),0,#REF!)+IF(ISERROR(F69),0,F69)+IF(ISERROR(F53),0,F53)+IF(ISERROR(#REF!),0,#REF!)+IF(ISERROR(#REF!),0,#REF!)+IF(ISERROR(#REF!),0,#REF!)+IF(ISERROR(#REF!),0,#REF!)</f>
        <v>0</v>
      </c>
      <c r="G72" s="18"/>
      <c r="H72" s="17"/>
    </row>
    <row r="73" spans="1:8" s="24" customFormat="1" x14ac:dyDescent="0.2">
      <c r="A73" s="19"/>
      <c r="B73" s="12"/>
      <c r="C73" s="33"/>
      <c r="D73" s="29"/>
      <c r="E73" s="29"/>
      <c r="F73" s="30"/>
      <c r="G73" s="25"/>
      <c r="H73" s="17"/>
    </row>
    <row r="74" spans="1:8" s="24" customFormat="1" x14ac:dyDescent="0.2">
      <c r="A74" s="19" t="s">
        <v>134</v>
      </c>
      <c r="B74" s="12"/>
      <c r="C74" s="33"/>
      <c r="D74" s="29">
        <f>+D76-D72</f>
        <v>112.85981899989929</v>
      </c>
      <c r="E74" s="29">
        <f>D74/$D$76*100</f>
        <v>1.1293661778603643</v>
      </c>
      <c r="F74" s="30"/>
      <c r="G74" s="25"/>
      <c r="H74" s="17"/>
    </row>
    <row r="75" spans="1:8" s="24" customFormat="1" x14ac:dyDescent="0.2">
      <c r="A75" s="19"/>
      <c r="B75" s="12"/>
      <c r="C75" s="33"/>
      <c r="D75" s="32"/>
      <c r="E75" s="32"/>
      <c r="F75" s="30"/>
      <c r="G75" s="25"/>
      <c r="H75" s="17"/>
    </row>
    <row r="76" spans="1:8" s="24" customFormat="1" x14ac:dyDescent="0.2">
      <c r="A76" s="19" t="s">
        <v>135</v>
      </c>
      <c r="B76" s="12"/>
      <c r="C76" s="33"/>
      <c r="D76" s="29">
        <v>9993.1998329999005</v>
      </c>
      <c r="E76" s="29">
        <f>+E72+E74</f>
        <v>99.999999999999972</v>
      </c>
      <c r="F76" s="30"/>
      <c r="G76" s="25"/>
      <c r="H76" s="17"/>
    </row>
    <row r="77" spans="1:8" s="24" customFormat="1" x14ac:dyDescent="0.2">
      <c r="A77" s="39"/>
      <c r="B77" s="40"/>
      <c r="C77" s="41"/>
      <c r="D77" s="42"/>
      <c r="E77" s="42"/>
      <c r="F77" s="38"/>
      <c r="H77" s="4"/>
    </row>
    <row r="78" spans="1:8" s="24" customFormat="1" x14ac:dyDescent="0.2">
      <c r="A78" s="43"/>
      <c r="B78" s="40"/>
      <c r="C78" s="41"/>
      <c r="D78" s="42"/>
      <c r="E78" s="42"/>
      <c r="F78" s="44"/>
      <c r="H78" s="4"/>
    </row>
    <row r="79" spans="1:8" ht="15" customHeight="1" x14ac:dyDescent="0.25">
      <c r="A79" s="61" t="s">
        <v>136</v>
      </c>
      <c r="B79" s="61"/>
      <c r="C79" s="61"/>
      <c r="D79" s="61"/>
      <c r="E79" s="61"/>
      <c r="F79" s="61"/>
      <c r="G79" s="44"/>
    </row>
    <row r="80" spans="1:8" ht="15" x14ac:dyDescent="0.25">
      <c r="A80" s="59"/>
      <c r="B80" s="59"/>
      <c r="C80" s="59"/>
      <c r="D80" s="59"/>
      <c r="E80" s="59"/>
      <c r="G80" s="44"/>
    </row>
    <row r="81" spans="1:7" ht="34.5" customHeight="1" x14ac:dyDescent="0.2">
      <c r="A81" s="62" t="s">
        <v>137</v>
      </c>
      <c r="B81" s="62"/>
      <c r="C81" s="62"/>
      <c r="D81" s="62"/>
      <c r="E81" s="62"/>
      <c r="F81" s="62"/>
      <c r="G81" s="44"/>
    </row>
    <row r="82" spans="1:7" ht="15" x14ac:dyDescent="0.2">
      <c r="A82" s="60"/>
      <c r="B82" s="60"/>
      <c r="C82" s="60"/>
      <c r="D82" s="60"/>
      <c r="E82" s="60"/>
      <c r="F82" s="60"/>
      <c r="G82" s="44"/>
    </row>
    <row r="83" spans="1:7" ht="15" x14ac:dyDescent="0.2">
      <c r="A83" s="64" t="s">
        <v>138</v>
      </c>
      <c r="B83" s="64"/>
      <c r="C83" s="64"/>
      <c r="D83" s="64"/>
      <c r="E83" s="64"/>
      <c r="F83" s="64"/>
      <c r="G83" s="44"/>
    </row>
    <row r="84" spans="1:7" ht="15" x14ac:dyDescent="0.2">
      <c r="A84" s="45"/>
      <c r="B84" s="45"/>
      <c r="C84" s="45"/>
      <c r="D84" s="45"/>
      <c r="E84" s="45"/>
      <c r="F84" s="45"/>
      <c r="G84" s="44"/>
    </row>
    <row r="85" spans="1:7" ht="77.25" customHeight="1" x14ac:dyDescent="0.2">
      <c r="A85" s="63" t="s">
        <v>139</v>
      </c>
      <c r="B85" s="63"/>
      <c r="C85" s="63"/>
      <c r="D85" s="63"/>
      <c r="E85" s="63"/>
      <c r="F85" s="63"/>
      <c r="G85" s="44"/>
    </row>
    <row r="86" spans="1:7" x14ac:dyDescent="0.2">
      <c r="A86" s="43"/>
      <c r="B86" s="46"/>
      <c r="C86" s="47"/>
      <c r="D86" s="48"/>
      <c r="E86" s="38"/>
      <c r="G86" s="44"/>
    </row>
    <row r="87" spans="1:7" ht="15" x14ac:dyDescent="0.25">
      <c r="A87" s="49" t="s">
        <v>140</v>
      </c>
      <c r="B87" s="50"/>
      <c r="C87" s="50"/>
      <c r="D87" s="50"/>
      <c r="G87" s="44"/>
    </row>
    <row r="88" spans="1:7" ht="15" x14ac:dyDescent="0.25">
      <c r="A88" s="51" t="s">
        <v>141</v>
      </c>
      <c r="B88" s="50"/>
      <c r="G88" s="44"/>
    </row>
    <row r="89" spans="1:7" ht="15" x14ac:dyDescent="0.25">
      <c r="A89" s="53" t="s">
        <v>142</v>
      </c>
      <c r="B89" s="54"/>
      <c r="C89" s="54"/>
      <c r="D89" s="50"/>
      <c r="G89" s="44"/>
    </row>
    <row r="90" spans="1:7" ht="15" x14ac:dyDescent="0.25">
      <c r="A90" s="53" t="s">
        <v>143</v>
      </c>
      <c r="B90" s="50"/>
      <c r="C90" s="50"/>
      <c r="D90" s="50"/>
    </row>
    <row r="91" spans="1:7" ht="15" x14ac:dyDescent="0.25">
      <c r="A91" s="53"/>
      <c r="B91" s="50"/>
      <c r="C91" s="50"/>
      <c r="D91" s="50"/>
    </row>
    <row r="92" spans="1:7" ht="15" x14ac:dyDescent="0.25">
      <c r="A92" s="55" t="s">
        <v>144</v>
      </c>
      <c r="B92" s="50"/>
      <c r="C92" s="56" t="s">
        <v>145</v>
      </c>
      <c r="D92" s="50"/>
    </row>
    <row r="93" spans="1:7" ht="15" x14ac:dyDescent="0.25">
      <c r="A93" s="53"/>
      <c r="B93" s="50"/>
      <c r="C93" s="50"/>
      <c r="D93" s="50"/>
    </row>
    <row r="94" spans="1:7" ht="15" x14ac:dyDescent="0.25">
      <c r="A94" s="53"/>
      <c r="B94" s="50"/>
      <c r="C94" s="50"/>
      <c r="D94" s="50"/>
    </row>
    <row r="95" spans="1:7" x14ac:dyDescent="0.2">
      <c r="A95" s="50"/>
      <c r="B95" s="50"/>
      <c r="C95" s="50"/>
      <c r="D95" s="50"/>
    </row>
    <row r="96" spans="1:7" x14ac:dyDescent="0.2">
      <c r="A96" s="50"/>
      <c r="B96" s="50"/>
      <c r="C96" s="50"/>
      <c r="D96" s="50"/>
    </row>
    <row r="97" spans="1:4" x14ac:dyDescent="0.2">
      <c r="A97" s="50"/>
      <c r="B97" s="50"/>
      <c r="C97" s="50"/>
      <c r="D97" s="50"/>
    </row>
    <row r="98" spans="1:4" x14ac:dyDescent="0.2">
      <c r="A98" s="50"/>
      <c r="B98" s="50"/>
      <c r="C98" s="50"/>
      <c r="D98" s="50"/>
    </row>
    <row r="99" spans="1:4" x14ac:dyDescent="0.2">
      <c r="A99" s="50"/>
      <c r="B99" s="50"/>
      <c r="C99" s="50"/>
      <c r="D99" s="50"/>
    </row>
    <row r="100" spans="1:4" x14ac:dyDescent="0.2">
      <c r="A100" s="50"/>
      <c r="B100" s="50"/>
      <c r="C100" s="50"/>
      <c r="D100" s="50"/>
    </row>
    <row r="101" spans="1:4" x14ac:dyDescent="0.2">
      <c r="A101" s="50"/>
      <c r="B101" s="50"/>
      <c r="C101" s="50"/>
      <c r="D101" s="50"/>
    </row>
    <row r="102" spans="1:4" x14ac:dyDescent="0.2">
      <c r="A102" s="50"/>
      <c r="B102" s="50"/>
      <c r="C102" s="50"/>
      <c r="D102" s="50"/>
    </row>
    <row r="103" spans="1:4" x14ac:dyDescent="0.2">
      <c r="A103" s="50"/>
      <c r="B103" s="50"/>
      <c r="C103" s="50"/>
      <c r="D103" s="50"/>
    </row>
    <row r="104" spans="1:4" x14ac:dyDescent="0.2">
      <c r="A104" s="50"/>
      <c r="B104" s="50"/>
      <c r="C104" s="50"/>
      <c r="D104" s="50"/>
    </row>
    <row r="105" spans="1:4" x14ac:dyDescent="0.2">
      <c r="A105" s="50"/>
      <c r="B105" s="50"/>
      <c r="C105" s="50"/>
      <c r="D105" s="50"/>
    </row>
    <row r="106" spans="1:4" x14ac:dyDescent="0.2">
      <c r="A106" s="50"/>
      <c r="B106" s="50"/>
      <c r="C106" s="50"/>
      <c r="D106" s="50"/>
    </row>
    <row r="107" spans="1:4" x14ac:dyDescent="0.2">
      <c r="A107" s="50"/>
      <c r="B107" s="50"/>
      <c r="C107" s="50"/>
      <c r="D107" s="50"/>
    </row>
    <row r="108" spans="1:4" x14ac:dyDescent="0.2">
      <c r="A108" s="50"/>
      <c r="B108" s="50"/>
      <c r="C108" s="50"/>
      <c r="D108" s="50"/>
    </row>
  </sheetData>
  <mergeCells count="4">
    <mergeCell ref="A81:F81"/>
    <mergeCell ref="A79:F79"/>
    <mergeCell ref="A83:F83"/>
    <mergeCell ref="A85:F85"/>
  </mergeCells>
  <pageMargins left="0.75" right="0.25" top="1" bottom="1" header="0.5" footer="0.5"/>
  <pageSetup paperSize="9" scale="6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2023-01-05T06:52:53Z</dcterms:created>
  <dcterms:modified xsi:type="dcterms:W3CDTF">2023-01-05T11:05:41Z</dcterms:modified>
</cp:coreProperties>
</file>