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p\NAV All Files 2006-2007\Monthly Portfolio\March 2025\Monthly\Monthly portfolio - sent\"/>
    </mc:Choice>
  </mc:AlternateContent>
  <bookViews>
    <workbookView xWindow="-105" yWindow="-105" windowWidth="19425" windowHeight="10425"/>
  </bookViews>
  <sheets>
    <sheet name="JM Medium to Long Duration" sheetId="1" r:id="rId1"/>
  </sheets>
  <definedNames>
    <definedName name="_xlnm._FilterDatabase" localSheetId="0" hidden="1">'JM Medium to Long Duration'!$A$4:$H$32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Medium to Long Duration'!$A$1:$E$23</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6" i="1" l="1"/>
  <c r="E15" i="1"/>
  <c r="D15" i="1"/>
  <c r="D16" i="1" s="1"/>
  <c r="D32" i="1" s="1"/>
  <c r="E23" i="1"/>
  <c r="D23" i="1"/>
  <c r="E27" i="1"/>
  <c r="D27" i="1"/>
  <c r="E31" i="1"/>
  <c r="D31" i="1"/>
  <c r="E32" i="1" l="1"/>
</calcChain>
</file>

<file path=xl/sharedStrings.xml><?xml version="1.0" encoding="utf-8"?>
<sst xmlns="http://schemas.openxmlformats.org/spreadsheetml/2006/main" count="90" uniqueCount="68">
  <si>
    <t>JM Financial Mutual Fund</t>
  </si>
  <si>
    <t>JM Medium to Long Duration Fund(An open ended medium term debt scheme investing in instruments such that the Macaulay duration of the portfolio is between 4 years to 7 years. A relatively high interest rate risk and moderate credit risk.)</t>
  </si>
  <si>
    <t>Name of the Instruments</t>
  </si>
  <si>
    <t>Industry/Rating</t>
  </si>
  <si>
    <t>Market Value (Rs. In Lakhs)</t>
  </si>
  <si>
    <t>% age to NAV</t>
  </si>
  <si>
    <t>ISIN</t>
  </si>
  <si>
    <t>Yield %</t>
  </si>
  <si>
    <t>^YTC (AT1/Tier 2 bonds)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</si>
  <si>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</si>
  <si>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</si>
  <si>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</si>
  <si>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</si>
  <si>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 *</t>
  </si>
  <si>
    <t>• Regular Income over Medium to Long Term.</t>
  </si>
  <si>
    <t>• Investment in debt and money market securities such that the Macaulay duration of the portfolio is between 4 years – 7 years.</t>
  </si>
  <si>
    <t>* Investors should consult their financial advisers if in doubt about whether the product is suitable for them.</t>
  </si>
  <si>
    <t xml:space="preserve">    Riskometer of the scheme </t>
  </si>
  <si>
    <t>CRISIL Medium to Long Duration Debt A-III Index</t>
  </si>
  <si>
    <t>The risk of the scheme is Moderate</t>
  </si>
  <si>
    <t xml:space="preserve">   The risk of the benchmark is Moderate</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</si>
  <si>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</si>
  <si>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</si>
  <si>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</si>
  <si>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</si>
  <si>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</si>
  <si>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</si>
  <si>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</si>
  <si>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</si>
  <si>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Relatively High Class (Class III)</t>
  </si>
  <si>
    <t>B-III</t>
  </si>
  <si>
    <t>Portfolio Information</t>
  </si>
  <si>
    <t>Scheme Name :</t>
  </si>
  <si>
    <t xml:space="preserve"> JM Medium to Long Duration Fund </t>
  </si>
  <si>
    <t>Description (if any)</t>
  </si>
  <si>
    <t>Annualised Portfolio YTM* : (Regular &amp; Direct)</t>
  </si>
  <si>
    <t xml:space="preserve"> </t>
  </si>
  <si>
    <t>Macaulay Duration ( Years )</t>
  </si>
  <si>
    <t>Residual Maturity ( Years )</t>
  </si>
  <si>
    <t xml:space="preserve">As on (Date) </t>
  </si>
  <si>
    <t xml:space="preserve">* in case of semi annual YTM,  it will be annualised </t>
  </si>
  <si>
    <t>DEBT INSTRUMENTS</t>
  </si>
  <si>
    <t>(a) Listed / awaiting listing on Stock Exchanges</t>
  </si>
  <si>
    <t>NIL</t>
  </si>
  <si>
    <t>Sub Total</t>
  </si>
  <si>
    <t>(b) Privately placed / Unlisted</t>
  </si>
  <si>
    <t>(c) Securitized Debt Instruments</t>
  </si>
  <si>
    <t>(d) Government Securities / SDL</t>
  </si>
  <si>
    <t>6.79% GOI - 07-OCT-2034</t>
  </si>
  <si>
    <t>SOVEREIGN</t>
  </si>
  <si>
    <t>IN0020240126</t>
  </si>
  <si>
    <t>6.92% GOI  18-Nov-2039</t>
  </si>
  <si>
    <t>IN0020240134</t>
  </si>
  <si>
    <t>Total</t>
  </si>
  <si>
    <t>MONEY MARKET INSTRUMENTS</t>
  </si>
  <si>
    <t>Alternative Investment Fund Units</t>
  </si>
  <si>
    <t>INF0RQ622028</t>
  </si>
  <si>
    <t>TREPS / Reverse Repo Investments / Corporate Debt Repo</t>
  </si>
  <si>
    <t>CCIL</t>
  </si>
  <si>
    <t>Cash &amp; Cash Equivalents</t>
  </si>
  <si>
    <t>Net Receivable/Payable</t>
  </si>
  <si>
    <t>Grand Total</t>
  </si>
  <si>
    <t>Corporate Debt Market Development Fund - Class A2 Units</t>
  </si>
  <si>
    <t>Quantity/Face Value</t>
  </si>
  <si>
    <t>6.58%</t>
  </si>
  <si>
    <t>6.69%</t>
  </si>
  <si>
    <t>31.03.2025</t>
  </si>
  <si>
    <t>Monthly Portfolio Statement for the period ended 31.03.2025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</si>
</sst>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2">
    <font>
      <sz val="11"/>
      <color theme="1"/>
      <name val="Aptos Narrow"/>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i/>
      <sz val="8"/>
      <color indexed="8"/>
      <name val="Century Gothic"/>
      <family val="2"/>
    </font>
    <font>
      <b/>
      <sz val="8"/>
      <color indexed="8"/>
      <name val="Century Gothic"/>
      <family val="2"/>
    </font>
    <font>
      <b/>
      <sz val="8"/>
      <color indexed="9"/>
      <name val="Century Gothic"/>
      <family val="2"/>
    </font>
    <font>
      <sz val="8"/>
      <color indexed="8"/>
      <name val="Century Gothic"/>
      <family val="2"/>
    </font>
    <font>
      <b/>
      <sz val="8"/>
      <name val="Times New Roman"/>
      <family val="1"/>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9">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6" fillId="0" borderId="0"/>
    <xf numFmtId="164" fontId="1" fillId="0" borderId="0" applyFont="0" applyFill="0" applyBorder="0" applyAlignment="0" applyProtection="0"/>
    <xf numFmtId="0" fontId="1" fillId="0" borderId="0"/>
  </cellStyleXfs>
  <cellXfs count="68">
    <xf numFmtId="0" fontId="0" fillId="0" borderId="0" xfId="0"/>
    <xf numFmtId="0" fontId="3" fillId="0" borderId="0" xfId="3" applyFont="1"/>
    <xf numFmtId="0" fontId="4" fillId="0" borderId="3" xfId="3" applyFont="1" applyBorder="1" applyAlignment="1">
      <alignment horizontal="center" vertical="center" wrapText="1"/>
    </xf>
    <xf numFmtId="0" fontId="4" fillId="0" borderId="3" xfId="3" applyFont="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Border="1" applyAlignment="1">
      <alignment wrapText="1"/>
    </xf>
    <xf numFmtId="0" fontId="4" fillId="0" borderId="3" xfId="3" applyFont="1" applyBorder="1" applyAlignment="1">
      <alignment horizontal="left" wrapText="1"/>
    </xf>
    <xf numFmtId="10" fontId="4" fillId="0" borderId="3" xfId="3" applyNumberFormat="1" applyFont="1" applyBorder="1" applyAlignment="1">
      <alignment horizontal="left" wrapText="1"/>
    </xf>
    <xf numFmtId="0" fontId="5" fillId="0" borderId="3" xfId="3" applyFont="1" applyBorder="1" applyAlignment="1">
      <alignment horizontal="right"/>
    </xf>
    <xf numFmtId="166" fontId="5" fillId="0" borderId="3" xfId="3" applyNumberFormat="1" applyFont="1" applyBorder="1"/>
    <xf numFmtId="0" fontId="5" fillId="0" borderId="3" xfId="3" applyFont="1" applyBorder="1"/>
    <xf numFmtId="0" fontId="4" fillId="0" borderId="0" xfId="3" applyFont="1" applyAlignment="1">
      <alignment wrapText="1"/>
    </xf>
    <xf numFmtId="0" fontId="4" fillId="0" borderId="0" xfId="3" applyFont="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Alignment="1">
      <alignment horizontal="right"/>
    </xf>
    <xf numFmtId="0" fontId="5" fillId="0" borderId="0" xfId="3" applyFont="1"/>
    <xf numFmtId="0" fontId="7" fillId="0" borderId="0" xfId="5" applyFont="1" applyAlignment="1">
      <alignment wrapText="1"/>
    </xf>
    <xf numFmtId="0" fontId="5" fillId="0" borderId="0" xfId="3" applyFont="1" applyAlignment="1">
      <alignment wrapText="1"/>
    </xf>
    <xf numFmtId="0" fontId="8" fillId="0" borderId="0" xfId="6" applyFont="1"/>
    <xf numFmtId="0" fontId="9" fillId="0" borderId="0" xfId="3" applyFont="1" applyAlignment="1">
      <alignment horizontal="left" wrapText="1"/>
    </xf>
    <xf numFmtId="0" fontId="10" fillId="0" borderId="0" xfId="6" applyFont="1"/>
    <xf numFmtId="0" fontId="5" fillId="0" borderId="0" xfId="3" applyFont="1" applyAlignment="1">
      <alignment horizontal="left" wrapText="1"/>
    </xf>
    <xf numFmtId="165" fontId="5" fillId="0" borderId="0" xfId="1" applyNumberFormat="1" applyFont="1"/>
    <xf numFmtId="0" fontId="8" fillId="0" borderId="0" xfId="6" applyFont="1" applyAlignment="1">
      <alignment horizontal="center"/>
    </xf>
    <xf numFmtId="0" fontId="11" fillId="0" borderId="0" xfId="3" applyFont="1" applyAlignment="1">
      <alignment horizontal="center" wrapText="1"/>
    </xf>
    <xf numFmtId="0" fontId="8" fillId="0" borderId="7" xfId="3" applyFont="1" applyBorder="1" applyAlignment="1">
      <alignment vertical="center" wrapText="1"/>
    </xf>
    <xf numFmtId="0" fontId="10" fillId="0" borderId="7" xfId="3" applyFont="1" applyBorder="1" applyAlignment="1">
      <alignment vertical="center" wrapText="1"/>
    </xf>
    <xf numFmtId="0" fontId="10" fillId="0" borderId="9" xfId="3" applyFont="1" applyBorder="1" applyAlignment="1">
      <alignment vertical="center" wrapText="1"/>
    </xf>
    <xf numFmtId="0" fontId="10" fillId="3" borderId="9"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Border="1" applyAlignment="1">
      <alignment horizontal="center" wrapText="1"/>
    </xf>
    <xf numFmtId="166" fontId="5" fillId="0" borderId="3" xfId="3" applyNumberFormat="1" applyFont="1" applyBorder="1" applyAlignment="1">
      <alignment horizontal="center"/>
    </xf>
    <xf numFmtId="14" fontId="5" fillId="0" borderId="3" xfId="3" applyNumberFormat="1" applyFont="1" applyBorder="1" applyAlignment="1">
      <alignment horizontal="center" wrapText="1"/>
    </xf>
    <xf numFmtId="165" fontId="5" fillId="0" borderId="0" xfId="7" applyNumberFormat="1" applyFont="1"/>
    <xf numFmtId="0" fontId="5" fillId="0" borderId="11" xfId="3" applyFont="1" applyBorder="1" applyAlignment="1">
      <alignment horizontal="left" wrapText="1"/>
    </xf>
    <xf numFmtId="0" fontId="5" fillId="0" borderId="10"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10" fontId="5" fillId="0" borderId="3" xfId="3" applyNumberFormat="1" applyFont="1" applyBorder="1" applyAlignment="1">
      <alignment horizontal="left" wrapText="1"/>
    </xf>
    <xf numFmtId="4" fontId="4" fillId="0" borderId="3" xfId="3" applyNumberFormat="1" applyFont="1" applyBorder="1" applyAlignment="1">
      <alignment horizontal="center" vertical="center" wrapText="1"/>
    </xf>
    <xf numFmtId="4" fontId="4" fillId="0" borderId="3" xfId="3" applyNumberFormat="1" applyFont="1" applyBorder="1" applyAlignment="1">
      <alignment horizontal="left" wrapText="1"/>
    </xf>
    <xf numFmtId="4" fontId="5" fillId="0" borderId="3" xfId="3" applyNumberFormat="1" applyFont="1" applyBorder="1" applyAlignment="1">
      <alignment horizontal="left" wrapText="1"/>
    </xf>
    <xf numFmtId="4" fontId="5" fillId="0" borderId="3" xfId="8" applyNumberFormat="1" applyFont="1" applyFill="1" applyBorder="1" applyAlignment="1">
      <alignment wrapText="1"/>
    </xf>
    <xf numFmtId="10" fontId="5" fillId="0" borderId="3" xfId="3" applyNumberFormat="1" applyFont="1" applyBorder="1" applyAlignment="1">
      <alignment horizontal="center"/>
    </xf>
    <xf numFmtId="4" fontId="3" fillId="0" borderId="0" xfId="3" applyNumberFormat="1" applyFont="1"/>
    <xf numFmtId="10" fontId="4" fillId="0" borderId="3" xfId="2" applyNumberFormat="1" applyFont="1" applyBorder="1" applyAlignment="1">
      <alignment horizontal="left" wrapText="1"/>
    </xf>
    <xf numFmtId="0" fontId="7" fillId="0" borderId="0" xfId="5" applyFont="1" applyAlignment="1">
      <alignment vertical="top" wrapText="1"/>
    </xf>
    <xf numFmtId="0" fontId="5" fillId="0" borderId="0" xfId="4" applyFont="1" applyAlignment="1">
      <alignmen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5" fillId="0" borderId="0" xfId="4" applyFont="1" applyAlignment="1">
      <alignment horizontal="left" vertical="top" wrapText="1"/>
    </xf>
    <xf numFmtId="0" fontId="5" fillId="0" borderId="2" xfId="3" applyFont="1" applyBorder="1" applyAlignment="1">
      <alignment horizontal="center" wrapText="1"/>
    </xf>
    <xf numFmtId="0" fontId="5" fillId="0" borderId="10" xfId="3" applyFont="1" applyBorder="1" applyAlignment="1">
      <alignment horizontal="center" wrapText="1"/>
    </xf>
    <xf numFmtId="0" fontId="4" fillId="0" borderId="0" xfId="3" applyFont="1" applyAlignment="1">
      <alignment horizontal="center"/>
    </xf>
    <xf numFmtId="0" fontId="11" fillId="0" borderId="0" xfId="3" applyFont="1" applyAlignment="1">
      <alignment horizontal="center" wrapText="1"/>
    </xf>
    <xf numFmtId="0" fontId="8" fillId="0" borderId="4" xfId="3" applyFont="1" applyBorder="1" applyAlignment="1">
      <alignment horizontal="center" vertical="center" wrapText="1"/>
    </xf>
    <xf numFmtId="0" fontId="8" fillId="0" borderId="5" xfId="3" applyFont="1" applyBorder="1" applyAlignment="1">
      <alignment horizontal="center" vertical="center" wrapText="1"/>
    </xf>
    <xf numFmtId="0" fontId="8" fillId="0" borderId="6" xfId="3" applyFont="1" applyBorder="1" applyAlignment="1">
      <alignment horizontal="center" vertical="center" wrapText="1"/>
    </xf>
    <xf numFmtId="0" fontId="8" fillId="0" borderId="8" xfId="3" applyFont="1" applyBorder="1" applyAlignment="1">
      <alignment horizontal="left" vertical="center" wrapText="1"/>
    </xf>
    <xf numFmtId="0" fontId="8" fillId="0" borderId="7" xfId="3" applyFont="1" applyBorder="1" applyAlignment="1">
      <alignment horizontal="left" vertical="center" wrapText="1"/>
    </xf>
  </cellXfs>
  <cellStyles count="9">
    <cellStyle name="Comma" xfId="1" builtinId="3"/>
    <cellStyle name="Comma 3" xfId="7"/>
    <cellStyle name="Normal" xfId="0" builtinId="0"/>
    <cellStyle name="Normal 2 2 2" xfId="3"/>
    <cellStyle name="Normal 2 2_Template Portfolio Disclosure -31.01 2025" xfId="8"/>
    <cellStyle name="Normal 2 3 2" xfId="4"/>
    <cellStyle name="Normal 4_IF" xfId="6"/>
    <cellStyle name="Normal 4_LD" xfI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819150</xdr:colOff>
      <xdr:row>44</xdr:row>
      <xdr:rowOff>95250</xdr:rowOff>
    </xdr:from>
    <xdr:to>
      <xdr:col>0</xdr:col>
      <xdr:colOff>3352800</xdr:colOff>
      <xdr:row>53</xdr:row>
      <xdr:rowOff>47625</xdr:rowOff>
    </xdr:to>
    <xdr:pic>
      <xdr:nvPicPr>
        <xdr:cNvPr id="2" name="Picture 7">
          <a:extLst>
            <a:ext uri="{FF2B5EF4-FFF2-40B4-BE49-F238E27FC236}">
              <a16:creationId xmlns:a16="http://schemas.microsoft.com/office/drawing/2014/main" id="{E02136FD-907A-4290-B2AC-AEF22B4BD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9150" y="10115550"/>
          <a:ext cx="2533650" cy="143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561975</xdr:colOff>
      <xdr:row>44</xdr:row>
      <xdr:rowOff>104775</xdr:rowOff>
    </xdr:from>
    <xdr:to>
      <xdr:col>4</xdr:col>
      <xdr:colOff>390525</xdr:colOff>
      <xdr:row>53</xdr:row>
      <xdr:rowOff>57150</xdr:rowOff>
    </xdr:to>
    <xdr:pic>
      <xdr:nvPicPr>
        <xdr:cNvPr id="3" name="Picture 8">
          <a:extLst>
            <a:ext uri="{FF2B5EF4-FFF2-40B4-BE49-F238E27FC236}">
              <a16:creationId xmlns:a16="http://schemas.microsoft.com/office/drawing/2014/main" id="{C8E9343C-BCAE-46B8-BADB-E67F0B5F5E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6875" y="10125075"/>
          <a:ext cx="2676525" cy="1438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I75"/>
  <sheetViews>
    <sheetView tabSelected="1" topLeftCell="A55" zoomScaleNormal="100" workbookViewId="0">
      <selection activeCell="B71" sqref="B71"/>
    </sheetView>
  </sheetViews>
  <sheetFormatPr defaultColWidth="9.125" defaultRowHeight="12.75"/>
  <cols>
    <col min="1" max="1" width="52.125" style="42" customWidth="1"/>
    <col min="2" max="2" width="17.5" style="43" customWidth="1"/>
    <col min="3" max="3" width="13.5" style="44" customWidth="1"/>
    <col min="4" max="4" width="10.125" style="1" customWidth="1"/>
    <col min="5" max="5" width="9.5" style="1" customWidth="1"/>
    <col min="6" max="6" width="16.25" style="1" customWidth="1"/>
    <col min="7" max="7" width="9.5" style="1" bestFit="1" customWidth="1"/>
    <col min="8" max="8" width="12.25" style="1" customWidth="1"/>
    <col min="9" max="16384" width="9.125" style="1"/>
  </cols>
  <sheetData>
    <row r="1" spans="1:8">
      <c r="A1" s="55" t="s">
        <v>0</v>
      </c>
      <c r="B1" s="55"/>
      <c r="C1" s="55"/>
      <c r="D1" s="55"/>
      <c r="E1" s="55"/>
      <c r="F1" s="55"/>
      <c r="G1" s="55"/>
      <c r="H1" s="55"/>
    </row>
    <row r="2" spans="1:8" ht="27.75" customHeight="1">
      <c r="A2" s="56" t="s">
        <v>1</v>
      </c>
      <c r="B2" s="56"/>
      <c r="C2" s="56"/>
      <c r="D2" s="56"/>
      <c r="E2" s="56"/>
      <c r="F2" s="56"/>
      <c r="G2" s="56"/>
      <c r="H2" s="56"/>
    </row>
    <row r="3" spans="1:8" ht="12.75" customHeight="1">
      <c r="A3" s="57" t="s">
        <v>67</v>
      </c>
      <c r="B3" s="57"/>
      <c r="C3" s="57"/>
      <c r="D3" s="57"/>
      <c r="E3" s="57"/>
      <c r="F3" s="57"/>
      <c r="G3" s="57"/>
      <c r="H3" s="57"/>
    </row>
    <row r="4" spans="1:8" s="5" customFormat="1" ht="25.5">
      <c r="A4" s="2" t="s">
        <v>2</v>
      </c>
      <c r="B4" s="3" t="s">
        <v>3</v>
      </c>
      <c r="C4" s="4" t="s">
        <v>63</v>
      </c>
      <c r="D4" s="46" t="s">
        <v>4</v>
      </c>
      <c r="E4" s="2" t="s">
        <v>5</v>
      </c>
      <c r="F4" s="2" t="s">
        <v>6</v>
      </c>
      <c r="G4" s="2" t="s">
        <v>7</v>
      </c>
      <c r="H4" s="2" t="s">
        <v>8</v>
      </c>
    </row>
    <row r="5" spans="1:8" ht="14.25">
      <c r="A5" s="6" t="s">
        <v>41</v>
      </c>
      <c r="B5" s="7"/>
      <c r="C5" s="7"/>
      <c r="D5" s="47"/>
      <c r="E5" s="8"/>
      <c r="F5" s="9"/>
      <c r="G5" s="10"/>
      <c r="H5" s="11"/>
    </row>
    <row r="6" spans="1:8" ht="14.25">
      <c r="A6" s="6" t="s">
        <v>42</v>
      </c>
      <c r="B6" s="7"/>
      <c r="C6" s="7"/>
      <c r="D6" s="47" t="s">
        <v>43</v>
      </c>
      <c r="E6" s="8" t="s">
        <v>43</v>
      </c>
      <c r="F6" s="9"/>
      <c r="G6" s="10"/>
      <c r="H6" s="11"/>
    </row>
    <row r="7" spans="1:8" ht="14.25">
      <c r="A7" s="6" t="s">
        <v>44</v>
      </c>
      <c r="B7" s="7"/>
      <c r="C7" s="7"/>
      <c r="D7" s="47" t="s">
        <v>43</v>
      </c>
      <c r="E7" s="8" t="s">
        <v>43</v>
      </c>
      <c r="F7" s="9"/>
      <c r="G7" s="10"/>
      <c r="H7" s="11"/>
    </row>
    <row r="8" spans="1:8" ht="14.25">
      <c r="A8" s="6" t="s">
        <v>45</v>
      </c>
      <c r="B8" s="7"/>
      <c r="C8" s="7"/>
      <c r="D8" s="47" t="s">
        <v>43</v>
      </c>
      <c r="E8" s="8" t="s">
        <v>43</v>
      </c>
      <c r="F8" s="9"/>
      <c r="G8" s="10"/>
      <c r="H8" s="11"/>
    </row>
    <row r="9" spans="1:8" ht="14.25">
      <c r="A9" s="6" t="s">
        <v>44</v>
      </c>
      <c r="B9" s="7"/>
      <c r="C9" s="7"/>
      <c r="D9" s="47" t="s">
        <v>43</v>
      </c>
      <c r="E9" s="8" t="s">
        <v>43</v>
      </c>
      <c r="F9" s="9"/>
      <c r="G9" s="10"/>
      <c r="H9" s="11"/>
    </row>
    <row r="10" spans="1:8" ht="14.25">
      <c r="A10" s="6" t="s">
        <v>46</v>
      </c>
      <c r="B10" s="7"/>
      <c r="C10" s="7"/>
      <c r="D10" s="47" t="s">
        <v>43</v>
      </c>
      <c r="E10" s="8" t="s">
        <v>43</v>
      </c>
      <c r="F10" s="9"/>
      <c r="G10" s="10"/>
      <c r="H10" s="11"/>
    </row>
    <row r="11" spans="1:8" ht="14.25">
      <c r="A11" s="6" t="s">
        <v>44</v>
      </c>
      <c r="B11" s="7"/>
      <c r="C11" s="7"/>
      <c r="D11" s="47" t="s">
        <v>43</v>
      </c>
      <c r="E11" s="8" t="s">
        <v>43</v>
      </c>
      <c r="F11" s="9"/>
      <c r="G11" s="10"/>
      <c r="H11" s="11"/>
    </row>
    <row r="12" spans="1:8" ht="14.25">
      <c r="A12" s="6" t="s">
        <v>47</v>
      </c>
      <c r="B12" s="7"/>
      <c r="C12" s="7"/>
      <c r="D12" s="47"/>
      <c r="E12" s="8"/>
      <c r="F12" s="9"/>
      <c r="G12" s="10"/>
      <c r="H12" s="11"/>
    </row>
    <row r="13" spans="1:8" ht="14.25">
      <c r="A13" s="33" t="s">
        <v>48</v>
      </c>
      <c r="B13" s="34" t="s">
        <v>49</v>
      </c>
      <c r="C13" s="34">
        <v>1925000</v>
      </c>
      <c r="D13" s="48">
        <v>1953.3744999999999</v>
      </c>
      <c r="E13" s="45">
        <v>0.82518061970010326</v>
      </c>
      <c r="F13" s="9" t="s">
        <v>50</v>
      </c>
      <c r="G13" s="50" t="s">
        <v>64</v>
      </c>
      <c r="H13" s="11"/>
    </row>
    <row r="14" spans="1:8" ht="14.25">
      <c r="A14" s="33" t="s">
        <v>51</v>
      </c>
      <c r="B14" s="34" t="s">
        <v>49</v>
      </c>
      <c r="C14" s="34">
        <v>250000</v>
      </c>
      <c r="D14" s="48">
        <v>255.38374999999999</v>
      </c>
      <c r="E14" s="45">
        <v>0.10788393167123675</v>
      </c>
      <c r="F14" s="9" t="s">
        <v>52</v>
      </c>
      <c r="G14" s="50" t="s">
        <v>65</v>
      </c>
      <c r="H14" s="11"/>
    </row>
    <row r="15" spans="1:8" ht="14.25">
      <c r="A15" s="6" t="s">
        <v>44</v>
      </c>
      <c r="B15" s="7"/>
      <c r="C15" s="7"/>
      <c r="D15" s="47">
        <f>SUM(D13:D14)</f>
        <v>2208.7582499999999</v>
      </c>
      <c r="E15" s="52">
        <f>SUM(E13:E14)</f>
        <v>0.93306455137134003</v>
      </c>
      <c r="F15" s="9"/>
      <c r="G15" s="37"/>
      <c r="H15" s="11"/>
    </row>
    <row r="16" spans="1:8" ht="14.25">
      <c r="A16" s="6" t="s">
        <v>53</v>
      </c>
      <c r="B16" s="7"/>
      <c r="C16" s="7"/>
      <c r="D16" s="47">
        <f>+D15</f>
        <v>2208.7582499999999</v>
      </c>
      <c r="E16" s="52">
        <f>+E15</f>
        <v>0.93306455137134003</v>
      </c>
      <c r="F16" s="9"/>
      <c r="G16" s="37"/>
      <c r="H16" s="11"/>
    </row>
    <row r="17" spans="1:9" ht="14.25">
      <c r="A17" s="6"/>
      <c r="B17" s="7"/>
      <c r="C17" s="7"/>
      <c r="D17" s="47"/>
      <c r="E17" s="8"/>
      <c r="F17" s="9"/>
      <c r="G17" s="37"/>
      <c r="H17" s="11"/>
    </row>
    <row r="18" spans="1:9" ht="14.25">
      <c r="A18" s="6" t="s">
        <v>54</v>
      </c>
      <c r="B18" s="7"/>
      <c r="C18" s="7"/>
      <c r="D18" s="47"/>
      <c r="E18" s="8"/>
      <c r="F18" s="9"/>
      <c r="G18" s="37"/>
      <c r="H18" s="11"/>
    </row>
    <row r="19" spans="1:9" ht="14.25">
      <c r="A19" s="6" t="s">
        <v>53</v>
      </c>
      <c r="B19" s="7"/>
      <c r="C19" s="7"/>
      <c r="D19" s="47" t="s">
        <v>43</v>
      </c>
      <c r="E19" s="8" t="s">
        <v>43</v>
      </c>
      <c r="F19" s="9"/>
      <c r="G19" s="37"/>
      <c r="H19" s="11"/>
    </row>
    <row r="20" spans="1:9" ht="14.25">
      <c r="A20" s="6"/>
      <c r="B20" s="7"/>
      <c r="C20" s="7"/>
      <c r="D20" s="47"/>
      <c r="E20" s="8"/>
      <c r="F20" s="9"/>
      <c r="G20" s="37"/>
      <c r="H20" s="11"/>
    </row>
    <row r="21" spans="1:9" ht="14.25">
      <c r="A21" s="6" t="s">
        <v>55</v>
      </c>
      <c r="B21" s="7"/>
      <c r="C21" s="7"/>
      <c r="D21" s="47"/>
      <c r="E21" s="8"/>
      <c r="F21" s="9"/>
      <c r="G21" s="37"/>
      <c r="H21" s="11"/>
    </row>
    <row r="22" spans="1:9" ht="14.25">
      <c r="A22" s="49" t="s">
        <v>62</v>
      </c>
      <c r="B22" s="34"/>
      <c r="C22" s="34">
        <v>67.489000000000004</v>
      </c>
      <c r="D22" s="48">
        <v>7.4471622000000002</v>
      </c>
      <c r="E22" s="45">
        <v>3.145968128079477E-3</v>
      </c>
      <c r="F22" s="9" t="s">
        <v>56</v>
      </c>
      <c r="G22" s="50">
        <v>6.4600000000000005E-2</v>
      </c>
      <c r="H22" s="11"/>
    </row>
    <row r="23" spans="1:9" ht="14.25">
      <c r="A23" s="6" t="s">
        <v>53</v>
      </c>
      <c r="B23" s="7"/>
      <c r="C23" s="7"/>
      <c r="D23" s="47">
        <f>+D22</f>
        <v>7.4471622000000002</v>
      </c>
      <c r="E23" s="52">
        <f>+E22</f>
        <v>3.145968128079477E-3</v>
      </c>
      <c r="F23" s="9"/>
      <c r="G23" s="37"/>
      <c r="H23" s="11"/>
    </row>
    <row r="24" spans="1:9" ht="14.25">
      <c r="A24" s="6"/>
      <c r="B24" s="7"/>
      <c r="C24" s="7"/>
      <c r="D24" s="47"/>
      <c r="E24" s="8"/>
      <c r="F24" s="9"/>
      <c r="G24" s="37"/>
      <c r="H24" s="11"/>
    </row>
    <row r="25" spans="1:9" ht="14.25">
      <c r="A25" s="6" t="s">
        <v>57</v>
      </c>
      <c r="B25" s="7"/>
      <c r="C25" s="7"/>
      <c r="D25" s="47"/>
      <c r="E25" s="8"/>
      <c r="F25" s="9"/>
      <c r="G25" s="37"/>
      <c r="H25" s="11"/>
    </row>
    <row r="26" spans="1:9" ht="14.25">
      <c r="A26" s="33" t="s">
        <v>58</v>
      </c>
      <c r="B26" s="34"/>
      <c r="C26" s="34">
        <v>848.86069999999995</v>
      </c>
      <c r="D26" s="48">
        <v>84.870571400000003</v>
      </c>
      <c r="E26" s="45">
        <v>3.5852598005223196E-2</v>
      </c>
      <c r="F26" s="9"/>
      <c r="G26" s="50">
        <v>6.6703239999999997E-2</v>
      </c>
      <c r="H26" s="11"/>
    </row>
    <row r="27" spans="1:9" ht="14.25">
      <c r="A27" s="6" t="s">
        <v>53</v>
      </c>
      <c r="B27" s="7"/>
      <c r="C27" s="7"/>
      <c r="D27" s="47">
        <f>+D26</f>
        <v>84.870571400000003</v>
      </c>
      <c r="E27" s="52">
        <f>+E26</f>
        <v>3.5852598005223196E-2</v>
      </c>
      <c r="F27" s="9"/>
      <c r="G27" s="37"/>
      <c r="H27" s="11"/>
    </row>
    <row r="28" spans="1:9" ht="14.25">
      <c r="A28" s="6"/>
      <c r="B28" s="7"/>
      <c r="C28" s="7"/>
      <c r="D28" s="47"/>
      <c r="E28" s="8"/>
      <c r="F28" s="9"/>
      <c r="G28" s="37"/>
      <c r="H28" s="11"/>
    </row>
    <row r="29" spans="1:9" ht="14.25">
      <c r="A29" s="6" t="s">
        <v>59</v>
      </c>
      <c r="B29" s="7"/>
      <c r="C29" s="7"/>
      <c r="D29" s="47"/>
      <c r="E29" s="8"/>
      <c r="F29" s="9"/>
      <c r="G29" s="37"/>
      <c r="H29" s="11"/>
    </row>
    <row r="30" spans="1:9" ht="14.25">
      <c r="A30" s="33" t="s">
        <v>60</v>
      </c>
      <c r="B30" s="34"/>
      <c r="C30" s="34"/>
      <c r="D30" s="48">
        <v>66.132423099999997</v>
      </c>
      <c r="E30" s="45">
        <v>2.7936882495357352E-2</v>
      </c>
      <c r="F30" s="9"/>
      <c r="G30" s="37"/>
      <c r="H30" s="11"/>
    </row>
    <row r="31" spans="1:9" ht="14.25">
      <c r="A31" s="6" t="s">
        <v>53</v>
      </c>
      <c r="B31" s="7"/>
      <c r="C31" s="7"/>
      <c r="D31" s="47">
        <f>+D30</f>
        <v>66.132423099999997</v>
      </c>
      <c r="E31" s="52">
        <f>+E30</f>
        <v>2.7936882495357352E-2</v>
      </c>
      <c r="F31" s="9"/>
      <c r="G31" s="37"/>
      <c r="H31" s="11"/>
      <c r="I31" s="51"/>
    </row>
    <row r="32" spans="1:9" ht="14.25">
      <c r="A32" s="6" t="s">
        <v>61</v>
      </c>
      <c r="B32" s="7"/>
      <c r="C32" s="7"/>
      <c r="D32" s="47">
        <f>+D31+D27+D23+D16</f>
        <v>2367.2084067000001</v>
      </c>
      <c r="E32" s="52">
        <f>+E31+E27+E23+E16</f>
        <v>1</v>
      </c>
      <c r="F32" s="9"/>
      <c r="G32" s="37"/>
      <c r="H32" s="11"/>
    </row>
    <row r="33" spans="1:8" ht="14.25">
      <c r="A33" s="12"/>
      <c r="B33" s="13"/>
      <c r="C33" s="14"/>
      <c r="D33" s="15"/>
      <c r="E33" s="15"/>
      <c r="F33" s="16"/>
      <c r="G33" s="17"/>
      <c r="H33" s="17"/>
    </row>
    <row r="34" spans="1:8" ht="12.95" customHeight="1">
      <c r="A34" s="54" t="s">
        <v>9</v>
      </c>
      <c r="B34" s="54"/>
      <c r="C34" s="54"/>
      <c r="D34" s="54"/>
      <c r="E34" s="54"/>
      <c r="F34" s="54"/>
      <c r="G34" s="54"/>
      <c r="H34" s="54"/>
    </row>
    <row r="35" spans="1:8" ht="12.95" customHeight="1">
      <c r="A35" s="58" t="s">
        <v>10</v>
      </c>
      <c r="B35" s="58"/>
      <c r="C35" s="58"/>
      <c r="D35" s="58"/>
      <c r="E35" s="58"/>
      <c r="F35" s="58"/>
      <c r="G35" s="58"/>
      <c r="H35" s="58"/>
    </row>
    <row r="36" spans="1:8" ht="12.95" customHeight="1">
      <c r="A36" s="54" t="s">
        <v>11</v>
      </c>
      <c r="B36" s="54"/>
      <c r="C36" s="54"/>
      <c r="D36" s="54"/>
      <c r="E36" s="54"/>
      <c r="F36" s="54"/>
      <c r="G36" s="54"/>
      <c r="H36" s="54"/>
    </row>
    <row r="37" spans="1:8" ht="53.25" customHeight="1">
      <c r="A37" s="53" t="s">
        <v>12</v>
      </c>
      <c r="B37" s="53"/>
      <c r="C37" s="53"/>
      <c r="D37" s="53"/>
      <c r="E37" s="53"/>
      <c r="F37" s="53"/>
      <c r="G37" s="53"/>
      <c r="H37" s="53"/>
    </row>
    <row r="38" spans="1:8" ht="14.25">
      <c r="A38" s="18"/>
      <c r="B38" s="18"/>
      <c r="C38" s="18"/>
      <c r="D38" s="18"/>
      <c r="E38" s="18"/>
      <c r="F38" s="18"/>
      <c r="G38" s="18"/>
      <c r="H38" s="19"/>
    </row>
    <row r="39" spans="1:8" ht="14.25">
      <c r="A39" s="20" t="s">
        <v>13</v>
      </c>
      <c r="B39" s="21"/>
      <c r="C39" s="21"/>
      <c r="D39" s="17"/>
      <c r="E39" s="17"/>
      <c r="F39" s="16"/>
      <c r="G39" s="16"/>
      <c r="H39" s="16"/>
    </row>
    <row r="40" spans="1:8" ht="14.25">
      <c r="A40" s="22" t="s">
        <v>14</v>
      </c>
      <c r="B40" s="21"/>
      <c r="C40" s="21"/>
      <c r="D40" s="17"/>
      <c r="E40" s="17"/>
      <c r="F40" s="16"/>
      <c r="G40" s="16"/>
      <c r="H40" s="16"/>
    </row>
    <row r="41" spans="1:8" ht="14.25">
      <c r="A41" s="22" t="s">
        <v>15</v>
      </c>
      <c r="B41" s="21"/>
      <c r="C41" s="21"/>
      <c r="D41" s="17"/>
      <c r="E41" s="17"/>
      <c r="F41" s="17"/>
      <c r="G41" s="17"/>
      <c r="H41" s="17"/>
    </row>
    <row r="42" spans="1:8" ht="14.25">
      <c r="A42" s="22" t="s">
        <v>16</v>
      </c>
      <c r="B42" s="21"/>
      <c r="C42" s="21"/>
      <c r="D42" s="17"/>
      <c r="E42" s="17"/>
      <c r="F42" s="17"/>
      <c r="G42" s="17"/>
      <c r="H42" s="17"/>
    </row>
    <row r="43" spans="1:8" ht="14.25">
      <c r="A43" s="19"/>
      <c r="B43" s="23"/>
      <c r="C43" s="24"/>
      <c r="D43" s="17"/>
      <c r="E43" s="17"/>
      <c r="F43" s="17"/>
      <c r="G43" s="17"/>
      <c r="H43" s="17"/>
    </row>
    <row r="44" spans="1:8" ht="14.25">
      <c r="A44" s="25" t="s">
        <v>17</v>
      </c>
      <c r="B44" s="61" t="s">
        <v>18</v>
      </c>
      <c r="C44" s="61"/>
      <c r="D44" s="61"/>
      <c r="E44" s="61"/>
      <c r="F44" s="17"/>
      <c r="G44" s="17"/>
      <c r="H44" s="17"/>
    </row>
    <row r="45" spans="1:8" ht="14.25">
      <c r="A45" s="19"/>
      <c r="B45" s="23"/>
      <c r="C45" s="24"/>
      <c r="D45" s="17"/>
      <c r="E45" s="17"/>
      <c r="F45" s="17"/>
      <c r="G45" s="17"/>
      <c r="H45" s="17"/>
    </row>
    <row r="46" spans="1:8" ht="14.25">
      <c r="A46" s="19"/>
      <c r="B46" s="23"/>
      <c r="C46" s="24"/>
      <c r="D46" s="17"/>
      <c r="E46" s="17"/>
      <c r="F46" s="17"/>
      <c r="G46" s="17"/>
      <c r="H46" s="17"/>
    </row>
    <row r="47" spans="1:8" ht="14.25">
      <c r="A47" s="19"/>
      <c r="B47" s="23"/>
      <c r="C47" s="24"/>
      <c r="D47" s="17"/>
      <c r="E47" s="17"/>
      <c r="F47" s="17"/>
      <c r="G47" s="17"/>
      <c r="H47" s="17"/>
    </row>
    <row r="48" spans="1:8" ht="14.25">
      <c r="A48" s="19"/>
      <c r="B48" s="23"/>
      <c r="C48" s="24"/>
      <c r="D48" s="17"/>
      <c r="E48" s="17"/>
      <c r="F48" s="17"/>
      <c r="G48" s="17"/>
      <c r="H48" s="17"/>
    </row>
    <row r="49" spans="1:8" ht="14.25">
      <c r="A49" s="19"/>
      <c r="B49" s="23"/>
      <c r="C49" s="24"/>
      <c r="D49" s="17"/>
      <c r="E49" s="17"/>
      <c r="F49" s="17"/>
      <c r="G49" s="17"/>
      <c r="H49" s="17"/>
    </row>
    <row r="50" spans="1:8" ht="14.25">
      <c r="A50" s="19"/>
      <c r="B50" s="23"/>
      <c r="C50" s="24"/>
      <c r="D50" s="17"/>
      <c r="E50" s="17"/>
      <c r="F50" s="17"/>
      <c r="G50" s="17"/>
      <c r="H50" s="17"/>
    </row>
    <row r="51" spans="1:8" ht="14.25">
      <c r="A51" s="19"/>
      <c r="B51" s="23"/>
      <c r="C51" s="24"/>
      <c r="D51" s="17"/>
      <c r="E51" s="17"/>
      <c r="F51" s="17"/>
      <c r="G51" s="17"/>
      <c r="H51" s="17"/>
    </row>
    <row r="52" spans="1:8" ht="14.25">
      <c r="A52" s="19"/>
      <c r="B52" s="23"/>
      <c r="C52" s="24"/>
      <c r="D52" s="17"/>
      <c r="E52" s="17"/>
      <c r="F52" s="17"/>
      <c r="G52" s="17"/>
      <c r="H52" s="17"/>
    </row>
    <row r="53" spans="1:8" ht="14.25">
      <c r="A53" s="19"/>
      <c r="B53" s="23"/>
      <c r="C53" s="24"/>
      <c r="D53" s="17"/>
      <c r="E53" s="17"/>
      <c r="F53" s="17"/>
      <c r="G53" s="17"/>
      <c r="H53" s="17"/>
    </row>
    <row r="54" spans="1:8" ht="14.25">
      <c r="A54" s="19"/>
      <c r="B54" s="23"/>
      <c r="C54" s="24"/>
      <c r="D54" s="17"/>
      <c r="E54" s="17"/>
      <c r="F54" s="17"/>
      <c r="G54" s="17"/>
      <c r="H54" s="17"/>
    </row>
    <row r="55" spans="1:8" ht="12.95" customHeight="1">
      <c r="A55" s="26" t="s">
        <v>19</v>
      </c>
      <c r="B55" s="62" t="s">
        <v>20</v>
      </c>
      <c r="C55" s="62"/>
      <c r="D55" s="62"/>
      <c r="E55" s="62"/>
      <c r="F55" s="17"/>
      <c r="G55" s="17"/>
      <c r="H55" s="17"/>
    </row>
    <row r="56" spans="1:8" ht="14.25">
      <c r="A56" s="26"/>
      <c r="B56" s="26"/>
      <c r="C56" s="26"/>
      <c r="D56" s="26"/>
      <c r="E56" s="26"/>
      <c r="F56" s="17"/>
      <c r="G56" s="17"/>
      <c r="H56" s="17"/>
    </row>
    <row r="57" spans="1:8" ht="13.5" customHeight="1" thickBot="1">
      <c r="A57" s="22"/>
      <c r="B57" s="23"/>
      <c r="C57" s="24"/>
      <c r="D57" s="17"/>
      <c r="E57" s="17"/>
      <c r="F57" s="17"/>
      <c r="G57" s="17"/>
      <c r="H57" s="17"/>
    </row>
    <row r="58" spans="1:8" ht="15" thickBot="1">
      <c r="A58" s="63" t="s">
        <v>21</v>
      </c>
      <c r="B58" s="64"/>
      <c r="C58" s="64"/>
      <c r="D58" s="65"/>
      <c r="E58" s="17"/>
      <c r="F58" s="17"/>
      <c r="G58" s="17"/>
      <c r="H58" s="17"/>
    </row>
    <row r="59" spans="1:8" ht="15" thickBot="1">
      <c r="A59" s="27" t="s">
        <v>22</v>
      </c>
      <c r="B59" s="66" t="s">
        <v>23</v>
      </c>
      <c r="C59" s="66" t="s">
        <v>24</v>
      </c>
      <c r="D59" s="66" t="s">
        <v>25</v>
      </c>
      <c r="E59" s="17"/>
      <c r="F59" s="17"/>
      <c r="G59" s="17"/>
      <c r="H59" s="17"/>
    </row>
    <row r="60" spans="1:8" ht="15" thickBot="1">
      <c r="A60" s="27" t="s">
        <v>26</v>
      </c>
      <c r="B60" s="67"/>
      <c r="C60" s="67"/>
      <c r="D60" s="67"/>
      <c r="E60" s="17"/>
      <c r="F60" s="17"/>
      <c r="G60" s="17"/>
      <c r="H60" s="17"/>
    </row>
    <row r="61" spans="1:8" ht="15" thickBot="1">
      <c r="A61" s="28" t="s">
        <v>27</v>
      </c>
      <c r="B61" s="29"/>
      <c r="C61" s="29"/>
      <c r="D61" s="29"/>
      <c r="E61" s="17"/>
      <c r="F61" s="17"/>
      <c r="G61" s="17"/>
      <c r="H61" s="17"/>
    </row>
    <row r="62" spans="1:8" ht="15" thickBot="1">
      <c r="A62" s="28" t="s">
        <v>28</v>
      </c>
      <c r="B62" s="29"/>
      <c r="C62" s="29"/>
      <c r="D62" s="29"/>
      <c r="E62" s="17"/>
      <c r="F62" s="17"/>
      <c r="G62" s="17"/>
      <c r="H62" s="17"/>
    </row>
    <row r="63" spans="1:8" ht="15" thickBot="1">
      <c r="A63" s="28" t="s">
        <v>29</v>
      </c>
      <c r="B63" s="29"/>
      <c r="C63" s="30" t="s">
        <v>30</v>
      </c>
      <c r="D63" s="29"/>
      <c r="E63" s="17"/>
      <c r="F63" s="17"/>
      <c r="G63" s="17"/>
      <c r="H63" s="17"/>
    </row>
    <row r="64" spans="1:8" ht="14.25">
      <c r="A64" s="19"/>
      <c r="B64" s="23"/>
      <c r="C64" s="24"/>
      <c r="D64" s="17"/>
      <c r="E64" s="17"/>
      <c r="F64" s="17"/>
      <c r="G64" s="17"/>
      <c r="H64" s="17"/>
    </row>
    <row r="65" spans="1:8" ht="14.25">
      <c r="A65" s="59" t="s">
        <v>31</v>
      </c>
      <c r="B65" s="60"/>
      <c r="C65" s="17"/>
      <c r="D65" s="17"/>
      <c r="E65" s="17"/>
      <c r="F65" s="17"/>
      <c r="G65" s="17"/>
      <c r="H65" s="17"/>
    </row>
    <row r="66" spans="1:8" ht="27">
      <c r="A66" s="31" t="s">
        <v>32</v>
      </c>
      <c r="B66" s="32" t="s">
        <v>33</v>
      </c>
      <c r="C66" s="17"/>
      <c r="D66" s="17"/>
      <c r="E66" s="17"/>
      <c r="F66" s="17"/>
      <c r="G66" s="17"/>
      <c r="H66" s="17"/>
    </row>
    <row r="67" spans="1:8" ht="14.25">
      <c r="A67" s="33" t="s">
        <v>34</v>
      </c>
      <c r="B67" s="34"/>
      <c r="C67" s="17"/>
      <c r="D67" s="17"/>
      <c r="E67" s="17"/>
      <c r="F67" s="17"/>
      <c r="G67" s="17"/>
      <c r="H67" s="17"/>
    </row>
    <row r="68" spans="1:8" ht="14.25">
      <c r="A68" s="33"/>
      <c r="B68" s="34"/>
      <c r="C68" s="17"/>
      <c r="D68" s="17"/>
      <c r="E68" s="17"/>
      <c r="F68" s="17"/>
      <c r="G68" s="17"/>
      <c r="H68" s="17"/>
    </row>
    <row r="69" spans="1:8" ht="14.25">
      <c r="A69" s="33" t="s">
        <v>35</v>
      </c>
      <c r="B69" s="35">
        <v>6.7000000000000004E-2</v>
      </c>
      <c r="C69" s="17"/>
      <c r="D69" s="17"/>
      <c r="E69" s="17"/>
      <c r="F69" s="17"/>
      <c r="G69" s="17"/>
      <c r="H69" s="17"/>
    </row>
    <row r="70" spans="1:8" ht="14.25">
      <c r="A70" s="33" t="s">
        <v>36</v>
      </c>
      <c r="B70" s="36"/>
      <c r="C70" s="17"/>
      <c r="D70" s="17"/>
      <c r="E70" s="17"/>
      <c r="F70" s="17"/>
      <c r="G70" s="17"/>
      <c r="H70" s="17"/>
    </row>
    <row r="71" spans="1:8" ht="14.25">
      <c r="A71" s="33" t="s">
        <v>37</v>
      </c>
      <c r="B71" s="37">
        <v>6.9720000000000004</v>
      </c>
      <c r="C71" s="17"/>
      <c r="D71" s="17"/>
      <c r="E71" s="17"/>
      <c r="F71" s="17"/>
      <c r="G71" s="17"/>
      <c r="H71" s="17"/>
    </row>
    <row r="72" spans="1:8" ht="14.25">
      <c r="A72" s="33" t="s">
        <v>38</v>
      </c>
      <c r="B72" s="37">
        <v>9.7652000000000001</v>
      </c>
      <c r="C72" s="17"/>
      <c r="D72" s="17"/>
      <c r="E72" s="17"/>
      <c r="F72" s="17"/>
      <c r="G72" s="17"/>
      <c r="H72" s="17"/>
    </row>
    <row r="73" spans="1:8" ht="14.25">
      <c r="A73" s="33" t="s">
        <v>36</v>
      </c>
      <c r="B73" s="34"/>
      <c r="C73" s="17"/>
      <c r="D73" s="17"/>
      <c r="E73" s="17"/>
      <c r="F73" s="17"/>
      <c r="G73" s="17"/>
      <c r="H73" s="17"/>
    </row>
    <row r="74" spans="1:8" ht="14.25">
      <c r="A74" s="33" t="s">
        <v>39</v>
      </c>
      <c r="B74" s="38" t="s">
        <v>66</v>
      </c>
      <c r="C74" s="39"/>
      <c r="D74" s="17"/>
      <c r="E74" s="17"/>
      <c r="F74" s="17"/>
      <c r="G74" s="17"/>
      <c r="H74" s="17"/>
    </row>
    <row r="75" spans="1:8" ht="14.25">
      <c r="A75" s="40" t="s">
        <v>40</v>
      </c>
      <c r="B75" s="41"/>
      <c r="C75" s="39"/>
      <c r="D75" s="17"/>
      <c r="E75" s="17"/>
      <c r="F75" s="17"/>
      <c r="G75" s="17"/>
      <c r="H75" s="17"/>
    </row>
  </sheetData>
  <sortState ref="A13:I14">
    <sortCondition descending="1" ref="D13:D14"/>
  </sortState>
  <mergeCells count="14">
    <mergeCell ref="A65:B65"/>
    <mergeCell ref="B44:E44"/>
    <mergeCell ref="B55:E55"/>
    <mergeCell ref="A58:D58"/>
    <mergeCell ref="B59:B60"/>
    <mergeCell ref="C59:C60"/>
    <mergeCell ref="D59:D60"/>
    <mergeCell ref="A37:H37"/>
    <mergeCell ref="A36:H36"/>
    <mergeCell ref="A1:H1"/>
    <mergeCell ref="A2:H2"/>
    <mergeCell ref="A3:H3"/>
    <mergeCell ref="A34:H34"/>
    <mergeCell ref="A35:H35"/>
  </mergeCells>
  <pageMargins left="0.75" right="0.25" top="1" bottom="1" header="0.5" footer="0.5"/>
  <pageSetup paperSize="9" scale="22" orientation="portrait" r:id="rId1"/>
  <headerFooter alignWithMargins="0">
    <oddHeader>&amp;C&amp;"Calibri"&amp;11&amp;K0000FF Classification - Internal&amp;1#_x000D_</oddHeader>
    <oddFooter>&amp;C_x000D_&amp;1#&amp;"Calibri"&amp;11&amp;K0000FF Classification - Internal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Medium to Long Duration</vt:lpstr>
      <vt:lpstr>'JM Medium to Long Duration'!Print_Area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SUJOY SAHA</dc:creator>
  <cp:lastModifiedBy>Shashidhar Maindan</cp:lastModifiedBy>
  <dcterms:created xsi:type="dcterms:W3CDTF">2025-02-17T08:44:56Z</dcterms:created>
  <dcterms:modified xsi:type="dcterms:W3CDTF">2025-04-08T06:41:07Z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2025-02-17T08:49:07Z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4aea7ee0-680f-4bde-913a-3052bda9f061</vt:lpwstr>
  </property>
  <property fmtid="{D5CDD505-2E9C-101B-9397-08002B2CF9AE}" pid="8" name="MSIP_Label_e3ba8fb0-bbb8-454c-aa98-661329b3f27f_ContentBits">
    <vt:lpwstr>3</vt:lpwstr>
  </property>
</Properties>
</file>