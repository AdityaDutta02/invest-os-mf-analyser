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Aggressive Hybrid Fund" sheetId="1" r:id="rId1"/>
  </sheets>
  <definedNames>
    <definedName name="_xlnm._FilterDatabase" localSheetId="0" hidden="1">'JM Aggressive Hybrid Fund'!$A$1:$H$161</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8" i="1" l="1"/>
  <c r="D78" i="1"/>
  <c r="E77" i="1"/>
  <c r="E76" i="1"/>
  <c r="D76" i="1"/>
  <c r="E75" i="1"/>
  <c r="E71" i="1"/>
  <c r="D71" i="1"/>
  <c r="E70" i="1"/>
  <c r="E69" i="1"/>
  <c r="E68" i="1"/>
  <c r="F59" i="1"/>
  <c r="F80" i="1" s="1"/>
  <c r="D55" i="1"/>
  <c r="D59" i="1" s="1"/>
  <c r="E54" i="1"/>
  <c r="E53" i="1"/>
  <c r="E52" i="1"/>
  <c r="E51" i="1"/>
  <c r="E55" i="1" s="1"/>
  <c r="E59" i="1" s="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3" i="1" s="1"/>
  <c r="E47" i="1" s="1"/>
  <c r="E80" i="1" l="1"/>
  <c r="E84" i="1" s="1"/>
  <c r="D80" i="1"/>
  <c r="D82" i="1" s="1"/>
  <c r="E82" i="1" s="1"/>
</calcChain>
</file>

<file path=xl/sharedStrings.xml><?xml version="1.0" encoding="utf-8"?>
<sst xmlns="http://schemas.openxmlformats.org/spreadsheetml/2006/main" count="187" uniqueCount="154">
  <si>
    <t>JM Financial Mutual Fund</t>
  </si>
  <si>
    <t>JM Aggressive Hybrid Fund (An open ended hybrid scheme investing predominantly in equity and equity related instruments).</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</si>
  <si>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</si>
  <si>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</si>
  <si>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</si>
  <si>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</si>
  <si>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</si>
  <si>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</si>
  <si>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</si>
  <si>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</si>
  <si>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</si>
  <si>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</si>
  <si>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</si>
  <si>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Bajaj Auto Ltd.</t>
  </si>
  <si>
    <t>Automobiles</t>
  </si>
  <si>
    <t>INE917I01010</t>
  </si>
  <si>
    <t>Tata Motors Ltd.</t>
  </si>
  <si>
    <t>IN9155A01020</t>
  </si>
  <si>
    <t>Sobha Ltd.</t>
  </si>
  <si>
    <t>Realty</t>
  </si>
  <si>
    <t>INE671H01015</t>
  </si>
  <si>
    <t>ITC Ltd.</t>
  </si>
  <si>
    <t>Diversified FMCG</t>
  </si>
  <si>
    <t>INE154A01025</t>
  </si>
  <si>
    <t>REC Ltd.</t>
  </si>
  <si>
    <t>Finance</t>
  </si>
  <si>
    <t>INE020B01018</t>
  </si>
  <si>
    <t>ICICI Bank Ltd.</t>
  </si>
  <si>
    <t>Banks</t>
  </si>
  <si>
    <t>INE090A01021</t>
  </si>
  <si>
    <t>Infosys Ltd.</t>
  </si>
  <si>
    <t>IT - Software</t>
  </si>
  <si>
    <t>INE009A01021</t>
  </si>
  <si>
    <t>Jubilant Foodworks Ltd.</t>
  </si>
  <si>
    <t>Leisure Services</t>
  </si>
  <si>
    <t>INE797F01020</t>
  </si>
  <si>
    <t>Larsen &amp; Toubro Ltd.</t>
  </si>
  <si>
    <t>Construction</t>
  </si>
  <si>
    <t>INE018A01030</t>
  </si>
  <si>
    <t>Jyothy Labs Ltd.</t>
  </si>
  <si>
    <t>Household Products</t>
  </si>
  <si>
    <t>INE668F01031</t>
  </si>
  <si>
    <t>Coal India Ltd.</t>
  </si>
  <si>
    <t>Consumable Fuels</t>
  </si>
  <si>
    <t>INE522F01014</t>
  </si>
  <si>
    <t>Ultratech Cement Ltd.</t>
  </si>
  <si>
    <t>Cement &amp; Cement Products</t>
  </si>
  <si>
    <t>INE481G01011</t>
  </si>
  <si>
    <t>Poonawalla Fincorp Ltd.</t>
  </si>
  <si>
    <t>INE511C01022</t>
  </si>
  <si>
    <t>Metropolis Healthcare Ltd.</t>
  </si>
  <si>
    <t>Healthcare Services</t>
  </si>
  <si>
    <t>INE112L01020</t>
  </si>
  <si>
    <t>PB Fintech Ltd,</t>
  </si>
  <si>
    <t>Financial Technology (Fintech)</t>
  </si>
  <si>
    <t>INE417T01026</t>
  </si>
  <si>
    <t>Mukand Ltd.</t>
  </si>
  <si>
    <t>Ferrous Metals</t>
  </si>
  <si>
    <t>INE304A01026</t>
  </si>
  <si>
    <t>Equitas Small Finance Bank Ltd.</t>
  </si>
  <si>
    <t>INE063P01018</t>
  </si>
  <si>
    <t>GE T&amp;D India Ltd.</t>
  </si>
  <si>
    <t>Electrical Equipment</t>
  </si>
  <si>
    <t>INE200A01026</t>
  </si>
  <si>
    <t>Prince Pipes And Fittings Ltd.</t>
  </si>
  <si>
    <t>Industrial Products</t>
  </si>
  <si>
    <t>INE689W01016</t>
  </si>
  <si>
    <t>Global Health Ltd.</t>
  </si>
  <si>
    <t>INE474Q01031</t>
  </si>
  <si>
    <t>Zomato Ltd.</t>
  </si>
  <si>
    <t>Retailing</t>
  </si>
  <si>
    <t>INE758T01015</t>
  </si>
  <si>
    <t>Bank of Maharashtra</t>
  </si>
  <si>
    <t>INE457A01014</t>
  </si>
  <si>
    <t>SKF India Ltd.</t>
  </si>
  <si>
    <t>INE640A01023</t>
  </si>
  <si>
    <t>Crompton Greaves Consumer Electricals Ltd.</t>
  </si>
  <si>
    <t>Consumer Durables</t>
  </si>
  <si>
    <t>INE299U01018</t>
  </si>
  <si>
    <t>Kalpataru Projects International Ltd.</t>
  </si>
  <si>
    <t>INE220B01022</t>
  </si>
  <si>
    <t>Welspun India Ltd.</t>
  </si>
  <si>
    <t>Textiles &amp; Apparels</t>
  </si>
  <si>
    <t>INE192B01031</t>
  </si>
  <si>
    <t>Gokaldas Exports Ltd.</t>
  </si>
  <si>
    <t>INE887G01027</t>
  </si>
  <si>
    <t>Bharat Forge Ltd.</t>
  </si>
  <si>
    <t>INE465A01025</t>
  </si>
  <si>
    <t>Birlasoft Ltd.</t>
  </si>
  <si>
    <t>INE836A01035</t>
  </si>
  <si>
    <t>Birla Corporation Ltd.</t>
  </si>
  <si>
    <t>INE340A01012</t>
  </si>
  <si>
    <t>MphasiS Ltd.</t>
  </si>
  <si>
    <t>INE356A01018</t>
  </si>
  <si>
    <t>Voltas Ltd.</t>
  </si>
  <si>
    <t>INE226A01021</t>
  </si>
  <si>
    <t>Thomas Cook  (India)  Ltd.</t>
  </si>
  <si>
    <t>INE332A01027</t>
  </si>
  <si>
    <t>Godrej Properties Ltd.</t>
  </si>
  <si>
    <t>INE484J01027</t>
  </si>
  <si>
    <t>Jagran Prakashan Ltd.</t>
  </si>
  <si>
    <t>Media</t>
  </si>
  <si>
    <t>INE199G01027</t>
  </si>
  <si>
    <t>ICRA Ltd.</t>
  </si>
  <si>
    <t>Capital Markets</t>
  </si>
  <si>
    <t>INE725G01011</t>
  </si>
  <si>
    <t>Sub Total:</t>
  </si>
  <si>
    <t>b) Unlisted</t>
  </si>
  <si>
    <t>NIL</t>
  </si>
  <si>
    <t>Total:</t>
  </si>
  <si>
    <t>DEBT INSTRUMENTS</t>
  </si>
  <si>
    <t>Export-Import Bank of India**</t>
  </si>
  <si>
    <t>CRISIL AAA</t>
  </si>
  <si>
    <t>INE514E08CH0</t>
  </si>
  <si>
    <t>LIC Housing Finance Ltd.**</t>
  </si>
  <si>
    <t>CARE AAA</t>
  </si>
  <si>
    <t>INE115A07QC7</t>
  </si>
  <si>
    <t>Sikka Ports &amp; Terminals Ltd.**</t>
  </si>
  <si>
    <t>INE941D07208</t>
  </si>
  <si>
    <t>HDFC Bank Ltd.**</t>
  </si>
  <si>
    <t>INE040A08922</t>
  </si>
  <si>
    <t>b) Privately Placed / Unlisted</t>
  </si>
  <si>
    <t>TERM DEPOSITS</t>
  </si>
  <si>
    <t>Deposits (Maturity not exceeding 91 days)</t>
  </si>
  <si>
    <t>Deposits (Placed as F &amp; O margin)</t>
  </si>
  <si>
    <t>GOVERNMENT SECURITIES</t>
  </si>
  <si>
    <t>7.37% Government of India Securities 2028 23/10/2028</t>
  </si>
  <si>
    <t>Sovereign</t>
  </si>
  <si>
    <t>IN0020230101</t>
  </si>
  <si>
    <t>7.10% Government of India Securities 2029 18/04/2029</t>
  </si>
  <si>
    <t>IN0020220011</t>
  </si>
  <si>
    <t>7.38% Government of India Securities 2027 20/06/2027</t>
  </si>
  <si>
    <t>IN0020220037</t>
  </si>
  <si>
    <t>MONEY MARKET INSTRUMENTS</t>
  </si>
  <si>
    <t>Certificate of Deposit (CD) / Commercial Paper (CP)</t>
  </si>
  <si>
    <t>Kotak Mahindra Investments Ltd.CP**</t>
  </si>
  <si>
    <t>CRISIL A1+</t>
  </si>
  <si>
    <t>INE975F14ZE6</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</si>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</sst>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6" fillId="0" borderId="0"/>
  </cellStyleXfs>
  <cellXfs count="67">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7" fillId="0" borderId="0" xfId="3" applyFont="1" applyBorder="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Border="1" applyAlignment="1">
      <alignment horizontal="left" wrapText="1"/>
    </xf>
    <xf numFmtId="165" fontId="5" fillId="0" borderId="0" xfId="6" applyNumberFormat="1" applyFont="1" applyFill="1" applyBorder="1"/>
    <xf numFmtId="164" fontId="5" fillId="0" borderId="0" xfId="6" applyFont="1" applyFill="1" applyBorder="1" applyAlignment="1">
      <alignment horizontal="right"/>
    </xf>
    <xf numFmtId="164" fontId="5" fillId="0" borderId="0" xfId="1" applyFont="1" applyFill="1" applyBorder="1" applyAlignment="1">
      <alignment horizontal="right"/>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3"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7" fillId="0" borderId="0" xfId="5" applyFont="1" applyBorder="1" applyAlignment="1">
      <alignment horizontal="left" vertical="top"/>
    </xf>
  </cellXfs>
  <cellStyles count="8">
    <cellStyle name="Comma" xfId="1" builtinId="3"/>
    <cellStyle name="Comma 4" xfId="6"/>
    <cellStyle name="Normal" xfId="0" builtinId="0"/>
    <cellStyle name="Normal 2 2" xfId="2"/>
    <cellStyle name="Normal 2 3 2" xfId="4"/>
    <cellStyle name="Normal 4_BF" xfId="7"/>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723900</xdr:colOff>
      <xdr:row>98</xdr:row>
      <xdr:rowOff>66675</xdr:rowOff>
    </xdr:from>
    <xdr:to>
      <xdr:col>0</xdr:col>
      <xdr:colOff>2638425</xdr:colOff>
      <xdr:row>104</xdr:row>
      <xdr:rowOff>57150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8554700"/>
          <a:ext cx="19145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419100</xdr:colOff>
      <xdr:row>98</xdr:row>
      <xdr:rowOff>76200</xdr:rowOff>
    </xdr:from>
    <xdr:to>
      <xdr:col>2</xdr:col>
      <xdr:colOff>495300</xdr:colOff>
      <xdr:row>104</xdr:row>
      <xdr:rowOff>57150</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14725" y="18564225"/>
          <a:ext cx="1943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1"/>
  <sheetViews>
    <sheetView tabSelected="1" zoomScaleNormal="100" workbookViewId="0">
      <selection activeCell="A3" sqref="A3:H3"/>
    </sheetView>
  </sheetViews>
  <sheetFormatPr defaultRowHeight="12.75" x14ac:dyDescent="0.2"/>
  <cols>
    <col min="1" max="1" width="46.42578125" style="57" customWidth="1"/>
    <col min="2" max="2" width="28" style="58" customWidth="1"/>
    <col min="3" max="3" width="13.140625" style="59" customWidth="1"/>
    <col min="4" max="4" width="12.42578125" style="1" customWidth="1"/>
    <col min="5" max="5" width="9.42578125" style="1" customWidth="1"/>
    <col min="6" max="6" width="13.5703125" style="1" bestFit="1" customWidth="1"/>
    <col min="7" max="7" width="8.85546875" style="1" customWidth="1"/>
    <col min="8" max="8" width="12.28515625" style="1" customWidth="1"/>
    <col min="9" max="16384" width="9.140625" style="1"/>
  </cols>
  <sheetData>
    <row r="1" spans="1:8" x14ac:dyDescent="0.2">
      <c r="A1" s="63" t="s">
        <v>0</v>
      </c>
      <c r="B1" s="63"/>
      <c r="C1" s="63"/>
      <c r="D1" s="63"/>
      <c r="E1" s="63"/>
      <c r="F1" s="63"/>
      <c r="G1" s="63"/>
      <c r="H1" s="63"/>
    </row>
    <row r="2" spans="1:8" x14ac:dyDescent="0.2">
      <c r="A2" s="63" t="s">
        <v>1</v>
      </c>
      <c r="B2" s="63"/>
      <c r="C2" s="63"/>
      <c r="D2" s="63"/>
      <c r="E2" s="63"/>
      <c r="F2" s="63"/>
      <c r="G2" s="63"/>
      <c r="H2" s="63"/>
    </row>
    <row r="3" spans="1:8" x14ac:dyDescent="0.2">
      <c r="A3" s="64" t="s">
        <v>2</v>
      </c>
      <c r="B3" s="64"/>
      <c r="C3" s="64"/>
      <c r="D3" s="64"/>
      <c r="E3" s="64"/>
      <c r="F3" s="64"/>
      <c r="G3" s="64"/>
      <c r="H3" s="64"/>
    </row>
    <row r="4" spans="1:8" s="2" customFormat="1" ht="25.5" x14ac:dyDescent="0.2">
      <c r="A4" s="60" t="s">
        <v>3</v>
      </c>
      <c r="B4" s="60" t="s">
        <v>4</v>
      </c>
      <c r="C4" s="61" t="s">
        <v>5</v>
      </c>
      <c r="D4" s="60" t="s">
        <v>6</v>
      </c>
      <c r="E4" s="60" t="s">
        <v>7</v>
      </c>
      <c r="F4" s="60" t="s">
        <v>8</v>
      </c>
      <c r="G4" s="60" t="s">
        <v>9</v>
      </c>
      <c r="H4" s="60"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7500</v>
      </c>
      <c r="D7" s="14">
        <v>456.79124999999999</v>
      </c>
      <c r="E7" s="14">
        <f t="shared" ref="E7:E42" si="0">(+D7/$D$84*100)</f>
        <v>4.1357358607759025</v>
      </c>
      <c r="F7" s="14" t="s">
        <v>15</v>
      </c>
      <c r="G7" s="9"/>
      <c r="H7" s="9"/>
    </row>
    <row r="8" spans="1:8" s="15" customFormat="1" ht="14.25" x14ac:dyDescent="0.3">
      <c r="A8" s="11" t="s">
        <v>16</v>
      </c>
      <c r="B8" s="12" t="s">
        <v>14</v>
      </c>
      <c r="C8" s="13">
        <v>91000</v>
      </c>
      <c r="D8" s="14">
        <v>434.798</v>
      </c>
      <c r="E8" s="14">
        <f t="shared" si="0"/>
        <v>3.9366114845537008</v>
      </c>
      <c r="F8" s="14" t="s">
        <v>17</v>
      </c>
      <c r="G8" s="9"/>
      <c r="H8" s="8"/>
    </row>
    <row r="9" spans="1:8" s="15" customFormat="1" ht="14.25" x14ac:dyDescent="0.3">
      <c r="A9" s="11" t="s">
        <v>18</v>
      </c>
      <c r="B9" s="12" t="s">
        <v>19</v>
      </c>
      <c r="C9" s="13">
        <v>43239</v>
      </c>
      <c r="D9" s="14">
        <v>392.28582749999998</v>
      </c>
      <c r="E9" s="14">
        <f t="shared" si="0"/>
        <v>3.5517111250837217</v>
      </c>
      <c r="F9" s="14" t="s">
        <v>20</v>
      </c>
      <c r="G9" s="9"/>
      <c r="H9" s="8"/>
    </row>
    <row r="10" spans="1:8" s="15" customFormat="1" ht="14.25" x14ac:dyDescent="0.3">
      <c r="A10" s="11" t="s">
        <v>21</v>
      </c>
      <c r="B10" s="12" t="s">
        <v>22</v>
      </c>
      <c r="C10" s="13">
        <v>73000</v>
      </c>
      <c r="D10" s="14">
        <v>318.13400000000001</v>
      </c>
      <c r="E10" s="14">
        <f t="shared" si="0"/>
        <v>2.8803489391096719</v>
      </c>
      <c r="F10" s="14" t="s">
        <v>23</v>
      </c>
      <c r="G10" s="9"/>
      <c r="H10" s="9"/>
    </row>
    <row r="11" spans="1:8" s="15" customFormat="1" ht="14.25" x14ac:dyDescent="0.3">
      <c r="A11" s="11" t="s">
        <v>24</v>
      </c>
      <c r="B11" s="12" t="s">
        <v>25</v>
      </c>
      <c r="C11" s="13">
        <v>90000</v>
      </c>
      <c r="D11" s="14">
        <v>313.83</v>
      </c>
      <c r="E11" s="14">
        <f t="shared" si="0"/>
        <v>2.8413810141663207</v>
      </c>
      <c r="F11" s="14" t="s">
        <v>26</v>
      </c>
      <c r="G11" s="9"/>
      <c r="H11" s="8"/>
    </row>
    <row r="12" spans="1:8" s="15" customFormat="1" ht="14.25" x14ac:dyDescent="0.3">
      <c r="A12" s="11" t="s">
        <v>27</v>
      </c>
      <c r="B12" s="12" t="s">
        <v>28</v>
      </c>
      <c r="C12" s="13">
        <v>33100</v>
      </c>
      <c r="D12" s="14">
        <v>309.46845000000002</v>
      </c>
      <c r="E12" s="14">
        <f t="shared" si="0"/>
        <v>2.8018920380890275</v>
      </c>
      <c r="F12" s="14" t="s">
        <v>29</v>
      </c>
      <c r="G12" s="9"/>
      <c r="H12" s="9"/>
    </row>
    <row r="13" spans="1:8" s="15" customFormat="1" ht="14.25" x14ac:dyDescent="0.3">
      <c r="A13" s="11" t="s">
        <v>30</v>
      </c>
      <c r="B13" s="12" t="s">
        <v>31</v>
      </c>
      <c r="C13" s="13">
        <v>20050</v>
      </c>
      <c r="D13" s="14">
        <v>291.75757499999997</v>
      </c>
      <c r="E13" s="14">
        <f t="shared" si="0"/>
        <v>2.6415397965274394</v>
      </c>
      <c r="F13" s="14" t="s">
        <v>32</v>
      </c>
      <c r="G13" s="9"/>
      <c r="H13" s="9"/>
    </row>
    <row r="14" spans="1:8" s="15" customFormat="1" ht="14.25" x14ac:dyDescent="0.3">
      <c r="A14" s="11" t="s">
        <v>33</v>
      </c>
      <c r="B14" s="12" t="s">
        <v>34</v>
      </c>
      <c r="C14" s="13">
        <v>50000</v>
      </c>
      <c r="D14" s="14">
        <v>280.42500000000001</v>
      </c>
      <c r="E14" s="14">
        <f t="shared" si="0"/>
        <v>2.5389359554459121</v>
      </c>
      <c r="F14" s="14" t="s">
        <v>35</v>
      </c>
      <c r="G14" s="9"/>
      <c r="H14" s="9"/>
    </row>
    <row r="15" spans="1:8" s="15" customFormat="1" ht="14.25" x14ac:dyDescent="0.3">
      <c r="A15" s="11" t="s">
        <v>36</v>
      </c>
      <c r="B15" s="12" t="s">
        <v>37</v>
      </c>
      <c r="C15" s="13">
        <v>9000</v>
      </c>
      <c r="D15" s="14">
        <v>279.82799999999997</v>
      </c>
      <c r="E15" s="14">
        <f t="shared" si="0"/>
        <v>2.5335307855594849</v>
      </c>
      <c r="F15" s="14" t="s">
        <v>38</v>
      </c>
      <c r="G15" s="9"/>
      <c r="H15" s="16"/>
    </row>
    <row r="16" spans="1:8" s="15" customFormat="1" ht="14.25" x14ac:dyDescent="0.3">
      <c r="A16" s="11" t="s">
        <v>39</v>
      </c>
      <c r="B16" s="12" t="s">
        <v>40</v>
      </c>
      <c r="C16" s="13">
        <v>64000</v>
      </c>
      <c r="D16" s="14">
        <v>278.048</v>
      </c>
      <c r="E16" s="14">
        <f t="shared" si="0"/>
        <v>2.5174148686451812</v>
      </c>
      <c r="F16" s="14" t="s">
        <v>41</v>
      </c>
      <c r="G16" s="9"/>
      <c r="H16" s="9"/>
    </row>
    <row r="17" spans="1:8" s="15" customFormat="1" ht="14.25" x14ac:dyDescent="0.3">
      <c r="A17" s="11" t="s">
        <v>42</v>
      </c>
      <c r="B17" s="12" t="s">
        <v>43</v>
      </c>
      <c r="C17" s="13">
        <v>80000</v>
      </c>
      <c r="D17" s="14">
        <v>273.72000000000003</v>
      </c>
      <c r="E17" s="14">
        <f t="shared" si="0"/>
        <v>2.4782296504400647</v>
      </c>
      <c r="F17" s="14" t="s">
        <v>44</v>
      </c>
      <c r="G17" s="9"/>
      <c r="H17" s="9"/>
    </row>
    <row r="18" spans="1:8" s="15" customFormat="1" ht="14.25" x14ac:dyDescent="0.3">
      <c r="A18" s="11" t="s">
        <v>45</v>
      </c>
      <c r="B18" s="12" t="s">
        <v>46</v>
      </c>
      <c r="C18" s="13">
        <v>3000</v>
      </c>
      <c r="D18" s="14">
        <v>270.10950000000003</v>
      </c>
      <c r="E18" s="14">
        <f t="shared" si="0"/>
        <v>2.4455405953731573</v>
      </c>
      <c r="F18" s="14" t="s">
        <v>47</v>
      </c>
      <c r="G18" s="9"/>
      <c r="H18" s="8"/>
    </row>
    <row r="19" spans="1:8" s="15" customFormat="1" ht="14.25" x14ac:dyDescent="0.3">
      <c r="A19" s="11" t="s">
        <v>48</v>
      </c>
      <c r="B19" s="12" t="s">
        <v>25</v>
      </c>
      <c r="C19" s="13">
        <v>64000</v>
      </c>
      <c r="D19" s="14">
        <v>261.952</v>
      </c>
      <c r="E19" s="14">
        <f t="shared" si="0"/>
        <v>2.3716835210875189</v>
      </c>
      <c r="F19" s="14" t="s">
        <v>49</v>
      </c>
      <c r="G19" s="9"/>
      <c r="H19" s="8"/>
    </row>
    <row r="20" spans="1:8" s="15" customFormat="1" ht="14.25" x14ac:dyDescent="0.3">
      <c r="A20" s="11" t="s">
        <v>50</v>
      </c>
      <c r="B20" s="12" t="s">
        <v>51</v>
      </c>
      <c r="C20" s="13">
        <v>14000</v>
      </c>
      <c r="D20" s="14">
        <v>238.441</v>
      </c>
      <c r="E20" s="14">
        <f t="shared" si="0"/>
        <v>2.1588176095301015</v>
      </c>
      <c r="F20" s="14" t="s">
        <v>52</v>
      </c>
      <c r="G20" s="9"/>
      <c r="H20" s="16"/>
    </row>
    <row r="21" spans="1:8" s="15" customFormat="1" ht="14.25" x14ac:dyDescent="0.3">
      <c r="A21" s="11" t="s">
        <v>53</v>
      </c>
      <c r="B21" s="12" t="s">
        <v>54</v>
      </c>
      <c r="C21" s="13">
        <v>28000</v>
      </c>
      <c r="D21" s="14">
        <v>233.25399999999999</v>
      </c>
      <c r="E21" s="14">
        <f t="shared" si="0"/>
        <v>2.1118551033309467</v>
      </c>
      <c r="F21" s="14" t="s">
        <v>55</v>
      </c>
      <c r="G21" s="9"/>
      <c r="H21" s="8"/>
    </row>
    <row r="22" spans="1:8" s="15" customFormat="1" ht="14.25" x14ac:dyDescent="0.3">
      <c r="A22" s="11" t="s">
        <v>56</v>
      </c>
      <c r="B22" s="12" t="s">
        <v>57</v>
      </c>
      <c r="C22" s="13">
        <v>124126</v>
      </c>
      <c r="D22" s="14">
        <v>218.834138</v>
      </c>
      <c r="E22" s="14">
        <f t="shared" si="0"/>
        <v>1.9812993179895249</v>
      </c>
      <c r="F22" s="14" t="s">
        <v>58</v>
      </c>
      <c r="G22" s="9"/>
      <c r="H22" s="8"/>
    </row>
    <row r="23" spans="1:8" s="15" customFormat="1" ht="14.25" x14ac:dyDescent="0.3">
      <c r="A23" s="11" t="s">
        <v>59</v>
      </c>
      <c r="B23" s="12" t="s">
        <v>28</v>
      </c>
      <c r="C23" s="13">
        <v>217500</v>
      </c>
      <c r="D23" s="14">
        <v>204.23249999999999</v>
      </c>
      <c r="E23" s="14">
        <f t="shared" si="0"/>
        <v>1.8490977534834883</v>
      </c>
      <c r="F23" s="14" t="s">
        <v>60</v>
      </c>
      <c r="G23" s="9"/>
      <c r="H23" s="9"/>
    </row>
    <row r="24" spans="1:8" s="15" customFormat="1" ht="14.25" x14ac:dyDescent="0.3">
      <c r="A24" s="11" t="s">
        <v>61</v>
      </c>
      <c r="B24" s="12" t="s">
        <v>62</v>
      </c>
      <c r="C24" s="13">
        <v>45378</v>
      </c>
      <c r="D24" s="14">
        <v>193.28759100000002</v>
      </c>
      <c r="E24" s="14">
        <f t="shared" si="0"/>
        <v>1.7500037961359498</v>
      </c>
      <c r="F24" s="14" t="s">
        <v>63</v>
      </c>
      <c r="G24" s="9"/>
      <c r="H24" s="9"/>
    </row>
    <row r="25" spans="1:8" s="15" customFormat="1" ht="14.25" x14ac:dyDescent="0.3">
      <c r="A25" s="11" t="s">
        <v>64</v>
      </c>
      <c r="B25" s="12" t="s">
        <v>65</v>
      </c>
      <c r="C25" s="13">
        <v>27943</v>
      </c>
      <c r="D25" s="14">
        <v>192.55521300000001</v>
      </c>
      <c r="E25" s="14">
        <f t="shared" si="0"/>
        <v>1.743372929283217</v>
      </c>
      <c r="F25" s="14" t="s">
        <v>66</v>
      </c>
      <c r="G25" s="9"/>
      <c r="H25" s="8"/>
    </row>
    <row r="26" spans="1:8" s="15" customFormat="1" ht="14.25" x14ac:dyDescent="0.3">
      <c r="A26" s="11" t="s">
        <v>67</v>
      </c>
      <c r="B26" s="12" t="s">
        <v>51</v>
      </c>
      <c r="C26" s="13">
        <v>19400</v>
      </c>
      <c r="D26" s="14">
        <v>185.7259</v>
      </c>
      <c r="E26" s="14">
        <f t="shared" si="0"/>
        <v>1.6815411085586232</v>
      </c>
      <c r="F26" s="14" t="s">
        <v>68</v>
      </c>
      <c r="G26" s="9"/>
      <c r="H26" s="16"/>
    </row>
    <row r="27" spans="1:8" s="15" customFormat="1" ht="14.25" x14ac:dyDescent="0.3">
      <c r="A27" s="11" t="s">
        <v>69</v>
      </c>
      <c r="B27" s="12" t="s">
        <v>70</v>
      </c>
      <c r="C27" s="13">
        <v>150000</v>
      </c>
      <c r="D27" s="14">
        <v>177.82499999999999</v>
      </c>
      <c r="E27" s="14">
        <f t="shared" si="0"/>
        <v>1.6100072613966989</v>
      </c>
      <c r="F27" s="14" t="s">
        <v>71</v>
      </c>
      <c r="G27" s="9"/>
      <c r="H27" s="8"/>
    </row>
    <row r="28" spans="1:8" s="15" customFormat="1" ht="14.25" x14ac:dyDescent="0.3">
      <c r="A28" s="11" t="s">
        <v>72</v>
      </c>
      <c r="B28" s="12" t="s">
        <v>28</v>
      </c>
      <c r="C28" s="13">
        <v>400000</v>
      </c>
      <c r="D28" s="14">
        <v>176</v>
      </c>
      <c r="E28" s="14">
        <f t="shared" si="0"/>
        <v>1.5934839196165835</v>
      </c>
      <c r="F28" s="14" t="s">
        <v>73</v>
      </c>
      <c r="G28" s="9"/>
      <c r="H28" s="16"/>
    </row>
    <row r="29" spans="1:8" s="15" customFormat="1" ht="14.25" x14ac:dyDescent="0.3">
      <c r="A29" s="11" t="s">
        <v>74</v>
      </c>
      <c r="B29" s="12" t="s">
        <v>65</v>
      </c>
      <c r="C29" s="13">
        <v>3600</v>
      </c>
      <c r="D29" s="14">
        <v>165.6</v>
      </c>
      <c r="E29" s="14">
        <f t="shared" si="0"/>
        <v>1.4993235061846946</v>
      </c>
      <c r="F29" s="14" t="s">
        <v>75</v>
      </c>
      <c r="G29" s="9"/>
      <c r="H29" s="8"/>
    </row>
    <row r="30" spans="1:8" s="15" customFormat="1" ht="14.25" x14ac:dyDescent="0.3">
      <c r="A30" s="11" t="s">
        <v>76</v>
      </c>
      <c r="B30" s="12" t="s">
        <v>77</v>
      </c>
      <c r="C30" s="13">
        <v>56200</v>
      </c>
      <c r="D30" s="14">
        <v>160.14189999999999</v>
      </c>
      <c r="E30" s="14">
        <f t="shared" si="0"/>
        <v>1.4499064915161759</v>
      </c>
      <c r="F30" s="14" t="s">
        <v>78</v>
      </c>
      <c r="G30" s="9"/>
      <c r="H30" s="9"/>
    </row>
    <row r="31" spans="1:8" s="15" customFormat="1" ht="14.25" x14ac:dyDescent="0.3">
      <c r="A31" s="11" t="s">
        <v>79</v>
      </c>
      <c r="B31" s="12" t="s">
        <v>37</v>
      </c>
      <c r="C31" s="13">
        <v>24000</v>
      </c>
      <c r="D31" s="14">
        <v>159.18</v>
      </c>
      <c r="E31" s="14">
        <f t="shared" si="0"/>
        <v>1.4411975586623171</v>
      </c>
      <c r="F31" s="14" t="s">
        <v>80</v>
      </c>
      <c r="G31" s="9"/>
      <c r="H31" s="9"/>
    </row>
    <row r="32" spans="1:8" s="15" customFormat="1" ht="14.25" x14ac:dyDescent="0.3">
      <c r="A32" s="11" t="s">
        <v>81</v>
      </c>
      <c r="B32" s="12" t="s">
        <v>82</v>
      </c>
      <c r="C32" s="13">
        <v>100000</v>
      </c>
      <c r="D32" s="14">
        <v>156.94999999999999</v>
      </c>
      <c r="E32" s="14">
        <f t="shared" si="0"/>
        <v>1.4210073930899023</v>
      </c>
      <c r="F32" s="14" t="s">
        <v>83</v>
      </c>
      <c r="G32" s="9"/>
      <c r="H32" s="8"/>
    </row>
    <row r="33" spans="1:8" s="15" customFormat="1" ht="14.25" x14ac:dyDescent="0.3">
      <c r="A33" s="11" t="s">
        <v>84</v>
      </c>
      <c r="B33" s="12" t="s">
        <v>82</v>
      </c>
      <c r="C33" s="13">
        <v>16000</v>
      </c>
      <c r="D33" s="14">
        <v>156.864</v>
      </c>
      <c r="E33" s="14">
        <f t="shared" si="0"/>
        <v>1.420228758901908</v>
      </c>
      <c r="F33" s="14" t="s">
        <v>85</v>
      </c>
      <c r="G33" s="9"/>
      <c r="H33" s="9"/>
    </row>
    <row r="34" spans="1:8" s="15" customFormat="1" ht="14.25" x14ac:dyDescent="0.3">
      <c r="A34" s="11" t="s">
        <v>86</v>
      </c>
      <c r="B34" s="12" t="s">
        <v>65</v>
      </c>
      <c r="C34" s="13">
        <v>13000</v>
      </c>
      <c r="D34" s="14">
        <v>145.63249999999999</v>
      </c>
      <c r="E34" s="14">
        <f t="shared" si="0"/>
        <v>1.3185400393384212</v>
      </c>
      <c r="F34" s="14" t="s">
        <v>87</v>
      </c>
      <c r="G34" s="9"/>
      <c r="H34" s="9"/>
    </row>
    <row r="35" spans="1:8" s="15" customFormat="1" ht="14.25" x14ac:dyDescent="0.3">
      <c r="A35" s="11" t="s">
        <v>88</v>
      </c>
      <c r="B35" s="12" t="s">
        <v>31</v>
      </c>
      <c r="C35" s="13">
        <v>22000</v>
      </c>
      <c r="D35" s="14">
        <v>138.67699999999999</v>
      </c>
      <c r="E35" s="14">
        <f t="shared" si="0"/>
        <v>1.2555657359128918</v>
      </c>
      <c r="F35" s="14" t="s">
        <v>89</v>
      </c>
      <c r="G35" s="9"/>
      <c r="H35" s="9"/>
    </row>
    <row r="36" spans="1:8" s="15" customFormat="1" ht="14.25" x14ac:dyDescent="0.3">
      <c r="A36" s="11" t="s">
        <v>90</v>
      </c>
      <c r="B36" s="12" t="s">
        <v>46</v>
      </c>
      <c r="C36" s="13">
        <v>10000</v>
      </c>
      <c r="D36" s="14">
        <v>135.36500000000001</v>
      </c>
      <c r="E36" s="14">
        <f t="shared" si="0"/>
        <v>1.2255792657891982</v>
      </c>
      <c r="F36" s="14" t="s">
        <v>91</v>
      </c>
      <c r="G36" s="9"/>
      <c r="H36" s="9"/>
    </row>
    <row r="37" spans="1:8" s="15" customFormat="1" ht="14.25" x14ac:dyDescent="0.3">
      <c r="A37" s="11" t="s">
        <v>92</v>
      </c>
      <c r="B37" s="12" t="s">
        <v>31</v>
      </c>
      <c r="C37" s="13">
        <v>5500</v>
      </c>
      <c r="D37" s="14">
        <v>129.50575000000001</v>
      </c>
      <c r="E37" s="14">
        <f t="shared" si="0"/>
        <v>1.1725302847891215</v>
      </c>
      <c r="F37" s="14" t="s">
        <v>93</v>
      </c>
      <c r="G37" s="9"/>
      <c r="H37" s="8"/>
    </row>
    <row r="38" spans="1:8" s="15" customFormat="1" ht="14.25" x14ac:dyDescent="0.3">
      <c r="A38" s="11" t="s">
        <v>94</v>
      </c>
      <c r="B38" s="12" t="s">
        <v>77</v>
      </c>
      <c r="C38" s="13">
        <v>15000</v>
      </c>
      <c r="D38" s="14">
        <v>124.1925</v>
      </c>
      <c r="E38" s="14">
        <f t="shared" si="0"/>
        <v>1.1244247254942192</v>
      </c>
      <c r="F38" s="14" t="s">
        <v>95</v>
      </c>
      <c r="G38" s="9"/>
      <c r="H38" s="8"/>
    </row>
    <row r="39" spans="1:8" s="15" customFormat="1" ht="14.25" x14ac:dyDescent="0.3">
      <c r="A39" s="11" t="s">
        <v>96</v>
      </c>
      <c r="B39" s="12" t="s">
        <v>34</v>
      </c>
      <c r="C39" s="13">
        <v>81481</v>
      </c>
      <c r="D39" s="14">
        <v>122.628905</v>
      </c>
      <c r="E39" s="14">
        <f t="shared" si="0"/>
        <v>1.1102681147596005</v>
      </c>
      <c r="F39" s="14" t="s">
        <v>97</v>
      </c>
      <c r="G39" s="9"/>
      <c r="H39" s="8"/>
    </row>
    <row r="40" spans="1:8" s="15" customFormat="1" ht="14.25" x14ac:dyDescent="0.3">
      <c r="A40" s="11" t="s">
        <v>98</v>
      </c>
      <c r="B40" s="12" t="s">
        <v>19</v>
      </c>
      <c r="C40" s="13">
        <v>6250</v>
      </c>
      <c r="D40" s="14">
        <v>117.29375</v>
      </c>
      <c r="E40" s="14">
        <f t="shared" si="0"/>
        <v>1.0619642300939072</v>
      </c>
      <c r="F40" s="14" t="s">
        <v>99</v>
      </c>
      <c r="G40" s="9"/>
      <c r="H40" s="9"/>
    </row>
    <row r="41" spans="1:8" s="15" customFormat="1" ht="14.25" x14ac:dyDescent="0.3">
      <c r="A41" s="11" t="s">
        <v>100</v>
      </c>
      <c r="B41" s="12" t="s">
        <v>101</v>
      </c>
      <c r="C41" s="13">
        <v>120000</v>
      </c>
      <c r="D41" s="14">
        <v>115.2</v>
      </c>
      <c r="E41" s="14">
        <f t="shared" si="0"/>
        <v>1.0430076564763093</v>
      </c>
      <c r="F41" s="14" t="s">
        <v>102</v>
      </c>
      <c r="G41" s="9"/>
      <c r="H41" s="9"/>
    </row>
    <row r="42" spans="1:8" s="15" customFormat="1" ht="14.25" x14ac:dyDescent="0.3">
      <c r="A42" s="11" t="s">
        <v>103</v>
      </c>
      <c r="B42" s="12" t="s">
        <v>104</v>
      </c>
      <c r="C42" s="13">
        <v>1712</v>
      </c>
      <c r="D42" s="14">
        <v>93.473488000000003</v>
      </c>
      <c r="E42" s="14">
        <f t="shared" si="0"/>
        <v>0.84629829567314607</v>
      </c>
      <c r="F42" s="14" t="s">
        <v>105</v>
      </c>
      <c r="G42" s="9"/>
      <c r="H42" s="9"/>
    </row>
    <row r="43" spans="1:8" s="15" customFormat="1" ht="14.25" x14ac:dyDescent="0.3">
      <c r="A43" s="10" t="s">
        <v>106</v>
      </c>
      <c r="B43" s="12"/>
      <c r="C43" s="13"/>
      <c r="D43" s="17">
        <f>IF(ISERROR(SUM(D7:D42)),0,SUM(D7:D42))</f>
        <v>7902.0077374999983</v>
      </c>
      <c r="E43" s="17">
        <f>IF(ISERROR(SUM(E7:E42)),0,SUM(E7:E42))</f>
        <v>71.543876490864051</v>
      </c>
      <c r="F43" s="17"/>
      <c r="G43" s="9"/>
      <c r="H43" s="8"/>
    </row>
    <row r="44" spans="1:8" s="15" customFormat="1" ht="14.25" x14ac:dyDescent="0.3">
      <c r="A44" s="10"/>
      <c r="B44" s="10"/>
      <c r="C44" s="18"/>
      <c r="D44" s="19"/>
      <c r="E44" s="19"/>
      <c r="F44" s="19"/>
      <c r="G44" s="9"/>
      <c r="H44" s="8"/>
    </row>
    <row r="45" spans="1:8" s="15" customFormat="1" ht="14.25" x14ac:dyDescent="0.3">
      <c r="A45" s="10" t="s">
        <v>107</v>
      </c>
      <c r="B45" s="10"/>
      <c r="C45" s="18"/>
      <c r="D45" s="20" t="s">
        <v>108</v>
      </c>
      <c r="E45" s="20" t="s">
        <v>108</v>
      </c>
      <c r="F45" s="20"/>
      <c r="G45" s="9"/>
      <c r="H45" s="8"/>
    </row>
    <row r="46" spans="1:8" s="15" customFormat="1" ht="14.25" x14ac:dyDescent="0.3">
      <c r="A46" s="10"/>
      <c r="B46" s="3"/>
      <c r="C46" s="18"/>
      <c r="D46" s="20"/>
      <c r="E46" s="20"/>
      <c r="F46" s="21"/>
      <c r="G46" s="9"/>
      <c r="H46" s="8"/>
    </row>
    <row r="47" spans="1:8" s="15" customFormat="1" ht="14.25" x14ac:dyDescent="0.3">
      <c r="A47" s="10" t="s">
        <v>109</v>
      </c>
      <c r="B47" s="10"/>
      <c r="C47" s="18"/>
      <c r="D47" s="17">
        <f>IF(ISERROR(+D43),0,D43)+IF(ISERROR(+#REF!),0,#REF!)</f>
        <v>7902.0077374999983</v>
      </c>
      <c r="E47" s="17">
        <f>IF(ISERROR(+E43),0,E43)+IF(ISERROR(+#REF!),0,#REF!)</f>
        <v>71.543876490864051</v>
      </c>
      <c r="F47" s="22"/>
      <c r="G47" s="9"/>
      <c r="H47" s="8"/>
    </row>
    <row r="48" spans="1:8" s="15" customFormat="1" ht="14.25" x14ac:dyDescent="0.3">
      <c r="A48" s="10"/>
      <c r="B48" s="3"/>
      <c r="C48" s="18"/>
      <c r="D48" s="20"/>
      <c r="E48" s="20"/>
      <c r="F48" s="21"/>
      <c r="G48" s="9"/>
      <c r="H48" s="8"/>
    </row>
    <row r="49" spans="1:8" s="15" customFormat="1" ht="14.25" x14ac:dyDescent="0.3">
      <c r="A49" s="10" t="s">
        <v>110</v>
      </c>
      <c r="B49" s="3"/>
      <c r="C49" s="18"/>
      <c r="D49" s="20"/>
      <c r="E49" s="20"/>
      <c r="F49" s="21"/>
      <c r="G49" s="9"/>
      <c r="H49" s="8"/>
    </row>
    <row r="50" spans="1:8" s="15" customFormat="1" ht="14.25" x14ac:dyDescent="0.3">
      <c r="A50" s="10" t="s">
        <v>12</v>
      </c>
      <c r="B50" s="3"/>
      <c r="C50" s="18"/>
      <c r="D50" s="23"/>
      <c r="E50" s="23"/>
      <c r="F50" s="23"/>
      <c r="G50" s="9"/>
      <c r="H50" s="8"/>
    </row>
    <row r="51" spans="1:8" s="15" customFormat="1" ht="14.25" x14ac:dyDescent="0.3">
      <c r="A51" s="11" t="s">
        <v>111</v>
      </c>
      <c r="B51" s="12" t="s">
        <v>112</v>
      </c>
      <c r="C51" s="13">
        <v>20</v>
      </c>
      <c r="D51" s="14">
        <v>202.68199999999999</v>
      </c>
      <c r="E51" s="14">
        <f>(+D51/$D$84*100)</f>
        <v>1.8350597033848206</v>
      </c>
      <c r="F51" s="14" t="s">
        <v>113</v>
      </c>
      <c r="G51" s="9">
        <v>7.6749999999999998</v>
      </c>
      <c r="H51" s="8"/>
    </row>
    <row r="52" spans="1:8" s="15" customFormat="1" ht="14.25" x14ac:dyDescent="0.3">
      <c r="A52" s="11" t="s">
        <v>114</v>
      </c>
      <c r="B52" s="12" t="s">
        <v>115</v>
      </c>
      <c r="C52" s="13">
        <v>20</v>
      </c>
      <c r="D52" s="14">
        <v>198.86</v>
      </c>
      <c r="E52" s="14">
        <f>(+D52/$D$84*100)</f>
        <v>1.8004557514486015</v>
      </c>
      <c r="F52" s="14" t="s">
        <v>116</v>
      </c>
      <c r="G52" s="9">
        <v>7.9649999999999999</v>
      </c>
      <c r="H52" s="8"/>
    </row>
    <row r="53" spans="1:8" s="15" customFormat="1" ht="14.25" x14ac:dyDescent="0.3">
      <c r="A53" s="11" t="s">
        <v>117</v>
      </c>
      <c r="B53" s="12" t="s">
        <v>115</v>
      </c>
      <c r="C53" s="13">
        <v>20</v>
      </c>
      <c r="D53" s="14">
        <v>194.4796</v>
      </c>
      <c r="E53" s="14">
        <f>(+D53/$D$84*100)</f>
        <v>1.7607961096219624</v>
      </c>
      <c r="F53" s="14" t="s">
        <v>118</v>
      </c>
      <c r="G53" s="9">
        <v>8.0350000000000001</v>
      </c>
      <c r="H53" s="8"/>
    </row>
    <row r="54" spans="1:8" s="15" customFormat="1" ht="14.25" x14ac:dyDescent="0.3">
      <c r="A54" s="11" t="s">
        <v>119</v>
      </c>
      <c r="B54" s="12" t="s">
        <v>115</v>
      </c>
      <c r="C54" s="13">
        <v>100</v>
      </c>
      <c r="D54" s="14">
        <v>99.590299999999999</v>
      </c>
      <c r="E54" s="14">
        <f>(+D54/$D$84*100)</f>
        <v>0.90167921363517889</v>
      </c>
      <c r="F54" s="14" t="s">
        <v>120</v>
      </c>
      <c r="G54" s="9">
        <v>8.0449999999999999</v>
      </c>
      <c r="H54" s="8"/>
    </row>
    <row r="55" spans="1:8" s="15" customFormat="1" ht="14.25" x14ac:dyDescent="0.3">
      <c r="A55" s="10" t="s">
        <v>106</v>
      </c>
      <c r="B55" s="3"/>
      <c r="C55" s="24"/>
      <c r="D55" s="20">
        <f>IF(ISERROR(SUM(D51:D54)),0,SUM(D51:D54))</f>
        <v>695.61189999999999</v>
      </c>
      <c r="E55" s="20">
        <f>IF(ISERROR(SUM(E51:E54)),0,SUM(E51:E54))</f>
        <v>6.2979907780905631</v>
      </c>
      <c r="F55" s="20"/>
      <c r="G55" s="9"/>
      <c r="H55" s="8"/>
    </row>
    <row r="56" spans="1:8" s="15" customFormat="1" ht="14.25" x14ac:dyDescent="0.3">
      <c r="A56" s="10"/>
      <c r="B56" s="3"/>
      <c r="C56" s="24"/>
      <c r="D56" s="23"/>
      <c r="E56" s="23"/>
      <c r="F56" s="23"/>
      <c r="G56" s="9"/>
      <c r="H56" s="8"/>
    </row>
    <row r="57" spans="1:8" s="15" customFormat="1" ht="14.25" x14ac:dyDescent="0.3">
      <c r="A57" s="10" t="s">
        <v>121</v>
      </c>
      <c r="B57" s="3"/>
      <c r="C57" s="24"/>
      <c r="D57" s="20" t="s">
        <v>108</v>
      </c>
      <c r="E57" s="20" t="s">
        <v>108</v>
      </c>
      <c r="F57" s="21"/>
      <c r="G57" s="9"/>
      <c r="H57" s="8"/>
    </row>
    <row r="58" spans="1:8" s="15" customFormat="1" ht="14.25" x14ac:dyDescent="0.3">
      <c r="A58" s="10"/>
      <c r="B58" s="3"/>
      <c r="C58" s="24"/>
      <c r="D58" s="23"/>
      <c r="E58" s="23"/>
      <c r="F58" s="23"/>
      <c r="G58" s="9"/>
      <c r="H58" s="8"/>
    </row>
    <row r="59" spans="1:8" s="15" customFormat="1" ht="14.25" x14ac:dyDescent="0.3">
      <c r="A59" s="10" t="s">
        <v>109</v>
      </c>
      <c r="B59" s="3"/>
      <c r="C59" s="24"/>
      <c r="D59" s="20">
        <f>IF(ISERROR(+D55),0,D55)+IF(ISERROR(+#REF!),0,#REF!)+IF(ISERROR(+#REF!),0,#REF!)</f>
        <v>695.61189999999999</v>
      </c>
      <c r="E59" s="20">
        <f>IF(ISERROR(+E55),0,E55)+IF(ISERROR(+#REF!),0,#REF!)+IF(ISERROR(+#REF!),0,#REF!)</f>
        <v>6.2979907780905631</v>
      </c>
      <c r="F59" s="20">
        <f>IF(ISERROR(+F55),0,F55)+IF(ISERROR(+#REF!),0,#REF!)+IF(ISERROR(+#REF!),0,#REF!)</f>
        <v>0</v>
      </c>
      <c r="G59" s="9"/>
      <c r="H59" s="8"/>
    </row>
    <row r="60" spans="1:8" s="15" customFormat="1" ht="14.25" x14ac:dyDescent="0.3">
      <c r="A60" s="10"/>
      <c r="B60" s="3"/>
      <c r="C60" s="24"/>
      <c r="D60" s="20"/>
      <c r="E60" s="20"/>
      <c r="F60" s="20"/>
      <c r="G60" s="9"/>
      <c r="H60" s="8"/>
    </row>
    <row r="61" spans="1:8" s="15" customFormat="1" ht="14.25" x14ac:dyDescent="0.3">
      <c r="A61" s="10" t="s">
        <v>122</v>
      </c>
      <c r="B61" s="3"/>
      <c r="C61" s="24"/>
      <c r="D61" s="20"/>
      <c r="E61" s="20"/>
      <c r="F61" s="20"/>
      <c r="G61" s="9"/>
      <c r="H61" s="8"/>
    </row>
    <row r="62" spans="1:8" s="15" customFormat="1" ht="14.25" x14ac:dyDescent="0.3">
      <c r="A62" s="10"/>
      <c r="B62" s="3"/>
      <c r="C62" s="24"/>
      <c r="D62" s="14"/>
      <c r="E62" s="14"/>
      <c r="F62" s="25"/>
      <c r="G62" s="9"/>
      <c r="H62" s="8"/>
    </row>
    <row r="63" spans="1:8" s="15" customFormat="1" ht="14.25" x14ac:dyDescent="0.3">
      <c r="A63" s="10" t="s">
        <v>123</v>
      </c>
      <c r="B63" s="3"/>
      <c r="C63" s="24"/>
      <c r="D63" s="20" t="s">
        <v>108</v>
      </c>
      <c r="E63" s="20" t="s">
        <v>108</v>
      </c>
      <c r="F63" s="20"/>
      <c r="G63" s="9"/>
      <c r="H63" s="8"/>
    </row>
    <row r="64" spans="1:8" s="15" customFormat="1" ht="14.25" x14ac:dyDescent="0.3">
      <c r="A64" s="10"/>
      <c r="B64" s="3"/>
      <c r="C64" s="24"/>
      <c r="D64" s="20"/>
      <c r="E64" s="20"/>
      <c r="F64" s="20"/>
      <c r="G64" s="9"/>
      <c r="H64" s="8"/>
    </row>
    <row r="65" spans="1:8" s="15" customFormat="1" ht="14.25" x14ac:dyDescent="0.3">
      <c r="A65" s="10" t="s">
        <v>124</v>
      </c>
      <c r="B65" s="3"/>
      <c r="C65" s="24"/>
      <c r="D65" s="20" t="s">
        <v>108</v>
      </c>
      <c r="E65" s="20" t="s">
        <v>108</v>
      </c>
      <c r="F65" s="20"/>
      <c r="G65" s="9"/>
      <c r="H65" s="8"/>
    </row>
    <row r="66" spans="1:8" s="15" customFormat="1" ht="14.25" x14ac:dyDescent="0.3">
      <c r="A66" s="10"/>
      <c r="B66" s="3"/>
      <c r="C66" s="24"/>
      <c r="D66" s="20"/>
      <c r="E66" s="20"/>
      <c r="F66" s="20"/>
      <c r="G66" s="9"/>
      <c r="H66" s="8"/>
    </row>
    <row r="67" spans="1:8" s="15" customFormat="1" ht="14.25" x14ac:dyDescent="0.3">
      <c r="A67" s="10" t="s">
        <v>125</v>
      </c>
      <c r="B67" s="3"/>
      <c r="C67" s="24"/>
      <c r="D67" s="20"/>
      <c r="E67" s="20"/>
      <c r="F67" s="20"/>
      <c r="G67" s="9"/>
      <c r="H67" s="8"/>
    </row>
    <row r="68" spans="1:8" s="15" customFormat="1" ht="14.25" x14ac:dyDescent="0.3">
      <c r="A68" s="11" t="s">
        <v>126</v>
      </c>
      <c r="B68" s="12" t="s">
        <v>127</v>
      </c>
      <c r="C68" s="13">
        <v>600000</v>
      </c>
      <c r="D68" s="14">
        <v>602.78639999999996</v>
      </c>
      <c r="E68" s="14">
        <f>(+D68/$D$84*100)</f>
        <v>5.4575592918384652</v>
      </c>
      <c r="F68" s="14" t="s">
        <v>128</v>
      </c>
      <c r="G68" s="9">
        <v>7.2529000000000003</v>
      </c>
      <c r="H68" s="8"/>
    </row>
    <row r="69" spans="1:8" s="15" customFormat="1" ht="14.25" x14ac:dyDescent="0.3">
      <c r="A69" s="11" t="s">
        <v>129</v>
      </c>
      <c r="B69" s="12" t="s">
        <v>127</v>
      </c>
      <c r="C69" s="13">
        <v>350000</v>
      </c>
      <c r="D69" s="14">
        <v>347.05685</v>
      </c>
      <c r="E69" s="14">
        <f>(+D69/$D$84*100)</f>
        <v>3.1422131231124131</v>
      </c>
      <c r="F69" s="14" t="s">
        <v>130</v>
      </c>
      <c r="G69" s="9">
        <v>7.2891000000000004</v>
      </c>
      <c r="H69" s="8"/>
    </row>
    <row r="70" spans="1:8" s="15" customFormat="1" ht="14.25" x14ac:dyDescent="0.3">
      <c r="A70" s="11" t="s">
        <v>131</v>
      </c>
      <c r="B70" s="12" t="s">
        <v>127</v>
      </c>
      <c r="C70" s="13">
        <v>200000</v>
      </c>
      <c r="D70" s="14">
        <v>200.7002</v>
      </c>
      <c r="E70" s="14">
        <f>(+D70/$D$84*100)</f>
        <v>1.8171167122945018</v>
      </c>
      <c r="F70" s="14" t="s">
        <v>132</v>
      </c>
      <c r="G70" s="9">
        <v>7.2644000000000002</v>
      </c>
      <c r="H70" s="8"/>
    </row>
    <row r="71" spans="1:8" s="15" customFormat="1" ht="14.25" x14ac:dyDescent="0.3">
      <c r="A71" s="10" t="s">
        <v>106</v>
      </c>
      <c r="B71" s="3"/>
      <c r="C71" s="24"/>
      <c r="D71" s="20">
        <f>IF(ISERROR(SUM(D68:D70)),0,SUM(D68:D70))</f>
        <v>1150.5434499999999</v>
      </c>
      <c r="E71" s="20">
        <f>IF(ISERROR(SUM(E68:E70)),0,SUM(E68:E70))</f>
        <v>10.41688912724538</v>
      </c>
      <c r="F71" s="26"/>
      <c r="G71" s="9"/>
      <c r="H71" s="8"/>
    </row>
    <row r="72" spans="1:8" s="15" customFormat="1" ht="14.25" x14ac:dyDescent="0.3">
      <c r="A72" s="10"/>
      <c r="B72" s="3"/>
      <c r="C72" s="24"/>
      <c r="D72" s="20"/>
      <c r="E72" s="20"/>
      <c r="F72" s="20"/>
      <c r="G72" s="9"/>
      <c r="H72" s="8"/>
    </row>
    <row r="73" spans="1:8" s="15" customFormat="1" ht="14.25" x14ac:dyDescent="0.3">
      <c r="A73" s="10" t="s">
        <v>133</v>
      </c>
      <c r="B73" s="3"/>
      <c r="C73" s="24"/>
      <c r="D73" s="20"/>
      <c r="E73" s="20"/>
      <c r="F73" s="21"/>
      <c r="G73" s="9"/>
      <c r="H73" s="8"/>
    </row>
    <row r="74" spans="1:8" s="15" customFormat="1" ht="14.25" x14ac:dyDescent="0.3">
      <c r="A74" s="10" t="s">
        <v>134</v>
      </c>
      <c r="B74" s="3"/>
      <c r="C74" s="24"/>
      <c r="D74" s="20"/>
      <c r="E74" s="20"/>
      <c r="F74" s="21"/>
      <c r="G74" s="9"/>
      <c r="H74" s="8"/>
    </row>
    <row r="75" spans="1:8" s="15" customFormat="1" ht="14.25" x14ac:dyDescent="0.3">
      <c r="A75" s="11" t="s">
        <v>135</v>
      </c>
      <c r="B75" s="12" t="s">
        <v>136</v>
      </c>
      <c r="C75" s="13">
        <v>100</v>
      </c>
      <c r="D75" s="14">
        <v>499.66300000000001</v>
      </c>
      <c r="E75" s="14">
        <f>(+D75/$D$84*100)</f>
        <v>4.5238917939055749</v>
      </c>
      <c r="F75" s="14" t="s">
        <v>137</v>
      </c>
      <c r="G75" s="9">
        <v>8.2119999999999997</v>
      </c>
      <c r="H75" s="8"/>
    </row>
    <row r="76" spans="1:8" s="15" customFormat="1" ht="14.25" x14ac:dyDescent="0.3">
      <c r="A76" s="10" t="s">
        <v>106</v>
      </c>
      <c r="B76" s="27"/>
      <c r="C76" s="28"/>
      <c r="D76" s="20">
        <f>IF(ISERROR(SUM(D75:D75)),0,SUM(D75:D75))</f>
        <v>499.66300000000001</v>
      </c>
      <c r="E76" s="20">
        <f>IF(ISERROR(SUM(E75:E75)),0,SUM(E75:E75))</f>
        <v>4.5238917939055749</v>
      </c>
      <c r="F76" s="29"/>
      <c r="G76" s="9"/>
      <c r="H76" s="8"/>
    </row>
    <row r="77" spans="1:8" s="15" customFormat="1" ht="14.25" x14ac:dyDescent="0.3">
      <c r="A77" s="11" t="s">
        <v>138</v>
      </c>
      <c r="B77" s="12"/>
      <c r="C77" s="13">
        <v>0</v>
      </c>
      <c r="D77" s="14">
        <v>862.27818849999994</v>
      </c>
      <c r="E77" s="14">
        <f>(+D77/$D$84*100)</f>
        <v>7.8069683386981099</v>
      </c>
      <c r="F77" s="14" t="s">
        <v>139</v>
      </c>
      <c r="G77" s="9">
        <v>6.7565999999999997</v>
      </c>
      <c r="H77" s="8"/>
    </row>
    <row r="78" spans="1:8" s="15" customFormat="1" ht="14.25" x14ac:dyDescent="0.3">
      <c r="A78" s="10" t="s">
        <v>106</v>
      </c>
      <c r="B78" s="3"/>
      <c r="C78" s="24"/>
      <c r="D78" s="20">
        <f>IF(ISERROR(SUM(D77:D77)),0,SUM(D77:D77))</f>
        <v>862.27818849999994</v>
      </c>
      <c r="E78" s="20">
        <f>IF(ISERROR(SUM(E77:E77)),0,SUM(E77:E77))</f>
        <v>7.8069683386981099</v>
      </c>
      <c r="F78" s="14"/>
      <c r="G78" s="9"/>
      <c r="H78" s="8"/>
    </row>
    <row r="79" spans="1:8" s="15" customFormat="1" ht="14.25" x14ac:dyDescent="0.3">
      <c r="A79" s="10"/>
      <c r="B79" s="3"/>
      <c r="C79" s="24"/>
      <c r="D79" s="20"/>
      <c r="E79" s="20"/>
      <c r="F79" s="21"/>
      <c r="G79" s="9"/>
      <c r="H79" s="8"/>
    </row>
    <row r="80" spans="1:8" s="15" customFormat="1" ht="14.25" x14ac:dyDescent="0.3">
      <c r="A80" s="10" t="s">
        <v>109</v>
      </c>
      <c r="B80" s="3"/>
      <c r="C80" s="24" t="s">
        <v>140</v>
      </c>
      <c r="D80" s="20">
        <f>+IF(ISERROR(D59),0,D59)+IF(ISERROR(D78),0,D78)+IF(ISERROR(D47),0,D47)+IF(ISERROR(#REF!),0,#REF!)+IF(ISERROR(D71),0,D71)+IF(ISERROR(#REF!),0,#REF!)+IF(ISERROR(#REF!),0,#REF!)+IF(ISERROR(#REF!),0,#REF!)+IF(ISERROR(D76),0,D76)</f>
        <v>11110.104275999998</v>
      </c>
      <c r="E80" s="20">
        <f>+IF(ISERROR(E59),0,E59)+IF(ISERROR(E78),0,E78)+IF(ISERROR(E47),0,E47)+IF(ISERROR(#REF!),0,#REF!)+IF(ISERROR(E71),0,E71)+IF(ISERROR(#REF!),0,#REF!)+IF(ISERROR(#REF!),0,#REF!)+IF(ISERROR(#REF!),0,#REF!)+IF(ISERROR(E76),0,E76)</f>
        <v>100.58961652880369</v>
      </c>
      <c r="F80" s="20">
        <f>+IF(ISERROR(F59),0,F59)+IF(ISERROR(F78),0,F78)+IF(ISERROR(F47),0,F47)+IF(ISERROR(#REF!),0,#REF!)+IF(ISERROR(F71),0,F71)+IF(ISERROR(#REF!),0,#REF!)+IF(ISERROR(#REF!),0,#REF!)+IF(ISERROR(#REF!),0,#REF!)+IF(ISERROR(#REF!),0,#REF!)+F76</f>
        <v>0</v>
      </c>
      <c r="G80" s="9"/>
      <c r="H80" s="8"/>
    </row>
    <row r="81" spans="1:8" s="15" customFormat="1" ht="14.25" x14ac:dyDescent="0.3">
      <c r="A81" s="10"/>
      <c r="B81" s="3"/>
      <c r="C81" s="24"/>
      <c r="D81" s="20"/>
      <c r="E81" s="20"/>
      <c r="F81" s="30"/>
      <c r="G81" s="31"/>
      <c r="H81" s="32"/>
    </row>
    <row r="82" spans="1:8" s="15" customFormat="1" ht="14.25" x14ac:dyDescent="0.3">
      <c r="A82" s="10" t="s">
        <v>141</v>
      </c>
      <c r="B82" s="3"/>
      <c r="C82" s="24"/>
      <c r="D82" s="20">
        <f>+D84-D80</f>
        <v>-65.123035000198797</v>
      </c>
      <c r="E82" s="20">
        <f>D82/$D$84*100</f>
        <v>-0.58961652880366333</v>
      </c>
      <c r="F82" s="30"/>
      <c r="G82" s="31"/>
      <c r="H82" s="32"/>
    </row>
    <row r="83" spans="1:8" s="15" customFormat="1" ht="14.25" x14ac:dyDescent="0.3">
      <c r="A83" s="10"/>
      <c r="B83" s="3"/>
      <c r="C83" s="24"/>
      <c r="D83" s="23"/>
      <c r="E83" s="23"/>
      <c r="F83" s="30"/>
      <c r="G83" s="31"/>
      <c r="H83" s="32"/>
    </row>
    <row r="84" spans="1:8" s="15" customFormat="1" ht="14.25" x14ac:dyDescent="0.3">
      <c r="A84" s="10" t="s">
        <v>142</v>
      </c>
      <c r="B84" s="3"/>
      <c r="C84" s="24"/>
      <c r="D84" s="20">
        <v>11044.981240999799</v>
      </c>
      <c r="E84" s="20">
        <f>+E80+E82</f>
        <v>100.00000000000003</v>
      </c>
      <c r="F84" s="30"/>
      <c r="G84" s="31"/>
      <c r="H84" s="32"/>
    </row>
    <row r="85" spans="1:8" s="15" customFormat="1" ht="14.25" x14ac:dyDescent="0.3">
      <c r="A85" s="33"/>
      <c r="B85" s="34"/>
      <c r="C85" s="35"/>
      <c r="D85" s="36"/>
      <c r="E85" s="36"/>
      <c r="F85" s="30"/>
      <c r="G85" s="31"/>
      <c r="H85" s="32"/>
    </row>
    <row r="86" spans="1:8" s="15" customFormat="1" ht="14.25" x14ac:dyDescent="0.3">
      <c r="A86" s="37" t="s">
        <v>143</v>
      </c>
      <c r="B86" s="34"/>
      <c r="C86" s="35"/>
      <c r="D86" s="36"/>
      <c r="E86" s="36"/>
      <c r="F86" s="38"/>
      <c r="G86" s="31"/>
      <c r="H86" s="32"/>
    </row>
    <row r="87" spans="1:8" s="15" customFormat="1" ht="14.25" x14ac:dyDescent="0.3">
      <c r="A87" s="39"/>
      <c r="B87" s="40"/>
      <c r="C87" s="41"/>
      <c r="D87" s="42"/>
      <c r="E87" s="42"/>
      <c r="F87" s="38"/>
      <c r="G87" s="31"/>
      <c r="H87" s="32"/>
    </row>
    <row r="88" spans="1:8" s="15" customFormat="1" ht="13.5" x14ac:dyDescent="0.2">
      <c r="A88" s="65" t="s">
        <v>144</v>
      </c>
      <c r="B88" s="65"/>
      <c r="C88" s="65"/>
      <c r="D88" s="65"/>
      <c r="E88" s="65"/>
      <c r="F88" s="65"/>
      <c r="G88" s="65"/>
      <c r="H88" s="65"/>
    </row>
    <row r="89" spans="1:8" s="15" customFormat="1" ht="26.25" customHeight="1" x14ac:dyDescent="0.2">
      <c r="A89" s="65" t="s">
        <v>145</v>
      </c>
      <c r="B89" s="65"/>
      <c r="C89" s="65"/>
      <c r="D89" s="65"/>
      <c r="E89" s="65"/>
      <c r="F89" s="65"/>
      <c r="G89" s="65"/>
      <c r="H89" s="65"/>
    </row>
    <row r="90" spans="1:8" s="15" customFormat="1" ht="13.5" x14ac:dyDescent="0.2">
      <c r="A90" s="66" t="s">
        <v>146</v>
      </c>
      <c r="B90" s="66"/>
      <c r="C90" s="66"/>
      <c r="D90" s="66"/>
      <c r="E90" s="66"/>
      <c r="F90" s="66"/>
      <c r="G90" s="66"/>
      <c r="H90" s="66"/>
    </row>
    <row r="91" spans="1:8" s="15" customFormat="1" ht="56.25" customHeight="1" x14ac:dyDescent="0.2">
      <c r="A91" s="62" t="s">
        <v>147</v>
      </c>
      <c r="B91" s="62"/>
      <c r="C91" s="62"/>
      <c r="D91" s="62"/>
      <c r="E91" s="62"/>
      <c r="F91" s="62"/>
      <c r="G91" s="62"/>
      <c r="H91" s="62"/>
    </row>
    <row r="92" spans="1:8" ht="14.25" x14ac:dyDescent="0.3">
      <c r="A92" s="37"/>
      <c r="B92" s="43"/>
      <c r="C92" s="44"/>
      <c r="D92" s="45"/>
      <c r="E92" s="30"/>
      <c r="F92" s="32"/>
      <c r="G92" s="46"/>
      <c r="H92" s="46"/>
    </row>
    <row r="93" spans="1:8" ht="14.25" x14ac:dyDescent="0.3">
      <c r="A93" s="47" t="s">
        <v>148</v>
      </c>
      <c r="B93" s="48"/>
      <c r="C93" s="48"/>
      <c r="D93" s="48"/>
      <c r="E93" s="32"/>
      <c r="F93" s="32"/>
      <c r="G93" s="32"/>
      <c r="H93" s="32"/>
    </row>
    <row r="94" spans="1:8" ht="14.25" x14ac:dyDescent="0.3">
      <c r="A94" s="49" t="s">
        <v>149</v>
      </c>
      <c r="B94" s="48"/>
      <c r="C94" s="48"/>
      <c r="D94" s="48"/>
      <c r="E94" s="32"/>
      <c r="F94" s="32"/>
      <c r="G94" s="32"/>
      <c r="H94" s="32"/>
    </row>
    <row r="95" spans="1:8" ht="14.25" x14ac:dyDescent="0.3">
      <c r="A95" s="49" t="s">
        <v>150</v>
      </c>
      <c r="B95" s="49"/>
      <c r="C95" s="49"/>
      <c r="D95" s="48"/>
      <c r="E95" s="32"/>
      <c r="F95" s="50"/>
      <c r="G95" s="32"/>
      <c r="H95" s="32"/>
    </row>
    <row r="96" spans="1:8" ht="14.25" x14ac:dyDescent="0.3">
      <c r="A96" s="49" t="s">
        <v>151</v>
      </c>
      <c r="B96" s="49"/>
      <c r="C96" s="49"/>
      <c r="D96" s="48"/>
      <c r="E96" s="32"/>
      <c r="F96" s="32"/>
      <c r="G96" s="32"/>
      <c r="H96" s="32"/>
    </row>
    <row r="97" spans="1:8" ht="14.25" x14ac:dyDescent="0.3">
      <c r="A97" s="51"/>
      <c r="B97" s="52"/>
      <c r="C97" s="53"/>
      <c r="D97" s="32"/>
      <c r="E97" s="32"/>
      <c r="F97" s="32"/>
      <c r="G97" s="32"/>
      <c r="H97" s="32"/>
    </row>
    <row r="98" spans="1:8" ht="14.25" x14ac:dyDescent="0.3">
      <c r="A98" s="54" t="s">
        <v>152</v>
      </c>
      <c r="B98" s="55" t="s">
        <v>153</v>
      </c>
      <c r="C98" s="48"/>
      <c r="D98" s="32"/>
      <c r="E98" s="32"/>
      <c r="F98" s="32"/>
      <c r="G98" s="32"/>
      <c r="H98" s="32"/>
    </row>
    <row r="99" spans="1:8" ht="14.25" x14ac:dyDescent="0.3">
      <c r="A99" s="51"/>
      <c r="B99" s="52"/>
      <c r="C99" s="53"/>
      <c r="D99" s="32"/>
      <c r="E99" s="32"/>
      <c r="F99" s="32"/>
      <c r="G99" s="32"/>
      <c r="H99" s="32"/>
    </row>
    <row r="100" spans="1:8" ht="14.25" x14ac:dyDescent="0.3">
      <c r="A100" s="51"/>
      <c r="B100" s="52"/>
      <c r="C100" s="53"/>
      <c r="D100" s="32"/>
      <c r="E100" s="32"/>
      <c r="F100" s="32"/>
      <c r="G100" s="32"/>
      <c r="H100" s="32"/>
    </row>
    <row r="101" spans="1:8" ht="14.25" x14ac:dyDescent="0.3">
      <c r="A101" s="51"/>
      <c r="B101" s="52"/>
      <c r="C101" s="53"/>
      <c r="D101" s="32"/>
      <c r="E101" s="32"/>
      <c r="F101" s="32"/>
      <c r="G101" s="32"/>
      <c r="H101" s="32"/>
    </row>
    <row r="102" spans="1:8" ht="14.25" x14ac:dyDescent="0.3">
      <c r="A102" s="51"/>
      <c r="B102" s="52"/>
      <c r="C102" s="53"/>
      <c r="D102" s="32"/>
      <c r="E102" s="32"/>
      <c r="F102" s="32"/>
      <c r="G102" s="32"/>
      <c r="H102" s="32"/>
    </row>
    <row r="103" spans="1:8" ht="14.25" x14ac:dyDescent="0.3">
      <c r="A103" s="51"/>
      <c r="B103" s="52"/>
      <c r="C103" s="53"/>
      <c r="D103" s="32"/>
      <c r="E103" s="32"/>
      <c r="F103" s="32"/>
      <c r="G103" s="32"/>
      <c r="H103" s="32"/>
    </row>
    <row r="104" spans="1:8" ht="14.25" x14ac:dyDescent="0.3">
      <c r="A104" s="51"/>
      <c r="B104" s="52"/>
      <c r="C104" s="53"/>
      <c r="D104" s="32"/>
      <c r="E104" s="32"/>
      <c r="F104" s="32"/>
      <c r="G104" s="32"/>
      <c r="H104" s="32"/>
    </row>
    <row r="105" spans="1:8" ht="14.25" x14ac:dyDescent="0.3">
      <c r="A105" s="51"/>
      <c r="B105" s="52"/>
      <c r="C105" s="53"/>
      <c r="D105" s="32"/>
      <c r="E105" s="56"/>
      <c r="F105" s="32"/>
      <c r="G105" s="32"/>
      <c r="H105" s="32"/>
    </row>
    <row r="106" spans="1:8" ht="14.25" x14ac:dyDescent="0.3">
      <c r="A106" s="51"/>
      <c r="B106" s="52"/>
      <c r="C106" s="53"/>
      <c r="D106" s="32"/>
      <c r="E106" s="56"/>
      <c r="F106" s="32"/>
      <c r="G106" s="32"/>
      <c r="H106" s="32"/>
    </row>
    <row r="107" spans="1:8" ht="14.25" x14ac:dyDescent="0.3">
      <c r="A107" s="51"/>
      <c r="B107" s="52"/>
      <c r="C107" s="53"/>
      <c r="D107" s="32"/>
      <c r="E107" s="56"/>
      <c r="F107" s="32"/>
      <c r="G107" s="32"/>
      <c r="H107" s="32"/>
    </row>
    <row r="108" spans="1:8" ht="14.25" x14ac:dyDescent="0.3">
      <c r="A108" s="51"/>
      <c r="B108" s="52"/>
      <c r="C108" s="53"/>
      <c r="D108" s="32"/>
      <c r="E108" s="56"/>
      <c r="F108" s="32"/>
      <c r="G108" s="32"/>
      <c r="H108" s="32"/>
    </row>
    <row r="109" spans="1:8" ht="14.25" x14ac:dyDescent="0.3">
      <c r="A109" s="51"/>
      <c r="B109" s="52"/>
      <c r="C109" s="53"/>
      <c r="D109" s="32"/>
      <c r="E109" s="56"/>
      <c r="F109" s="32"/>
      <c r="G109" s="32"/>
      <c r="H109" s="32"/>
    </row>
    <row r="110" spans="1:8" ht="14.25" x14ac:dyDescent="0.3">
      <c r="A110" s="51"/>
      <c r="B110" s="52"/>
      <c r="C110" s="53"/>
      <c r="D110" s="32"/>
      <c r="E110" s="56"/>
      <c r="F110" s="32"/>
      <c r="G110" s="32"/>
      <c r="H110" s="32"/>
    </row>
    <row r="111" spans="1:8" ht="14.25" x14ac:dyDescent="0.3">
      <c r="A111" s="51"/>
      <c r="B111" s="52"/>
      <c r="C111" s="53"/>
      <c r="D111" s="32"/>
      <c r="E111" s="56"/>
      <c r="F111" s="32"/>
      <c r="G111" s="32"/>
      <c r="H111" s="32"/>
    </row>
    <row r="112" spans="1:8" ht="14.25" x14ac:dyDescent="0.3">
      <c r="A112" s="51"/>
      <c r="B112" s="52"/>
      <c r="C112" s="53"/>
      <c r="D112" s="32"/>
      <c r="E112" s="56"/>
      <c r="F112" s="32"/>
      <c r="G112" s="32"/>
      <c r="H112" s="32"/>
    </row>
    <row r="113" spans="1:8" ht="14.25" x14ac:dyDescent="0.3">
      <c r="A113" s="51"/>
      <c r="B113" s="52"/>
      <c r="C113" s="53"/>
      <c r="D113" s="32"/>
      <c r="E113" s="56"/>
      <c r="F113" s="32"/>
      <c r="G113" s="32"/>
      <c r="H113" s="32"/>
    </row>
    <row r="114" spans="1:8" ht="14.25" x14ac:dyDescent="0.3">
      <c r="A114" s="51"/>
      <c r="B114" s="52"/>
      <c r="C114" s="53"/>
      <c r="D114" s="32"/>
      <c r="E114" s="56"/>
      <c r="F114" s="32"/>
      <c r="G114" s="32"/>
      <c r="H114" s="32"/>
    </row>
    <row r="115" spans="1:8" ht="14.25" x14ac:dyDescent="0.3">
      <c r="A115" s="51"/>
      <c r="B115" s="52"/>
      <c r="C115" s="53"/>
      <c r="D115" s="32"/>
      <c r="E115" s="56"/>
      <c r="F115" s="32"/>
      <c r="G115" s="32"/>
      <c r="H115" s="32"/>
    </row>
    <row r="116" spans="1:8" ht="14.25" x14ac:dyDescent="0.3">
      <c r="A116" s="51"/>
      <c r="B116" s="52"/>
      <c r="C116" s="53"/>
      <c r="D116" s="32"/>
      <c r="E116" s="56"/>
      <c r="F116" s="32"/>
      <c r="G116" s="32"/>
      <c r="H116" s="32"/>
    </row>
    <row r="117" spans="1:8" ht="14.25" x14ac:dyDescent="0.3">
      <c r="A117" s="51"/>
      <c r="B117" s="52"/>
      <c r="C117" s="53"/>
      <c r="D117" s="32"/>
      <c r="E117" s="56"/>
      <c r="F117" s="32"/>
      <c r="G117" s="32"/>
      <c r="H117" s="32"/>
    </row>
    <row r="118" spans="1:8" ht="14.25" x14ac:dyDescent="0.3">
      <c r="A118" s="51"/>
      <c r="B118" s="52"/>
      <c r="C118" s="53"/>
      <c r="D118" s="32"/>
      <c r="E118" s="56"/>
      <c r="F118" s="32"/>
      <c r="G118" s="32"/>
      <c r="H118" s="32"/>
    </row>
    <row r="119" spans="1:8" ht="14.25" x14ac:dyDescent="0.3">
      <c r="A119" s="51"/>
      <c r="B119" s="52"/>
      <c r="C119" s="53"/>
      <c r="D119" s="32"/>
      <c r="E119" s="56"/>
      <c r="F119" s="32"/>
      <c r="G119" s="32"/>
      <c r="H119" s="32"/>
    </row>
    <row r="120" spans="1:8" ht="14.25" x14ac:dyDescent="0.3">
      <c r="A120" s="51"/>
      <c r="B120" s="52"/>
      <c r="C120" s="53"/>
      <c r="D120" s="32"/>
      <c r="E120" s="56"/>
      <c r="F120" s="32"/>
      <c r="G120" s="32"/>
      <c r="H120" s="32"/>
    </row>
    <row r="121" spans="1:8" ht="14.25" x14ac:dyDescent="0.3">
      <c r="A121" s="51"/>
      <c r="B121" s="52"/>
      <c r="C121" s="53"/>
      <c r="D121" s="32"/>
      <c r="E121" s="32"/>
      <c r="F121" s="32"/>
      <c r="G121" s="32"/>
      <c r="H121" s="32"/>
    </row>
    <row r="122" spans="1:8" ht="14.25" x14ac:dyDescent="0.3">
      <c r="A122" s="51"/>
      <c r="B122" s="52"/>
      <c r="C122" s="53"/>
      <c r="D122" s="32"/>
      <c r="E122" s="32"/>
      <c r="F122" s="32"/>
      <c r="G122" s="32"/>
      <c r="H122" s="32"/>
    </row>
    <row r="123" spans="1:8" ht="14.25" x14ac:dyDescent="0.3">
      <c r="A123" s="51"/>
      <c r="B123" s="52"/>
      <c r="C123" s="53"/>
      <c r="D123" s="32"/>
      <c r="E123" s="32"/>
      <c r="F123" s="32"/>
      <c r="G123" s="32"/>
      <c r="H123" s="32"/>
    </row>
    <row r="124" spans="1:8" ht="14.25" x14ac:dyDescent="0.3">
      <c r="A124" s="51"/>
      <c r="B124" s="52"/>
      <c r="C124" s="53"/>
      <c r="D124" s="32"/>
      <c r="E124" s="32"/>
      <c r="F124" s="32"/>
      <c r="G124" s="32"/>
      <c r="H124" s="32"/>
    </row>
    <row r="125" spans="1:8" ht="14.25" x14ac:dyDescent="0.3">
      <c r="A125" s="51"/>
      <c r="B125" s="52"/>
      <c r="C125" s="53"/>
      <c r="D125" s="32"/>
      <c r="E125" s="32"/>
      <c r="F125" s="32"/>
      <c r="G125" s="32"/>
      <c r="H125" s="32"/>
    </row>
    <row r="126" spans="1:8" ht="14.25" x14ac:dyDescent="0.3">
      <c r="A126" s="51"/>
      <c r="B126" s="52"/>
      <c r="C126" s="53"/>
      <c r="D126" s="32"/>
      <c r="E126" s="32"/>
      <c r="F126" s="32"/>
      <c r="G126" s="32"/>
      <c r="H126" s="32"/>
    </row>
    <row r="127" spans="1:8" ht="14.25" x14ac:dyDescent="0.3">
      <c r="A127" s="51"/>
      <c r="B127" s="52"/>
      <c r="C127" s="53"/>
      <c r="D127" s="32"/>
      <c r="E127" s="32"/>
      <c r="F127" s="32"/>
      <c r="G127" s="32"/>
      <c r="H127" s="32"/>
    </row>
    <row r="128" spans="1:8" ht="14.25" x14ac:dyDescent="0.3">
      <c r="A128" s="51"/>
      <c r="B128" s="52"/>
      <c r="C128" s="53"/>
      <c r="D128" s="32"/>
      <c r="E128" s="32"/>
      <c r="F128" s="32"/>
      <c r="G128" s="32"/>
      <c r="H128" s="32"/>
    </row>
    <row r="129" spans="1:8" ht="14.25" x14ac:dyDescent="0.3">
      <c r="A129" s="51"/>
      <c r="B129" s="52"/>
      <c r="C129" s="53"/>
      <c r="D129" s="32"/>
      <c r="E129" s="32"/>
      <c r="F129" s="32"/>
      <c r="G129" s="32"/>
      <c r="H129" s="32"/>
    </row>
    <row r="130" spans="1:8" ht="14.25" x14ac:dyDescent="0.3">
      <c r="A130" s="51"/>
      <c r="B130" s="52"/>
      <c r="C130" s="53"/>
      <c r="D130" s="32"/>
      <c r="E130" s="32"/>
      <c r="F130" s="32"/>
      <c r="G130" s="32"/>
      <c r="H130" s="32"/>
    </row>
    <row r="131" spans="1:8" ht="14.25" x14ac:dyDescent="0.3">
      <c r="A131" s="51"/>
      <c r="B131" s="52"/>
      <c r="C131" s="53"/>
      <c r="D131" s="32"/>
      <c r="E131" s="32"/>
      <c r="F131" s="32"/>
      <c r="G131" s="32"/>
      <c r="H131" s="32"/>
    </row>
    <row r="132" spans="1:8" ht="14.25" x14ac:dyDescent="0.3">
      <c r="A132" s="51"/>
      <c r="B132" s="52"/>
      <c r="C132" s="53"/>
      <c r="D132" s="32"/>
      <c r="E132" s="32"/>
      <c r="F132" s="32"/>
      <c r="G132" s="32"/>
      <c r="H132" s="32"/>
    </row>
    <row r="133" spans="1:8" ht="14.25" x14ac:dyDescent="0.3">
      <c r="A133" s="51"/>
      <c r="B133" s="52"/>
      <c r="C133" s="53"/>
      <c r="D133" s="32"/>
      <c r="E133" s="32"/>
      <c r="F133" s="32"/>
      <c r="G133" s="32"/>
      <c r="H133" s="32"/>
    </row>
    <row r="134" spans="1:8" ht="14.25" x14ac:dyDescent="0.3">
      <c r="A134" s="51"/>
      <c r="B134" s="52"/>
      <c r="C134" s="53"/>
      <c r="D134" s="32"/>
      <c r="E134" s="32"/>
      <c r="F134" s="32"/>
      <c r="G134" s="32"/>
      <c r="H134" s="32"/>
    </row>
    <row r="135" spans="1:8" ht="14.25" x14ac:dyDescent="0.3">
      <c r="A135" s="51"/>
      <c r="B135" s="52"/>
      <c r="C135" s="53"/>
      <c r="D135" s="32"/>
      <c r="E135" s="32"/>
      <c r="F135" s="32"/>
      <c r="G135" s="32"/>
      <c r="H135" s="32"/>
    </row>
    <row r="136" spans="1:8" ht="14.25" x14ac:dyDescent="0.3">
      <c r="A136" s="51"/>
      <c r="B136" s="52"/>
      <c r="C136" s="53"/>
      <c r="D136" s="32"/>
      <c r="E136" s="32"/>
      <c r="F136" s="32"/>
      <c r="G136" s="32"/>
      <c r="H136" s="32"/>
    </row>
    <row r="137" spans="1:8" ht="14.25" x14ac:dyDescent="0.3">
      <c r="A137" s="51"/>
      <c r="B137" s="52"/>
      <c r="C137" s="53"/>
      <c r="D137" s="32"/>
      <c r="E137" s="32"/>
      <c r="F137" s="32"/>
      <c r="G137" s="32"/>
      <c r="H137" s="32"/>
    </row>
    <row r="138" spans="1:8" ht="14.25" x14ac:dyDescent="0.3">
      <c r="A138" s="51"/>
      <c r="B138" s="52"/>
      <c r="C138" s="53"/>
      <c r="D138" s="32"/>
      <c r="E138" s="32"/>
      <c r="F138" s="32"/>
      <c r="G138" s="32"/>
      <c r="H138" s="32"/>
    </row>
    <row r="139" spans="1:8" ht="14.25" x14ac:dyDescent="0.3">
      <c r="A139" s="51"/>
      <c r="B139" s="52"/>
      <c r="C139" s="53"/>
      <c r="D139" s="32"/>
      <c r="E139" s="32"/>
      <c r="F139" s="32"/>
      <c r="G139" s="32"/>
      <c r="H139" s="32"/>
    </row>
    <row r="140" spans="1:8" ht="14.25" x14ac:dyDescent="0.3">
      <c r="A140" s="51"/>
      <c r="B140" s="52"/>
      <c r="C140" s="53"/>
      <c r="D140" s="32"/>
      <c r="E140" s="32"/>
      <c r="F140" s="32"/>
      <c r="G140" s="32"/>
      <c r="H140" s="32"/>
    </row>
    <row r="141" spans="1:8" ht="14.25" x14ac:dyDescent="0.3">
      <c r="A141" s="51"/>
      <c r="B141" s="52"/>
      <c r="C141" s="53"/>
      <c r="D141" s="32"/>
      <c r="E141" s="32"/>
      <c r="F141" s="32"/>
      <c r="G141" s="32"/>
      <c r="H141" s="32"/>
    </row>
    <row r="142" spans="1:8" ht="14.25" x14ac:dyDescent="0.3">
      <c r="A142" s="51"/>
      <c r="B142" s="52"/>
      <c r="C142" s="53"/>
      <c r="D142" s="32"/>
      <c r="E142" s="32"/>
      <c r="F142" s="32"/>
      <c r="G142" s="32"/>
      <c r="H142" s="32"/>
    </row>
    <row r="143" spans="1:8" ht="14.25" x14ac:dyDescent="0.3">
      <c r="A143" s="51"/>
      <c r="B143" s="52"/>
      <c r="C143" s="53"/>
      <c r="D143" s="32"/>
      <c r="E143" s="32"/>
      <c r="F143" s="32"/>
      <c r="G143" s="32"/>
      <c r="H143" s="32"/>
    </row>
    <row r="144" spans="1:8" ht="14.25" x14ac:dyDescent="0.3">
      <c r="A144" s="51"/>
      <c r="B144" s="52"/>
      <c r="C144" s="53"/>
      <c r="D144" s="32"/>
      <c r="E144" s="32"/>
      <c r="F144" s="32"/>
      <c r="G144" s="32"/>
      <c r="H144" s="32"/>
    </row>
    <row r="145" spans="1:8" ht="14.25" x14ac:dyDescent="0.3">
      <c r="A145" s="51"/>
      <c r="B145" s="52"/>
      <c r="C145" s="53"/>
      <c r="D145" s="32"/>
      <c r="E145" s="32"/>
      <c r="F145" s="32"/>
      <c r="G145" s="32"/>
      <c r="H145" s="32"/>
    </row>
    <row r="146" spans="1:8" ht="14.25" x14ac:dyDescent="0.3">
      <c r="A146" s="51"/>
      <c r="B146" s="52"/>
      <c r="C146" s="53"/>
      <c r="D146" s="32"/>
      <c r="E146" s="32"/>
      <c r="F146" s="32"/>
      <c r="G146" s="32"/>
      <c r="H146" s="32"/>
    </row>
    <row r="147" spans="1:8" ht="14.25" x14ac:dyDescent="0.3">
      <c r="A147" s="51"/>
      <c r="B147" s="52"/>
      <c r="C147" s="53"/>
      <c r="D147" s="32"/>
      <c r="E147" s="32"/>
      <c r="F147" s="32"/>
      <c r="G147" s="32"/>
      <c r="H147" s="32"/>
    </row>
    <row r="148" spans="1:8" ht="14.25" x14ac:dyDescent="0.3">
      <c r="A148" s="51"/>
      <c r="B148" s="52"/>
      <c r="C148" s="53"/>
      <c r="D148" s="32"/>
      <c r="E148" s="32"/>
      <c r="F148" s="32"/>
      <c r="G148" s="32"/>
      <c r="H148" s="32"/>
    </row>
    <row r="149" spans="1:8" ht="14.25" x14ac:dyDescent="0.3">
      <c r="A149" s="51"/>
      <c r="B149" s="52"/>
      <c r="C149" s="53"/>
      <c r="D149" s="32"/>
      <c r="E149" s="32"/>
      <c r="F149" s="32"/>
      <c r="G149" s="32"/>
      <c r="H149" s="32"/>
    </row>
    <row r="150" spans="1:8" ht="14.25" x14ac:dyDescent="0.3">
      <c r="A150" s="51"/>
      <c r="B150" s="52"/>
      <c r="C150" s="53"/>
      <c r="D150" s="32"/>
      <c r="E150" s="32"/>
      <c r="F150" s="32"/>
      <c r="G150" s="32"/>
      <c r="H150" s="32"/>
    </row>
    <row r="151" spans="1:8" ht="14.25" x14ac:dyDescent="0.3">
      <c r="A151" s="51"/>
      <c r="B151" s="52"/>
      <c r="C151" s="53"/>
      <c r="D151" s="32"/>
      <c r="E151" s="32"/>
      <c r="F151" s="32"/>
      <c r="G151" s="32"/>
      <c r="H151" s="32"/>
    </row>
    <row r="152" spans="1:8" ht="14.25" x14ac:dyDescent="0.3">
      <c r="A152" s="51"/>
      <c r="B152" s="52"/>
      <c r="C152" s="53"/>
      <c r="D152" s="32"/>
      <c r="E152" s="32"/>
      <c r="F152" s="32"/>
      <c r="G152" s="32"/>
      <c r="H152" s="32"/>
    </row>
    <row r="153" spans="1:8" ht="14.25" x14ac:dyDescent="0.3">
      <c r="A153" s="51"/>
      <c r="B153" s="52"/>
      <c r="C153" s="53"/>
      <c r="D153" s="32"/>
      <c r="E153" s="32"/>
      <c r="F153" s="32"/>
      <c r="G153" s="32"/>
      <c r="H153" s="32"/>
    </row>
    <row r="154" spans="1:8" ht="14.25" x14ac:dyDescent="0.3">
      <c r="A154" s="51"/>
      <c r="B154" s="52"/>
      <c r="C154" s="53"/>
      <c r="D154" s="32"/>
      <c r="E154" s="32"/>
      <c r="F154" s="32"/>
      <c r="G154" s="32"/>
      <c r="H154" s="32"/>
    </row>
    <row r="155" spans="1:8" ht="14.25" x14ac:dyDescent="0.3">
      <c r="A155" s="51"/>
      <c r="B155" s="52"/>
      <c r="C155" s="53"/>
      <c r="D155" s="32"/>
      <c r="E155" s="32"/>
      <c r="F155" s="32"/>
      <c r="G155" s="32"/>
      <c r="H155" s="32"/>
    </row>
    <row r="156" spans="1:8" ht="14.25" x14ac:dyDescent="0.3">
      <c r="A156" s="51"/>
      <c r="B156" s="52"/>
      <c r="C156" s="53"/>
      <c r="D156" s="32"/>
      <c r="E156" s="32"/>
      <c r="F156" s="32"/>
      <c r="G156" s="32"/>
      <c r="H156" s="32"/>
    </row>
    <row r="157" spans="1:8" ht="14.25" x14ac:dyDescent="0.3">
      <c r="A157" s="51"/>
      <c r="B157" s="52"/>
      <c r="C157" s="53"/>
      <c r="D157" s="32"/>
      <c r="E157" s="32"/>
      <c r="F157" s="32"/>
      <c r="G157" s="32"/>
      <c r="H157" s="32"/>
    </row>
    <row r="158" spans="1:8" ht="14.25" x14ac:dyDescent="0.3">
      <c r="A158" s="51"/>
      <c r="B158" s="52"/>
      <c r="C158" s="53"/>
      <c r="D158" s="32"/>
      <c r="E158" s="32"/>
      <c r="F158" s="32"/>
      <c r="G158" s="32"/>
      <c r="H158" s="32"/>
    </row>
    <row r="159" spans="1:8" ht="14.25" x14ac:dyDescent="0.3">
      <c r="A159" s="51"/>
      <c r="B159" s="52"/>
      <c r="C159" s="53"/>
      <c r="D159" s="32"/>
      <c r="E159" s="32"/>
      <c r="F159" s="32"/>
      <c r="G159" s="32"/>
      <c r="H159" s="32"/>
    </row>
    <row r="160" spans="1:8" ht="14.25" x14ac:dyDescent="0.3">
      <c r="A160" s="51"/>
      <c r="B160" s="52"/>
      <c r="C160" s="53"/>
      <c r="D160" s="32"/>
      <c r="E160" s="32"/>
      <c r="F160" s="32"/>
      <c r="G160" s="32"/>
      <c r="H160" s="32"/>
    </row>
    <row r="161" spans="1:8" ht="14.25" x14ac:dyDescent="0.3">
      <c r="A161" s="51"/>
      <c r="B161" s="52"/>
      <c r="C161" s="53"/>
      <c r="D161" s="32"/>
      <c r="E161" s="32"/>
      <c r="F161" s="32"/>
      <c r="G161" s="32"/>
      <c r="H161" s="32"/>
    </row>
  </sheetData>
  <mergeCells count="7">
    <mergeCell ref="A91:H91"/>
    <mergeCell ref="A1:H1"/>
    <mergeCell ref="A2:H2"/>
    <mergeCell ref="A3:H3"/>
    <mergeCell ref="A88:H88"/>
    <mergeCell ref="A89:H89"/>
    <mergeCell ref="A90:H9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2023-12-04T11:29:05Z</dcterms:created>
  <dcterms:modified xsi:type="dcterms:W3CDTF">2023-12-04T12:20:58Z</dcterms:modified>
</cp:coreProperties>
</file>