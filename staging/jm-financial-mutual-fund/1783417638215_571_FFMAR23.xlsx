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CR" sheetId="1" r:id="rId1"/>
  </sheets>
  <externalReferences>
    <externalReference r:id="rId2"/>
    <externalReference r:id="rId3"/>
    <externalReference r:id="rId4"/>
  </externalReferences>
  <definedNames>
    <definedName name="_xlnm._FilterDatabase" localSheetId="0" hidden="1">CR!$A$3:$F$57</definedName>
    <definedName name="Afs">#REF!</definedName>
    <definedName name="_xlnm.Database">#REF!</definedName>
    <definedName name="EBLDB">#REF!</definedName>
    <definedName name="fl">#REF!</definedName>
    <definedName name="_xlnm.Print_Area" localSheetId="0">CR!$A$1:$E$48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2" i="1" l="1"/>
  <c r="D50" i="1"/>
  <c r="E49" i="1"/>
  <c r="E50" i="1" s="1"/>
  <c r="D31" i="1"/>
  <c r="D35" i="1" s="1"/>
  <c r="E30" i="1"/>
  <c r="E29" i="1"/>
  <c r="E28" i="1"/>
  <c r="E27" i="1"/>
  <c r="E26" i="1"/>
  <c r="E25" i="1"/>
  <c r="E24" i="1"/>
  <c r="E23" i="1"/>
  <c r="E22" i="1"/>
  <c r="E21" i="1"/>
  <c r="E20" i="1"/>
  <c r="E19" i="1"/>
  <c r="E18" i="1"/>
  <c r="E17" i="1"/>
  <c r="E16" i="1"/>
  <c r="E15" i="1"/>
  <c r="E14" i="1"/>
  <c r="E13" i="1"/>
  <c r="E12" i="1"/>
  <c r="E11" i="1"/>
  <c r="E10" i="1"/>
  <c r="E9" i="1"/>
  <c r="E8" i="1"/>
  <c r="E7" i="1"/>
  <c r="E6" i="1"/>
  <c r="E31" i="1" l="1"/>
  <c r="E35" i="1" s="1"/>
  <c r="E52" i="1" s="1"/>
  <c r="D52" i="1"/>
  <c r="D54" i="1" s="1"/>
  <c r="E54" i="1" s="1"/>
  <c r="E56" i="1" l="1"/>
</calcChain>
</file>

<file path=xl/sharedStrings.xml><?xml version="1.0" encoding="utf-8"?>
<sst xmlns="http://schemas.openxmlformats.org/spreadsheetml/2006/main" count="124" uniqueCount="104">
  <si>
    <t>JM Focused Fund  (An open-ended equity scheme investing in maximum of 30 stocks of large cap, mid cap and small cap companies)</t>
  </si>
  <si>
    <t>Portfolio as on 31.03.2023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</si>
  <si>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</si>
  <si>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</si>
  <si>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</si>
  <si>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</si>
  <si>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</si>
  <si>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</si>
  <si>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</si>
  <si>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</si>
  <si>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</si>
  <si>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</si>
  <si>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</si>
  <si>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</si>
  <si>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</si>
  <si>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</si>
  <si>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</si>
  <si>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</si>
  <si>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Infosys Ltd.</t>
  </si>
  <si>
    <t>IT - Software</t>
  </si>
  <si>
    <t>INE009A01021</t>
  </si>
  <si>
    <t>Larsen &amp; Toubro Ltd.</t>
  </si>
  <si>
    <t>Construction</t>
  </si>
  <si>
    <t>INE018A01030</t>
  </si>
  <si>
    <t>Narayana Hrudayalaya Ltd</t>
  </si>
  <si>
    <t>Healthcare Services</t>
  </si>
  <si>
    <t>INE410P01011</t>
  </si>
  <si>
    <t>Ultratech Cement Ltd.</t>
  </si>
  <si>
    <t>Cement &amp; Cement Products</t>
  </si>
  <si>
    <t>INE481G01011</t>
  </si>
  <si>
    <t>Kotak Mahindra Bank Ltd.</t>
  </si>
  <si>
    <t>INE237A01028</t>
  </si>
  <si>
    <t>Axis Bank Ltd.</t>
  </si>
  <si>
    <t>INE238A01034</t>
  </si>
  <si>
    <t>Bank of Baroda</t>
  </si>
  <si>
    <t>INE028A01039</t>
  </si>
  <si>
    <t>Jubilant Foodworks Ltd.</t>
  </si>
  <si>
    <t>Leisure Services</t>
  </si>
  <si>
    <t>INE797F01020</t>
  </si>
  <si>
    <t>Gujarat Gas Ltd.</t>
  </si>
  <si>
    <t>Gas</t>
  </si>
  <si>
    <t>INE844O01030</t>
  </si>
  <si>
    <t>REC Ltd.</t>
  </si>
  <si>
    <t>Finance</t>
  </si>
  <si>
    <t>INE020B01018</t>
  </si>
  <si>
    <t>Maruti Suzuki India Ltd.</t>
  </si>
  <si>
    <t>Automobiles</t>
  </si>
  <si>
    <t>INE585B01010</t>
  </si>
  <si>
    <t>Schaeffler India Ltd.</t>
  </si>
  <si>
    <t>Auto Components</t>
  </si>
  <si>
    <t>INE513A01022</t>
  </si>
  <si>
    <t>The Phoenix Mills Ltd.</t>
  </si>
  <si>
    <t>Realty</t>
  </si>
  <si>
    <t>INE211B01039</t>
  </si>
  <si>
    <t>Bharat Forge Ltd.</t>
  </si>
  <si>
    <t>Industrial Products</t>
  </si>
  <si>
    <t>INE465A01025</t>
  </si>
  <si>
    <t>The Indian Hotels Company Ltd.</t>
  </si>
  <si>
    <t>INE053A01029</t>
  </si>
  <si>
    <t>Hitachi Energy India Ltd.</t>
  </si>
  <si>
    <t>Electrical Equipment</t>
  </si>
  <si>
    <t>INE07Y701011</t>
  </si>
  <si>
    <t>Trent Ltd.</t>
  </si>
  <si>
    <t>Retailing</t>
  </si>
  <si>
    <t>INE849A01020</t>
  </si>
  <si>
    <t>Titan Company Ltd.</t>
  </si>
  <si>
    <t>Consumer Durables</t>
  </si>
  <si>
    <t>INE280A01028</t>
  </si>
  <si>
    <t>Mahindra &amp; Mahindra Financial Services Ltd.</t>
  </si>
  <si>
    <t>INE774D01024</t>
  </si>
  <si>
    <t>Amber Enterprises India Ltd.</t>
  </si>
  <si>
    <t>INE371P01015</t>
  </si>
  <si>
    <t>TVS Motor Company Ltd.</t>
  </si>
  <si>
    <t>INE494B01023</t>
  </si>
  <si>
    <t>Tech Mahindra Ltd.</t>
  </si>
  <si>
    <t>INE669C01036</t>
  </si>
  <si>
    <t>Hindalco Industries Ltd.</t>
  </si>
  <si>
    <t>Non - Ferrous Metals</t>
  </si>
  <si>
    <t>INE038A01020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</si>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</sst>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5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xf numFmtId="0" fontId="6" fillId="0" borderId="0"/>
  </cellStyleXfs>
  <cellXfs count="58">
    <xf numFmtId="0" fontId="0" fillId="0" borderId="0" xfId="0"/>
    <xf numFmtId="0" fontId="2" fillId="2" borderId="1" xfId="0" applyFont="1" applyFill="1" applyBorder="1" applyAlignment="1">
      <alignment horizontal="left"/>
    </xf>
    <xf numFmtId="0" fontId="3" fillId="0" borderId="0" xfId="0" applyFont="1"/>
    <xf numFmtId="0" fontId="2" fillId="3" borderId="2" xfId="0" applyFont="1" applyFill="1" applyBorder="1" applyAlignment="1">
      <alignment horizontal="left" wrapText="1"/>
    </xf>
    <xf numFmtId="0" fontId="3" fillId="3" borderId="0" xfId="0" applyFont="1" applyFill="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166" fontId="3" fillId="0" borderId="3" xfId="0" applyNumberFormat="1" applyFont="1" applyFill="1" applyBorder="1"/>
    <xf numFmtId="0" fontId="4" fillId="0" borderId="3" xfId="0" applyFont="1" applyFill="1" applyBorder="1" applyAlignment="1">
      <alignment wrapText="1"/>
    </xf>
    <xf numFmtId="0" fontId="3" fillId="0" borderId="3" xfId="0" applyFont="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6" fontId="3" fillId="0" borderId="3" xfId="0" applyNumberFormat="1" applyFont="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165" fontId="4" fillId="0" borderId="0" xfId="2" applyNumberFormat="1" applyFont="1" applyFill="1" applyBorder="1" applyAlignment="1">
      <alignment horizontal="right"/>
    </xf>
    <xf numFmtId="164" fontId="3" fillId="0" borderId="0" xfId="2" applyFont="1" applyFill="1" applyAlignment="1">
      <alignment horizontal="right"/>
    </xf>
    <xf numFmtId="0" fontId="3" fillId="0" borderId="0" xfId="0" applyFont="1" applyFill="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2" applyNumberFormat="1" applyFont="1" applyFill="1"/>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6" applyFont="1"/>
    <xf numFmtId="0" fontId="4" fillId="0" borderId="0" xfId="0" applyFont="1" applyFill="1" applyBorder="1" applyAlignment="1">
      <alignment horizontal="left"/>
    </xf>
    <xf numFmtId="0" fontId="3" fillId="0" borderId="0" xfId="0" applyFont="1" applyAlignment="1">
      <alignment horizontal="left" wrapText="1"/>
    </xf>
    <xf numFmtId="0" fontId="3" fillId="0" borderId="0" xfId="0" applyFont="1" applyAlignment="1">
      <alignment wrapText="1"/>
    </xf>
    <xf numFmtId="165" fontId="3" fillId="0" borderId="0" xfId="1" applyNumberFormat="1" applyFont="1"/>
    <xf numFmtId="0" fontId="6" fillId="0" borderId="0" xfId="4" applyBorder="1" applyAlignment="1">
      <alignment horizontal="left" vertical="top" wrapText="1"/>
    </xf>
    <xf numFmtId="0" fontId="0" fillId="0" borderId="0" xfId="0" applyAlignment="1">
      <alignment horizontal="left" vertical="top" wrapText="1"/>
    </xf>
    <xf numFmtId="0" fontId="7" fillId="0" borderId="0" xfId="4" applyFont="1" applyBorder="1" applyAlignment="1">
      <alignment horizontal="left" vertical="top" wrapText="1"/>
    </xf>
  </cellXfs>
  <cellStyles count="7">
    <cellStyle name="Comma" xfId="1" builtinId="3"/>
    <cellStyle name="Comma 4" xfId="2"/>
    <cellStyle name="Normal" xfId="0" builtinId="0"/>
    <cellStyle name="Normal 2 3 2" xfId="3"/>
    <cellStyle name="Normal 4_CR"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70</xdr:row>
      <xdr:rowOff>0</xdr:rowOff>
    </xdr:from>
    <xdr:to>
      <xdr:col>0</xdr:col>
      <xdr:colOff>3581400</xdr:colOff>
      <xdr:row>81</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4335125"/>
          <a:ext cx="35433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1933575</xdr:colOff>
      <xdr:row>69</xdr:row>
      <xdr:rowOff>95250</xdr:rowOff>
    </xdr:from>
    <xdr:to>
      <xdr:col>5</xdr:col>
      <xdr:colOff>571500</xdr:colOff>
      <xdr:row>81</xdr:row>
      <xdr:rowOff>28575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0225" y="14268450"/>
          <a:ext cx="349567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I92"/>
  <sheetViews>
    <sheetView tabSelected="1" zoomScaleNormal="100" workbookViewId="0">
      <pane xSplit="1" ySplit="3" topLeftCell="B4" activePane="bottomRight" state="frozen"/>
      <selection activeCell="A88" sqref="A88:E89"/>
      <selection pane="topRight" activeCell="A88" sqref="A88:E89"/>
      <selection pane="bottomLeft" activeCell="A88" sqref="A88:E89"/>
      <selection pane="bottomRight" sqref="A1:H1"/>
    </sheetView>
  </sheetViews>
  <sheetFormatPr defaultRowHeight="12.75" x14ac:dyDescent="0.2"/>
  <cols>
    <col min="1" max="1" width="56.42578125" style="53" bestFit="1" customWidth="1"/>
    <col min="2" max="2" width="22.42578125" style="52" bestFit="1" customWidth="1"/>
    <col min="3" max="3" width="13.7109375" style="54" customWidth="1"/>
    <col min="4" max="4" width="17.7109375" style="2" bestFit="1" customWidth="1"/>
    <col min="5" max="5" width="12.42578125" style="2" bestFit="1" customWidth="1"/>
    <col min="6" max="6" width="13.42578125" style="2" bestFit="1" customWidth="1"/>
    <col min="7" max="7" width="7.5703125" style="2" bestFit="1" customWidth="1"/>
    <col min="8" max="8" width="10.42578125" style="2" bestFit="1"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10" customFormat="1" ht="38.25" x14ac:dyDescent="0.2">
      <c r="A3" s="5" t="s">
        <v>2</v>
      </c>
      <c r="B3" s="6" t="s">
        <v>3</v>
      </c>
      <c r="C3" s="7" t="s">
        <v>4</v>
      </c>
      <c r="D3" s="5" t="s">
        <v>5</v>
      </c>
      <c r="E3" s="5" t="s">
        <v>6</v>
      </c>
      <c r="F3" s="5" t="s">
        <v>7</v>
      </c>
      <c r="G3" s="8" t="s">
        <v>8</v>
      </c>
      <c r="H3" s="9" t="s">
        <v>9</v>
      </c>
    </row>
    <row r="4" spans="1:8" x14ac:dyDescent="0.2">
      <c r="A4" s="11" t="s">
        <v>10</v>
      </c>
      <c r="B4" s="12"/>
      <c r="C4" s="13"/>
      <c r="D4" s="14"/>
      <c r="E4" s="14"/>
      <c r="F4" s="15"/>
      <c r="H4" s="16"/>
    </row>
    <row r="5" spans="1:8" x14ac:dyDescent="0.2">
      <c r="A5" s="17" t="s">
        <v>11</v>
      </c>
      <c r="B5" s="12"/>
      <c r="C5" s="13"/>
      <c r="D5" s="14"/>
      <c r="E5" s="14"/>
      <c r="F5" s="15"/>
      <c r="G5" s="18"/>
      <c r="H5" s="16"/>
    </row>
    <row r="6" spans="1:8" s="24" customFormat="1" x14ac:dyDescent="0.2">
      <c r="A6" s="19" t="s">
        <v>12</v>
      </c>
      <c r="B6" s="20" t="s">
        <v>13</v>
      </c>
      <c r="C6" s="21">
        <v>18558</v>
      </c>
      <c r="D6" s="22">
        <v>298.700289</v>
      </c>
      <c r="E6" s="22">
        <f t="shared" ref="E6:E30" si="0">(+D6/$D$56*100)</f>
        <v>7.0351154396436701</v>
      </c>
      <c r="F6" s="22" t="s">
        <v>14</v>
      </c>
      <c r="G6" s="23"/>
      <c r="H6" s="16"/>
    </row>
    <row r="7" spans="1:8" s="24" customFormat="1" x14ac:dyDescent="0.2">
      <c r="A7" s="19" t="s">
        <v>15</v>
      </c>
      <c r="B7" s="20" t="s">
        <v>16</v>
      </c>
      <c r="C7" s="21">
        <v>10250</v>
      </c>
      <c r="D7" s="22">
        <v>238.932625</v>
      </c>
      <c r="E7" s="22">
        <f t="shared" si="0"/>
        <v>5.6274421588259367</v>
      </c>
      <c r="F7" s="22" t="s">
        <v>17</v>
      </c>
      <c r="G7" s="23"/>
      <c r="H7" s="16"/>
    </row>
    <row r="8" spans="1:8" s="24" customFormat="1" x14ac:dyDescent="0.2">
      <c r="A8" s="19" t="s">
        <v>18</v>
      </c>
      <c r="B8" s="20" t="s">
        <v>19</v>
      </c>
      <c r="C8" s="21">
        <v>15760</v>
      </c>
      <c r="D8" s="22">
        <v>225.04491999999999</v>
      </c>
      <c r="E8" s="22">
        <f t="shared" si="0"/>
        <v>5.3003530616114487</v>
      </c>
      <c r="F8" s="22" t="s">
        <v>20</v>
      </c>
      <c r="G8" s="23"/>
      <c r="H8" s="16"/>
    </row>
    <row r="9" spans="1:8" s="24" customFormat="1" x14ac:dyDescent="0.2">
      <c r="A9" s="19" t="s">
        <v>21</v>
      </c>
      <c r="B9" s="20" t="s">
        <v>22</v>
      </c>
      <c r="C9" s="21">
        <v>9727</v>
      </c>
      <c r="D9" s="22">
        <v>210.51173399999999</v>
      </c>
      <c r="E9" s="22">
        <f t="shared" si="0"/>
        <v>4.9580613230995603</v>
      </c>
      <c r="F9" s="22" t="s">
        <v>23</v>
      </c>
      <c r="G9" s="23"/>
      <c r="H9" s="16"/>
    </row>
    <row r="10" spans="1:8" s="24" customFormat="1" x14ac:dyDescent="0.2">
      <c r="A10" s="19" t="s">
        <v>24</v>
      </c>
      <c r="B10" s="20" t="s">
        <v>25</v>
      </c>
      <c r="C10" s="21">
        <v>27100</v>
      </c>
      <c r="D10" s="22">
        <v>209.79464999999999</v>
      </c>
      <c r="E10" s="22">
        <f t="shared" si="0"/>
        <v>4.9411722576861639</v>
      </c>
      <c r="F10" s="22" t="s">
        <v>26</v>
      </c>
      <c r="G10" s="23"/>
      <c r="H10" s="16"/>
    </row>
    <row r="11" spans="1:8" s="24" customFormat="1" x14ac:dyDescent="0.2">
      <c r="A11" s="19" t="s">
        <v>27</v>
      </c>
      <c r="B11" s="20" t="s">
        <v>28</v>
      </c>
      <c r="C11" s="21">
        <v>2700</v>
      </c>
      <c r="D11" s="22">
        <v>205.79804999999999</v>
      </c>
      <c r="E11" s="22">
        <f t="shared" si="0"/>
        <v>4.8470426454912463</v>
      </c>
      <c r="F11" s="22" t="s">
        <v>29</v>
      </c>
      <c r="G11" s="23"/>
      <c r="H11" s="16"/>
    </row>
    <row r="12" spans="1:8" s="24" customFormat="1" x14ac:dyDescent="0.2">
      <c r="A12" s="19" t="s">
        <v>30</v>
      </c>
      <c r="B12" s="20" t="s">
        <v>13</v>
      </c>
      <c r="C12" s="21">
        <v>11700</v>
      </c>
      <c r="D12" s="22">
        <v>202.74345</v>
      </c>
      <c r="E12" s="22">
        <f t="shared" si="0"/>
        <v>4.7750994153930133</v>
      </c>
      <c r="F12" s="22" t="s">
        <v>31</v>
      </c>
      <c r="G12" s="23"/>
      <c r="H12" s="16"/>
    </row>
    <row r="13" spans="1:8" s="24" customFormat="1" x14ac:dyDescent="0.2">
      <c r="A13" s="19" t="s">
        <v>32</v>
      </c>
      <c r="B13" s="20" t="s">
        <v>13</v>
      </c>
      <c r="C13" s="21">
        <v>21200</v>
      </c>
      <c r="D13" s="22">
        <v>182.00200000000001</v>
      </c>
      <c r="E13" s="22">
        <f t="shared" si="0"/>
        <v>4.2865880194914281</v>
      </c>
      <c r="F13" s="22" t="s">
        <v>33</v>
      </c>
      <c r="G13" s="23"/>
      <c r="H13" s="16"/>
    </row>
    <row r="14" spans="1:8" s="24" customFormat="1" x14ac:dyDescent="0.2">
      <c r="A14" s="19" t="s">
        <v>34</v>
      </c>
      <c r="B14" s="20" t="s">
        <v>13</v>
      </c>
      <c r="C14" s="21">
        <v>104500</v>
      </c>
      <c r="D14" s="22">
        <v>176.44825</v>
      </c>
      <c r="E14" s="22">
        <f t="shared" si="0"/>
        <v>4.1557837524325469</v>
      </c>
      <c r="F14" s="22" t="s">
        <v>35</v>
      </c>
      <c r="G14" s="23"/>
      <c r="H14" s="16"/>
    </row>
    <row r="15" spans="1:8" s="24" customFormat="1" x14ac:dyDescent="0.2">
      <c r="A15" s="19" t="s">
        <v>36</v>
      </c>
      <c r="B15" s="20" t="s">
        <v>37</v>
      </c>
      <c r="C15" s="21">
        <v>38200</v>
      </c>
      <c r="D15" s="22">
        <v>168.1182</v>
      </c>
      <c r="E15" s="22">
        <f t="shared" si="0"/>
        <v>3.9595908944872242</v>
      </c>
      <c r="F15" s="22" t="s">
        <v>38</v>
      </c>
      <c r="G15" s="23"/>
      <c r="H15" s="16"/>
    </row>
    <row r="16" spans="1:8" s="24" customFormat="1" x14ac:dyDescent="0.2">
      <c r="A16" s="19" t="s">
        <v>39</v>
      </c>
      <c r="B16" s="20" t="s">
        <v>40</v>
      </c>
      <c r="C16" s="21">
        <v>35000</v>
      </c>
      <c r="D16" s="22">
        <v>160.86000000000001</v>
      </c>
      <c r="E16" s="22">
        <f t="shared" si="0"/>
        <v>3.7886427007142296</v>
      </c>
      <c r="F16" s="22" t="s">
        <v>41</v>
      </c>
      <c r="G16" s="23"/>
      <c r="H16" s="16"/>
    </row>
    <row r="17" spans="1:8" s="24" customFormat="1" x14ac:dyDescent="0.2">
      <c r="A17" s="19" t="s">
        <v>42</v>
      </c>
      <c r="B17" s="20" t="s">
        <v>43</v>
      </c>
      <c r="C17" s="21">
        <v>135000</v>
      </c>
      <c r="D17" s="22">
        <v>155.85749999999999</v>
      </c>
      <c r="E17" s="22">
        <f t="shared" si="0"/>
        <v>3.670821706617978</v>
      </c>
      <c r="F17" s="22" t="s">
        <v>44</v>
      </c>
      <c r="G17" s="23"/>
      <c r="H17" s="16"/>
    </row>
    <row r="18" spans="1:8" s="24" customFormat="1" x14ac:dyDescent="0.2">
      <c r="A18" s="19" t="s">
        <v>45</v>
      </c>
      <c r="B18" s="20" t="s">
        <v>46</v>
      </c>
      <c r="C18" s="21">
        <v>1800</v>
      </c>
      <c r="D18" s="22">
        <v>149.2587</v>
      </c>
      <c r="E18" s="22">
        <f t="shared" si="0"/>
        <v>3.5154039803126627</v>
      </c>
      <c r="F18" s="22" t="s">
        <v>47</v>
      </c>
      <c r="G18" s="23"/>
      <c r="H18" s="16"/>
    </row>
    <row r="19" spans="1:8" s="24" customFormat="1" x14ac:dyDescent="0.2">
      <c r="A19" s="19" t="s">
        <v>48</v>
      </c>
      <c r="B19" s="20" t="s">
        <v>49</v>
      </c>
      <c r="C19" s="21">
        <v>5200</v>
      </c>
      <c r="D19" s="22">
        <v>149.11259999999999</v>
      </c>
      <c r="E19" s="22">
        <f t="shared" si="0"/>
        <v>3.5119629713696412</v>
      </c>
      <c r="F19" s="22" t="s">
        <v>50</v>
      </c>
      <c r="G19" s="23"/>
      <c r="H19" s="16"/>
    </row>
    <row r="20" spans="1:8" s="24" customFormat="1" x14ac:dyDescent="0.2">
      <c r="A20" s="19" t="s">
        <v>51</v>
      </c>
      <c r="B20" s="20" t="s">
        <v>52</v>
      </c>
      <c r="C20" s="21">
        <v>11300</v>
      </c>
      <c r="D20" s="22">
        <v>147.00735</v>
      </c>
      <c r="E20" s="22">
        <f t="shared" si="0"/>
        <v>3.4623792336742629</v>
      </c>
      <c r="F20" s="22" t="s">
        <v>53</v>
      </c>
      <c r="G20" s="23"/>
      <c r="H20" s="16"/>
    </row>
    <row r="21" spans="1:8" s="24" customFormat="1" x14ac:dyDescent="0.2">
      <c r="A21" s="19" t="s">
        <v>54</v>
      </c>
      <c r="B21" s="20" t="s">
        <v>55</v>
      </c>
      <c r="C21" s="21">
        <v>18750</v>
      </c>
      <c r="D21" s="22">
        <v>144.45937499999999</v>
      </c>
      <c r="E21" s="22">
        <f t="shared" si="0"/>
        <v>3.4023682496797809</v>
      </c>
      <c r="F21" s="22" t="s">
        <v>56</v>
      </c>
      <c r="G21" s="23"/>
      <c r="H21" s="16"/>
    </row>
    <row r="22" spans="1:8" s="24" customFormat="1" x14ac:dyDescent="0.2">
      <c r="A22" s="19" t="s">
        <v>57</v>
      </c>
      <c r="B22" s="20" t="s">
        <v>37</v>
      </c>
      <c r="C22" s="21">
        <v>44500</v>
      </c>
      <c r="D22" s="22">
        <v>144.33574999999999</v>
      </c>
      <c r="E22" s="22">
        <f t="shared" si="0"/>
        <v>3.3994565814348734</v>
      </c>
      <c r="F22" s="22" t="s">
        <v>58</v>
      </c>
      <c r="G22" s="23"/>
      <c r="H22" s="16"/>
    </row>
    <row r="23" spans="1:8" s="24" customFormat="1" x14ac:dyDescent="0.2">
      <c r="A23" s="19" t="s">
        <v>59</v>
      </c>
      <c r="B23" s="20" t="s">
        <v>60</v>
      </c>
      <c r="C23" s="21">
        <v>4187</v>
      </c>
      <c r="D23" s="22">
        <v>139.988158</v>
      </c>
      <c r="E23" s="22">
        <f t="shared" si="0"/>
        <v>3.297060257323948</v>
      </c>
      <c r="F23" s="22" t="s">
        <v>61</v>
      </c>
      <c r="G23" s="23"/>
      <c r="H23" s="16"/>
    </row>
    <row r="24" spans="1:8" s="24" customFormat="1" x14ac:dyDescent="0.2">
      <c r="A24" s="19" t="s">
        <v>62</v>
      </c>
      <c r="B24" s="20" t="s">
        <v>63</v>
      </c>
      <c r="C24" s="21">
        <v>9359</v>
      </c>
      <c r="D24" s="22">
        <v>128.68157050000002</v>
      </c>
      <c r="E24" s="22">
        <f t="shared" si="0"/>
        <v>3.0307627302702258</v>
      </c>
      <c r="F24" s="22" t="s">
        <v>64</v>
      </c>
      <c r="G24" s="23"/>
      <c r="H24" s="16"/>
    </row>
    <row r="25" spans="1:8" s="24" customFormat="1" x14ac:dyDescent="0.2">
      <c r="A25" s="19" t="s">
        <v>65</v>
      </c>
      <c r="B25" s="20" t="s">
        <v>66</v>
      </c>
      <c r="C25" s="21">
        <v>4904</v>
      </c>
      <c r="D25" s="22">
        <v>123.330696</v>
      </c>
      <c r="E25" s="22">
        <f t="shared" si="0"/>
        <v>2.9047366727241424</v>
      </c>
      <c r="F25" s="22" t="s">
        <v>67</v>
      </c>
      <c r="G25" s="23"/>
      <c r="H25" s="16"/>
    </row>
    <row r="26" spans="1:8" s="24" customFormat="1" x14ac:dyDescent="0.2">
      <c r="A26" s="19" t="s">
        <v>68</v>
      </c>
      <c r="B26" s="20" t="s">
        <v>43</v>
      </c>
      <c r="C26" s="21">
        <v>51000</v>
      </c>
      <c r="D26" s="22">
        <v>118.14149999999999</v>
      </c>
      <c r="E26" s="22">
        <f t="shared" si="0"/>
        <v>2.7825185355366782</v>
      </c>
      <c r="F26" s="22" t="s">
        <v>69</v>
      </c>
      <c r="G26" s="23"/>
      <c r="H26" s="16"/>
    </row>
    <row r="27" spans="1:8" s="24" customFormat="1" x14ac:dyDescent="0.2">
      <c r="A27" s="19" t="s">
        <v>70</v>
      </c>
      <c r="B27" s="20" t="s">
        <v>66</v>
      </c>
      <c r="C27" s="21">
        <v>6250</v>
      </c>
      <c r="D27" s="22">
        <v>114.03749999999999</v>
      </c>
      <c r="E27" s="22">
        <f t="shared" si="0"/>
        <v>2.6858593931536672</v>
      </c>
      <c r="F27" s="22" t="s">
        <v>71</v>
      </c>
      <c r="G27" s="23"/>
      <c r="H27" s="16"/>
    </row>
    <row r="28" spans="1:8" s="24" customFormat="1" x14ac:dyDescent="0.2">
      <c r="A28" s="19" t="s">
        <v>72</v>
      </c>
      <c r="B28" s="20" t="s">
        <v>46</v>
      </c>
      <c r="C28" s="21">
        <v>9800</v>
      </c>
      <c r="D28" s="22">
        <v>105.5656</v>
      </c>
      <c r="E28" s="22">
        <f t="shared" si="0"/>
        <v>2.4863256240614078</v>
      </c>
      <c r="F28" s="22" t="s">
        <v>73</v>
      </c>
      <c r="G28" s="23"/>
      <c r="H28" s="16"/>
    </row>
    <row r="29" spans="1:8" s="24" customFormat="1" x14ac:dyDescent="0.2">
      <c r="A29" s="19" t="s">
        <v>74</v>
      </c>
      <c r="B29" s="20" t="s">
        <v>19</v>
      </c>
      <c r="C29" s="21">
        <v>8500</v>
      </c>
      <c r="D29" s="22">
        <v>93.657250000000005</v>
      </c>
      <c r="E29" s="22">
        <f t="shared" si="0"/>
        <v>2.2058551322980713</v>
      </c>
      <c r="F29" s="22" t="s">
        <v>75</v>
      </c>
      <c r="G29" s="23"/>
      <c r="H29" s="16"/>
    </row>
    <row r="30" spans="1:8" s="24" customFormat="1" x14ac:dyDescent="0.2">
      <c r="A30" s="19" t="s">
        <v>76</v>
      </c>
      <c r="B30" s="20" t="s">
        <v>77</v>
      </c>
      <c r="C30" s="21">
        <v>18500</v>
      </c>
      <c r="D30" s="22">
        <v>74.989750000000001</v>
      </c>
      <c r="E30" s="22">
        <f t="shared" si="0"/>
        <v>1.7661902832642351</v>
      </c>
      <c r="F30" s="22" t="s">
        <v>78</v>
      </c>
      <c r="G30" s="23"/>
      <c r="H30" s="16"/>
    </row>
    <row r="31" spans="1:8" s="24" customFormat="1" x14ac:dyDescent="0.2">
      <c r="A31" s="17" t="s">
        <v>79</v>
      </c>
      <c r="B31" s="20"/>
      <c r="C31" s="21"/>
      <c r="D31" s="25">
        <f>IF(ISERROR(SUM(D6:D30)),0,SUM(D6:D30))</f>
        <v>4067.3774675</v>
      </c>
      <c r="E31" s="25">
        <f>IF(ISERROR(SUM(E6:E30)),0,SUM(E6:E30))</f>
        <v>95.796593020598053</v>
      </c>
      <c r="F31" s="25"/>
      <c r="G31" s="23"/>
      <c r="H31" s="16"/>
    </row>
    <row r="32" spans="1:8" s="24" customFormat="1" x14ac:dyDescent="0.2">
      <c r="A32" s="17"/>
      <c r="B32" s="17"/>
      <c r="C32" s="26"/>
      <c r="D32" s="27"/>
      <c r="E32" s="27"/>
      <c r="F32" s="27"/>
      <c r="G32" s="23"/>
      <c r="H32" s="16"/>
    </row>
    <row r="33" spans="1:8" s="24" customFormat="1" x14ac:dyDescent="0.2">
      <c r="A33" s="17" t="s">
        <v>80</v>
      </c>
      <c r="B33" s="17"/>
      <c r="C33" s="26"/>
      <c r="D33" s="28" t="s">
        <v>81</v>
      </c>
      <c r="E33" s="28" t="s">
        <v>81</v>
      </c>
      <c r="F33" s="28"/>
      <c r="G33" s="23"/>
      <c r="H33" s="16"/>
    </row>
    <row r="34" spans="1:8" s="24" customFormat="1" x14ac:dyDescent="0.2">
      <c r="A34" s="17"/>
      <c r="B34" s="11"/>
      <c r="C34" s="26"/>
      <c r="D34" s="28"/>
      <c r="E34" s="28"/>
      <c r="F34" s="29"/>
      <c r="G34" s="23"/>
      <c r="H34" s="16"/>
    </row>
    <row r="35" spans="1:8" s="24" customFormat="1" x14ac:dyDescent="0.2">
      <c r="A35" s="17" t="s">
        <v>82</v>
      </c>
      <c r="B35" s="17"/>
      <c r="C35" s="26"/>
      <c r="D35" s="25">
        <f>IF(ISERROR(+D31),0,D31)+IF(ISERROR(+#REF!),0,#REF!)</f>
        <v>4067.3774675</v>
      </c>
      <c r="E35" s="25">
        <f>IF(ISERROR(+E31),0,E31)+IF(ISERROR(+#REF!),0,#REF!)</f>
        <v>95.796593020598053</v>
      </c>
      <c r="F35" s="30"/>
      <c r="G35" s="23"/>
      <c r="H35" s="16"/>
    </row>
    <row r="36" spans="1:8" s="24" customFormat="1" x14ac:dyDescent="0.2">
      <c r="A36" s="17"/>
      <c r="B36" s="11"/>
      <c r="C36" s="26"/>
      <c r="D36" s="28"/>
      <c r="E36" s="28"/>
      <c r="F36" s="29"/>
      <c r="G36" s="23"/>
      <c r="H36" s="16"/>
    </row>
    <row r="37" spans="1:8" s="24" customFormat="1" x14ac:dyDescent="0.2">
      <c r="A37" s="17" t="s">
        <v>83</v>
      </c>
      <c r="B37" s="11"/>
      <c r="C37" s="26"/>
      <c r="D37" s="28"/>
      <c r="E37" s="28"/>
      <c r="F37" s="29"/>
      <c r="G37" s="23"/>
      <c r="H37" s="16"/>
    </row>
    <row r="38" spans="1:8" s="24" customFormat="1" x14ac:dyDescent="0.2">
      <c r="A38" s="17" t="s">
        <v>11</v>
      </c>
      <c r="B38" s="11"/>
      <c r="C38" s="26"/>
      <c r="D38" s="28" t="s">
        <v>81</v>
      </c>
      <c r="E38" s="28" t="s">
        <v>81</v>
      </c>
      <c r="F38" s="31"/>
      <c r="G38" s="23"/>
      <c r="H38" s="16"/>
    </row>
    <row r="39" spans="1:8" s="24" customFormat="1" x14ac:dyDescent="0.2">
      <c r="A39" s="17"/>
      <c r="B39" s="11"/>
      <c r="C39" s="32"/>
      <c r="D39" s="31"/>
      <c r="E39" s="31"/>
      <c r="F39" s="31"/>
      <c r="G39" s="18"/>
      <c r="H39" s="16"/>
    </row>
    <row r="40" spans="1:8" s="24" customFormat="1" x14ac:dyDescent="0.2">
      <c r="A40" s="17" t="s">
        <v>84</v>
      </c>
      <c r="B40" s="11"/>
      <c r="C40" s="32"/>
      <c r="D40" s="28" t="s">
        <v>81</v>
      </c>
      <c r="E40" s="28" t="s">
        <v>81</v>
      </c>
      <c r="F40" s="29"/>
      <c r="G40" s="18"/>
      <c r="H40" s="16"/>
    </row>
    <row r="41" spans="1:8" s="24" customFormat="1" x14ac:dyDescent="0.2">
      <c r="A41" s="17"/>
      <c r="B41" s="11"/>
      <c r="C41" s="32"/>
      <c r="D41" s="28"/>
      <c r="E41" s="28"/>
      <c r="F41" s="28"/>
      <c r="G41" s="18"/>
      <c r="H41" s="16"/>
    </row>
    <row r="42" spans="1:8" s="24" customFormat="1" x14ac:dyDescent="0.2">
      <c r="A42" s="17" t="s">
        <v>85</v>
      </c>
      <c r="B42" s="11"/>
      <c r="C42" s="32"/>
      <c r="D42" s="28"/>
      <c r="E42" s="28"/>
      <c r="F42" s="28"/>
      <c r="G42" s="18"/>
      <c r="H42" s="16"/>
    </row>
    <row r="43" spans="1:8" s="24" customFormat="1" x14ac:dyDescent="0.2">
      <c r="A43" s="17"/>
      <c r="B43" s="11"/>
      <c r="C43" s="32"/>
      <c r="D43" s="28"/>
      <c r="E43" s="28"/>
      <c r="F43" s="28"/>
      <c r="G43" s="18"/>
      <c r="H43" s="16"/>
    </row>
    <row r="44" spans="1:8" s="24" customFormat="1" x14ac:dyDescent="0.2">
      <c r="A44" s="17" t="s">
        <v>86</v>
      </c>
      <c r="B44" s="11"/>
      <c r="C44" s="32"/>
      <c r="D44" s="28" t="s">
        <v>81</v>
      </c>
      <c r="E44" s="28" t="s">
        <v>81</v>
      </c>
      <c r="F44" s="28"/>
      <c r="G44" s="18"/>
      <c r="H44" s="16"/>
    </row>
    <row r="45" spans="1:8" s="24" customFormat="1" x14ac:dyDescent="0.2">
      <c r="A45" s="17"/>
      <c r="B45" s="11"/>
      <c r="C45" s="32"/>
      <c r="D45" s="28"/>
      <c r="E45" s="28"/>
      <c r="F45" s="28"/>
      <c r="G45" s="18"/>
      <c r="H45" s="16"/>
    </row>
    <row r="46" spans="1:8" s="24" customFormat="1" x14ac:dyDescent="0.2">
      <c r="A46" s="17" t="s">
        <v>87</v>
      </c>
      <c r="B46" s="11"/>
      <c r="C46" s="32"/>
      <c r="D46" s="28" t="s">
        <v>81</v>
      </c>
      <c r="E46" s="28" t="s">
        <v>81</v>
      </c>
      <c r="F46" s="28"/>
      <c r="G46" s="18"/>
      <c r="H46" s="16"/>
    </row>
    <row r="47" spans="1:8" s="24" customFormat="1" x14ac:dyDescent="0.2">
      <c r="A47" s="17"/>
      <c r="B47" s="11"/>
      <c r="C47" s="32"/>
      <c r="D47" s="28"/>
      <c r="E47" s="28"/>
      <c r="F47" s="28"/>
      <c r="G47" s="18"/>
      <c r="H47" s="16"/>
    </row>
    <row r="48" spans="1:8" s="24" customFormat="1" x14ac:dyDescent="0.2">
      <c r="A48" s="17" t="s">
        <v>88</v>
      </c>
      <c r="B48" s="11"/>
      <c r="C48" s="32"/>
      <c r="D48" s="28"/>
      <c r="E48" s="28"/>
      <c r="F48" s="29"/>
      <c r="G48" s="18"/>
      <c r="H48" s="16"/>
    </row>
    <row r="49" spans="1:9" s="24" customFormat="1" x14ac:dyDescent="0.2">
      <c r="A49" s="19" t="s">
        <v>89</v>
      </c>
      <c r="B49" s="20"/>
      <c r="C49" s="21">
        <v>0</v>
      </c>
      <c r="D49" s="22">
        <v>112.3159339</v>
      </c>
      <c r="E49" s="22">
        <f>(+D49/$D$56*100)</f>
        <v>2.6453123408189532</v>
      </c>
      <c r="F49" s="22" t="s">
        <v>90</v>
      </c>
      <c r="G49" s="18">
        <v>6.7727000000000004</v>
      </c>
      <c r="H49" s="16"/>
    </row>
    <row r="50" spans="1:9" s="24" customFormat="1" x14ac:dyDescent="0.2">
      <c r="A50" s="17" t="s">
        <v>79</v>
      </c>
      <c r="B50" s="11"/>
      <c r="C50" s="32"/>
      <c r="D50" s="28">
        <f>IF(ISERROR(SUM(D49:D49)),0,SUM(D49:D49))</f>
        <v>112.3159339</v>
      </c>
      <c r="E50" s="28">
        <f>IF(ISERROR(SUM(E49:E49)),0,SUM(E49:E49))</f>
        <v>2.6453123408189532</v>
      </c>
      <c r="F50" s="22"/>
      <c r="G50" s="18"/>
      <c r="H50" s="16"/>
    </row>
    <row r="51" spans="1:9" s="24" customFormat="1" x14ac:dyDescent="0.2">
      <c r="A51" s="17"/>
      <c r="B51" s="11"/>
      <c r="C51" s="32"/>
      <c r="D51" s="28"/>
      <c r="E51" s="28"/>
      <c r="F51" s="29"/>
      <c r="G51" s="18"/>
      <c r="H51" s="16"/>
    </row>
    <row r="52" spans="1:9" s="24" customFormat="1" x14ac:dyDescent="0.2">
      <c r="A52" s="17" t="s">
        <v>82</v>
      </c>
      <c r="B52" s="11"/>
      <c r="C52" s="32" t="s">
        <v>91</v>
      </c>
      <c r="D52" s="28">
        <f>+IF(ISERROR(#REF!),0,#REF!)+IF(ISERROR(D50),0,D50)+IF(ISERROR(D35),0,D35)+IF(ISERROR(#REF!),0,#REF!)+IF(ISERROR(#REF!),0,#REF!)+IF(ISERROR(#REF!),0,#REF!)+IF(ISERROR(#REF!),0,#REF!)+IF(ISERROR(#REF!),0,#REF!)+IF(ISERROR(#REF!),0,#REF!)</f>
        <v>4179.6934013999999</v>
      </c>
      <c r="E52" s="28">
        <f>+IF(ISERROR(#REF!),0,#REF!)+IF(ISERROR(E50),0,E50)+IF(ISERROR(E35),0,E35)+IF(ISERROR(#REF!),0,#REF!)+IF(ISERROR(#REF!),0,#REF!)+IF(ISERROR(#REF!),0,#REF!)+IF(ISERROR(#REF!),0,#REF!)+IF(ISERROR(#REF!),0,#REF!)+IF(ISERROR(#REF!),0,#REF!)</f>
        <v>98.441905361417</v>
      </c>
      <c r="F52" s="28">
        <f>+IF(ISERROR(#REF!),0,#REF!)+IF(ISERROR(F50),0,F50)+IF(ISERROR(F35),0,F35)+IF(ISERROR(#REF!),0,#REF!)+IF(ISERROR(#REF!),0,#REF!)+IF(ISERROR(#REF!),0,#REF!)+IF(ISERROR(#REF!),0,#REF!)</f>
        <v>0</v>
      </c>
      <c r="G52" s="18"/>
      <c r="H52" s="16"/>
    </row>
    <row r="53" spans="1:9" s="24" customFormat="1" x14ac:dyDescent="0.2">
      <c r="A53" s="17"/>
      <c r="B53" s="11"/>
      <c r="C53" s="32"/>
      <c r="D53" s="28"/>
      <c r="E53" s="28"/>
      <c r="F53" s="33"/>
      <c r="G53" s="33"/>
      <c r="H53" s="33"/>
    </row>
    <row r="54" spans="1:9" s="24" customFormat="1" x14ac:dyDescent="0.2">
      <c r="A54" s="17" t="s">
        <v>92</v>
      </c>
      <c r="B54" s="11"/>
      <c r="C54" s="32"/>
      <c r="D54" s="28">
        <f>+D56-D52</f>
        <v>66.154325799900107</v>
      </c>
      <c r="E54" s="28">
        <f>D54/$D$56*100</f>
        <v>1.5580946385830072</v>
      </c>
      <c r="F54" s="33"/>
      <c r="G54" s="33"/>
      <c r="H54" s="33"/>
      <c r="I54" s="33"/>
    </row>
    <row r="55" spans="1:9" s="24" customFormat="1" x14ac:dyDescent="0.2">
      <c r="A55" s="17"/>
      <c r="B55" s="11"/>
      <c r="C55" s="32"/>
      <c r="D55" s="31"/>
      <c r="E55" s="31"/>
      <c r="F55" s="33"/>
      <c r="G55" s="33"/>
      <c r="H55" s="33"/>
      <c r="I55" s="33"/>
    </row>
    <row r="56" spans="1:9" s="24" customFormat="1" x14ac:dyDescent="0.2">
      <c r="A56" s="17" t="s">
        <v>93</v>
      </c>
      <c r="B56" s="11"/>
      <c r="C56" s="32"/>
      <c r="D56" s="28">
        <v>4245.8477271999</v>
      </c>
      <c r="E56" s="28">
        <f>+E52+E54</f>
        <v>100</v>
      </c>
      <c r="F56" s="33"/>
      <c r="G56" s="33"/>
      <c r="H56" s="33"/>
      <c r="I56" s="33"/>
    </row>
    <row r="57" spans="1:9" s="24" customFormat="1" x14ac:dyDescent="0.2">
      <c r="A57" s="34"/>
      <c r="B57" s="35"/>
      <c r="C57" s="36"/>
      <c r="D57" s="37"/>
      <c r="E57" s="37"/>
      <c r="F57" s="33"/>
      <c r="G57" s="33"/>
      <c r="H57" s="33"/>
      <c r="I57" s="33"/>
    </row>
    <row r="58" spans="1:9" x14ac:dyDescent="0.2">
      <c r="A58" s="38"/>
      <c r="B58" s="35"/>
      <c r="C58" s="39"/>
      <c r="D58" s="40"/>
      <c r="E58" s="41"/>
      <c r="G58" s="33"/>
      <c r="H58" s="33"/>
    </row>
    <row r="59" spans="1:9" ht="15" customHeight="1" x14ac:dyDescent="0.25">
      <c r="A59" s="42" t="s">
        <v>94</v>
      </c>
      <c r="B59" s="42"/>
      <c r="C59" s="42"/>
      <c r="D59" s="42"/>
      <c r="E59" s="42"/>
      <c r="F59" s="42"/>
      <c r="G59" s="42"/>
      <c r="H59" s="42"/>
    </row>
    <row r="60" spans="1:9" ht="30.75" customHeight="1" x14ac:dyDescent="0.2">
      <c r="A60" s="43" t="s">
        <v>95</v>
      </c>
      <c r="B60" s="43"/>
      <c r="C60" s="43"/>
      <c r="D60" s="43"/>
      <c r="E60" s="43"/>
      <c r="F60" s="43"/>
      <c r="G60" s="43"/>
      <c r="H60" s="43"/>
    </row>
    <row r="61" spans="1:9" ht="15" x14ac:dyDescent="0.2">
      <c r="A61" s="55" t="s">
        <v>96</v>
      </c>
      <c r="B61" s="55"/>
      <c r="C61" s="55"/>
      <c r="D61" s="55"/>
      <c r="E61" s="55"/>
      <c r="F61" s="56"/>
      <c r="G61" s="56"/>
      <c r="H61" s="56"/>
    </row>
    <row r="62" spans="1:9" ht="66" customHeight="1" x14ac:dyDescent="0.2">
      <c r="A62" s="57" t="s">
        <v>97</v>
      </c>
      <c r="B62" s="57"/>
      <c r="C62" s="57"/>
      <c r="D62" s="57"/>
      <c r="E62" s="57"/>
      <c r="F62" s="56"/>
      <c r="G62" s="56"/>
      <c r="H62" s="56"/>
    </row>
    <row r="63" spans="1:9" x14ac:dyDescent="0.2">
      <c r="A63" s="44"/>
      <c r="B63" s="45"/>
      <c r="C63" s="46"/>
      <c r="D63" s="41"/>
      <c r="G63" s="33"/>
      <c r="H63" s="33"/>
    </row>
    <row r="64" spans="1:9" ht="15" x14ac:dyDescent="0.25">
      <c r="A64" s="47" t="s">
        <v>98</v>
      </c>
      <c r="B64" s="48"/>
      <c r="C64" s="48"/>
      <c r="G64" s="33"/>
      <c r="H64" s="33"/>
    </row>
    <row r="65" spans="1:8" ht="15" x14ac:dyDescent="0.25">
      <c r="A65" s="49" t="s">
        <v>99</v>
      </c>
      <c r="B65" s="48"/>
      <c r="C65" s="48"/>
      <c r="G65" s="33"/>
      <c r="H65" s="33"/>
    </row>
    <row r="66" spans="1:8" ht="15" x14ac:dyDescent="0.25">
      <c r="A66" s="49" t="s">
        <v>100</v>
      </c>
      <c r="B66" s="48"/>
      <c r="C66" s="48"/>
      <c r="G66" s="33"/>
      <c r="H66" s="33"/>
    </row>
    <row r="67" spans="1:8" ht="15" x14ac:dyDescent="0.25">
      <c r="A67" s="49" t="s">
        <v>101</v>
      </c>
      <c r="B67" s="48"/>
      <c r="C67" s="48"/>
      <c r="G67" s="33"/>
      <c r="H67" s="33"/>
    </row>
    <row r="68" spans="1:8" ht="15" x14ac:dyDescent="0.25">
      <c r="A68" s="49"/>
      <c r="B68" s="48"/>
      <c r="C68" s="48"/>
    </row>
    <row r="69" spans="1:8" ht="14.25" x14ac:dyDescent="0.2">
      <c r="A69" s="50" t="s">
        <v>102</v>
      </c>
      <c r="B69" s="48"/>
      <c r="C69" s="51" t="s">
        <v>103</v>
      </c>
    </row>
    <row r="83" spans="3:5" x14ac:dyDescent="0.2">
      <c r="C83" s="52"/>
      <c r="D83" s="52"/>
      <c r="E83" s="52"/>
    </row>
    <row r="84" spans="3:5" x14ac:dyDescent="0.2">
      <c r="C84" s="52"/>
      <c r="D84" s="52"/>
      <c r="E84" s="52"/>
    </row>
    <row r="85" spans="3:5" x14ac:dyDescent="0.2">
      <c r="C85" s="52"/>
      <c r="D85" s="52"/>
      <c r="E85" s="52"/>
    </row>
    <row r="86" spans="3:5" x14ac:dyDescent="0.2">
      <c r="C86" s="52"/>
      <c r="D86" s="52"/>
      <c r="E86" s="52"/>
    </row>
    <row r="87" spans="3:5" x14ac:dyDescent="0.2">
      <c r="C87" s="52"/>
      <c r="D87" s="52"/>
      <c r="E87" s="52"/>
    </row>
    <row r="88" spans="3:5" x14ac:dyDescent="0.2">
      <c r="C88" s="52"/>
      <c r="D88" s="52"/>
      <c r="E88" s="52"/>
    </row>
    <row r="89" spans="3:5" x14ac:dyDescent="0.2">
      <c r="C89" s="52"/>
      <c r="D89" s="52"/>
      <c r="E89" s="52"/>
    </row>
    <row r="90" spans="3:5" x14ac:dyDescent="0.2">
      <c r="C90" s="52"/>
      <c r="D90" s="52"/>
      <c r="E90" s="52"/>
    </row>
    <row r="91" spans="3:5" x14ac:dyDescent="0.2">
      <c r="C91" s="52"/>
      <c r="D91" s="52"/>
      <c r="E91" s="52"/>
    </row>
    <row r="92" spans="3:5" x14ac:dyDescent="0.2">
      <c r="C92" s="52"/>
      <c r="D92" s="52"/>
      <c r="E92" s="52"/>
    </row>
  </sheetData>
  <mergeCells count="6">
    <mergeCell ref="A1:H1"/>
    <mergeCell ref="A2:F2"/>
    <mergeCell ref="A59:H59"/>
    <mergeCell ref="A60:H60"/>
    <mergeCell ref="A61:H61"/>
    <mergeCell ref="A62:H62"/>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2023-04-05T07:01:15Z</dcterms:created>
  <dcterms:modified xsi:type="dcterms:W3CDTF">2023-04-05T07:08:55Z</dcterms:modified>
</cp:coreProperties>
</file>