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04B78416-B466-4C98-AD53-7E310353E3AF}" xr6:coauthVersionLast="47" xr6:coauthVersionMax="47" xr10:uidLastSave="{00000000-0000-0000-0000-000000000000}"/>
  <bookViews>
    <workbookView xWindow="-120" yWindow="-120" windowWidth="20730" windowHeight="11040" xr2:uid="{00000000-000D-0000-FFFF-FFFF00000000}"/>
  </bookViews>
  <sheets>
    <sheet name="JM Low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1" l="1"/>
  <c r="F35" i="1"/>
  <c r="F54" i="1"/>
  <c r="F53" i="1"/>
  <c r="F52" i="1"/>
  <c r="F51" i="1"/>
</calcChain>
</file>

<file path=xl/sharedStrings.xml><?xml version="1.0" encoding="utf-8"?>
<sst xmlns="http://schemas.openxmlformats.org/spreadsheetml/2006/main" count="253" uniqueCount="204">
  <si>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</si>
  <si>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</si>
  <si>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</si>
  <si>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</si>
  <si>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</si>
  <si>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</si>
  <si>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</si>
  <si>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</si>
  <si>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</si>
  <si>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</si>
  <si>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</si>
  <si>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</si>
  <si>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</si>
  <si>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</si>
  <si>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Certificate of Deposits</t>
  </si>
  <si>
    <t>CRISIL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</si>
  <si>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</si>
  <si>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</si>
  <si>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</si>
  <si>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</si>
  <si>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</si>
  <si>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</si>
  <si>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</si>
  <si>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</si>
  <si>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</si>
  <si>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</si>
  <si>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</si>
  <si>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</si>
  <si>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</si>
  <si>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</si>
  <si>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</si>
  <si>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</si>
  <si>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</si>
  <si>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</si>
  <si>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</si>
  <si>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</si>
  <si>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</si>
  <si>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</si>
  <si>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</si>
  <si>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</si>
  <si>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</si>
  <si>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</si>
  <si>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</si>
  <si>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</si>
  <si>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</si>
  <si>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</si>
  <si>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</si>
  <si>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</si>
  <si>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</si>
  <si>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</si>
  <si>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</si>
  <si>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</si>
  <si>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</si>
  <si>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</si>
  <si>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</si>
  <si>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</si>
  <si>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</si>
  <si>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</si>
  <si>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</si>
  <si>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</si>
  <si>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</si>
  <si>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Non Traded Security</t>
  </si>
  <si>
    <t># Unlisted Securities</t>
  </si>
  <si>
    <t>Non Convertible Debentures / Bonds</t>
  </si>
  <si>
    <t>CARE AA+</t>
  </si>
  <si>
    <t>INE233A08113</t>
  </si>
  <si>
    <t>8.4% Godrej Industries Ltd 27-AUG-2027**</t>
  </si>
  <si>
    <t>CRISIL AA+</t>
  </si>
  <si>
    <t>27-AUG-2027</t>
  </si>
  <si>
    <t>ICRA AAA</t>
  </si>
  <si>
    <t>CRISIL AAA</t>
  </si>
  <si>
    <t>INE248U07EW8</t>
  </si>
  <si>
    <t>9.61% 360 ONE Prime Limited 18-JAN-2027**</t>
  </si>
  <si>
    <t>CARE AA</t>
  </si>
  <si>
    <t>18-JAN-2027</t>
  </si>
  <si>
    <t>INE115A07MW4</t>
  </si>
  <si>
    <t>CARE AAA</t>
  </si>
  <si>
    <t>29-JAN-2028</t>
  </si>
  <si>
    <t>INE941D07166</t>
  </si>
  <si>
    <t>7.9% Sikka Ports &amp; Terminals Limited 18-NOV-2026**</t>
  </si>
  <si>
    <t>18-NOV-2026</t>
  </si>
  <si>
    <t>INE020B08AC9</t>
  </si>
  <si>
    <t>30-DEC-2026</t>
  </si>
  <si>
    <t>INE020B08FC8</t>
  </si>
  <si>
    <t>31-AUG-2026</t>
  </si>
  <si>
    <t>INE134E08LP1</t>
  </si>
  <si>
    <t>15-JUL-2026</t>
  </si>
  <si>
    <t>INE414G07JQ6</t>
  </si>
  <si>
    <t>25-NOV-2027</t>
  </si>
  <si>
    <t>INE936D07174</t>
  </si>
  <si>
    <t>29-SEP-2026</t>
  </si>
  <si>
    <t>INE115A07PR7</t>
  </si>
  <si>
    <t>6.65% LIC Housing Finance Limited 15-FEB-2027**</t>
  </si>
  <si>
    <t>15-FEB-2027</t>
  </si>
  <si>
    <t>INE134E08JP5</t>
  </si>
  <si>
    <t>03-APR-2028</t>
  </si>
  <si>
    <t>INE053F07AC3</t>
  </si>
  <si>
    <t>7.33% Indian Railway Finance Corporation Ltd 27-AUG-2027**</t>
  </si>
  <si>
    <t>INE721A07RZ1</t>
  </si>
  <si>
    <t>18-MAR-2027</t>
  </si>
  <si>
    <t>INE261F08EK5</t>
  </si>
  <si>
    <t>24-FEB-2028</t>
  </si>
  <si>
    <t>9.1% Shriram Finance Limited 18-MAR-2027**</t>
  </si>
  <si>
    <t>7.85% Power Finance Corporation Limited 03-APR-2028**</t>
  </si>
  <si>
    <t>INE202B07JW4</t>
  </si>
  <si>
    <t>ICRA AA</t>
  </si>
  <si>
    <t>29-OCT-2027</t>
  </si>
  <si>
    <t>^YTC (AT1/Tier 2 bonds)</t>
  </si>
  <si>
    <t>Average Maturity ( Years )</t>
  </si>
  <si>
    <t>Scheme performance</t>
  </si>
  <si>
    <t>https://www.jmfinancialmf.com/products/Fixed-Income/JM-Low-Duration-Fund/J172/Regular-Plan-Growth-Option</t>
  </si>
  <si>
    <t>https://www.jmfinancialmf.com/products/Fixed-Income/JM-Low-Duration-Fund/J482/Direct-Plan-Growth-Option</t>
  </si>
  <si>
    <t>Regular Plan</t>
  </si>
  <si>
    <t>Direct Plan</t>
  </si>
  <si>
    <t>INE261F08EI9</t>
  </si>
  <si>
    <t>7.7% NABARD 30-SEP-2027**</t>
  </si>
  <si>
    <t>30-SEP-2027</t>
  </si>
  <si>
    <t>IN002025Z021</t>
  </si>
  <si>
    <t>364 Days Treasury Bill 10-Apr-2026</t>
  </si>
  <si>
    <t>10-APR-2026</t>
  </si>
  <si>
    <t>ICRA A1+</t>
  </si>
  <si>
    <t>7.7% REC Limited 31-AUG-2026</t>
  </si>
  <si>
    <t>INE556F08KM1</t>
  </si>
  <si>
    <t>7.79% SIDBI 14-MAY-2027**</t>
  </si>
  <si>
    <t>14-MAY-2027</t>
  </si>
  <si>
    <t>7.54% REC Limited 30-DEC-2026**</t>
  </si>
  <si>
    <t>Alternative Investment Fund Units</t>
  </si>
  <si>
    <t>Corporate Debt Market Development Fund - Class A2 Units</t>
  </si>
  <si>
    <t>7.76%</t>
  </si>
  <si>
    <t>7.35%</t>
  </si>
  <si>
    <t>7.95% LIC Housing Finance Limited 29-JAN-2028**</t>
  </si>
  <si>
    <t>7.36%</t>
  </si>
  <si>
    <t>8.05% Muthoot Finance Limited 25-NOV-2027**</t>
  </si>
  <si>
    <t>6.4% Jamnagar Utilities &amp; Power Pvt Ltd 29-SEP-2026**</t>
  </si>
  <si>
    <t>IN0020220037</t>
  </si>
  <si>
    <t>7.38% GOI MAT 20-Jun-2027</t>
  </si>
  <si>
    <t>20-JUN-2027</t>
  </si>
  <si>
    <t>IN002025X430</t>
  </si>
  <si>
    <t>91 Days Treasury Bill 30-Apr-2026</t>
  </si>
  <si>
    <t>30-APR-2026</t>
  </si>
  <si>
    <t>INE582L14JH5</t>
  </si>
  <si>
    <t>Tata Housing Development Company Ltd. 15-JAN-2027**</t>
  </si>
  <si>
    <t>CARE A1+</t>
  </si>
  <si>
    <t>15-JAN-2027</t>
  </si>
  <si>
    <t>Commercial Papers</t>
  </si>
  <si>
    <t>INE692A16JQ1</t>
  </si>
  <si>
    <t>25-JUN-2026</t>
  </si>
  <si>
    <t>INE562A16OI3</t>
  </si>
  <si>
    <t>12-MAR-2026</t>
  </si>
  <si>
    <t>INE476A16G02</t>
  </si>
  <si>
    <t>Canara Bank 12-JAN-2027**#</t>
  </si>
  <si>
    <t>12-JAN-2027</t>
  </si>
  <si>
    <t>7.02%</t>
  </si>
  <si>
    <t>7.67%</t>
  </si>
  <si>
    <t>7.05%</t>
  </si>
  <si>
    <t>7.25%</t>
  </si>
  <si>
    <t>8.59%</t>
  </si>
  <si>
    <t>INE414G07JM5</t>
  </si>
  <si>
    <t>8.6% Muthoot Finance Limited 02-MAR-2028</t>
  </si>
  <si>
    <t>02-MAR-2028</t>
  </si>
  <si>
    <t>7.2%</t>
  </si>
  <si>
    <t>INE121A07RE9</t>
  </si>
  <si>
    <t>8.4% Cholamandalam Invest &amp; Finance Co Ltd 09-AUG-2028**</t>
  </si>
  <si>
    <t>09-AUG-2028</t>
  </si>
  <si>
    <t>7.77%</t>
  </si>
  <si>
    <t>INE115A07QW5</t>
  </si>
  <si>
    <t>7.74% LIC Housing Finance Limited 11-FEB-2028</t>
  </si>
  <si>
    <t>11-FEB-2028</t>
  </si>
  <si>
    <t>INE261F08EM1</t>
  </si>
  <si>
    <t>7.53% NABARD 24-MAR-2028**</t>
  </si>
  <si>
    <t>24-MAR-2028</t>
  </si>
  <si>
    <t>7.44% NABARD 24-FEB-2028**</t>
  </si>
  <si>
    <t>7.13%</t>
  </si>
  <si>
    <t>8.75% Piramal Finance Ltd 29-OCT-2027**</t>
  </si>
  <si>
    <t>8.54%</t>
  </si>
  <si>
    <t>7.13% Power Finance Corporation Limited 15-JUL-2026**</t>
  </si>
  <si>
    <t>7.16%</t>
  </si>
  <si>
    <t>7.06%</t>
  </si>
  <si>
    <t>6.96%</t>
  </si>
  <si>
    <t>5.54%</t>
  </si>
  <si>
    <t>IN2220200124</t>
  </si>
  <si>
    <t>6.44% Maharashtra SDL - 12-Aug-2028</t>
  </si>
  <si>
    <t>12-AUG-2028</t>
  </si>
  <si>
    <t>6.39%</t>
  </si>
  <si>
    <t>IN002025Y354</t>
  </si>
  <si>
    <t>182 Days Treasury Bill 28-May-2026</t>
  </si>
  <si>
    <t>28-MAY-2026</t>
  </si>
  <si>
    <t>5.22%</t>
  </si>
  <si>
    <t>5.14%</t>
  </si>
  <si>
    <t>5.23%</t>
  </si>
  <si>
    <t>INE674K14BU2</t>
  </si>
  <si>
    <t>Aditya Birla Capital Limited 22-MAY-2026**</t>
  </si>
  <si>
    <t>22-MAY-2026</t>
  </si>
  <si>
    <t>7.49%</t>
  </si>
  <si>
    <t>6.89%</t>
  </si>
  <si>
    <t>Indian Bank 12-MAR-2026#</t>
  </si>
  <si>
    <t>5.55%</t>
  </si>
  <si>
    <t>INE514E16CL5</t>
  </si>
  <si>
    <t>EXIM Bank 28-MAY-2026#</t>
  </si>
  <si>
    <t>Union Bank of India 25-JUN-2026**#</t>
  </si>
  <si>
    <t>02-MAR-2026</t>
  </si>
  <si>
    <t>Note - Traded Securities (Debt) as on February 27, 2026</t>
  </si>
  <si>
    <t>28.02.2026</t>
  </si>
  <si>
    <t>Monthly Portfolio Statement for the period ended 28.02.2026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</si>
</sst>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0.00\%"/>
    <numFmt numFmtId="167" formatCode="#,##0.00%"/>
    <numFmt numFmtId="168" formatCode="#,##0.00;\(#,##0.00\)"/>
    <numFmt numFmtId="169" formatCode="#,##0%"/>
  </numFmts>
  <fonts count="23"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u/>
      <sz val="11"/>
      <color theme="10"/>
      <name val="Calibri"/>
      <family val="2"/>
      <scheme val="minor"/>
    </font>
    <font>
      <b/>
      <sz val="8"/>
      <color theme="4"/>
      <name val="Century Gothic"/>
      <family val="2"/>
    </font>
    <font>
      <b/>
      <sz val="10"/>
      <color theme="4"/>
      <name val="Times New Roman"/>
      <family val="1"/>
    </font>
    <font>
      <sz val="8"/>
      <color indexed="72"/>
      <name val="Century Gothic"/>
      <family val="2"/>
    </font>
    <font>
      <sz val="8"/>
      <color theme="1"/>
      <name val="Century Gothic"/>
      <family val="2"/>
    </font>
    <font>
      <b/>
      <sz val="8"/>
      <color theme="1"/>
      <name val="Century Gothic"/>
      <family val="2"/>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13">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0" xfId="3" applyFont="1" applyAlignment="1">
      <alignment horizontal="center" wrapText="1"/>
    </xf>
    <xf numFmtId="0" fontId="5" fillId="0" borderId="0" xfId="0" applyFont="1" applyAlignment="1">
      <alignment wrapText="1"/>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16" fillId="0" borderId="0" xfId="0" applyFont="1"/>
    <xf numFmtId="0" fontId="17" fillId="0" borderId="0" xfId="0" applyFont="1"/>
    <xf numFmtId="10" fontId="6" fillId="0" borderId="1" xfId="2" applyNumberFormat="1" applyFont="1" applyFill="1" applyBorder="1" applyAlignment="1">
      <alignment horizont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43"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166" fontId="8" fillId="0" borderId="1" xfId="0" applyNumberFormat="1" applyFont="1" applyBorder="1"/>
    <xf numFmtId="0" fontId="8" fillId="0" borderId="1" xfId="0" applyFont="1" applyBorder="1" applyAlignment="1">
      <alignment horizontal="right"/>
    </xf>
    <xf numFmtId="0" fontId="18" fillId="0" borderId="1" xfId="0" applyFont="1" applyBorder="1" applyAlignment="1">
      <alignment horizontal="right" vertical="top"/>
    </xf>
    <xf numFmtId="0" fontId="18" fillId="0" borderId="1" xfId="0" applyFont="1" applyBorder="1" applyAlignment="1">
      <alignment horizontal="left" vertical="top"/>
    </xf>
    <xf numFmtId="4" fontId="18"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8" fillId="0" borderId="1" xfId="0" applyNumberFormat="1" applyFont="1" applyBorder="1" applyAlignment="1">
      <alignment horizontal="right" vertical="top"/>
    </xf>
    <xf numFmtId="167" fontId="18"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67"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7" fontId="18" fillId="0" borderId="1" xfId="0" applyNumberFormat="1" applyFont="1" applyBorder="1" applyAlignment="1">
      <alignment horizontal="right" vertical="top" wrapText="1"/>
    </xf>
    <xf numFmtId="167" fontId="6" fillId="0" borderId="1" xfId="0" applyNumberFormat="1" applyFont="1" applyBorder="1" applyAlignment="1">
      <alignment horizontal="right"/>
    </xf>
    <xf numFmtId="167" fontId="5" fillId="0" borderId="1" xfId="0" applyNumberFormat="1" applyFont="1" applyBorder="1" applyAlignment="1">
      <alignment horizontal="right"/>
    </xf>
    <xf numFmtId="4" fontId="8" fillId="0" borderId="1" xfId="0" applyNumberFormat="1" applyFont="1" applyBorder="1" applyAlignment="1">
      <alignment horizontal="right"/>
    </xf>
    <xf numFmtId="0" fontId="5"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6" fontId="18"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4" fontId="8"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18" fillId="0" borderId="1" xfId="2" applyNumberFormat="1" applyFont="1" applyBorder="1" applyAlignment="1">
      <alignment horizontal="right" vertical="top"/>
    </xf>
    <xf numFmtId="0" fontId="5" fillId="0" borderId="1" xfId="0" applyFont="1" applyBorder="1" applyAlignment="1">
      <alignment wrapText="1"/>
    </xf>
    <xf numFmtId="169" fontId="6"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19" fillId="0" borderId="1" xfId="0" applyFont="1" applyBorder="1"/>
    <xf numFmtId="0" fontId="19" fillId="0" borderId="1" xfId="0" applyFont="1" applyBorder="1" applyAlignment="1">
      <alignment horizontal="right"/>
    </xf>
    <xf numFmtId="0" fontId="19" fillId="0" borderId="0" xfId="0" applyFont="1"/>
    <xf numFmtId="4" fontId="10" fillId="0" borderId="0" xfId="0" applyNumberFormat="1" applyFont="1"/>
    <xf numFmtId="167" fontId="5" fillId="0" borderId="0" xfId="0" applyNumberFormat="1" applyFont="1" applyAlignment="1">
      <alignment horizontal="right" vertical="top"/>
    </xf>
    <xf numFmtId="0" fontId="19" fillId="0" borderId="0" xfId="0" applyFont="1" applyAlignment="1">
      <alignment horizontal="right"/>
    </xf>
    <xf numFmtId="0" fontId="18" fillId="0" borderId="0" xfId="0" applyFont="1" applyAlignment="1">
      <alignment horizontal="right" vertical="top"/>
    </xf>
    <xf numFmtId="0" fontId="21" fillId="0" borderId="0" xfId="9" applyFont="1" applyAlignment="1"/>
    <xf numFmtId="0" fontId="22" fillId="0" borderId="0" xfId="9" applyFont="1" applyAlignment="1"/>
    <xf numFmtId="10" fontId="18" fillId="0" borderId="1" xfId="0" applyNumberFormat="1" applyFont="1" applyBorder="1" applyAlignment="1">
      <alignment horizontal="right" vertical="top"/>
    </xf>
    <xf numFmtId="2" fontId="6" fillId="0" borderId="1" xfId="3" applyNumberFormat="1" applyFont="1" applyBorder="1" applyAlignment="1">
      <alignment horizontal="center" wrapText="1"/>
    </xf>
    <xf numFmtId="0" fontId="8" fillId="0" borderId="0" xfId="6" applyFont="1" applyAlignment="1">
      <alignment horizontal="left" vertical="top"/>
    </xf>
    <xf numFmtId="0" fontId="8"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6" applyFont="1" applyAlignment="1">
      <alignment horizontal="left" vertical="top" wrapText="1"/>
    </xf>
    <xf numFmtId="0" fontId="19" fillId="0" borderId="0" xfId="0" applyFont="1"/>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5" fillId="0" borderId="0" xfId="3" applyFont="1" applyAlignment="1">
      <alignment wrapText="1"/>
    </xf>
    <xf numFmtId="0" fontId="20" fillId="0" borderId="0" xfId="0" applyFont="1"/>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cellXfs>
  <cellStyles count="10">
    <cellStyle name="Comma" xfId="1" builtinId="3"/>
    <cellStyle name="Comma 3" xfId="7" xr:uid="{00000000-0005-0000-0000-000001000000}"/>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3" xfId="8" xr:uid="{00000000-0005-0000-0000-000006000000}"/>
    <cellStyle name="Normal 4_IF" xfId="5" xr:uid="{00000000-0005-0000-0000-000007000000}"/>
    <cellStyle name="Normal 4_LD"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1101725</xdr:colOff>
      <xdr:row>87</xdr:row>
      <xdr:rowOff>174625</xdr:rowOff>
    </xdr:from>
    <xdr:to>
      <xdr:col>1</xdr:col>
      <xdr:colOff>2778125</xdr:colOff>
      <xdr:row>96</xdr:row>
      <xdr:rowOff>79374</xdr:rowOff>
    </xdr:to>
    <xdr:pic>
      <xdr:nvPicPr>
        <xdr:cNvPr id="2" name="Picture 3">
          <a:extLst>
            <a:ext uri="{FF2B5EF4-FFF2-40B4-BE49-F238E27FC236}">
              <a16:creationId xmlns:a16="http://schemas.microsoft.com/office/drawing/2014/main" id="{80C44F5B-E4E6-4264-B97D-27FA50E10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1725" y="16833850"/>
          <a:ext cx="2819400" cy="1533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127000</xdr:colOff>
      <xdr:row>88</xdr:row>
      <xdr:rowOff>85725</xdr:rowOff>
    </xdr:from>
    <xdr:to>
      <xdr:col>6</xdr:col>
      <xdr:colOff>104400</xdr:colOff>
      <xdr:row>96</xdr:row>
      <xdr:rowOff>109380</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2400" y="16002000"/>
          <a:ext cx="2768225" cy="147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Low-Duration-Fund/J482/Direct-Plan-Growth-Option" TargetMode="External"/><Relationship Id="rId1" Type="http://schemas.openxmlformats.org/officeDocument/2006/relationships/hyperlink" Target="https://www.jmfinancialmf.com/products/Fixed-Income/JM-Low-Duration-Fund/J1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tabSelected="1" topLeftCell="A91" zoomScaleNormal="100" workbookViewId="0">
      <selection activeCell="B104" sqref="B104"/>
    </sheetView>
  </sheetViews>
  <sheetFormatPr defaultColWidth="9.140625" defaultRowHeight="14.25" x14ac:dyDescent="0.3"/>
  <cols>
    <col min="1" max="1" width="17.140625" style="21" bestFit="1" customWidth="1"/>
    <col min="2" max="2" width="52.7109375" style="22" bestFit="1" customWidth="1"/>
    <col min="3" max="3" width="15.140625" style="23" customWidth="1"/>
    <col min="4" max="4" width="18.5703125" style="1" bestFit="1" customWidth="1"/>
    <col min="5" max="5" width="12.140625" style="1" bestFit="1" customWidth="1"/>
    <col min="6" max="6" width="11.140625" style="1" bestFit="1" customWidth="1"/>
    <col min="7" max="7" width="11.7109375" style="1" bestFit="1" customWidth="1"/>
    <col min="8" max="8" width="11.42578125" style="1" bestFit="1" customWidth="1"/>
    <col min="9" max="9" width="7" style="1" bestFit="1" customWidth="1"/>
    <col min="10" max="10" width="9.140625" style="33"/>
    <col min="11" max="16384" width="9.140625" style="1"/>
  </cols>
  <sheetData>
    <row r="1" spans="1:10" ht="13.5" x14ac:dyDescent="0.25">
      <c r="A1" s="96" t="s">
        <v>0</v>
      </c>
      <c r="B1" s="96"/>
      <c r="C1" s="96"/>
      <c r="D1" s="96"/>
      <c r="E1" s="96"/>
      <c r="F1" s="96"/>
      <c r="G1" s="96"/>
      <c r="H1" s="96"/>
      <c r="I1" s="96"/>
      <c r="J1" s="30"/>
    </row>
    <row r="2" spans="1:10" ht="26.25" customHeight="1" x14ac:dyDescent="0.25">
      <c r="A2" s="97" t="s">
        <v>1</v>
      </c>
      <c r="B2" s="97"/>
      <c r="C2" s="97"/>
      <c r="D2" s="97"/>
      <c r="E2" s="97"/>
      <c r="F2" s="97"/>
      <c r="G2" s="97"/>
      <c r="H2" s="97"/>
      <c r="I2" s="97"/>
      <c r="J2" s="30"/>
    </row>
    <row r="3" spans="1:10" ht="12.95" customHeight="1" x14ac:dyDescent="0.25">
      <c r="A3" s="98" t="s">
        <v>203</v>
      </c>
      <c r="B3" s="98"/>
      <c r="C3" s="98"/>
      <c r="D3" s="98"/>
      <c r="E3" s="98"/>
      <c r="F3" s="98"/>
      <c r="G3" s="98"/>
      <c r="H3" s="98"/>
      <c r="I3" s="98"/>
      <c r="J3" s="30"/>
    </row>
    <row r="4" spans="1:10" s="2" customFormat="1" ht="38.25" x14ac:dyDescent="0.2">
      <c r="A4" s="31" t="s">
        <v>2</v>
      </c>
      <c r="B4" s="42" t="s">
        <v>53</v>
      </c>
      <c r="C4" s="43" t="s">
        <v>54</v>
      </c>
      <c r="D4" s="44" t="s">
        <v>55</v>
      </c>
      <c r="E4" s="45" t="s">
        <v>56</v>
      </c>
      <c r="F4" s="46" t="s">
        <v>57</v>
      </c>
      <c r="G4" s="31" t="s">
        <v>58</v>
      </c>
      <c r="H4" s="31" t="s">
        <v>59</v>
      </c>
      <c r="I4" s="31" t="s">
        <v>60</v>
      </c>
      <c r="J4" s="31" t="s">
        <v>107</v>
      </c>
    </row>
    <row r="5" spans="1:10" x14ac:dyDescent="0.3">
      <c r="A5" s="47"/>
      <c r="B5" s="48" t="s">
        <v>3</v>
      </c>
      <c r="C5" s="47"/>
      <c r="D5" s="47"/>
      <c r="E5" s="47"/>
      <c r="F5" s="49"/>
      <c r="G5" s="50"/>
      <c r="H5" s="47"/>
      <c r="I5" s="51"/>
      <c r="J5" s="32"/>
    </row>
    <row r="6" spans="1:10" x14ac:dyDescent="0.3">
      <c r="A6" s="52"/>
      <c r="B6" s="48" t="s">
        <v>4</v>
      </c>
      <c r="C6" s="52"/>
      <c r="D6" s="53"/>
      <c r="E6" s="54"/>
      <c r="F6" s="55"/>
      <c r="G6" s="51"/>
      <c r="H6" s="52"/>
      <c r="I6" s="51"/>
      <c r="J6" s="32"/>
    </row>
    <row r="7" spans="1:10" x14ac:dyDescent="0.3">
      <c r="A7" s="52"/>
      <c r="B7" s="48" t="s">
        <v>63</v>
      </c>
      <c r="C7" s="52"/>
      <c r="D7" s="53"/>
      <c r="E7" s="56"/>
      <c r="F7" s="56"/>
      <c r="G7" s="51"/>
      <c r="H7" s="52"/>
      <c r="I7" s="51"/>
      <c r="J7" s="32"/>
    </row>
    <row r="8" spans="1:10" x14ac:dyDescent="0.3">
      <c r="A8" s="52" t="s">
        <v>98</v>
      </c>
      <c r="B8" s="52" t="s">
        <v>102</v>
      </c>
      <c r="C8" s="52" t="s">
        <v>64</v>
      </c>
      <c r="D8" s="57">
        <v>1000000</v>
      </c>
      <c r="E8" s="57">
        <v>1015.57</v>
      </c>
      <c r="F8" s="58">
        <v>4.5675082153742178E-2</v>
      </c>
      <c r="G8" s="58" t="s">
        <v>99</v>
      </c>
      <c r="H8" s="58"/>
      <c r="I8" s="92">
        <v>7.4999999999999997E-2</v>
      </c>
      <c r="J8" s="32"/>
    </row>
    <row r="9" spans="1:10" x14ac:dyDescent="0.3">
      <c r="A9" s="52" t="s">
        <v>65</v>
      </c>
      <c r="B9" s="52" t="s">
        <v>66</v>
      </c>
      <c r="C9" s="52" t="s">
        <v>67</v>
      </c>
      <c r="D9" s="57">
        <v>1000000</v>
      </c>
      <c r="E9" s="57">
        <v>1009.235</v>
      </c>
      <c r="F9" s="58">
        <v>4.5390166642803535E-2</v>
      </c>
      <c r="G9" s="58" t="s">
        <v>68</v>
      </c>
      <c r="H9" s="58"/>
      <c r="I9" s="51" t="s">
        <v>153</v>
      </c>
      <c r="J9" s="32"/>
    </row>
    <row r="10" spans="1:10" x14ac:dyDescent="0.3">
      <c r="A10" s="52" t="s">
        <v>94</v>
      </c>
      <c r="B10" s="52" t="s">
        <v>103</v>
      </c>
      <c r="C10" s="52" t="s">
        <v>69</v>
      </c>
      <c r="D10" s="57">
        <v>900000</v>
      </c>
      <c r="E10" s="57">
        <v>915.69330000000002</v>
      </c>
      <c r="F10" s="58">
        <v>4.1183145135373515E-2</v>
      </c>
      <c r="G10" s="58" t="s">
        <v>95</v>
      </c>
      <c r="H10" s="58"/>
      <c r="I10" s="51" t="s">
        <v>154</v>
      </c>
      <c r="J10" s="32"/>
    </row>
    <row r="11" spans="1:10" x14ac:dyDescent="0.3">
      <c r="A11" s="52" t="s">
        <v>83</v>
      </c>
      <c r="B11" s="52" t="s">
        <v>121</v>
      </c>
      <c r="C11" s="52" t="s">
        <v>76</v>
      </c>
      <c r="D11" s="57">
        <v>800000</v>
      </c>
      <c r="E11" s="57">
        <v>800.66399999999999</v>
      </c>
      <c r="F11" s="58">
        <v>3.6009722596713006E-2</v>
      </c>
      <c r="G11" s="58" t="s">
        <v>84</v>
      </c>
      <c r="H11" s="58"/>
      <c r="I11" s="51" t="s">
        <v>155</v>
      </c>
      <c r="J11" s="32"/>
    </row>
    <row r="12" spans="1:10" x14ac:dyDescent="0.3">
      <c r="A12" s="52" t="s">
        <v>71</v>
      </c>
      <c r="B12" s="52" t="s">
        <v>72</v>
      </c>
      <c r="C12" s="52" t="s">
        <v>73</v>
      </c>
      <c r="D12" s="57">
        <v>743780</v>
      </c>
      <c r="E12" s="57">
        <v>749.43942200000004</v>
      </c>
      <c r="F12" s="58">
        <v>3.3705906209422348E-2</v>
      </c>
      <c r="G12" s="58" t="s">
        <v>74</v>
      </c>
      <c r="H12" s="58"/>
      <c r="I12" s="51" t="s">
        <v>156</v>
      </c>
      <c r="J12" s="32"/>
    </row>
    <row r="13" spans="1:10" x14ac:dyDescent="0.3">
      <c r="A13" s="52" t="s">
        <v>157</v>
      </c>
      <c r="B13" s="52" t="s">
        <v>158</v>
      </c>
      <c r="C13" s="52" t="s">
        <v>67</v>
      </c>
      <c r="D13" s="57">
        <v>500000</v>
      </c>
      <c r="E13" s="57">
        <v>507.51049999999998</v>
      </c>
      <c r="F13" s="58">
        <v>2.282519548764415E-2</v>
      </c>
      <c r="G13" s="58" t="s">
        <v>159</v>
      </c>
      <c r="H13" s="58"/>
      <c r="I13" s="51" t="s">
        <v>128</v>
      </c>
      <c r="J13" s="32"/>
    </row>
    <row r="14" spans="1:10" x14ac:dyDescent="0.3">
      <c r="A14" s="52" t="s">
        <v>75</v>
      </c>
      <c r="B14" s="52" t="s">
        <v>130</v>
      </c>
      <c r="C14" s="52" t="s">
        <v>76</v>
      </c>
      <c r="D14" s="57">
        <v>500000</v>
      </c>
      <c r="E14" s="57">
        <v>506.4085</v>
      </c>
      <c r="F14" s="58">
        <v>2.2775633231439826E-2</v>
      </c>
      <c r="G14" s="58" t="s">
        <v>77</v>
      </c>
      <c r="H14" s="58"/>
      <c r="I14" s="51" t="s">
        <v>160</v>
      </c>
      <c r="J14" s="32"/>
    </row>
    <row r="15" spans="1:10" x14ac:dyDescent="0.3">
      <c r="A15" s="52" t="s">
        <v>161</v>
      </c>
      <c r="B15" s="52" t="s">
        <v>162</v>
      </c>
      <c r="C15" s="52" t="s">
        <v>64</v>
      </c>
      <c r="D15" s="57">
        <v>500000</v>
      </c>
      <c r="E15" s="57">
        <v>506.39400000000001</v>
      </c>
      <c r="F15" s="58">
        <v>2.2774981096489771E-2</v>
      </c>
      <c r="G15" s="58" t="s">
        <v>163</v>
      </c>
      <c r="H15" s="58"/>
      <c r="I15" s="51" t="s">
        <v>164</v>
      </c>
      <c r="J15" s="32"/>
    </row>
    <row r="16" spans="1:10" x14ac:dyDescent="0.3">
      <c r="A16" s="52" t="s">
        <v>165</v>
      </c>
      <c r="B16" s="52" t="s">
        <v>166</v>
      </c>
      <c r="C16" s="52" t="s">
        <v>70</v>
      </c>
      <c r="D16" s="57">
        <v>500000</v>
      </c>
      <c r="E16" s="57">
        <v>504.738</v>
      </c>
      <c r="F16" s="58">
        <v>2.2700502787710859E-2</v>
      </c>
      <c r="G16" s="58" t="s">
        <v>167</v>
      </c>
      <c r="H16" s="58"/>
      <c r="I16" s="51" t="s">
        <v>160</v>
      </c>
      <c r="J16" s="32"/>
    </row>
    <row r="17" spans="1:10" x14ac:dyDescent="0.3">
      <c r="A17" s="52" t="s">
        <v>168</v>
      </c>
      <c r="B17" s="52" t="s">
        <v>169</v>
      </c>
      <c r="C17" s="52" t="s">
        <v>69</v>
      </c>
      <c r="D17" s="57">
        <v>500000</v>
      </c>
      <c r="E17" s="57">
        <v>504.38749999999999</v>
      </c>
      <c r="F17" s="58">
        <v>2.268473911184914E-2</v>
      </c>
      <c r="G17" s="58" t="s">
        <v>170</v>
      </c>
      <c r="H17" s="58"/>
      <c r="I17" s="51" t="s">
        <v>154</v>
      </c>
      <c r="J17" s="32"/>
    </row>
    <row r="18" spans="1:10" x14ac:dyDescent="0.3">
      <c r="A18" s="52" t="s">
        <v>122</v>
      </c>
      <c r="B18" s="52" t="s">
        <v>123</v>
      </c>
      <c r="C18" s="52" t="s">
        <v>76</v>
      </c>
      <c r="D18" s="57">
        <v>500000</v>
      </c>
      <c r="E18" s="57">
        <v>504.21449999999999</v>
      </c>
      <c r="F18" s="58">
        <v>2.26769584672726E-2</v>
      </c>
      <c r="G18" s="58" t="s">
        <v>124</v>
      </c>
      <c r="H18" s="58"/>
      <c r="I18" s="51" t="s">
        <v>154</v>
      </c>
      <c r="J18" s="32"/>
    </row>
    <row r="19" spans="1:10" x14ac:dyDescent="0.3">
      <c r="A19" s="52" t="s">
        <v>100</v>
      </c>
      <c r="B19" s="52" t="s">
        <v>171</v>
      </c>
      <c r="C19" s="52" t="s">
        <v>70</v>
      </c>
      <c r="D19" s="57">
        <v>500000</v>
      </c>
      <c r="E19" s="57">
        <v>503.48399999999998</v>
      </c>
      <c r="F19" s="58">
        <v>2.2644104358236977E-2</v>
      </c>
      <c r="G19" s="58" t="s">
        <v>101</v>
      </c>
      <c r="H19" s="58"/>
      <c r="I19" s="51" t="s">
        <v>154</v>
      </c>
      <c r="J19" s="32"/>
    </row>
    <row r="20" spans="1:10" x14ac:dyDescent="0.3">
      <c r="A20" s="52" t="s">
        <v>87</v>
      </c>
      <c r="B20" s="52" t="s">
        <v>132</v>
      </c>
      <c r="C20" s="52" t="s">
        <v>67</v>
      </c>
      <c r="D20" s="57">
        <v>500000</v>
      </c>
      <c r="E20" s="57">
        <v>501.94549999999998</v>
      </c>
      <c r="F20" s="58">
        <v>2.2574910591294736E-2</v>
      </c>
      <c r="G20" s="58" t="s">
        <v>88</v>
      </c>
      <c r="H20" s="58"/>
      <c r="I20" s="51" t="s">
        <v>164</v>
      </c>
      <c r="J20" s="32"/>
    </row>
    <row r="21" spans="1:10" x14ac:dyDescent="0.3">
      <c r="A21" s="52" t="s">
        <v>78</v>
      </c>
      <c r="B21" s="52" t="s">
        <v>79</v>
      </c>
      <c r="C21" s="52" t="s">
        <v>70</v>
      </c>
      <c r="D21" s="57">
        <v>500000</v>
      </c>
      <c r="E21" s="57">
        <v>501.31650000000002</v>
      </c>
      <c r="F21" s="58">
        <v>2.2546621426909507E-2</v>
      </c>
      <c r="G21" s="58" t="s">
        <v>80</v>
      </c>
      <c r="H21" s="58"/>
      <c r="I21" s="51" t="s">
        <v>129</v>
      </c>
      <c r="J21" s="32"/>
    </row>
    <row r="22" spans="1:10" x14ac:dyDescent="0.3">
      <c r="A22" s="52" t="s">
        <v>81</v>
      </c>
      <c r="B22" s="52" t="s">
        <v>125</v>
      </c>
      <c r="C22" s="52" t="s">
        <v>76</v>
      </c>
      <c r="D22" s="57">
        <v>500000</v>
      </c>
      <c r="E22" s="57">
        <v>501.26900000000001</v>
      </c>
      <c r="F22" s="58">
        <v>2.2544485122762772E-2</v>
      </c>
      <c r="G22" s="58" t="s">
        <v>82</v>
      </c>
      <c r="H22" s="58"/>
      <c r="I22" s="51" t="s">
        <v>172</v>
      </c>
      <c r="J22" s="32"/>
    </row>
    <row r="23" spans="1:10" x14ac:dyDescent="0.3">
      <c r="A23" s="52" t="s">
        <v>104</v>
      </c>
      <c r="B23" s="52" t="s">
        <v>173</v>
      </c>
      <c r="C23" s="52" t="s">
        <v>105</v>
      </c>
      <c r="D23" s="57">
        <v>500000</v>
      </c>
      <c r="E23" s="57">
        <v>501.09750000000003</v>
      </c>
      <c r="F23" s="58">
        <v>2.2536771940422442E-2</v>
      </c>
      <c r="G23" s="58" t="s">
        <v>106</v>
      </c>
      <c r="H23" s="58"/>
      <c r="I23" s="51" t="s">
        <v>174</v>
      </c>
      <c r="J23" s="32"/>
    </row>
    <row r="24" spans="1:10" x14ac:dyDescent="0.3">
      <c r="A24" s="52" t="s">
        <v>85</v>
      </c>
      <c r="B24" s="52" t="s">
        <v>175</v>
      </c>
      <c r="C24" s="52" t="s">
        <v>76</v>
      </c>
      <c r="D24" s="57">
        <v>500000</v>
      </c>
      <c r="E24" s="57">
        <v>499.30650000000003</v>
      </c>
      <c r="F24" s="58">
        <v>2.2456222030384384E-2</v>
      </c>
      <c r="G24" s="58" t="s">
        <v>86</v>
      </c>
      <c r="H24" s="58"/>
      <c r="I24" s="51" t="s">
        <v>155</v>
      </c>
      <c r="J24" s="32"/>
    </row>
    <row r="25" spans="1:10" x14ac:dyDescent="0.3">
      <c r="A25" s="52" t="s">
        <v>91</v>
      </c>
      <c r="B25" s="52" t="s">
        <v>92</v>
      </c>
      <c r="C25" s="52" t="s">
        <v>76</v>
      </c>
      <c r="D25" s="57">
        <v>500000</v>
      </c>
      <c r="E25" s="57">
        <v>497.62400000000002</v>
      </c>
      <c r="F25" s="58">
        <v>2.2380551888765712E-2</v>
      </c>
      <c r="G25" s="58" t="s">
        <v>93</v>
      </c>
      <c r="H25" s="58"/>
      <c r="I25" s="51" t="s">
        <v>176</v>
      </c>
      <c r="J25" s="32"/>
    </row>
    <row r="26" spans="1:10" x14ac:dyDescent="0.3">
      <c r="A26" s="52" t="s">
        <v>89</v>
      </c>
      <c r="B26" s="52" t="s">
        <v>133</v>
      </c>
      <c r="C26" s="52" t="s">
        <v>70</v>
      </c>
      <c r="D26" s="57">
        <v>500000</v>
      </c>
      <c r="E26" s="57">
        <v>496.81900000000002</v>
      </c>
      <c r="F26" s="58">
        <v>2.2344347155331522E-2</v>
      </c>
      <c r="G26" s="58" t="s">
        <v>90</v>
      </c>
      <c r="H26" s="58"/>
      <c r="I26" s="51" t="s">
        <v>129</v>
      </c>
      <c r="J26" s="32"/>
    </row>
    <row r="27" spans="1:10" x14ac:dyDescent="0.3">
      <c r="A27" s="52" t="s">
        <v>114</v>
      </c>
      <c r="B27" s="52" t="s">
        <v>115</v>
      </c>
      <c r="C27" s="52" t="s">
        <v>70</v>
      </c>
      <c r="D27" s="57">
        <v>400000</v>
      </c>
      <c r="E27" s="57">
        <v>403.45839999999998</v>
      </c>
      <c r="F27" s="58">
        <v>1.8145470588553592E-2</v>
      </c>
      <c r="G27" s="58" t="s">
        <v>116</v>
      </c>
      <c r="H27" s="58"/>
      <c r="I27" s="51" t="s">
        <v>177</v>
      </c>
      <c r="J27" s="32"/>
    </row>
    <row r="28" spans="1:10" x14ac:dyDescent="0.3">
      <c r="A28" s="52" t="s">
        <v>96</v>
      </c>
      <c r="B28" s="52" t="s">
        <v>97</v>
      </c>
      <c r="C28" s="52" t="s">
        <v>76</v>
      </c>
      <c r="D28" s="57">
        <v>300000</v>
      </c>
      <c r="E28" s="57">
        <v>301.59089999999998</v>
      </c>
      <c r="F28" s="58">
        <v>1.356399769028333E-2</v>
      </c>
      <c r="G28" s="58" t="s">
        <v>68</v>
      </c>
      <c r="H28" s="58"/>
      <c r="I28" s="51" t="s">
        <v>178</v>
      </c>
      <c r="J28" s="32"/>
    </row>
    <row r="29" spans="1:10" x14ac:dyDescent="0.3">
      <c r="A29" s="47"/>
      <c r="B29" s="48" t="s">
        <v>5</v>
      </c>
      <c r="C29" s="47"/>
      <c r="D29" s="59"/>
      <c r="E29" s="60">
        <v>12232.166022000001</v>
      </c>
      <c r="F29" s="61">
        <v>0.5501395157134058</v>
      </c>
      <c r="G29" s="62"/>
      <c r="H29" s="61"/>
      <c r="I29" s="51"/>
      <c r="J29" s="32"/>
    </row>
    <row r="30" spans="1:10" x14ac:dyDescent="0.3">
      <c r="A30" s="63"/>
      <c r="B30" s="48" t="s">
        <v>6</v>
      </c>
      <c r="C30" s="63"/>
      <c r="D30" s="64"/>
      <c r="E30" s="56"/>
      <c r="F30" s="56"/>
      <c r="G30" s="62"/>
      <c r="H30" s="61"/>
      <c r="I30" s="51"/>
      <c r="J30" s="32"/>
    </row>
    <row r="31" spans="1:10" x14ac:dyDescent="0.3">
      <c r="A31" s="65"/>
      <c r="B31" s="48" t="s">
        <v>5</v>
      </c>
      <c r="C31" s="65"/>
      <c r="D31" s="65"/>
      <c r="E31" s="56" t="s">
        <v>7</v>
      </c>
      <c r="F31" s="56" t="s">
        <v>7</v>
      </c>
      <c r="G31" s="66"/>
      <c r="H31" s="65"/>
      <c r="I31" s="51"/>
      <c r="J31" s="32"/>
    </row>
    <row r="32" spans="1:10" x14ac:dyDescent="0.3">
      <c r="A32" s="65"/>
      <c r="B32" s="48" t="s">
        <v>8</v>
      </c>
      <c r="C32" s="65"/>
      <c r="D32" s="66"/>
      <c r="E32" s="56" t="s">
        <v>7</v>
      </c>
      <c r="F32" s="56" t="s">
        <v>7</v>
      </c>
      <c r="G32" s="67"/>
      <c r="H32" s="67"/>
      <c r="I32" s="51"/>
      <c r="J32" s="32"/>
    </row>
    <row r="33" spans="1:10" x14ac:dyDescent="0.3">
      <c r="A33" s="63"/>
      <c r="B33" s="48" t="s">
        <v>5</v>
      </c>
      <c r="C33" s="63"/>
      <c r="D33" s="64"/>
      <c r="E33" s="60" t="s">
        <v>7</v>
      </c>
      <c r="F33" s="61" t="s">
        <v>7</v>
      </c>
      <c r="G33" s="68"/>
      <c r="H33" s="69"/>
      <c r="I33" s="51"/>
      <c r="J33" s="32"/>
    </row>
    <row r="34" spans="1:10" x14ac:dyDescent="0.3">
      <c r="A34" s="63"/>
      <c r="B34" s="48" t="s">
        <v>9</v>
      </c>
      <c r="C34" s="63"/>
      <c r="D34" s="64"/>
      <c r="E34" s="56" t="s">
        <v>7</v>
      </c>
      <c r="F34" s="56" t="s">
        <v>7</v>
      </c>
      <c r="G34" s="68"/>
      <c r="H34" s="69"/>
      <c r="I34" s="51"/>
      <c r="J34" s="32"/>
    </row>
    <row r="35" spans="1:10" x14ac:dyDescent="0.3">
      <c r="A35" s="47" t="s">
        <v>134</v>
      </c>
      <c r="B35" s="52" t="s">
        <v>135</v>
      </c>
      <c r="C35" s="47" t="s">
        <v>10</v>
      </c>
      <c r="D35" s="59">
        <v>500000</v>
      </c>
      <c r="E35" s="70">
        <v>511.37400000000002</v>
      </c>
      <c r="F35" s="58">
        <f>+E35/E69</f>
        <v>2.29989557207162E-2</v>
      </c>
      <c r="G35" s="68" t="s">
        <v>136</v>
      </c>
      <c r="H35" s="68"/>
      <c r="I35" s="51" t="s">
        <v>179</v>
      </c>
      <c r="J35" s="32"/>
    </row>
    <row r="36" spans="1:10" x14ac:dyDescent="0.3">
      <c r="A36" s="47" t="s">
        <v>180</v>
      </c>
      <c r="B36" s="52" t="s">
        <v>181</v>
      </c>
      <c r="C36" s="47" t="s">
        <v>10</v>
      </c>
      <c r="D36" s="59">
        <v>500000</v>
      </c>
      <c r="E36" s="70">
        <v>500.53949999999998</v>
      </c>
      <c r="F36" s="58">
        <f>+E36/E69</f>
        <v>2.2511675988551288E-2</v>
      </c>
      <c r="G36" s="68" t="s">
        <v>182</v>
      </c>
      <c r="H36" s="68"/>
      <c r="I36" s="51" t="s">
        <v>183</v>
      </c>
      <c r="J36" s="32"/>
    </row>
    <row r="37" spans="1:10" x14ac:dyDescent="0.3">
      <c r="A37" s="63"/>
      <c r="B37" s="48" t="s">
        <v>5</v>
      </c>
      <c r="C37" s="63"/>
      <c r="D37" s="64"/>
      <c r="E37" s="60">
        <v>1011.9135</v>
      </c>
      <c r="F37" s="61">
        <v>4.5510631709267488E-2</v>
      </c>
      <c r="G37" s="62"/>
      <c r="H37" s="61"/>
      <c r="I37" s="51"/>
      <c r="J37" s="32"/>
    </row>
    <row r="38" spans="1:10" x14ac:dyDescent="0.3">
      <c r="A38" s="63"/>
      <c r="B38" s="71" t="s">
        <v>11</v>
      </c>
      <c r="C38" s="63"/>
      <c r="D38" s="64"/>
      <c r="E38" s="60">
        <v>13244.079522</v>
      </c>
      <c r="F38" s="61">
        <v>0.5956501474226733</v>
      </c>
      <c r="G38" s="62"/>
      <c r="H38" s="61"/>
      <c r="I38" s="51"/>
      <c r="J38" s="32"/>
    </row>
    <row r="39" spans="1:10" x14ac:dyDescent="0.3">
      <c r="A39" s="65"/>
      <c r="B39" s="65"/>
      <c r="C39" s="65"/>
      <c r="D39" s="72"/>
      <c r="E39" s="72"/>
      <c r="F39" s="73"/>
      <c r="G39" s="67"/>
      <c r="H39" s="67"/>
      <c r="I39" s="51"/>
      <c r="J39" s="32"/>
    </row>
    <row r="40" spans="1:10" x14ac:dyDescent="0.3">
      <c r="A40" s="63"/>
      <c r="B40" s="48" t="s">
        <v>12</v>
      </c>
      <c r="C40" s="63"/>
      <c r="D40" s="64"/>
      <c r="E40" s="74"/>
      <c r="F40" s="55"/>
      <c r="G40" s="62"/>
      <c r="H40" s="61"/>
      <c r="I40" s="51"/>
      <c r="J40" s="32"/>
    </row>
    <row r="41" spans="1:10" x14ac:dyDescent="0.3">
      <c r="A41" s="63"/>
      <c r="B41" s="48" t="s">
        <v>13</v>
      </c>
      <c r="C41" s="63"/>
      <c r="D41" s="64"/>
      <c r="E41" s="74"/>
      <c r="F41" s="55"/>
      <c r="G41" s="62"/>
      <c r="H41" s="61"/>
      <c r="I41" s="51"/>
      <c r="J41" s="32"/>
    </row>
    <row r="42" spans="1:10" x14ac:dyDescent="0.3">
      <c r="A42" s="52" t="s">
        <v>184</v>
      </c>
      <c r="B42" s="52" t="s">
        <v>185</v>
      </c>
      <c r="C42" s="52" t="s">
        <v>10</v>
      </c>
      <c r="D42" s="57">
        <v>500000</v>
      </c>
      <c r="E42" s="57">
        <v>493.786</v>
      </c>
      <c r="F42" s="58">
        <v>2.220793851370928E-2</v>
      </c>
      <c r="G42" s="62" t="s">
        <v>186</v>
      </c>
      <c r="H42" s="61"/>
      <c r="I42" s="51" t="s">
        <v>187</v>
      </c>
      <c r="J42" s="32"/>
    </row>
    <row r="43" spans="1:10" x14ac:dyDescent="0.3">
      <c r="A43" s="52" t="s">
        <v>117</v>
      </c>
      <c r="B43" s="52" t="s">
        <v>118</v>
      </c>
      <c r="C43" s="52" t="s">
        <v>10</v>
      </c>
      <c r="D43" s="57">
        <v>300000</v>
      </c>
      <c r="E43" s="57">
        <v>298.32119999999998</v>
      </c>
      <c r="F43" s="58">
        <v>1.3416943507786711E-2</v>
      </c>
      <c r="G43" s="62" t="s">
        <v>119</v>
      </c>
      <c r="H43" s="61"/>
      <c r="I43" s="51" t="s">
        <v>188</v>
      </c>
      <c r="J43" s="32"/>
    </row>
    <row r="44" spans="1:10" x14ac:dyDescent="0.3">
      <c r="A44" s="52" t="s">
        <v>137</v>
      </c>
      <c r="B44" s="52" t="s">
        <v>138</v>
      </c>
      <c r="C44" s="52" t="s">
        <v>10</v>
      </c>
      <c r="D44" s="57">
        <v>300000</v>
      </c>
      <c r="E44" s="57">
        <v>297.44549999999998</v>
      </c>
      <c r="F44" s="58">
        <v>1.3377559054285689E-2</v>
      </c>
      <c r="G44" s="62" t="s">
        <v>139</v>
      </c>
      <c r="H44" s="61"/>
      <c r="I44" s="51" t="s">
        <v>189</v>
      </c>
      <c r="J44" s="32"/>
    </row>
    <row r="45" spans="1:10" x14ac:dyDescent="0.3">
      <c r="A45" s="47"/>
      <c r="B45" s="48" t="s">
        <v>5</v>
      </c>
      <c r="C45" s="47"/>
      <c r="D45" s="59"/>
      <c r="E45" s="54">
        <v>1089.5527</v>
      </c>
      <c r="F45" s="61">
        <v>4.900244107578168E-2</v>
      </c>
      <c r="G45" s="75"/>
      <c r="H45" s="76"/>
      <c r="I45" s="51"/>
      <c r="J45" s="32"/>
    </row>
    <row r="46" spans="1:10" x14ac:dyDescent="0.3">
      <c r="A46" s="63"/>
      <c r="B46" s="48" t="s">
        <v>144</v>
      </c>
      <c r="C46" s="63"/>
      <c r="D46" s="64"/>
      <c r="E46" s="74"/>
      <c r="F46" s="55"/>
      <c r="G46" s="62"/>
      <c r="H46" s="61"/>
      <c r="I46" s="51"/>
      <c r="J46" s="32"/>
    </row>
    <row r="47" spans="1:10" x14ac:dyDescent="0.3">
      <c r="A47" s="52" t="s">
        <v>190</v>
      </c>
      <c r="B47" s="52" t="s">
        <v>191</v>
      </c>
      <c r="C47" s="52" t="s">
        <v>120</v>
      </c>
      <c r="D47" s="57">
        <v>500000</v>
      </c>
      <c r="E47" s="57">
        <v>491.726</v>
      </c>
      <c r="F47" s="58">
        <v>2.2115290375977061E-2</v>
      </c>
      <c r="G47" s="62" t="s">
        <v>192</v>
      </c>
      <c r="H47" s="61"/>
      <c r="I47" s="51" t="s">
        <v>193</v>
      </c>
      <c r="J47" s="32"/>
    </row>
    <row r="48" spans="1:10" x14ac:dyDescent="0.3">
      <c r="A48" s="52" t="s">
        <v>140</v>
      </c>
      <c r="B48" s="52" t="s">
        <v>141</v>
      </c>
      <c r="C48" s="52" t="s">
        <v>142</v>
      </c>
      <c r="D48" s="57">
        <v>500000</v>
      </c>
      <c r="E48" s="57">
        <v>469.71199999999999</v>
      </c>
      <c r="F48" s="58">
        <v>2.1125214597318299E-2</v>
      </c>
      <c r="G48" s="62" t="s">
        <v>143</v>
      </c>
      <c r="H48" s="61"/>
      <c r="I48" s="51" t="s">
        <v>131</v>
      </c>
      <c r="J48" s="32"/>
    </row>
    <row r="49" spans="1:10" x14ac:dyDescent="0.3">
      <c r="A49" s="47"/>
      <c r="B49" s="48" t="s">
        <v>5</v>
      </c>
      <c r="C49" s="47"/>
      <c r="D49" s="59"/>
      <c r="E49" s="54">
        <v>961.43799999999999</v>
      </c>
      <c r="F49" s="61">
        <v>4.324050497329536E-2</v>
      </c>
      <c r="G49" s="75"/>
      <c r="H49" s="76"/>
      <c r="I49" s="51"/>
      <c r="J49" s="32"/>
    </row>
    <row r="50" spans="1:10" x14ac:dyDescent="0.3">
      <c r="A50" s="63"/>
      <c r="B50" s="48" t="s">
        <v>14</v>
      </c>
      <c r="C50" s="63"/>
      <c r="D50" s="64"/>
      <c r="E50" s="74"/>
      <c r="F50" s="55"/>
      <c r="G50" s="62"/>
      <c r="H50" s="61"/>
      <c r="I50" s="51"/>
      <c r="J50" s="32"/>
    </row>
    <row r="51" spans="1:10" x14ac:dyDescent="0.3">
      <c r="A51" s="47" t="s">
        <v>197</v>
      </c>
      <c r="B51" s="52" t="s">
        <v>198</v>
      </c>
      <c r="C51" s="47" t="s">
        <v>15</v>
      </c>
      <c r="D51" s="59">
        <v>2100000</v>
      </c>
      <c r="E51" s="77">
        <v>2065.0497</v>
      </c>
      <c r="F51" s="78">
        <f>+E51/E69*100</f>
        <v>9.2875247101687357</v>
      </c>
      <c r="G51" s="62" t="s">
        <v>186</v>
      </c>
      <c r="H51" s="62"/>
      <c r="I51" s="51" t="s">
        <v>152</v>
      </c>
      <c r="J51" s="32"/>
    </row>
    <row r="52" spans="1:10" x14ac:dyDescent="0.3">
      <c r="A52" s="47" t="s">
        <v>149</v>
      </c>
      <c r="B52" s="52" t="s">
        <v>150</v>
      </c>
      <c r="C52" s="47" t="s">
        <v>15</v>
      </c>
      <c r="D52" s="59">
        <v>1700000</v>
      </c>
      <c r="E52" s="77">
        <v>1604.0282</v>
      </c>
      <c r="F52" s="78">
        <f>+E52/E69*100</f>
        <v>7.2140886213573836</v>
      </c>
      <c r="G52" s="62" t="s">
        <v>151</v>
      </c>
      <c r="H52" s="62"/>
      <c r="I52" s="51" t="s">
        <v>194</v>
      </c>
      <c r="J52" s="32"/>
    </row>
    <row r="53" spans="1:10" x14ac:dyDescent="0.3">
      <c r="A53" s="52" t="s">
        <v>145</v>
      </c>
      <c r="B53" s="52" t="s">
        <v>199</v>
      </c>
      <c r="C53" s="52" t="s">
        <v>120</v>
      </c>
      <c r="D53" s="57">
        <v>1500000</v>
      </c>
      <c r="E53" s="57">
        <v>1467.2745</v>
      </c>
      <c r="F53" s="78">
        <f>+E53/E69*100</f>
        <v>6.599041260532605</v>
      </c>
      <c r="G53" s="62" t="s">
        <v>146</v>
      </c>
      <c r="H53" s="62"/>
      <c r="I53" s="51" t="s">
        <v>152</v>
      </c>
      <c r="J53" s="32"/>
    </row>
    <row r="54" spans="1:10" x14ac:dyDescent="0.3">
      <c r="A54" s="47" t="s">
        <v>147</v>
      </c>
      <c r="B54" s="52" t="s">
        <v>195</v>
      </c>
      <c r="C54" s="47" t="s">
        <v>15</v>
      </c>
      <c r="D54" s="59">
        <v>750000</v>
      </c>
      <c r="E54" s="77">
        <v>748.74900000000002</v>
      </c>
      <c r="F54" s="78">
        <f>+E54/E69*100</f>
        <v>3.3674854601388677</v>
      </c>
      <c r="G54" s="62" t="s">
        <v>148</v>
      </c>
      <c r="H54" s="62"/>
      <c r="I54" s="51" t="s">
        <v>196</v>
      </c>
      <c r="J54" s="32"/>
    </row>
    <row r="55" spans="1:10" x14ac:dyDescent="0.3">
      <c r="A55" s="47"/>
      <c r="B55" s="48" t="s">
        <v>5</v>
      </c>
      <c r="C55" s="47"/>
      <c r="D55" s="59"/>
      <c r="E55" s="54">
        <v>5885.1013999999996</v>
      </c>
      <c r="F55" s="61">
        <v>0.26468140052197592</v>
      </c>
      <c r="G55" s="75"/>
      <c r="H55" s="76"/>
      <c r="I55" s="51"/>
      <c r="J55" s="32"/>
    </row>
    <row r="56" spans="1:10" x14ac:dyDescent="0.3">
      <c r="A56" s="63"/>
      <c r="B56" s="63" t="s">
        <v>11</v>
      </c>
      <c r="C56" s="63"/>
      <c r="D56" s="64"/>
      <c r="E56" s="54">
        <v>7936.0920999999998</v>
      </c>
      <c r="F56" s="61">
        <v>0.35692434657105299</v>
      </c>
      <c r="G56" s="62"/>
      <c r="H56" s="61"/>
      <c r="I56" s="51"/>
      <c r="J56" s="32"/>
    </row>
    <row r="57" spans="1:10" x14ac:dyDescent="0.3">
      <c r="A57" s="63"/>
      <c r="B57" s="63"/>
      <c r="C57" s="63"/>
      <c r="D57" s="64"/>
      <c r="E57" s="64"/>
      <c r="F57" s="55"/>
      <c r="G57" s="62"/>
      <c r="H57" s="61"/>
      <c r="I57" s="51"/>
      <c r="J57" s="32"/>
    </row>
    <row r="58" spans="1:10" x14ac:dyDescent="0.3">
      <c r="A58" s="63"/>
      <c r="B58" s="63" t="s">
        <v>126</v>
      </c>
      <c r="C58" s="63"/>
      <c r="D58" s="64"/>
      <c r="E58" s="64"/>
      <c r="F58" s="55"/>
      <c r="G58" s="62"/>
      <c r="H58" s="61"/>
      <c r="I58" s="51"/>
      <c r="J58" s="32"/>
    </row>
    <row r="59" spans="1:10" x14ac:dyDescent="0.3">
      <c r="A59" s="47" t="s">
        <v>16</v>
      </c>
      <c r="B59" s="47" t="s">
        <v>127</v>
      </c>
      <c r="C59" s="63"/>
      <c r="D59" s="57">
        <v>613.101</v>
      </c>
      <c r="E59" s="57">
        <v>71.522321000000005</v>
      </c>
      <c r="F59" s="58">
        <v>3.2167038091921968E-3</v>
      </c>
      <c r="G59" s="62"/>
      <c r="H59" s="61"/>
      <c r="I59" s="79">
        <v>5.45E-2</v>
      </c>
      <c r="J59" s="32"/>
    </row>
    <row r="60" spans="1:10" x14ac:dyDescent="0.3">
      <c r="A60" s="63"/>
      <c r="B60" s="63" t="s">
        <v>11</v>
      </c>
      <c r="C60" s="63"/>
      <c r="D60" s="65"/>
      <c r="E60" s="60">
        <v>71.522321000000005</v>
      </c>
      <c r="F60" s="61">
        <v>3.2167038091921968E-3</v>
      </c>
      <c r="G60" s="62"/>
      <c r="H60" s="61"/>
      <c r="I60" s="51"/>
      <c r="J60" s="32"/>
    </row>
    <row r="61" spans="1:10" x14ac:dyDescent="0.3">
      <c r="A61" s="63"/>
      <c r="B61" s="63"/>
      <c r="C61" s="63"/>
      <c r="D61" s="64"/>
      <c r="E61" s="64"/>
      <c r="F61" s="55"/>
      <c r="G61" s="62"/>
      <c r="H61" s="61"/>
      <c r="I61" s="51"/>
      <c r="J61" s="32"/>
    </row>
    <row r="62" spans="1:10" x14ac:dyDescent="0.3">
      <c r="A62" s="63"/>
      <c r="B62" s="80" t="s">
        <v>17</v>
      </c>
      <c r="C62" s="63"/>
      <c r="D62" s="64"/>
      <c r="E62" s="64"/>
      <c r="F62" s="55"/>
      <c r="G62" s="62"/>
      <c r="H62" s="61"/>
      <c r="I62" s="51"/>
      <c r="J62" s="32"/>
    </row>
    <row r="63" spans="1:10" x14ac:dyDescent="0.3">
      <c r="A63" s="52"/>
      <c r="B63" s="52" t="s">
        <v>18</v>
      </c>
      <c r="C63" s="52"/>
      <c r="D63" s="57">
        <v>5367.2311</v>
      </c>
      <c r="E63" s="57">
        <v>536.65083689999994</v>
      </c>
      <c r="F63" s="58">
        <v>2.4135777015156012E-2</v>
      </c>
      <c r="G63" s="62" t="s">
        <v>200</v>
      </c>
      <c r="H63" s="61"/>
      <c r="I63" s="79">
        <v>4.916943E-2</v>
      </c>
      <c r="J63" s="32"/>
    </row>
    <row r="64" spans="1:10" x14ac:dyDescent="0.3">
      <c r="A64" s="63"/>
      <c r="B64" s="80" t="s">
        <v>11</v>
      </c>
      <c r="C64" s="63"/>
      <c r="D64" s="64"/>
      <c r="E64" s="54">
        <v>536.65083689999994</v>
      </c>
      <c r="F64" s="61">
        <v>2.4135777015156012E-2</v>
      </c>
      <c r="G64" s="62"/>
      <c r="H64" s="61"/>
      <c r="I64" s="51"/>
      <c r="J64" s="32"/>
    </row>
    <row r="65" spans="1:10" x14ac:dyDescent="0.3">
      <c r="A65" s="63"/>
      <c r="B65" s="80"/>
      <c r="C65" s="63"/>
      <c r="D65" s="64"/>
      <c r="E65" s="64"/>
      <c r="F65" s="55"/>
      <c r="G65" s="62"/>
      <c r="H65" s="61"/>
      <c r="I65" s="51"/>
      <c r="J65" s="32"/>
    </row>
    <row r="66" spans="1:10" x14ac:dyDescent="0.3">
      <c r="A66" s="63"/>
      <c r="B66" s="80" t="s">
        <v>19</v>
      </c>
      <c r="C66" s="63"/>
      <c r="D66" s="64"/>
      <c r="E66" s="64"/>
      <c r="F66" s="55"/>
      <c r="G66" s="62"/>
      <c r="H66" s="61"/>
      <c r="I66" s="51"/>
      <c r="J66" s="32"/>
    </row>
    <row r="67" spans="1:10" x14ac:dyDescent="0.3">
      <c r="A67" s="47"/>
      <c r="B67" s="80" t="s">
        <v>20</v>
      </c>
      <c r="C67" s="47"/>
      <c r="D67" s="59"/>
      <c r="E67" s="59">
        <v>446.31692429999998</v>
      </c>
      <c r="F67" s="58">
        <v>2.0073025181925448E-2</v>
      </c>
      <c r="G67" s="62"/>
      <c r="H67" s="62"/>
      <c r="I67" s="51"/>
      <c r="J67" s="32"/>
    </row>
    <row r="68" spans="1:10" x14ac:dyDescent="0.3">
      <c r="A68" s="63"/>
      <c r="B68" s="80" t="s">
        <v>11</v>
      </c>
      <c r="C68" s="63"/>
      <c r="D68" s="64"/>
      <c r="E68" s="64">
        <v>446.31692429999998</v>
      </c>
      <c r="F68" s="61">
        <v>2.0073025181925448E-2</v>
      </c>
      <c r="G68" s="81"/>
      <c r="H68" s="82"/>
      <c r="I68" s="51"/>
      <c r="J68" s="32"/>
    </row>
    <row r="69" spans="1:10" x14ac:dyDescent="0.3">
      <c r="A69" s="83"/>
      <c r="B69" s="80" t="s">
        <v>21</v>
      </c>
      <c r="C69" s="83"/>
      <c r="D69" s="83"/>
      <c r="E69" s="64">
        <v>22234.6617042</v>
      </c>
      <c r="F69" s="61">
        <v>1</v>
      </c>
      <c r="G69" s="84"/>
      <c r="H69" s="83"/>
      <c r="I69" s="51"/>
      <c r="J69" s="32"/>
    </row>
    <row r="70" spans="1:10" x14ac:dyDescent="0.3">
      <c r="A70" s="85"/>
      <c r="B70" s="35"/>
      <c r="C70" s="85"/>
      <c r="D70" s="85"/>
      <c r="E70" s="86"/>
      <c r="F70" s="87"/>
      <c r="G70" s="88"/>
      <c r="H70" s="85"/>
      <c r="I70" s="89"/>
    </row>
    <row r="71" spans="1:10" x14ac:dyDescent="0.3">
      <c r="A71" s="36" t="s">
        <v>61</v>
      </c>
      <c r="B71" s="6"/>
      <c r="C71" s="3"/>
      <c r="D71" s="4"/>
      <c r="E71" s="4"/>
      <c r="F71" s="7"/>
      <c r="G71" s="8"/>
      <c r="H71" s="33"/>
      <c r="I71" s="33"/>
    </row>
    <row r="72" spans="1:10" x14ac:dyDescent="0.3">
      <c r="A72" s="36"/>
      <c r="B72" s="6"/>
      <c r="C72" s="3"/>
      <c r="D72" s="4"/>
      <c r="E72" s="4"/>
      <c r="F72" s="7"/>
      <c r="G72" s="8"/>
      <c r="H72" s="33"/>
      <c r="I72" s="33"/>
    </row>
    <row r="73" spans="1:10" x14ac:dyDescent="0.3">
      <c r="A73" s="36" t="s">
        <v>62</v>
      </c>
      <c r="B73" s="6"/>
      <c r="C73" s="3"/>
      <c r="D73" s="4"/>
      <c r="E73" s="4"/>
      <c r="F73" s="7"/>
      <c r="G73" s="8"/>
      <c r="H73" s="8"/>
      <c r="I73" s="33"/>
    </row>
    <row r="74" spans="1:10" x14ac:dyDescent="0.3">
      <c r="A74" s="5"/>
      <c r="B74" s="6"/>
      <c r="C74" s="3"/>
      <c r="D74" s="4"/>
      <c r="E74" s="4"/>
      <c r="F74" s="7"/>
      <c r="G74" s="8"/>
      <c r="H74" s="8"/>
      <c r="I74" s="33"/>
    </row>
    <row r="75" spans="1:10" x14ac:dyDescent="0.3">
      <c r="A75" s="9" t="s">
        <v>201</v>
      </c>
      <c r="B75" s="6"/>
      <c r="C75" s="3"/>
      <c r="D75" s="4"/>
      <c r="E75" s="4"/>
      <c r="F75" s="7"/>
      <c r="G75" s="8"/>
      <c r="H75" s="8"/>
      <c r="I75" s="33"/>
    </row>
    <row r="76" spans="1:10" x14ac:dyDescent="0.3">
      <c r="A76" s="9"/>
      <c r="B76" s="6"/>
      <c r="C76" s="3"/>
      <c r="D76" s="4"/>
      <c r="E76" s="4"/>
      <c r="F76" s="7"/>
      <c r="G76" s="8"/>
      <c r="H76" s="8"/>
      <c r="I76" s="33"/>
    </row>
    <row r="77" spans="1:10" x14ac:dyDescent="0.3">
      <c r="A77" s="94" t="s">
        <v>22</v>
      </c>
      <c r="B77" s="94"/>
      <c r="C77" s="94"/>
      <c r="D77" s="94"/>
      <c r="E77" s="94"/>
      <c r="F77" s="94"/>
      <c r="G77" s="94"/>
      <c r="H77" s="94"/>
      <c r="I77" s="33"/>
    </row>
    <row r="78" spans="1:10" ht="12.95" customHeight="1" x14ac:dyDescent="0.3">
      <c r="A78" s="95" t="s">
        <v>23</v>
      </c>
      <c r="B78" s="95"/>
      <c r="C78" s="95"/>
      <c r="D78" s="95"/>
      <c r="E78" s="95"/>
      <c r="F78" s="95"/>
      <c r="G78" s="95"/>
      <c r="H78" s="95"/>
      <c r="I78" s="33"/>
    </row>
    <row r="79" spans="1:10" x14ac:dyDescent="0.3">
      <c r="A79" s="94" t="s">
        <v>24</v>
      </c>
      <c r="B79" s="94"/>
      <c r="C79" s="94"/>
      <c r="D79" s="94"/>
      <c r="E79" s="94"/>
      <c r="F79" s="94"/>
      <c r="G79" s="94"/>
      <c r="H79" s="94"/>
      <c r="I79" s="33"/>
    </row>
    <row r="80" spans="1:10" ht="54" customHeight="1" x14ac:dyDescent="0.3">
      <c r="A80" s="99" t="s">
        <v>25</v>
      </c>
      <c r="B80" s="99"/>
      <c r="C80" s="99"/>
      <c r="D80" s="99"/>
      <c r="E80" s="99"/>
      <c r="F80" s="99"/>
      <c r="G80" s="99"/>
      <c r="H80" s="99"/>
      <c r="I80" s="100"/>
      <c r="J80" s="100"/>
    </row>
    <row r="81" spans="1:9" x14ac:dyDescent="0.3">
      <c r="A81" s="10"/>
      <c r="B81" s="10"/>
      <c r="C81" s="10"/>
      <c r="D81" s="10"/>
      <c r="E81" s="10"/>
      <c r="F81" s="10"/>
      <c r="G81" s="10"/>
      <c r="H81" s="10"/>
      <c r="I81" s="33"/>
    </row>
    <row r="82" spans="1:9" x14ac:dyDescent="0.3">
      <c r="A82" s="11" t="s">
        <v>26</v>
      </c>
      <c r="B82" s="12"/>
      <c r="C82" s="12"/>
      <c r="D82" s="12"/>
      <c r="E82" s="8"/>
      <c r="F82" s="8"/>
      <c r="G82" s="8"/>
      <c r="H82" s="8"/>
      <c r="I82" s="33"/>
    </row>
    <row r="83" spans="1:9" x14ac:dyDescent="0.3">
      <c r="A83" s="13" t="s">
        <v>27</v>
      </c>
      <c r="B83" s="12"/>
      <c r="C83" s="12"/>
      <c r="D83" s="12"/>
      <c r="E83" s="8"/>
      <c r="F83" s="8"/>
      <c r="G83" s="8"/>
      <c r="H83" s="8"/>
      <c r="I83" s="33"/>
    </row>
    <row r="84" spans="1:9" x14ac:dyDescent="0.3">
      <c r="A84" s="13" t="s">
        <v>28</v>
      </c>
      <c r="B84" s="12"/>
      <c r="C84" s="12"/>
      <c r="D84" s="12"/>
      <c r="E84" s="8"/>
      <c r="F84" s="8"/>
      <c r="G84" s="8"/>
      <c r="H84" s="8"/>
      <c r="I84" s="33"/>
    </row>
    <row r="85" spans="1:9" x14ac:dyDescent="0.3">
      <c r="A85" s="13" t="s">
        <v>29</v>
      </c>
      <c r="B85" s="12"/>
      <c r="C85" s="12"/>
      <c r="D85" s="12"/>
      <c r="E85" s="8"/>
      <c r="F85" s="8"/>
      <c r="G85" s="8"/>
      <c r="H85" s="8"/>
      <c r="I85" s="33"/>
    </row>
    <row r="86" spans="1:9" x14ac:dyDescent="0.3">
      <c r="A86" s="5"/>
      <c r="B86" s="14"/>
      <c r="C86" s="15"/>
      <c r="D86" s="8"/>
      <c r="E86" s="8"/>
      <c r="F86" s="8"/>
      <c r="G86" s="8"/>
      <c r="H86" s="8"/>
      <c r="I86" s="33"/>
    </row>
    <row r="87" spans="1:9" ht="14.45" customHeight="1" x14ac:dyDescent="0.3">
      <c r="A87" s="110" t="s">
        <v>30</v>
      </c>
      <c r="B87" s="110"/>
      <c r="C87" s="112" t="s">
        <v>31</v>
      </c>
      <c r="D87" s="112"/>
      <c r="E87" s="112"/>
      <c r="F87" s="112"/>
      <c r="G87" s="112"/>
      <c r="H87" s="8"/>
      <c r="I87" s="33"/>
    </row>
    <row r="88" spans="1:9" x14ac:dyDescent="0.3">
      <c r="A88" s="5"/>
      <c r="B88" s="14"/>
      <c r="C88" s="15"/>
      <c r="D88" s="8"/>
      <c r="E88" s="8"/>
      <c r="F88" s="8"/>
      <c r="G88" s="8"/>
      <c r="H88" s="8"/>
      <c r="I88" s="33"/>
    </row>
    <row r="89" spans="1:9" x14ac:dyDescent="0.3">
      <c r="A89" s="5"/>
      <c r="B89" s="14"/>
      <c r="C89" s="15"/>
      <c r="D89" s="8"/>
      <c r="E89" s="8"/>
      <c r="F89" s="8"/>
      <c r="G89" s="8"/>
      <c r="H89" s="8"/>
      <c r="I89" s="33"/>
    </row>
    <row r="90" spans="1:9" x14ac:dyDescent="0.3">
      <c r="A90" s="5"/>
      <c r="B90" s="14"/>
      <c r="C90" s="15"/>
      <c r="D90" s="8"/>
      <c r="E90" s="8"/>
      <c r="F90" s="8"/>
      <c r="G90" s="8"/>
      <c r="H90" s="8"/>
      <c r="I90" s="33"/>
    </row>
    <row r="91" spans="1:9" x14ac:dyDescent="0.3">
      <c r="A91" s="5"/>
      <c r="B91" s="14"/>
      <c r="C91" s="15"/>
      <c r="D91" s="8"/>
      <c r="E91" s="8"/>
      <c r="F91" s="8"/>
      <c r="G91" s="8"/>
      <c r="H91" s="8"/>
      <c r="I91" s="33"/>
    </row>
    <row r="92" spans="1:9" x14ac:dyDescent="0.3">
      <c r="A92" s="5"/>
      <c r="B92" s="14"/>
      <c r="C92" s="15"/>
      <c r="D92" s="8"/>
      <c r="E92" s="8"/>
      <c r="F92" s="8"/>
      <c r="G92" s="8"/>
      <c r="H92" s="8"/>
      <c r="I92" s="33"/>
    </row>
    <row r="93" spans="1:9" x14ac:dyDescent="0.3">
      <c r="A93" s="5"/>
      <c r="B93" s="14"/>
      <c r="C93" s="15"/>
      <c r="D93" s="8"/>
      <c r="E93" s="8"/>
      <c r="F93" s="8"/>
      <c r="G93" s="8"/>
      <c r="H93" s="8"/>
      <c r="I93" s="33"/>
    </row>
    <row r="94" spans="1:9" x14ac:dyDescent="0.3">
      <c r="A94" s="5"/>
      <c r="B94" s="14"/>
      <c r="C94" s="15"/>
      <c r="D94" s="8"/>
      <c r="E94" s="8"/>
      <c r="F94" s="8"/>
      <c r="G94" s="8"/>
      <c r="H94" s="8"/>
      <c r="I94" s="33"/>
    </row>
    <row r="95" spans="1:9" x14ac:dyDescent="0.3">
      <c r="A95" s="5"/>
      <c r="B95" s="14"/>
      <c r="C95" s="15"/>
      <c r="D95" s="8"/>
      <c r="E95" s="8"/>
      <c r="F95" s="8"/>
      <c r="G95" s="8"/>
      <c r="H95" s="8"/>
      <c r="I95" s="33"/>
    </row>
    <row r="96" spans="1:9" x14ac:dyDescent="0.3">
      <c r="A96" s="5"/>
      <c r="B96" s="14"/>
      <c r="C96" s="15"/>
      <c r="D96" s="8"/>
      <c r="E96" s="8"/>
      <c r="F96" s="8"/>
      <c r="G96" s="8"/>
      <c r="H96" s="8"/>
      <c r="I96" s="33"/>
    </row>
    <row r="97" spans="1:9" x14ac:dyDescent="0.3">
      <c r="A97" s="5"/>
      <c r="B97" s="14"/>
      <c r="C97" s="15"/>
      <c r="D97" s="8"/>
      <c r="E97" s="8"/>
      <c r="F97" s="8"/>
      <c r="G97" s="8"/>
      <c r="H97" s="8"/>
      <c r="I97" s="33"/>
    </row>
    <row r="98" spans="1:9" x14ac:dyDescent="0.3">
      <c r="A98" s="5"/>
      <c r="B98" s="14"/>
      <c r="C98" s="15"/>
      <c r="D98" s="8"/>
      <c r="E98" s="8"/>
      <c r="F98" s="8"/>
      <c r="G98" s="8"/>
      <c r="H98" s="8"/>
      <c r="I98" s="33"/>
    </row>
    <row r="99" spans="1:9" ht="12.95" customHeight="1" x14ac:dyDescent="0.3">
      <c r="A99" s="111" t="s">
        <v>32</v>
      </c>
      <c r="B99" s="111"/>
      <c r="C99" s="111" t="s">
        <v>33</v>
      </c>
      <c r="D99" s="111"/>
      <c r="E99" s="111"/>
      <c r="F99" s="111"/>
      <c r="G99" s="111"/>
      <c r="H99" s="8"/>
      <c r="I99" s="33"/>
    </row>
    <row r="100" spans="1:9" ht="12.95" customHeight="1" thickBot="1" x14ac:dyDescent="0.35">
      <c r="A100" s="34"/>
      <c r="B100" s="34"/>
      <c r="C100" s="34"/>
      <c r="D100" s="34"/>
      <c r="E100" s="34"/>
      <c r="F100" s="34"/>
      <c r="G100" s="34"/>
      <c r="H100" s="8"/>
      <c r="I100" s="33"/>
    </row>
    <row r="101" spans="1:9" ht="15" thickBot="1" x14ac:dyDescent="0.35">
      <c r="A101" s="103" t="s">
        <v>34</v>
      </c>
      <c r="B101" s="104"/>
      <c r="C101" s="104"/>
      <c r="D101" s="105"/>
      <c r="E101" s="8"/>
      <c r="F101" s="8"/>
      <c r="G101" s="8"/>
      <c r="H101" s="8"/>
      <c r="I101" s="33"/>
    </row>
    <row r="102" spans="1:9" ht="15" thickBot="1" x14ac:dyDescent="0.35">
      <c r="A102" s="16" t="s">
        <v>35</v>
      </c>
      <c r="B102" s="106" t="s">
        <v>36</v>
      </c>
      <c r="C102" s="106" t="s">
        <v>37</v>
      </c>
      <c r="D102" s="106" t="s">
        <v>38</v>
      </c>
      <c r="E102" s="8"/>
      <c r="F102" s="8"/>
      <c r="G102" s="8"/>
      <c r="H102" s="8"/>
      <c r="I102" s="33"/>
    </row>
    <row r="103" spans="1:9" ht="15" thickBot="1" x14ac:dyDescent="0.35">
      <c r="A103" s="16" t="s">
        <v>39</v>
      </c>
      <c r="B103" s="107"/>
      <c r="C103" s="107"/>
      <c r="D103" s="107"/>
      <c r="E103" s="8"/>
      <c r="F103" s="8"/>
      <c r="G103" s="8"/>
      <c r="H103" s="8"/>
      <c r="I103" s="33"/>
    </row>
    <row r="104" spans="1:9" ht="27.75" thickBot="1" x14ac:dyDescent="0.35">
      <c r="A104" s="17" t="s">
        <v>40</v>
      </c>
      <c r="B104" s="18"/>
      <c r="C104" s="18" t="s">
        <v>41</v>
      </c>
      <c r="D104" s="19"/>
      <c r="E104" s="8"/>
      <c r="F104" s="8"/>
      <c r="G104" s="8"/>
      <c r="H104" s="8"/>
      <c r="I104" s="33"/>
    </row>
    <row r="105" spans="1:9" ht="15" thickBot="1" x14ac:dyDescent="0.35">
      <c r="A105" s="17" t="s">
        <v>42</v>
      </c>
      <c r="B105" s="19"/>
      <c r="C105" s="19"/>
      <c r="D105" s="19"/>
      <c r="E105" s="8"/>
      <c r="F105" s="8"/>
      <c r="G105" s="8"/>
      <c r="H105" s="8"/>
      <c r="I105" s="33"/>
    </row>
    <row r="106" spans="1:9" ht="27.75" thickBot="1" x14ac:dyDescent="0.35">
      <c r="A106" s="17" t="s">
        <v>43</v>
      </c>
      <c r="B106" s="19"/>
      <c r="C106" s="19"/>
      <c r="D106" s="19"/>
      <c r="E106" s="8"/>
      <c r="F106" s="8"/>
      <c r="G106" s="8"/>
      <c r="H106" s="8"/>
      <c r="I106" s="33"/>
    </row>
    <row r="107" spans="1:9" x14ac:dyDescent="0.3">
      <c r="A107" s="9"/>
      <c r="B107" s="14"/>
      <c r="C107" s="15"/>
      <c r="D107" s="8"/>
      <c r="E107" s="8"/>
      <c r="F107" s="8"/>
      <c r="G107" s="8"/>
      <c r="H107" s="8"/>
      <c r="I107" s="33"/>
    </row>
    <row r="108" spans="1:9" x14ac:dyDescent="0.3">
      <c r="A108" s="5"/>
      <c r="B108" s="14"/>
      <c r="C108" s="15"/>
      <c r="D108" s="8"/>
      <c r="E108" s="8"/>
      <c r="F108" s="8"/>
      <c r="G108" s="8"/>
      <c r="H108" s="8"/>
      <c r="I108" s="33"/>
    </row>
    <row r="109" spans="1:9" x14ac:dyDescent="0.3">
      <c r="A109" s="101" t="s">
        <v>44</v>
      </c>
      <c r="B109" s="102"/>
      <c r="C109" s="8"/>
      <c r="D109" s="8"/>
      <c r="E109" s="8"/>
      <c r="F109" s="8"/>
      <c r="G109" s="8"/>
      <c r="H109" s="8"/>
      <c r="I109" s="33"/>
    </row>
    <row r="110" spans="1:9" x14ac:dyDescent="0.3">
      <c r="A110" s="24" t="s">
        <v>45</v>
      </c>
      <c r="B110" s="25" t="s">
        <v>46</v>
      </c>
      <c r="C110" s="8"/>
      <c r="D110" s="8"/>
      <c r="E110" s="8"/>
      <c r="F110" s="8"/>
      <c r="G110" s="8"/>
      <c r="H110" s="8"/>
      <c r="I110" s="33"/>
    </row>
    <row r="111" spans="1:9" x14ac:dyDescent="0.3">
      <c r="A111" s="26" t="s">
        <v>47</v>
      </c>
      <c r="B111" s="28"/>
      <c r="C111" s="20"/>
      <c r="D111" s="8"/>
      <c r="E111" s="8"/>
      <c r="F111" s="8"/>
      <c r="G111" s="8"/>
      <c r="H111" s="8"/>
      <c r="I111" s="33"/>
    </row>
    <row r="112" spans="1:9" x14ac:dyDescent="0.3">
      <c r="A112" s="26"/>
      <c r="B112" s="28"/>
      <c r="C112" s="20"/>
      <c r="D112" s="8"/>
      <c r="E112" s="8"/>
      <c r="F112" s="8"/>
      <c r="G112" s="8"/>
      <c r="H112" s="8"/>
      <c r="I112" s="33"/>
    </row>
    <row r="113" spans="1:10" ht="40.5" x14ac:dyDescent="0.3">
      <c r="A113" s="26" t="s">
        <v>48</v>
      </c>
      <c r="B113" s="41">
        <v>7.02959584513871E-2</v>
      </c>
      <c r="C113" s="20"/>
      <c r="D113" s="8"/>
      <c r="E113" s="8"/>
      <c r="F113" s="8"/>
      <c r="G113" s="8"/>
      <c r="H113" s="8"/>
      <c r="I113" s="33"/>
    </row>
    <row r="114" spans="1:10" x14ac:dyDescent="0.3">
      <c r="A114" s="26" t="s">
        <v>49</v>
      </c>
      <c r="B114" s="28"/>
      <c r="C114" s="20"/>
      <c r="D114" s="8"/>
      <c r="E114" s="8"/>
      <c r="F114" s="8"/>
      <c r="G114" s="8"/>
      <c r="H114" s="8"/>
      <c r="I114" s="33"/>
    </row>
    <row r="115" spans="1:10" ht="27" x14ac:dyDescent="0.3">
      <c r="A115" s="26" t="s">
        <v>50</v>
      </c>
      <c r="B115" s="93">
        <v>0.97</v>
      </c>
      <c r="C115" s="20"/>
      <c r="D115" s="8"/>
      <c r="E115" s="8"/>
      <c r="F115" s="8"/>
      <c r="G115" s="8"/>
      <c r="H115" s="8"/>
      <c r="I115" s="33"/>
    </row>
    <row r="116" spans="1:10" ht="27" x14ac:dyDescent="0.3">
      <c r="A116" s="26" t="s">
        <v>108</v>
      </c>
      <c r="B116" s="93">
        <v>0.97</v>
      </c>
      <c r="C116" s="20"/>
      <c r="D116" s="8"/>
      <c r="E116" s="8"/>
      <c r="F116" s="8"/>
      <c r="G116" s="8"/>
      <c r="H116" s="8"/>
      <c r="I116" s="33"/>
    </row>
    <row r="117" spans="1:10" x14ac:dyDescent="0.3">
      <c r="A117" s="26" t="s">
        <v>49</v>
      </c>
      <c r="B117" s="27"/>
      <c r="C117" s="20"/>
      <c r="D117" s="8"/>
      <c r="E117" s="8"/>
      <c r="F117" s="8"/>
      <c r="G117" s="8"/>
      <c r="H117" s="8"/>
      <c r="I117" s="33"/>
    </row>
    <row r="118" spans="1:10" x14ac:dyDescent="0.3">
      <c r="A118" s="26" t="s">
        <v>51</v>
      </c>
      <c r="B118" s="29" t="s">
        <v>202</v>
      </c>
      <c r="C118" s="20"/>
      <c r="D118" s="8"/>
      <c r="E118" s="8"/>
      <c r="F118" s="8"/>
      <c r="G118" s="8"/>
      <c r="H118" s="8"/>
      <c r="I118" s="33"/>
    </row>
    <row r="119" spans="1:10" ht="40.5" x14ac:dyDescent="0.3">
      <c r="A119" s="26" t="s">
        <v>52</v>
      </c>
      <c r="B119" s="27"/>
      <c r="C119" s="20"/>
      <c r="D119" s="8"/>
      <c r="E119" s="8"/>
      <c r="F119" s="8"/>
      <c r="G119" s="8"/>
      <c r="H119" s="8"/>
      <c r="I119" s="33"/>
    </row>
    <row r="120" spans="1:10" x14ac:dyDescent="0.3">
      <c r="A120" s="37"/>
      <c r="B120" s="38"/>
      <c r="C120" s="15"/>
      <c r="D120" s="33"/>
      <c r="E120" s="33"/>
      <c r="F120" s="33"/>
      <c r="G120" s="33"/>
      <c r="H120" s="33"/>
      <c r="I120" s="33"/>
    </row>
    <row r="121" spans="1:10" x14ac:dyDescent="0.3">
      <c r="A121" s="37"/>
      <c r="B121" s="38"/>
      <c r="C121" s="15"/>
      <c r="D121" s="33"/>
      <c r="E121" s="33"/>
      <c r="F121" s="33"/>
      <c r="G121" s="33"/>
      <c r="H121" s="33"/>
      <c r="I121" s="33"/>
    </row>
    <row r="122" spans="1:10" x14ac:dyDescent="0.3">
      <c r="A122" s="108" t="s">
        <v>109</v>
      </c>
      <c r="B122" s="109"/>
      <c r="C122" s="109"/>
      <c r="D122" s="33"/>
      <c r="E122" s="33"/>
      <c r="F122" s="33"/>
      <c r="G122" s="33"/>
      <c r="H122" s="33"/>
      <c r="I122" s="33"/>
    </row>
    <row r="123" spans="1:10" x14ac:dyDescent="0.3">
      <c r="A123" s="35" t="s">
        <v>112</v>
      </c>
      <c r="B123" s="38"/>
      <c r="C123" s="15"/>
      <c r="D123" s="33"/>
      <c r="E123" s="33"/>
      <c r="F123" s="33"/>
      <c r="G123" s="33"/>
      <c r="H123" s="33"/>
      <c r="I123" s="33"/>
    </row>
    <row r="124" spans="1:10" s="40" customFormat="1" ht="15.75" customHeight="1" x14ac:dyDescent="0.25">
      <c r="A124" s="90" t="s">
        <v>110</v>
      </c>
      <c r="B124" s="90"/>
      <c r="C124" s="90"/>
      <c r="D124" s="90"/>
      <c r="E124" s="39"/>
      <c r="F124" s="39"/>
      <c r="G124" s="39"/>
      <c r="H124" s="39"/>
      <c r="I124" s="39"/>
      <c r="J124" s="39"/>
    </row>
    <row r="125" spans="1:10" s="40" customFormat="1" ht="15.75" customHeight="1" x14ac:dyDescent="0.25">
      <c r="A125" s="90"/>
      <c r="B125" s="90"/>
      <c r="C125" s="90"/>
      <c r="D125" s="90"/>
      <c r="E125" s="39"/>
      <c r="F125" s="39"/>
      <c r="G125" s="39"/>
      <c r="H125" s="39"/>
      <c r="I125" s="39"/>
      <c r="J125" s="39"/>
    </row>
    <row r="126" spans="1:10" ht="15.75" customHeight="1" x14ac:dyDescent="0.3">
      <c r="A126" s="35" t="s">
        <v>113</v>
      </c>
      <c r="B126" s="91"/>
      <c r="C126" s="91"/>
      <c r="D126" s="91"/>
      <c r="E126" s="33"/>
      <c r="F126" s="33"/>
      <c r="G126" s="33"/>
      <c r="H126" s="33"/>
      <c r="I126" s="33"/>
    </row>
    <row r="127" spans="1:10" ht="15.75" customHeight="1" x14ac:dyDescent="0.3">
      <c r="A127" s="91" t="s">
        <v>111</v>
      </c>
      <c r="B127" s="91"/>
      <c r="C127" s="91"/>
      <c r="D127" s="91"/>
      <c r="E127" s="33"/>
      <c r="F127" s="33"/>
      <c r="G127" s="33"/>
      <c r="H127" s="33"/>
      <c r="I127" s="33"/>
    </row>
    <row r="128" spans="1:10" x14ac:dyDescent="0.3">
      <c r="A128" s="37"/>
      <c r="B128" s="38"/>
      <c r="C128" s="15"/>
      <c r="D128" s="33"/>
      <c r="E128" s="33"/>
      <c r="F128" s="33"/>
      <c r="G128" s="33"/>
      <c r="H128" s="33"/>
      <c r="I128" s="33"/>
    </row>
    <row r="129" spans="1:9" x14ac:dyDescent="0.3">
      <c r="A129" s="37"/>
      <c r="B129" s="38"/>
      <c r="C129" s="15"/>
      <c r="D129" s="33"/>
      <c r="E129" s="33"/>
      <c r="F129" s="33"/>
      <c r="G129" s="33"/>
      <c r="H129" s="33"/>
      <c r="I129" s="33"/>
    </row>
    <row r="130" spans="1:9" x14ac:dyDescent="0.3">
      <c r="A130" s="37"/>
      <c r="B130" s="38"/>
      <c r="C130" s="15"/>
      <c r="D130" s="33"/>
      <c r="E130" s="33"/>
      <c r="F130" s="33"/>
      <c r="G130" s="33"/>
      <c r="H130" s="33"/>
      <c r="I130" s="33"/>
    </row>
    <row r="131" spans="1:9" x14ac:dyDescent="0.3">
      <c r="A131" s="37"/>
      <c r="B131" s="38"/>
      <c r="C131" s="15"/>
      <c r="D131" s="33"/>
      <c r="E131" s="33"/>
      <c r="F131" s="33"/>
      <c r="G131" s="33"/>
      <c r="H131" s="33"/>
      <c r="I131" s="33"/>
    </row>
    <row r="132" spans="1:9" x14ac:dyDescent="0.3">
      <c r="A132" s="37"/>
      <c r="B132" s="38"/>
      <c r="C132" s="15"/>
      <c r="D132" s="33"/>
      <c r="E132" s="33"/>
      <c r="F132" s="33"/>
      <c r="G132" s="33"/>
      <c r="H132" s="33"/>
      <c r="I132" s="33"/>
    </row>
    <row r="133" spans="1:9" x14ac:dyDescent="0.3">
      <c r="A133" s="37"/>
      <c r="B133" s="38"/>
      <c r="C133" s="15"/>
      <c r="D133" s="33"/>
      <c r="E133" s="33"/>
      <c r="F133" s="33"/>
      <c r="G133" s="33"/>
      <c r="H133" s="33"/>
      <c r="I133" s="33"/>
    </row>
    <row r="134" spans="1:9" x14ac:dyDescent="0.3">
      <c r="A134" s="37"/>
      <c r="B134" s="38"/>
      <c r="C134" s="15"/>
      <c r="D134" s="33"/>
      <c r="E134" s="33"/>
      <c r="F134" s="33"/>
      <c r="G134" s="33"/>
      <c r="H134" s="33"/>
      <c r="I134" s="33"/>
    </row>
    <row r="135" spans="1:9" x14ac:dyDescent="0.3">
      <c r="A135" s="37"/>
      <c r="B135" s="38"/>
      <c r="C135" s="15"/>
      <c r="D135" s="33"/>
      <c r="E135" s="33"/>
      <c r="F135" s="33"/>
      <c r="G135" s="33"/>
      <c r="H135" s="33"/>
      <c r="I135" s="33"/>
    </row>
    <row r="136" spans="1:9" x14ac:dyDescent="0.3">
      <c r="A136" s="37"/>
      <c r="B136" s="38"/>
      <c r="C136" s="15"/>
      <c r="D136" s="33"/>
      <c r="E136" s="33"/>
      <c r="F136" s="33"/>
      <c r="G136" s="33"/>
      <c r="H136" s="33"/>
      <c r="I136" s="33"/>
    </row>
    <row r="137" spans="1:9" x14ac:dyDescent="0.3">
      <c r="A137" s="37"/>
      <c r="B137" s="38"/>
      <c r="C137" s="15"/>
      <c r="D137" s="33"/>
      <c r="E137" s="33"/>
      <c r="F137" s="33"/>
      <c r="G137" s="33"/>
      <c r="H137" s="33"/>
      <c r="I137" s="33"/>
    </row>
    <row r="138" spans="1:9" x14ac:dyDescent="0.3">
      <c r="A138" s="37"/>
      <c r="B138" s="38"/>
      <c r="C138" s="15"/>
      <c r="D138" s="33"/>
      <c r="E138" s="33"/>
      <c r="F138" s="33"/>
      <c r="G138" s="33"/>
      <c r="H138" s="33"/>
      <c r="I138" s="33"/>
    </row>
  </sheetData>
  <sortState xmlns:xlrd2="http://schemas.microsoft.com/office/spreadsheetml/2017/richdata2" ref="A51:J54">
    <sortCondition descending="1" ref="E51:E54"/>
  </sortState>
  <mergeCells count="17">
    <mergeCell ref="A122:C122"/>
    <mergeCell ref="A87:B87"/>
    <mergeCell ref="A99:B99"/>
    <mergeCell ref="C99:G99"/>
    <mergeCell ref="C87:G87"/>
    <mergeCell ref="A80:J80"/>
    <mergeCell ref="A109:B109"/>
    <mergeCell ref="A101:D101"/>
    <mergeCell ref="B102:B103"/>
    <mergeCell ref="C102:C103"/>
    <mergeCell ref="D102:D103"/>
    <mergeCell ref="A79:H79"/>
    <mergeCell ref="A77:H77"/>
    <mergeCell ref="A78:H78"/>
    <mergeCell ref="A1:I1"/>
    <mergeCell ref="A2:I2"/>
    <mergeCell ref="A3:I3"/>
  </mergeCells>
  <hyperlinks>
    <hyperlink ref="A124" r:id="rId1" xr:uid="{00000000-0004-0000-0000-000000000000}"/>
    <hyperlink ref="A127" r:id="rId2" xr:uid="{00000000-0004-0000-0000-000001000000}"/>
  </hyperlinks>
  <pageMargins left="0.7" right="0.7" top="0.75" bottom="0.75" header="0.3" footer="0.3"/>
  <pageSetup paperSize="0"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2026-03-05T09:12:00Z</dcterms:modified>
</cp:coreProperties>
</file>