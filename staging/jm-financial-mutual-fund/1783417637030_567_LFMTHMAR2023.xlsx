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G:\p\NAV All Files 2006-2007\Monthly Portfolio\March 2023\MonthlyHalf yearly\Portfolio for sent\"/>
    </mc:Choice>
  </mc:AlternateContent>
  <bookViews>
    <workbookView xWindow="0" yWindow="0" windowWidth="20490" windowHeight="7770"/>
  </bookViews>
  <sheets>
    <sheet name="LF" sheetId="1" r:id="rId1"/>
  </sheets>
  <definedNames>
    <definedName name="_xlnm._FilterDatabase" localSheetId="0" hidden="1">LF!$A$3:$F$56</definedName>
    <definedName name="Afs">#REF!</definedName>
    <definedName name="_xlnm.Database">#REF!</definedName>
    <definedName name="EBLDB">#REF!</definedName>
    <definedName name="fl">#REF!</definedName>
    <definedName name="_xlnm.Print_Area" localSheetId="0">LF!$A$1:$E$35</definedName>
  </definedNames>
  <calcPr calcId="162913"/>
</workbook>
</file>

<file path=xl/calcChain.xml><?xml version="1.0" encoding="utf-8"?>
<calcChain xmlns="http://schemas.openxmlformats.org/spreadsheetml/2006/main">
  <c r="E16" i="1" l="1"/>
  <c r="D16" i="1"/>
  <c r="D47" i="1" l="1"/>
  <c r="E46" i="1"/>
  <c r="E47" i="1" s="1"/>
  <c r="D44" i="1"/>
  <c r="E43" i="1"/>
  <c r="E42" i="1"/>
  <c r="E41" i="1"/>
  <c r="E40" i="1"/>
  <c r="E39" i="1"/>
  <c r="E38" i="1"/>
  <c r="E37" i="1"/>
  <c r="E35" i="1"/>
  <c r="E34" i="1"/>
  <c r="E33" i="1"/>
  <c r="E32" i="1"/>
  <c r="E31" i="1"/>
  <c r="E30" i="1"/>
  <c r="E29" i="1"/>
  <c r="E28" i="1"/>
  <c r="E27" i="1"/>
  <c r="E26" i="1"/>
  <c r="F16" i="1"/>
  <c r="F49" i="1" s="1"/>
  <c r="D12" i="1"/>
  <c r="E11" i="1"/>
  <c r="E12" i="1"/>
  <c r="D8" i="1"/>
  <c r="D49" i="1"/>
  <c r="D51" i="1" s="1"/>
  <c r="E51" i="1" s="1"/>
  <c r="E6" i="1"/>
  <c r="E7" i="1"/>
  <c r="E8" i="1" s="1"/>
  <c r="E49" i="1" s="1"/>
  <c r="E53" i="1" s="1"/>
  <c r="E44" i="1"/>
</calcChain>
</file>

<file path=xl/sharedStrings.xml><?xml version="1.0" encoding="utf-8"?>
<sst xmlns="http://schemas.openxmlformats.org/spreadsheetml/2006/main" count="134" uniqueCount="105">
  <si>
    <t>JM Liquid Fund (An Open-Ended Liquid Scheme) A relatively low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</si>
  <si>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</si>
  <si>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</si>
  <si>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</si>
  <si>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</si>
  <si>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</si>
  <si>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</si>
  <si>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</si>
  <si>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</si>
  <si>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</si>
  <si>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</si>
  <si>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Cholamandalam Investment &amp; Finance Company Ltd.**</t>
  </si>
  <si>
    <t>CARE AA+</t>
  </si>
  <si>
    <t>INE121A07QA9</t>
  </si>
  <si>
    <t>Sikka Ports &amp; Terminals Ltd**</t>
  </si>
  <si>
    <t>CARE AAA</t>
  </si>
  <si>
    <t>INE941D07190</t>
  </si>
  <si>
    <t>Sub Total:</t>
  </si>
  <si>
    <t xml:space="preserve">Zero Coupon Bond </t>
  </si>
  <si>
    <t>Axis Finance Ltd.**</t>
  </si>
  <si>
    <t>INE891K07648</t>
  </si>
  <si>
    <t>b) Privately Placed / Unlisted</t>
  </si>
  <si>
    <t>NIL</t>
  </si>
  <si>
    <t>Total:</t>
  </si>
  <si>
    <t>TERM DEPOSITS</t>
  </si>
  <si>
    <t>Deposits (Maturity not exceeding 91 days)</t>
  </si>
  <si>
    <t>Deposits (Placed as F &amp; O margin)</t>
  </si>
  <si>
    <t>MONEY MARKET INSTRUMENTS</t>
  </si>
  <si>
    <t>Certificate of Deposit (CD) / Commercial Paper (CP)</t>
  </si>
  <si>
    <t>Godrej Industries Ltd.CP</t>
  </si>
  <si>
    <t>CRISIL A1+</t>
  </si>
  <si>
    <t>INE233A14XL1</t>
  </si>
  <si>
    <t>IIFL Wealth Prime Ltd.CP**</t>
  </si>
  <si>
    <t>INE248U14MS5</t>
  </si>
  <si>
    <t>HDFC Bank Ltd.CD</t>
  </si>
  <si>
    <t>CARE A1+</t>
  </si>
  <si>
    <t>INE040A16DF9</t>
  </si>
  <si>
    <t>Canara Bank CD**</t>
  </si>
  <si>
    <t>INE476A16VB6</t>
  </si>
  <si>
    <t>Bank of Baroda CD**</t>
  </si>
  <si>
    <t>IND A1+</t>
  </si>
  <si>
    <t>INE028A16DB3</t>
  </si>
  <si>
    <t>SIDBI Ltd.CP**</t>
  </si>
  <si>
    <t>INE556F14IZ5</t>
  </si>
  <si>
    <t>Reliance Retail Ventures Ltd.CP</t>
  </si>
  <si>
    <t>INE929O14974</t>
  </si>
  <si>
    <t>NABARD.CP</t>
  </si>
  <si>
    <t>INE261F14JJ4</t>
  </si>
  <si>
    <t>Reliance Retail Ventures Ltd.CP**</t>
  </si>
  <si>
    <t>INE929O14AB4</t>
  </si>
  <si>
    <t>HDFC Securities Ltd.CP</t>
  </si>
  <si>
    <t>INE700G14ED3</t>
  </si>
  <si>
    <t>Treasury Bills</t>
  </si>
  <si>
    <t>364 Days Treasury-Bill 04/05/2023</t>
  </si>
  <si>
    <t>Sovereign</t>
  </si>
  <si>
    <t>IN002022Z051</t>
  </si>
  <si>
    <t>91 Days Treasury-Bill 18/05/2023</t>
  </si>
  <si>
    <t>IN002022X460</t>
  </si>
  <si>
    <t>182 Days Treasury-Bill 15/06/2023</t>
  </si>
  <si>
    <t>IN002022Y385</t>
  </si>
  <si>
    <t>91 Days Treasury-Bill 01/06/2023</t>
  </si>
  <si>
    <t>IN002022X486</t>
  </si>
  <si>
    <t>364 Days Treasury-Bill 25/05/2023</t>
  </si>
  <si>
    <t>IN002022Z085</t>
  </si>
  <si>
    <t>91 Days Treasury-Bill 11/05/2023</t>
  </si>
  <si>
    <t>IN002022X452</t>
  </si>
  <si>
    <t>364 Days Treasury-Bill 18/05/2023</t>
  </si>
  <si>
    <t>IN002022Z077</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</si>
  <si>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</si>
  <si>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</si>
  <si>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</si>
  <si>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</si>
  <si>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</si>
  <si>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</si>
  <si>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</si>
  <si>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</si>
  <si>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</si>
  <si>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</si>
  <si>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</si>
  <si>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*Investors should consult their financial advisers if in doubt about whether the product is suitable for them.</t>
  </si>
  <si>
    <t xml:space="preserve">         Riskometer of the scheme </t>
  </si>
  <si>
    <t>Potential Risk Class</t>
  </si>
  <si>
    <r>
      <t xml:space="preserve">Credit Risk </t>
    </r>
    <r>
      <rPr>
        <sz val="9"/>
        <color indexed="8"/>
        <rFont val="Symbol"/>
        <family val="1"/>
        <charset val="2"/>
      </rPr>
      <t>®</t>
    </r>
  </si>
  <si>
    <t>Relatively Low (Class A)</t>
  </si>
  <si>
    <t>Moderate (Class B)</t>
  </si>
  <si>
    <r>
      <t xml:space="preserve">Interest Rate Risk </t>
    </r>
    <r>
      <rPr>
        <sz val="9"/>
        <color indexed="8"/>
        <rFont val="Symbol"/>
        <family val="1"/>
        <charset val="2"/>
      </rPr>
      <t>¯</t>
    </r>
  </si>
  <si>
    <t>Relatively Low (Class I)</t>
  </si>
  <si>
    <t>Moderate (Class II)</t>
  </si>
  <si>
    <t>Relatively High Class (Class III)</t>
  </si>
  <si>
    <t>Portfolio Information</t>
  </si>
  <si>
    <t>Scheme Name :</t>
  </si>
  <si>
    <t>Description (if any)</t>
  </si>
  <si>
    <t>Annualised Portfolio YTM* :</t>
  </si>
  <si>
    <t>Macaulay Duration</t>
  </si>
  <si>
    <t>Residual Maturity</t>
  </si>
  <si>
    <t xml:space="preserve">As on (Date) </t>
  </si>
  <si>
    <t>31.03.2023</t>
  </si>
  <si>
    <t xml:space="preserve">* in case of semi annual YTM,  it will be annualised </t>
  </si>
  <si>
    <t>Portfolio as on 31.03.2023</t>
  </si>
  <si>
    <t>Relatively High (Class C)</t>
  </si>
  <si>
    <t>B-I</t>
  </si>
  <si>
    <t>CRISIL Liquid Fund BI Index #</t>
  </si>
  <si>
    <t>#The Benchmark of the scheme has been revised to CRISIL Liquid Debt B-I Index w.e.f April 03, 2023</t>
  </si>
  <si>
    <t xml:space="preserve">• Regular Income over Short Term. </t>
  </si>
  <si>
    <t>• Investment in debt and money market securities with maturity of upto 91 days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</si>
</sst>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6"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
      <sz val="10"/>
      <color indexed="8"/>
      <name val="Tahoma"/>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
      <sz val="10"/>
      <color indexed="8"/>
      <name val="Arial"/>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8"/>
      </left>
      <right style="medium">
        <color indexed="8"/>
      </right>
      <top style="medium">
        <color indexed="8"/>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9">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0" fontId="6" fillId="0" borderId="0"/>
  </cellStyleXfs>
  <cellXfs count="83">
    <xf numFmtId="0" fontId="0" fillId="0" borderId="0" xfId="0"/>
    <xf numFmtId="0" fontId="3" fillId="0" borderId="0" xfId="0" applyFont="1"/>
    <xf numFmtId="0" fontId="3" fillId="2" borderId="0" xfId="0" applyFont="1" applyFill="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65" fontId="4" fillId="0" borderId="1" xfId="1" applyNumberFormat="1" applyFont="1" applyFill="1" applyBorder="1" applyAlignment="1">
      <alignment horizontal="center" vertical="center"/>
    </xf>
    <xf numFmtId="0" fontId="4" fillId="0" borderId="1" xfId="0" applyFont="1" applyBorder="1" applyAlignment="1">
      <alignment horizontal="center"/>
    </xf>
    <xf numFmtId="0" fontId="4" fillId="0" borderId="1" xfId="0" applyFont="1" applyBorder="1" applyAlignment="1">
      <alignment horizontal="center" wrapText="1"/>
    </xf>
    <xf numFmtId="0" fontId="3" fillId="0" borderId="0" xfId="0" applyFont="1" applyAlignment="1">
      <alignment horizontal="center"/>
    </xf>
    <xf numFmtId="0" fontId="4" fillId="0" borderId="1" xfId="0" applyFont="1" applyFill="1" applyBorder="1" applyAlignment="1">
      <alignment wrapText="1"/>
    </xf>
    <xf numFmtId="0" fontId="4" fillId="0" borderId="1" xfId="0" applyFont="1" applyFill="1" applyBorder="1" applyAlignment="1">
      <alignment horizontal="left" wrapText="1"/>
    </xf>
    <xf numFmtId="165" fontId="4" fillId="0" borderId="1" xfId="1" applyNumberFormat="1" applyFont="1" applyFill="1" applyBorder="1"/>
    <xf numFmtId="164" fontId="4" fillId="0" borderId="1" xfId="1" applyFont="1" applyFill="1" applyBorder="1" applyAlignment="1">
      <alignment horizontal="right"/>
    </xf>
    <xf numFmtId="0" fontId="3" fillId="0" borderId="1" xfId="0" applyFont="1" applyFill="1" applyBorder="1" applyAlignment="1">
      <alignment horizontal="right"/>
    </xf>
    <xf numFmtId="166" fontId="3" fillId="0" borderId="1" xfId="0" applyNumberFormat="1" applyFont="1" applyBorder="1"/>
    <xf numFmtId="166" fontId="3" fillId="0" borderId="1" xfId="0" applyNumberFormat="1" applyFont="1" applyFill="1" applyBorder="1"/>
    <xf numFmtId="0" fontId="3" fillId="0" borderId="0" xfId="0" applyFont="1" applyFill="1"/>
    <xf numFmtId="164" fontId="3" fillId="0" borderId="1" xfId="1" applyFont="1" applyFill="1" applyBorder="1" applyAlignment="1">
      <alignment horizontal="right"/>
    </xf>
    <xf numFmtId="4" fontId="3" fillId="0" borderId="1" xfId="0" applyNumberFormat="1" applyFont="1" applyFill="1" applyBorder="1" applyAlignment="1">
      <alignment wrapText="1"/>
    </xf>
    <xf numFmtId="0" fontId="3" fillId="0" borderId="1" xfId="0" applyFont="1" applyFill="1" applyBorder="1" applyAlignment="1">
      <alignment wrapText="1"/>
    </xf>
    <xf numFmtId="165" fontId="3" fillId="0" borderId="1" xfId="1" applyNumberFormat="1" applyFont="1" applyFill="1" applyBorder="1"/>
    <xf numFmtId="164" fontId="3" fillId="0" borderId="1" xfId="1" applyFont="1" applyFill="1" applyBorder="1"/>
    <xf numFmtId="165" fontId="4" fillId="0" borderId="1" xfId="1" applyNumberFormat="1" applyFont="1" applyFill="1" applyBorder="1" applyAlignment="1">
      <alignment horizontal="right"/>
    </xf>
    <xf numFmtId="0" fontId="3" fillId="0" borderId="1" xfId="0" applyFont="1" applyBorder="1"/>
    <xf numFmtId="4" fontId="4" fillId="0" borderId="1" xfId="1" applyNumberFormat="1" applyFont="1" applyFill="1" applyBorder="1" applyAlignment="1">
      <alignment horizontal="right"/>
    </xf>
    <xf numFmtId="4" fontId="4" fillId="0" borderId="1" xfId="0" applyNumberFormat="1" applyFont="1" applyFill="1" applyBorder="1" applyAlignment="1">
      <alignment wrapText="1"/>
    </xf>
    <xf numFmtId="0" fontId="3" fillId="0" borderId="1" xfId="0" applyFont="1" applyFill="1" applyBorder="1" applyAlignment="1">
      <alignment horizontal="left" wrapText="1"/>
    </xf>
    <xf numFmtId="165" fontId="3" fillId="0" borderId="1" xfId="1" applyNumberFormat="1" applyFont="1" applyFill="1" applyBorder="1" applyAlignment="1">
      <alignment horizontal="right"/>
    </xf>
    <xf numFmtId="4" fontId="4" fillId="0" borderId="1" xfId="0" applyNumberFormat="1" applyFont="1" applyFill="1" applyBorder="1" applyAlignment="1">
      <alignment horizontal="right"/>
    </xf>
    <xf numFmtId="2" fontId="3" fillId="0" borderId="1"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4" fontId="3" fillId="0" borderId="0" xfId="0" applyNumberFormat="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4" fontId="3" fillId="0" borderId="0" xfId="1" applyFont="1" applyFill="1" applyAlignment="1">
      <alignment horizontal="right"/>
    </xf>
    <xf numFmtId="0" fontId="3" fillId="0" borderId="0" xfId="3" applyFont="1" applyFill="1" applyBorder="1" applyAlignment="1">
      <alignment wrapText="1"/>
    </xf>
    <xf numFmtId="0" fontId="4" fillId="0" borderId="0" xfId="3" applyFont="1" applyFill="1" applyBorder="1" applyAlignment="1">
      <alignment horizontal="left" wrapText="1"/>
    </xf>
    <xf numFmtId="165" fontId="4" fillId="0" borderId="0" xfId="2" applyNumberFormat="1" applyFont="1" applyFill="1" applyBorder="1" applyAlignment="1">
      <alignment horizontal="right"/>
    </xf>
    <xf numFmtId="0" fontId="3" fillId="0" borderId="0" xfId="3" applyFont="1" applyFill="1" applyAlignment="1">
      <alignment horizontal="right"/>
    </xf>
    <xf numFmtId="0" fontId="6" fillId="0" borderId="0" xfId="6" applyBorder="1" applyAlignment="1">
      <alignment horizontal="left" vertical="center" wrapText="1"/>
    </xf>
    <xf numFmtId="0" fontId="2" fillId="0" borderId="0" xfId="3" applyFont="1" applyFill="1" applyBorder="1" applyAlignment="1">
      <alignment horizontal="left" wrapText="1"/>
    </xf>
    <xf numFmtId="0" fontId="3" fillId="0" borderId="0" xfId="3" applyFont="1"/>
    <xf numFmtId="164" fontId="3" fillId="0" borderId="0" xfId="1" applyFont="1" applyFill="1" applyBorder="1" applyAlignment="1">
      <alignment horizontal="right"/>
    </xf>
    <xf numFmtId="0" fontId="6" fillId="0" borderId="0" xfId="7" applyBorder="1"/>
    <xf numFmtId="0" fontId="1" fillId="0" borderId="0" xfId="3"/>
    <xf numFmtId="0" fontId="9" fillId="0" borderId="0" xfId="5" applyFont="1"/>
    <xf numFmtId="0" fontId="4" fillId="0" borderId="0" xfId="3" applyFont="1" applyFill="1" applyBorder="1" applyAlignment="1">
      <alignment horizontal="left"/>
    </xf>
    <xf numFmtId="0" fontId="10" fillId="0" borderId="0" xfId="0" applyNumberFormat="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11" fillId="0" borderId="2" xfId="0" applyFont="1" applyBorder="1" applyAlignment="1">
      <alignment vertical="center" wrapText="1"/>
    </xf>
    <xf numFmtId="0" fontId="13" fillId="0" borderId="2" xfId="0" applyFont="1" applyBorder="1" applyAlignment="1">
      <alignment vertical="center" wrapText="1"/>
    </xf>
    <xf numFmtId="0" fontId="13" fillId="3" borderId="3" xfId="0" applyFont="1" applyFill="1" applyBorder="1" applyAlignment="1">
      <alignment horizontal="center" vertical="center" wrapText="1"/>
    </xf>
    <xf numFmtId="0" fontId="14" fillId="0" borderId="3" xfId="0" applyFont="1" applyBorder="1" applyAlignment="1">
      <alignment vertical="center" wrapText="1"/>
    </xf>
    <xf numFmtId="0" fontId="15" fillId="0" borderId="0" xfId="0" applyFont="1" applyAlignment="1">
      <alignment vertical="top" wrapText="1"/>
    </xf>
    <xf numFmtId="0" fontId="3" fillId="0" borderId="4" xfId="0" applyFont="1" applyBorder="1" applyAlignment="1">
      <alignment horizontal="center" wrapText="1"/>
    </xf>
    <xf numFmtId="0" fontId="3" fillId="0" borderId="5" xfId="0" applyFont="1" applyBorder="1" applyAlignment="1">
      <alignment horizontal="center" wrapText="1"/>
    </xf>
    <xf numFmtId="0" fontId="3" fillId="0" borderId="1" xfId="0" applyFont="1" applyBorder="1" applyAlignment="1">
      <alignment wrapText="1"/>
    </xf>
    <xf numFmtId="0" fontId="3" fillId="0" borderId="1" xfId="0" applyFont="1" applyBorder="1" applyAlignment="1">
      <alignment horizontal="left" wrapText="1"/>
    </xf>
    <xf numFmtId="166" fontId="3" fillId="0" borderId="1" xfId="0" applyNumberFormat="1" applyFont="1" applyFill="1" applyBorder="1" applyAlignment="1">
      <alignment horizontal="center" wrapText="1"/>
    </xf>
    <xf numFmtId="166" fontId="0" fillId="0" borderId="1" xfId="0" applyNumberFormat="1" applyBorder="1" applyAlignment="1">
      <alignment horizontal="center"/>
    </xf>
    <xf numFmtId="0" fontId="3" fillId="0" borderId="1" xfId="0" applyFont="1" applyFill="1" applyBorder="1" applyAlignment="1">
      <alignment horizontal="center" wrapText="1"/>
    </xf>
    <xf numFmtId="0" fontId="3" fillId="0" borderId="4" xfId="0" applyFont="1" applyBorder="1" applyAlignment="1">
      <alignment horizontal="left" wrapText="1"/>
    </xf>
    <xf numFmtId="0" fontId="3" fillId="0" borderId="5" xfId="0" applyFont="1" applyBorder="1" applyAlignment="1">
      <alignment horizontal="left" wrapText="1"/>
    </xf>
    <xf numFmtId="2" fontId="0" fillId="0" borderId="1" xfId="0" applyNumberFormat="1" applyFont="1" applyFill="1" applyBorder="1" applyAlignment="1">
      <alignment horizontal="center" wrapText="1"/>
    </xf>
    <xf numFmtId="0" fontId="2" fillId="2" borderId="6" xfId="0" applyFont="1" applyFill="1" applyBorder="1" applyAlignment="1">
      <alignment horizontal="left"/>
    </xf>
    <xf numFmtId="0" fontId="2" fillId="2" borderId="7" xfId="0" applyFont="1" applyFill="1" applyBorder="1" applyAlignment="1">
      <alignment horizontal="left" wrapText="1"/>
    </xf>
    <xf numFmtId="0" fontId="5" fillId="0" borderId="0" xfId="4" applyFont="1" applyAlignment="1">
      <alignment horizontal="left" wrapText="1"/>
    </xf>
    <xf numFmtId="0" fontId="5" fillId="0" borderId="0" xfId="4" applyFont="1" applyAlignment="1">
      <alignment horizontal="left" vertical="top" wrapText="1"/>
    </xf>
    <xf numFmtId="0" fontId="11" fillId="0" borderId="8" xfId="0" applyFont="1" applyBorder="1" applyAlignment="1">
      <alignment horizontal="left" vertical="top" wrapText="1"/>
    </xf>
    <xf numFmtId="0" fontId="11" fillId="0" borderId="2" xfId="0" applyFont="1" applyBorder="1" applyAlignment="1">
      <alignment horizontal="left" vertical="top" wrapText="1"/>
    </xf>
    <xf numFmtId="0" fontId="6" fillId="0" borderId="0" xfId="6" applyBorder="1" applyAlignment="1">
      <alignment horizontal="left" vertical="center"/>
    </xf>
    <xf numFmtId="0" fontId="7" fillId="0" borderId="0" xfId="6" applyFont="1" applyBorder="1" applyAlignment="1">
      <alignment horizontal="left"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8" fillId="0" borderId="0" xfId="8" applyFont="1" applyBorder="1"/>
    <xf numFmtId="0" fontId="6" fillId="0" borderId="0" xfId="8" applyBorder="1"/>
  </cellXfs>
  <cellStyles count="9">
    <cellStyle name="Comma" xfId="1" builtinId="3"/>
    <cellStyle name="Comma 4 2" xfId="2"/>
    <cellStyle name="Normal" xfId="0" builtinId="0"/>
    <cellStyle name="Normal 2 2" xfId="3"/>
    <cellStyle name="Normal 2 3 2" xfId="4"/>
    <cellStyle name="Normal 4_IF" xfId="5"/>
    <cellStyle name="Normal 4_LD" xfId="6"/>
    <cellStyle name="Normal 4_LF" xfId="8"/>
    <cellStyle name="Normal 4_ON"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257175</xdr:colOff>
      <xdr:row>69</xdr:row>
      <xdr:rowOff>66675</xdr:rowOff>
    </xdr:from>
    <xdr:to>
      <xdr:col>0</xdr:col>
      <xdr:colOff>3752850</xdr:colOff>
      <xdr:row>82</xdr:row>
      <xdr:rowOff>152400</xdr:rowOff>
    </xdr:to>
    <xdr:pic>
      <xdr:nvPicPr>
        <xdr:cNvPr id="1025" name="Picture 1"/>
        <xdr:cNvPicPr>
          <a:picLocks noChangeAspect="1"/>
        </xdr:cNvPicPr>
      </xdr:nvPicPr>
      <xdr:blipFill>
        <a:blip xmlns:r="http://schemas.openxmlformats.org/officeDocument/2006/relationships" r:embed="rId1" cstate="print"/>
        <a:srcRect/>
        <a:stretch>
          <a:fillRect/>
        </a:stretch>
      </xdr:blipFill>
      <xdr:spPr bwMode="auto">
        <a:xfrm>
          <a:off x="257175" y="12763500"/>
          <a:ext cx="3495675" cy="2190750"/>
        </a:xfrm>
        <a:prstGeom prst="rect">
          <a:avLst/>
        </a:prstGeom>
        <a:noFill/>
        <a:ln w="9525">
          <a:noFill/>
          <a:miter lim="800000"/>
          <a:headEnd/>
          <a:tailEnd/>
        </a:ln>
      </xdr:spPr>
    </xdr:pic>
    <xdr:clientData/>
  </xdr:twoCellAnchor>
  <xdr:twoCellAnchor editAs="oneCell">
    <xdr:from>
      <xdr:col>2</xdr:col>
      <xdr:colOff>38100</xdr:colOff>
      <xdr:row>69</xdr:row>
      <xdr:rowOff>76200</xdr:rowOff>
    </xdr:from>
    <xdr:to>
      <xdr:col>5</xdr:col>
      <xdr:colOff>180975</xdr:colOff>
      <xdr:row>82</xdr:row>
      <xdr:rowOff>152400</xdr:rowOff>
    </xdr:to>
    <xdr:pic>
      <xdr:nvPicPr>
        <xdr:cNvPr id="1026" name="Picture 3"/>
        <xdr:cNvPicPr>
          <a:picLocks noChangeAspect="1"/>
        </xdr:cNvPicPr>
      </xdr:nvPicPr>
      <xdr:blipFill>
        <a:blip xmlns:r="http://schemas.openxmlformats.org/officeDocument/2006/relationships" r:embed="rId2" cstate="print"/>
        <a:srcRect/>
        <a:stretch>
          <a:fillRect/>
        </a:stretch>
      </xdr:blipFill>
      <xdr:spPr bwMode="auto">
        <a:xfrm>
          <a:off x="4914900" y="12773025"/>
          <a:ext cx="3590925" cy="21812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indexed="11"/>
    <pageSetUpPr fitToPage="1"/>
  </sheetPr>
  <dimension ref="A1:H106"/>
  <sheetViews>
    <sheetView tabSelected="1" zoomScaleNormal="100" workbookViewId="0">
      <pane xSplit="1" ySplit="3" topLeftCell="B61" activePane="bottomRight" state="frozen"/>
      <selection activeCell="A88" sqref="A88:E89"/>
      <selection pane="topRight" activeCell="A88" sqref="A88:E89"/>
      <selection pane="bottomLeft" activeCell="A88" sqref="A88:E89"/>
      <selection pane="bottomRight" activeCell="C90" sqref="C90"/>
    </sheetView>
  </sheetViews>
  <sheetFormatPr defaultRowHeight="12.75" x14ac:dyDescent="0.2"/>
  <cols>
    <col min="1" max="1" width="58.42578125" style="52" customWidth="1"/>
    <col min="2" max="2" width="14.7109375" style="53" customWidth="1"/>
    <col min="3" max="3" width="17.7109375" style="54" customWidth="1"/>
    <col min="4" max="4" width="18.28515625" style="1" customWidth="1"/>
    <col min="5" max="5" width="15.7109375" style="1" customWidth="1"/>
    <col min="6" max="6" width="14.42578125" style="1" bestFit="1" customWidth="1"/>
    <col min="7" max="7" width="9.5703125" style="1" bestFit="1" customWidth="1"/>
    <col min="8" max="8" width="12.28515625" style="1" customWidth="1"/>
    <col min="9" max="16384" width="9.140625" style="1"/>
  </cols>
  <sheetData>
    <row r="1" spans="1:8" x14ac:dyDescent="0.2">
      <c r="A1" s="70" t="s">
        <v>0</v>
      </c>
      <c r="B1" s="70"/>
      <c r="C1" s="70"/>
      <c r="D1" s="70"/>
      <c r="E1" s="70"/>
      <c r="F1" s="70"/>
      <c r="G1" s="70"/>
      <c r="H1" s="70"/>
    </row>
    <row r="2" spans="1:8" x14ac:dyDescent="0.2">
      <c r="A2" s="71" t="s">
        <v>98</v>
      </c>
      <c r="B2" s="71"/>
      <c r="C2" s="71"/>
      <c r="D2" s="71"/>
      <c r="E2" s="71"/>
      <c r="F2" s="71"/>
      <c r="G2" s="2"/>
      <c r="H2" s="2"/>
    </row>
    <row r="3" spans="1:8" s="8" customFormat="1" ht="38.25" x14ac:dyDescent="0.2">
      <c r="A3" s="3" t="s">
        <v>1</v>
      </c>
      <c r="B3" s="4" t="s">
        <v>2</v>
      </c>
      <c r="C3" s="5" t="s">
        <v>3</v>
      </c>
      <c r="D3" s="3" t="s">
        <v>4</v>
      </c>
      <c r="E3" s="3" t="s">
        <v>5</v>
      </c>
      <c r="F3" s="3" t="s">
        <v>6</v>
      </c>
      <c r="G3" s="6" t="s">
        <v>7</v>
      </c>
      <c r="H3" s="7" t="s">
        <v>8</v>
      </c>
    </row>
    <row r="4" spans="1:8" s="16" customFormat="1" x14ac:dyDescent="0.2">
      <c r="A4" s="9" t="s">
        <v>9</v>
      </c>
      <c r="B4" s="10"/>
      <c r="C4" s="11"/>
      <c r="D4" s="12"/>
      <c r="E4" s="12"/>
      <c r="F4" s="13"/>
      <c r="G4" s="14"/>
      <c r="H4" s="15"/>
    </row>
    <row r="5" spans="1:8" s="16" customFormat="1" x14ac:dyDescent="0.2">
      <c r="A5" s="9" t="s">
        <v>10</v>
      </c>
      <c r="B5" s="10"/>
      <c r="C5" s="11"/>
      <c r="D5" s="17"/>
      <c r="E5" s="17"/>
      <c r="F5" s="17"/>
      <c r="G5" s="14"/>
      <c r="H5" s="15"/>
    </row>
    <row r="6" spans="1:8" s="16" customFormat="1" x14ac:dyDescent="0.2">
      <c r="A6" s="18" t="s">
        <v>14</v>
      </c>
      <c r="B6" s="19" t="s">
        <v>15</v>
      </c>
      <c r="C6" s="20">
        <v>250</v>
      </c>
      <c r="D6" s="21">
        <v>2497.625</v>
      </c>
      <c r="E6" s="21">
        <f>(+D6/$D$53*100)</f>
        <v>3.2113269939379809</v>
      </c>
      <c r="F6" s="21" t="s">
        <v>16</v>
      </c>
      <c r="G6" s="14">
        <v>7.2500999999999998</v>
      </c>
      <c r="H6" s="15"/>
    </row>
    <row r="7" spans="1:8" s="16" customFormat="1" x14ac:dyDescent="0.2">
      <c r="A7" s="18" t="s">
        <v>11</v>
      </c>
      <c r="B7" s="19" t="s">
        <v>12</v>
      </c>
      <c r="C7" s="20">
        <v>250</v>
      </c>
      <c r="D7" s="21">
        <v>2493.0349999999999</v>
      </c>
      <c r="E7" s="21">
        <f>(+D7/$D$53*100)</f>
        <v>3.2054253910543715</v>
      </c>
      <c r="F7" s="21" t="s">
        <v>13</v>
      </c>
      <c r="G7" s="14">
        <v>7.8650000000000002</v>
      </c>
      <c r="H7" s="15"/>
    </row>
    <row r="8" spans="1:8" s="16" customFormat="1" x14ac:dyDescent="0.2">
      <c r="A8" s="9" t="s">
        <v>17</v>
      </c>
      <c r="B8" s="10"/>
      <c r="C8" s="22"/>
      <c r="D8" s="12">
        <f>IF(ISERROR(SUM(D6:D7)),0,SUM(D6:D7))</f>
        <v>4990.66</v>
      </c>
      <c r="E8" s="12">
        <f>IF(ISERROR(SUM(E6:E7)),0,SUM(E6:E7))</f>
        <v>6.4167523849923525</v>
      </c>
      <c r="F8" s="12"/>
      <c r="G8" s="23"/>
      <c r="H8" s="15"/>
    </row>
    <row r="9" spans="1:8" s="16" customFormat="1" x14ac:dyDescent="0.2">
      <c r="A9" s="9"/>
      <c r="B9" s="10"/>
      <c r="C9" s="22"/>
      <c r="D9" s="12"/>
      <c r="E9" s="12"/>
      <c r="F9" s="12"/>
      <c r="G9" s="23"/>
      <c r="H9" s="15"/>
    </row>
    <row r="10" spans="1:8" s="16" customFormat="1" x14ac:dyDescent="0.2">
      <c r="A10" s="9" t="s">
        <v>18</v>
      </c>
      <c r="B10" s="19"/>
      <c r="C10" s="20"/>
      <c r="D10" s="21"/>
      <c r="E10" s="21"/>
      <c r="F10" s="21"/>
      <c r="G10" s="23"/>
      <c r="H10" s="15"/>
    </row>
    <row r="11" spans="1:8" s="16" customFormat="1" x14ac:dyDescent="0.2">
      <c r="A11" s="18" t="s">
        <v>19</v>
      </c>
      <c r="B11" s="10"/>
      <c r="C11" s="20">
        <v>163</v>
      </c>
      <c r="D11" s="21">
        <v>1615.2191600000001</v>
      </c>
      <c r="E11" s="21">
        <f>(+D11/$D$53*100)</f>
        <v>2.0767716889580425</v>
      </c>
      <c r="F11" s="21" t="s">
        <v>20</v>
      </c>
      <c r="G11" s="14">
        <v>8.5648999999999997</v>
      </c>
      <c r="H11" s="15"/>
    </row>
    <row r="12" spans="1:8" s="16" customFormat="1" x14ac:dyDescent="0.2">
      <c r="A12" s="9" t="s">
        <v>17</v>
      </c>
      <c r="B12" s="10"/>
      <c r="C12" s="22"/>
      <c r="D12" s="12">
        <f>IF(ISERROR(SUM(D9:D11)),0,SUM(D9:D11))</f>
        <v>1615.2191600000001</v>
      </c>
      <c r="E12" s="12">
        <f>IF(ISERROR(SUM(E9:E11)),0,SUM(E9:E11))</f>
        <v>2.0767716889580425</v>
      </c>
      <c r="F12" s="24"/>
      <c r="G12" s="23"/>
      <c r="H12" s="23"/>
    </row>
    <row r="13" spans="1:8" s="16" customFormat="1" x14ac:dyDescent="0.2">
      <c r="A13" s="9"/>
      <c r="B13" s="10"/>
      <c r="C13" s="22"/>
      <c r="D13" s="17"/>
      <c r="E13" s="17"/>
      <c r="F13" s="17"/>
      <c r="G13" s="23"/>
      <c r="H13" s="15"/>
    </row>
    <row r="14" spans="1:8" s="16" customFormat="1" x14ac:dyDescent="0.2">
      <c r="A14" s="9" t="s">
        <v>21</v>
      </c>
      <c r="B14" s="10"/>
      <c r="C14" s="22"/>
      <c r="D14" s="12" t="s">
        <v>22</v>
      </c>
      <c r="E14" s="12" t="s">
        <v>22</v>
      </c>
      <c r="F14" s="13"/>
      <c r="G14" s="23"/>
      <c r="H14" s="15"/>
    </row>
    <row r="15" spans="1:8" s="16" customFormat="1" x14ac:dyDescent="0.2">
      <c r="A15" s="9"/>
      <c r="B15" s="10"/>
      <c r="C15" s="22"/>
      <c r="D15" s="17"/>
      <c r="E15" s="17"/>
      <c r="F15" s="17"/>
      <c r="G15" s="23"/>
      <c r="H15" s="15"/>
    </row>
    <row r="16" spans="1:8" s="16" customFormat="1" x14ac:dyDescent="0.2">
      <c r="A16" s="9" t="s">
        <v>23</v>
      </c>
      <c r="B16" s="10"/>
      <c r="C16" s="22"/>
      <c r="D16" s="12">
        <f>IF(ISERROR(+D8),0,D8)+IF(ISERROR(+#REF!),0,#REF!)+IF(ISERROR(+#REF!),0,#REF!)+D12</f>
        <v>6605.8791600000004</v>
      </c>
      <c r="E16" s="12">
        <f>IF(ISERROR(+E8),0,E8)+IF(ISERROR(+#REF!),0,#REF!)+IF(ISERROR(+#REF!),0,#REF!)+E12</f>
        <v>8.493524073950395</v>
      </c>
      <c r="F16" s="12">
        <f>IF(ISERROR(+F8),0,F8)+IF(ISERROR(+#REF!),0,#REF!)+IF(ISERROR(+#REF!),0,#REF!)</f>
        <v>0</v>
      </c>
      <c r="G16" s="23"/>
      <c r="H16" s="15"/>
    </row>
    <row r="17" spans="1:8" s="16" customFormat="1" x14ac:dyDescent="0.2">
      <c r="A17" s="9"/>
      <c r="B17" s="10"/>
      <c r="C17" s="22"/>
      <c r="D17" s="12"/>
      <c r="E17" s="12"/>
      <c r="F17" s="12"/>
      <c r="G17" s="23"/>
      <c r="H17" s="15"/>
    </row>
    <row r="18" spans="1:8" s="16" customFormat="1" x14ac:dyDescent="0.2">
      <c r="A18" s="9" t="s">
        <v>24</v>
      </c>
      <c r="B18" s="10"/>
      <c r="C18" s="22"/>
      <c r="D18" s="12"/>
      <c r="E18" s="12"/>
      <c r="F18" s="12"/>
      <c r="G18" s="23"/>
      <c r="H18" s="15"/>
    </row>
    <row r="19" spans="1:8" s="16" customFormat="1" x14ac:dyDescent="0.2">
      <c r="A19" s="9"/>
      <c r="B19" s="10"/>
      <c r="C19" s="22"/>
      <c r="D19" s="12"/>
      <c r="E19" s="12"/>
      <c r="F19" s="12"/>
      <c r="G19" s="23"/>
      <c r="H19" s="15"/>
    </row>
    <row r="20" spans="1:8" s="16" customFormat="1" x14ac:dyDescent="0.2">
      <c r="A20" s="9" t="s">
        <v>25</v>
      </c>
      <c r="B20" s="10"/>
      <c r="C20" s="22"/>
      <c r="D20" s="12" t="s">
        <v>22</v>
      </c>
      <c r="E20" s="12" t="s">
        <v>22</v>
      </c>
      <c r="F20" s="12"/>
      <c r="G20" s="23"/>
      <c r="H20" s="15"/>
    </row>
    <row r="21" spans="1:8" s="16" customFormat="1" x14ac:dyDescent="0.2">
      <c r="A21" s="9"/>
      <c r="B21" s="10"/>
      <c r="C21" s="22"/>
      <c r="D21" s="12"/>
      <c r="E21" s="12"/>
      <c r="F21" s="12"/>
      <c r="G21" s="23"/>
      <c r="H21" s="15"/>
    </row>
    <row r="22" spans="1:8" s="16" customFormat="1" x14ac:dyDescent="0.2">
      <c r="A22" s="9" t="s">
        <v>26</v>
      </c>
      <c r="B22" s="10"/>
      <c r="C22" s="22"/>
      <c r="D22" s="12" t="s">
        <v>22</v>
      </c>
      <c r="E22" s="12" t="s">
        <v>22</v>
      </c>
      <c r="F22" s="12"/>
      <c r="G22" s="23"/>
      <c r="H22" s="15"/>
    </row>
    <row r="23" spans="1:8" s="16" customFormat="1" x14ac:dyDescent="0.2">
      <c r="A23" s="9"/>
      <c r="B23" s="10"/>
      <c r="C23" s="22"/>
      <c r="D23" s="12"/>
      <c r="E23" s="12"/>
      <c r="F23" s="12"/>
      <c r="G23" s="23"/>
      <c r="H23" s="15"/>
    </row>
    <row r="24" spans="1:8" s="16" customFormat="1" x14ac:dyDescent="0.2">
      <c r="A24" s="9" t="s">
        <v>27</v>
      </c>
      <c r="B24" s="10"/>
      <c r="C24" s="22"/>
      <c r="D24" s="12"/>
      <c r="E24" s="12"/>
      <c r="F24" s="13"/>
      <c r="G24" s="23"/>
      <c r="H24" s="15"/>
    </row>
    <row r="25" spans="1:8" s="16" customFormat="1" x14ac:dyDescent="0.2">
      <c r="A25" s="9" t="s">
        <v>28</v>
      </c>
      <c r="B25" s="10"/>
      <c r="C25" s="22"/>
      <c r="D25" s="12"/>
      <c r="E25" s="12"/>
      <c r="F25" s="13"/>
      <c r="G25" s="23"/>
      <c r="H25" s="15"/>
    </row>
    <row r="26" spans="1:8" s="16" customFormat="1" x14ac:dyDescent="0.2">
      <c r="A26" s="18" t="s">
        <v>29</v>
      </c>
      <c r="B26" s="19" t="s">
        <v>30</v>
      </c>
      <c r="C26" s="20">
        <v>1000</v>
      </c>
      <c r="D26" s="21">
        <v>4982.5950000000003</v>
      </c>
      <c r="E26" s="21">
        <f t="shared" ref="E26:E35" si="0">(+D26/$D$53*100)</f>
        <v>6.4063827929975146</v>
      </c>
      <c r="F26" s="21" t="s">
        <v>31</v>
      </c>
      <c r="G26" s="14">
        <v>7.5</v>
      </c>
      <c r="H26" s="15"/>
    </row>
    <row r="27" spans="1:8" s="16" customFormat="1" x14ac:dyDescent="0.2">
      <c r="A27" s="18" t="s">
        <v>32</v>
      </c>
      <c r="B27" s="19" t="s">
        <v>30</v>
      </c>
      <c r="C27" s="20">
        <v>1000</v>
      </c>
      <c r="D27" s="21">
        <v>4962.2349999999997</v>
      </c>
      <c r="E27" s="21">
        <f t="shared" si="0"/>
        <v>6.3802048769386266</v>
      </c>
      <c r="F27" s="21" t="s">
        <v>33</v>
      </c>
      <c r="G27" s="14">
        <v>8.1700999999999997</v>
      </c>
      <c r="H27" s="15"/>
    </row>
    <row r="28" spans="1:8" s="16" customFormat="1" x14ac:dyDescent="0.2">
      <c r="A28" s="18" t="s">
        <v>34</v>
      </c>
      <c r="B28" s="19" t="s">
        <v>35</v>
      </c>
      <c r="C28" s="20">
        <v>1000</v>
      </c>
      <c r="D28" s="21">
        <v>4957.9350000000004</v>
      </c>
      <c r="E28" s="21">
        <f t="shared" si="0"/>
        <v>6.3746761422110625</v>
      </c>
      <c r="F28" s="21" t="s">
        <v>36</v>
      </c>
      <c r="G28" s="14">
        <v>7.0381999999999998</v>
      </c>
      <c r="H28" s="15"/>
    </row>
    <row r="29" spans="1:8" s="16" customFormat="1" x14ac:dyDescent="0.2">
      <c r="A29" s="18" t="s">
        <v>37</v>
      </c>
      <c r="B29" s="19" t="s">
        <v>30</v>
      </c>
      <c r="C29" s="20">
        <v>1000</v>
      </c>
      <c r="D29" s="21">
        <v>4956</v>
      </c>
      <c r="E29" s="21">
        <f t="shared" si="0"/>
        <v>6.3721882115836586</v>
      </c>
      <c r="F29" s="21" t="s">
        <v>38</v>
      </c>
      <c r="G29" s="14">
        <v>7.0449999999999999</v>
      </c>
      <c r="H29" s="15"/>
    </row>
    <row r="30" spans="1:8" s="16" customFormat="1" x14ac:dyDescent="0.2">
      <c r="A30" s="18" t="s">
        <v>39</v>
      </c>
      <c r="B30" s="19" t="s">
        <v>40</v>
      </c>
      <c r="C30" s="20">
        <v>1000</v>
      </c>
      <c r="D30" s="21">
        <v>4934.1049999999996</v>
      </c>
      <c r="E30" s="21">
        <f t="shared" si="0"/>
        <v>6.3440366658022569</v>
      </c>
      <c r="F30" s="21" t="s">
        <v>41</v>
      </c>
      <c r="G30" s="14">
        <v>7.0648999999999997</v>
      </c>
      <c r="H30" s="15"/>
    </row>
    <row r="31" spans="1:8" s="16" customFormat="1" x14ac:dyDescent="0.2">
      <c r="A31" s="18" t="s">
        <v>42</v>
      </c>
      <c r="B31" s="19" t="s">
        <v>35</v>
      </c>
      <c r="C31" s="20">
        <v>1000</v>
      </c>
      <c r="D31" s="21">
        <v>4921.5</v>
      </c>
      <c r="E31" s="21">
        <f t="shared" si="0"/>
        <v>6.3278297585369199</v>
      </c>
      <c r="F31" s="21" t="s">
        <v>43</v>
      </c>
      <c r="G31" s="14">
        <v>7.0998999999999999</v>
      </c>
      <c r="H31" s="15"/>
    </row>
    <row r="32" spans="1:8" s="16" customFormat="1" x14ac:dyDescent="0.2">
      <c r="A32" s="18" t="s">
        <v>44</v>
      </c>
      <c r="B32" s="19" t="s">
        <v>35</v>
      </c>
      <c r="C32" s="20">
        <v>500</v>
      </c>
      <c r="D32" s="21">
        <v>2472.9825000000001</v>
      </c>
      <c r="E32" s="21">
        <f t="shared" si="0"/>
        <v>3.1796428438161191</v>
      </c>
      <c r="F32" s="21" t="s">
        <v>45</v>
      </c>
      <c r="G32" s="14">
        <v>7.2503000000000002</v>
      </c>
      <c r="H32" s="15"/>
    </row>
    <row r="33" spans="1:8" s="16" customFormat="1" x14ac:dyDescent="0.2">
      <c r="A33" s="18" t="s">
        <v>46</v>
      </c>
      <c r="B33" s="19" t="s">
        <v>30</v>
      </c>
      <c r="C33" s="20">
        <v>500</v>
      </c>
      <c r="D33" s="21">
        <v>2467.9775</v>
      </c>
      <c r="E33" s="21">
        <f t="shared" si="0"/>
        <v>3.1732076537436855</v>
      </c>
      <c r="F33" s="21" t="s">
        <v>47</v>
      </c>
      <c r="G33" s="14">
        <v>7.0686</v>
      </c>
      <c r="H33" s="15"/>
    </row>
    <row r="34" spans="1:8" s="16" customFormat="1" x14ac:dyDescent="0.2">
      <c r="A34" s="18" t="s">
        <v>48</v>
      </c>
      <c r="B34" s="19" t="s">
        <v>35</v>
      </c>
      <c r="C34" s="20">
        <v>500</v>
      </c>
      <c r="D34" s="21">
        <v>2467.5700000000002</v>
      </c>
      <c r="E34" s="21">
        <f t="shared" si="0"/>
        <v>3.1726837096968294</v>
      </c>
      <c r="F34" s="21" t="s">
        <v>49</v>
      </c>
      <c r="G34" s="14">
        <v>7.16</v>
      </c>
      <c r="H34" s="15"/>
    </row>
    <row r="35" spans="1:8" s="16" customFormat="1" x14ac:dyDescent="0.2">
      <c r="A35" s="18" t="s">
        <v>50</v>
      </c>
      <c r="B35" s="19" t="s">
        <v>35</v>
      </c>
      <c r="C35" s="20">
        <v>320</v>
      </c>
      <c r="D35" s="21">
        <v>1599.2991999999999</v>
      </c>
      <c r="E35" s="21">
        <f t="shared" si="0"/>
        <v>2.0563025643735222</v>
      </c>
      <c r="F35" s="21" t="s">
        <v>51</v>
      </c>
      <c r="G35" s="14">
        <v>7.9969999999999999</v>
      </c>
      <c r="H35" s="15"/>
    </row>
    <row r="36" spans="1:8" s="16" customFormat="1" x14ac:dyDescent="0.2">
      <c r="A36" s="25" t="s">
        <v>52</v>
      </c>
      <c r="B36" s="19"/>
      <c r="C36" s="20"/>
      <c r="D36" s="21"/>
      <c r="E36" s="21"/>
      <c r="F36" s="21"/>
      <c r="G36" s="23"/>
      <c r="H36" s="15"/>
    </row>
    <row r="37" spans="1:8" s="16" customFormat="1" x14ac:dyDescent="0.2">
      <c r="A37" s="18" t="s">
        <v>53</v>
      </c>
      <c r="B37" s="19" t="s">
        <v>54</v>
      </c>
      <c r="C37" s="20">
        <v>2500000</v>
      </c>
      <c r="D37" s="21">
        <v>2484.9475000000002</v>
      </c>
      <c r="E37" s="21">
        <f t="shared" ref="E37:E43" si="1">(+D37/$D$53*100)</f>
        <v>3.1950268696336326</v>
      </c>
      <c r="F37" s="21" t="s">
        <v>55</v>
      </c>
      <c r="G37" s="14">
        <v>6.6999000000000004</v>
      </c>
      <c r="H37" s="15"/>
    </row>
    <row r="38" spans="1:8" s="16" customFormat="1" x14ac:dyDescent="0.2">
      <c r="A38" s="18" t="s">
        <v>56</v>
      </c>
      <c r="B38" s="19" t="s">
        <v>54</v>
      </c>
      <c r="C38" s="20">
        <v>2500000</v>
      </c>
      <c r="D38" s="21">
        <v>2478.3575000000001</v>
      </c>
      <c r="E38" s="21">
        <f t="shared" si="1"/>
        <v>3.1865537622255746</v>
      </c>
      <c r="F38" s="21" t="s">
        <v>57</v>
      </c>
      <c r="G38" s="14">
        <v>6.7820999999999998</v>
      </c>
      <c r="H38" s="15"/>
    </row>
    <row r="39" spans="1:8" s="16" customFormat="1" x14ac:dyDescent="0.2">
      <c r="A39" s="18" t="s">
        <v>58</v>
      </c>
      <c r="B39" s="19" t="s">
        <v>54</v>
      </c>
      <c r="C39" s="20">
        <v>1500000</v>
      </c>
      <c r="D39" s="21">
        <v>1479.2550000000001</v>
      </c>
      <c r="E39" s="21">
        <f t="shared" si="1"/>
        <v>1.9019554626566151</v>
      </c>
      <c r="F39" s="21" t="s">
        <v>59</v>
      </c>
      <c r="G39" s="14">
        <v>6.8250000000000002</v>
      </c>
      <c r="H39" s="15"/>
    </row>
    <row r="40" spans="1:8" s="16" customFormat="1" x14ac:dyDescent="0.2">
      <c r="A40" s="18" t="s">
        <v>60</v>
      </c>
      <c r="B40" s="19" t="s">
        <v>54</v>
      </c>
      <c r="C40" s="20">
        <v>1400000</v>
      </c>
      <c r="D40" s="21">
        <v>1384.2121999999999</v>
      </c>
      <c r="E40" s="21">
        <f t="shared" si="1"/>
        <v>1.7797539675484828</v>
      </c>
      <c r="F40" s="21" t="s">
        <v>61</v>
      </c>
      <c r="G40" s="14">
        <v>6.8250000000000002</v>
      </c>
      <c r="H40" s="15"/>
    </row>
    <row r="41" spans="1:8" s="16" customFormat="1" x14ac:dyDescent="0.2">
      <c r="A41" s="18" t="s">
        <v>62</v>
      </c>
      <c r="B41" s="19" t="s">
        <v>54</v>
      </c>
      <c r="C41" s="20">
        <v>900000</v>
      </c>
      <c r="D41" s="21">
        <v>891.10170000000005</v>
      </c>
      <c r="E41" s="21">
        <f t="shared" si="1"/>
        <v>1.1457360266469243</v>
      </c>
      <c r="F41" s="21" t="s">
        <v>63</v>
      </c>
      <c r="G41" s="14">
        <v>6.75</v>
      </c>
      <c r="H41" s="15"/>
    </row>
    <row r="42" spans="1:8" s="16" customFormat="1" x14ac:dyDescent="0.2">
      <c r="A42" s="18" t="s">
        <v>64</v>
      </c>
      <c r="B42" s="19" t="s">
        <v>54</v>
      </c>
      <c r="C42" s="20">
        <v>500000</v>
      </c>
      <c r="D42" s="21">
        <v>496.35550000000001</v>
      </c>
      <c r="E42" s="21">
        <f t="shared" si="1"/>
        <v>0.63819020699247631</v>
      </c>
      <c r="F42" s="21" t="s">
        <v>65</v>
      </c>
      <c r="G42" s="14">
        <v>6.7</v>
      </c>
      <c r="H42" s="15"/>
    </row>
    <row r="43" spans="1:8" s="16" customFormat="1" x14ac:dyDescent="0.2">
      <c r="A43" s="18" t="s">
        <v>66</v>
      </c>
      <c r="B43" s="19" t="s">
        <v>54</v>
      </c>
      <c r="C43" s="20">
        <v>500000</v>
      </c>
      <c r="D43" s="21">
        <v>495.67149999999998</v>
      </c>
      <c r="E43" s="21">
        <f t="shared" si="1"/>
        <v>0.63731075244511481</v>
      </c>
      <c r="F43" s="21" t="s">
        <v>67</v>
      </c>
      <c r="G43" s="14">
        <v>6.7820999999999998</v>
      </c>
      <c r="H43" s="15"/>
    </row>
    <row r="44" spans="1:8" s="16" customFormat="1" x14ac:dyDescent="0.2">
      <c r="A44" s="9" t="s">
        <v>17</v>
      </c>
      <c r="B44" s="26"/>
      <c r="C44" s="27"/>
      <c r="D44" s="12">
        <f>IF(ISERROR(SUM(D26:D43)),0,SUM(D26:D43))</f>
        <v>48432.100099999996</v>
      </c>
      <c r="E44" s="12">
        <f>IF(ISERROR(SUM(E26:E43)),0,SUM(E26:E43))</f>
        <v>62.271682267849009</v>
      </c>
      <c r="F44" s="28"/>
      <c r="G44" s="23"/>
      <c r="H44" s="15"/>
    </row>
    <row r="45" spans="1:8" s="16" customFormat="1" x14ac:dyDescent="0.2">
      <c r="A45" s="9"/>
      <c r="B45" s="26"/>
      <c r="C45" s="27"/>
      <c r="D45" s="17"/>
      <c r="E45" s="17"/>
      <c r="F45" s="29"/>
      <c r="G45" s="23"/>
      <c r="H45" s="15"/>
    </row>
    <row r="46" spans="1:8" s="16" customFormat="1" x14ac:dyDescent="0.2">
      <c r="A46" s="18" t="s">
        <v>68</v>
      </c>
      <c r="B46" s="19"/>
      <c r="C46" s="21"/>
      <c r="D46" s="21">
        <v>22304.303647500001</v>
      </c>
      <c r="E46" s="21">
        <f>(+D46/$D$53*100)</f>
        <v>28.677808872110955</v>
      </c>
      <c r="F46" s="21" t="s">
        <v>69</v>
      </c>
      <c r="G46" s="23">
        <v>6.8011999999999997</v>
      </c>
      <c r="H46" s="15"/>
    </row>
    <row r="47" spans="1:8" s="16" customFormat="1" x14ac:dyDescent="0.2">
      <c r="A47" s="9" t="s">
        <v>17</v>
      </c>
      <c r="B47" s="10"/>
      <c r="C47" s="22"/>
      <c r="D47" s="12">
        <f>IF(ISERROR(SUM(D46:D46)),0,SUM(D46:D46))</f>
        <v>22304.303647500001</v>
      </c>
      <c r="E47" s="12">
        <f>IF(ISERROR(SUM(E46:E46)),0,SUM(E46:E46))</f>
        <v>28.677808872110955</v>
      </c>
      <c r="F47" s="21"/>
      <c r="G47" s="23"/>
      <c r="H47" s="15"/>
    </row>
    <row r="48" spans="1:8" s="16" customFormat="1" x14ac:dyDescent="0.2">
      <c r="A48" s="9"/>
      <c r="B48" s="10"/>
      <c r="C48" s="22"/>
      <c r="D48" s="12"/>
      <c r="E48" s="12"/>
      <c r="F48" s="13"/>
      <c r="G48" s="23"/>
      <c r="H48" s="15"/>
    </row>
    <row r="49" spans="1:8" s="16" customFormat="1" x14ac:dyDescent="0.2">
      <c r="A49" s="9" t="s">
        <v>23</v>
      </c>
      <c r="B49" s="10"/>
      <c r="C49" s="22" t="s">
        <v>70</v>
      </c>
      <c r="D49" s="12">
        <f>+IF(ISERROR(D16),0,D16)+IF(ISERROR(D47),0,D47)+IF(ISERROR(#REF!),0,#REF!)+IF(ISERROR(#REF!),0,#REF!)+IF(ISERROR(#REF!),0,#REF!)+IF(ISERROR(D44),0,D44)+IF(ISERROR(#REF!),0,#REF!)+IF(ISERROR(#REF!),0,#REF!)+IF(ISERROR(#REF!),0,#REF!)</f>
        <v>77342.28290749999</v>
      </c>
      <c r="E49" s="12">
        <f>+IF(ISERROR(E16),0,E16)+IF(ISERROR(E47),0,E47)+IF(ISERROR(#REF!),0,#REF!)+IF(ISERROR(#REF!),0,#REF!)+IF(ISERROR(#REF!),0,#REF!)+IF(ISERROR(E44),0,E44)+IF(ISERROR(#REF!),0,#REF!)+IF(ISERROR(#REF!),0,#REF!)+IF(ISERROR(#REF!),0,#REF!)</f>
        <v>99.443015213910357</v>
      </c>
      <c r="F49" s="12">
        <f>+IF(ISERROR(F16),0,F16)+IF(ISERROR(F47),0,F47)+IF(ISERROR(#REF!),0,#REF!)+IF(ISERROR(#REF!),0,#REF!)+IF(ISERROR(#REF!),0,#REF!)+IF(ISERROR(F44),0,F44)+IF(ISERROR(#REF!),0,#REF!)</f>
        <v>0</v>
      </c>
      <c r="G49" s="23"/>
      <c r="H49" s="15"/>
    </row>
    <row r="50" spans="1:8" s="16" customFormat="1" x14ac:dyDescent="0.2">
      <c r="A50" s="9"/>
      <c r="B50" s="10"/>
      <c r="C50" s="22"/>
      <c r="D50" s="12"/>
      <c r="E50" s="12"/>
      <c r="F50" s="30"/>
      <c r="G50" s="30"/>
      <c r="H50" s="30"/>
    </row>
    <row r="51" spans="1:8" s="16" customFormat="1" x14ac:dyDescent="0.2">
      <c r="A51" s="9" t="s">
        <v>71</v>
      </c>
      <c r="B51" s="10"/>
      <c r="C51" s="22"/>
      <c r="D51" s="12">
        <f>+D53-D49</f>
        <v>433.19759369980602</v>
      </c>
      <c r="E51" s="12">
        <f>D51/$D$53*100</f>
        <v>0.55698478608965118</v>
      </c>
      <c r="F51" s="30"/>
      <c r="G51" s="30"/>
      <c r="H51" s="30"/>
    </row>
    <row r="52" spans="1:8" s="16" customFormat="1" x14ac:dyDescent="0.2">
      <c r="A52" s="9"/>
      <c r="B52" s="10"/>
      <c r="C52" s="22"/>
      <c r="D52" s="17"/>
      <c r="E52" s="17"/>
      <c r="F52" s="30"/>
      <c r="G52" s="30"/>
      <c r="H52" s="30"/>
    </row>
    <row r="53" spans="1:8" s="16" customFormat="1" x14ac:dyDescent="0.2">
      <c r="A53" s="9" t="s">
        <v>72</v>
      </c>
      <c r="B53" s="10"/>
      <c r="C53" s="22"/>
      <c r="D53" s="12">
        <v>77775.480501199796</v>
      </c>
      <c r="E53" s="12">
        <f>+E49+E51</f>
        <v>100.00000000000001</v>
      </c>
      <c r="F53" s="30"/>
      <c r="G53" s="30"/>
      <c r="H53" s="30"/>
    </row>
    <row r="54" spans="1:8" s="16" customFormat="1" x14ac:dyDescent="0.2">
      <c r="A54" s="31"/>
      <c r="B54" s="32"/>
      <c r="C54" s="33"/>
      <c r="D54" s="34"/>
      <c r="E54" s="34"/>
      <c r="F54" s="35"/>
      <c r="G54" s="30"/>
      <c r="H54" s="30"/>
    </row>
    <row r="55" spans="1:8" s="16" customFormat="1" x14ac:dyDescent="0.2">
      <c r="A55" s="36"/>
      <c r="B55" s="32"/>
      <c r="C55" s="33"/>
      <c r="D55" s="34"/>
      <c r="E55" s="34"/>
      <c r="F55" s="37"/>
      <c r="G55" s="30"/>
      <c r="H55" s="30"/>
    </row>
    <row r="56" spans="1:8" s="16" customFormat="1" x14ac:dyDescent="0.2">
      <c r="A56" s="36" t="s">
        <v>73</v>
      </c>
      <c r="B56" s="32"/>
      <c r="C56" s="33"/>
      <c r="D56" s="34"/>
      <c r="E56" s="37"/>
      <c r="F56" s="1"/>
      <c r="G56" s="38"/>
      <c r="H56" s="38"/>
    </row>
    <row r="57" spans="1:8" x14ac:dyDescent="0.2">
      <c r="A57" s="39"/>
      <c r="B57" s="40"/>
      <c r="C57" s="41"/>
      <c r="D57" s="42"/>
      <c r="E57" s="42"/>
      <c r="G57" s="38"/>
      <c r="H57" s="38"/>
    </row>
    <row r="58" spans="1:8" ht="15" x14ac:dyDescent="0.25">
      <c r="A58" s="72" t="s">
        <v>74</v>
      </c>
      <c r="B58" s="72"/>
      <c r="C58" s="72"/>
      <c r="D58" s="72"/>
      <c r="E58" s="72"/>
      <c r="F58" s="72"/>
      <c r="G58" s="38"/>
      <c r="H58" s="38"/>
    </row>
    <row r="59" spans="1:8" ht="33.75" customHeight="1" x14ac:dyDescent="0.2">
      <c r="A59" s="73" t="s">
        <v>75</v>
      </c>
      <c r="B59" s="73"/>
      <c r="C59" s="73"/>
      <c r="D59" s="73"/>
      <c r="E59" s="73"/>
      <c r="F59" s="73"/>
      <c r="G59" s="73"/>
      <c r="H59" s="73"/>
    </row>
    <row r="60" spans="1:8" ht="15" x14ac:dyDescent="0.2">
      <c r="A60" s="76" t="s">
        <v>76</v>
      </c>
      <c r="B60" s="76"/>
      <c r="C60" s="76"/>
      <c r="D60" s="76"/>
      <c r="E60" s="76"/>
      <c r="F60" s="76"/>
      <c r="G60" s="76"/>
      <c r="H60" s="76"/>
    </row>
    <row r="61" spans="1:8" ht="66.75" customHeight="1" x14ac:dyDescent="0.2">
      <c r="A61" s="77" t="s">
        <v>77</v>
      </c>
      <c r="B61" s="77"/>
      <c r="C61" s="77"/>
      <c r="D61" s="77"/>
      <c r="E61" s="77"/>
      <c r="F61" s="77"/>
      <c r="G61" s="77"/>
      <c r="H61" s="77"/>
    </row>
    <row r="62" spans="1:8" ht="15" x14ac:dyDescent="0.2">
      <c r="A62" s="43"/>
      <c r="B62" s="43"/>
      <c r="C62" s="43"/>
      <c r="D62" s="43"/>
      <c r="E62" s="43"/>
      <c r="F62" s="43"/>
      <c r="G62" s="38"/>
      <c r="H62" s="38"/>
    </row>
    <row r="63" spans="1:8" ht="15" x14ac:dyDescent="0.25">
      <c r="A63" s="81" t="s">
        <v>78</v>
      </c>
      <c r="B63" s="44"/>
      <c r="C63" s="44"/>
      <c r="D63" s="45"/>
      <c r="E63" s="45"/>
      <c r="F63" s="46"/>
    </row>
    <row r="64" spans="1:8" ht="15" x14ac:dyDescent="0.25">
      <c r="A64" s="82" t="s">
        <v>103</v>
      </c>
      <c r="B64" s="44"/>
      <c r="C64" s="44"/>
      <c r="D64" s="45"/>
      <c r="E64" s="45"/>
    </row>
    <row r="65" spans="1:5" ht="15" x14ac:dyDescent="0.25">
      <c r="A65" s="82" t="s">
        <v>104</v>
      </c>
      <c r="B65" s="44"/>
      <c r="C65" s="44"/>
      <c r="D65" s="48"/>
      <c r="E65" s="48"/>
    </row>
    <row r="66" spans="1:5" ht="15" x14ac:dyDescent="0.25">
      <c r="A66" s="82" t="s">
        <v>79</v>
      </c>
      <c r="B66" s="44"/>
      <c r="C66" s="44"/>
      <c r="D66" s="48"/>
      <c r="E66" s="48"/>
    </row>
    <row r="67" spans="1:5" ht="15" x14ac:dyDescent="0.25">
      <c r="A67" s="47"/>
      <c r="B67" s="44"/>
      <c r="C67" s="44"/>
      <c r="D67" s="48"/>
      <c r="E67" s="48"/>
    </row>
    <row r="68" spans="1:5" ht="14.25" x14ac:dyDescent="0.2">
      <c r="A68" s="49" t="s">
        <v>80</v>
      </c>
      <c r="B68" s="50"/>
      <c r="C68" s="50"/>
      <c r="D68" s="50" t="s">
        <v>101</v>
      </c>
    </row>
    <row r="69" spans="1:5" x14ac:dyDescent="0.2">
      <c r="A69" s="51"/>
      <c r="B69" s="44"/>
      <c r="C69" s="44"/>
      <c r="D69" s="48"/>
      <c r="E69" s="48"/>
    </row>
    <row r="70" spans="1:5" x14ac:dyDescent="0.2">
      <c r="A70" s="44"/>
      <c r="B70" s="44"/>
      <c r="C70" s="44"/>
      <c r="D70" s="48"/>
      <c r="E70" s="48"/>
    </row>
    <row r="71" spans="1:5" x14ac:dyDescent="0.2">
      <c r="E71" s="48"/>
    </row>
    <row r="72" spans="1:5" x14ac:dyDescent="0.2">
      <c r="E72" s="48"/>
    </row>
    <row r="73" spans="1:5" x14ac:dyDescent="0.2">
      <c r="E73" s="48"/>
    </row>
    <row r="74" spans="1:5" x14ac:dyDescent="0.2">
      <c r="E74" s="48"/>
    </row>
    <row r="75" spans="1:5" x14ac:dyDescent="0.2">
      <c r="E75" s="48"/>
    </row>
    <row r="76" spans="1:5" x14ac:dyDescent="0.2">
      <c r="E76" s="48"/>
    </row>
    <row r="77" spans="1:5" x14ac:dyDescent="0.2">
      <c r="E77" s="48"/>
    </row>
    <row r="78" spans="1:5" x14ac:dyDescent="0.2">
      <c r="E78" s="48"/>
    </row>
    <row r="79" spans="1:5" x14ac:dyDescent="0.2">
      <c r="E79" s="48"/>
    </row>
    <row r="80" spans="1:5" x14ac:dyDescent="0.2">
      <c r="E80" s="48"/>
    </row>
    <row r="81" spans="1:8" x14ac:dyDescent="0.2">
      <c r="E81" s="45"/>
    </row>
    <row r="82" spans="1:8" x14ac:dyDescent="0.2">
      <c r="E82" s="45"/>
    </row>
    <row r="85" spans="1:8" x14ac:dyDescent="0.2">
      <c r="C85" s="53"/>
    </row>
    <row r="86" spans="1:8" ht="13.5" thickBot="1" x14ac:dyDescent="0.25">
      <c r="C86" s="53"/>
    </row>
    <row r="87" spans="1:8" ht="13.5" thickBot="1" x14ac:dyDescent="0.25">
      <c r="A87" s="78" t="s">
        <v>81</v>
      </c>
      <c r="B87" s="79"/>
      <c r="C87" s="79"/>
      <c r="D87" s="80"/>
    </row>
    <row r="88" spans="1:8" ht="13.5" customHeight="1" thickBot="1" x14ac:dyDescent="0.25">
      <c r="A88" s="55" t="s">
        <v>82</v>
      </c>
      <c r="B88" s="74" t="s">
        <v>83</v>
      </c>
      <c r="C88" s="74" t="s">
        <v>84</v>
      </c>
      <c r="D88" s="74" t="s">
        <v>99</v>
      </c>
    </row>
    <row r="89" spans="1:8" ht="13.5" thickBot="1" x14ac:dyDescent="0.25">
      <c r="A89" s="55" t="s">
        <v>85</v>
      </c>
      <c r="B89" s="75"/>
      <c r="C89" s="75"/>
      <c r="D89" s="75"/>
    </row>
    <row r="90" spans="1:8" ht="15.75" thickBot="1" x14ac:dyDescent="0.25">
      <c r="A90" s="56" t="s">
        <v>86</v>
      </c>
      <c r="B90" s="58"/>
      <c r="C90" s="57" t="s">
        <v>100</v>
      </c>
      <c r="D90" s="58"/>
      <c r="F90" s="59"/>
    </row>
    <row r="91" spans="1:8" ht="15.75" thickBot="1" x14ac:dyDescent="0.25">
      <c r="A91" s="56" t="s">
        <v>87</v>
      </c>
      <c r="B91" s="58"/>
      <c r="C91" s="58"/>
      <c r="D91" s="58"/>
    </row>
    <row r="92" spans="1:8" ht="15.75" thickBot="1" x14ac:dyDescent="0.25">
      <c r="A92" s="56" t="s">
        <v>88</v>
      </c>
      <c r="B92" s="58"/>
      <c r="C92" s="58"/>
      <c r="D92" s="58"/>
    </row>
    <row r="94" spans="1:8" ht="25.5" x14ac:dyDescent="0.2">
      <c r="A94" s="60" t="s">
        <v>70</v>
      </c>
      <c r="B94" s="61" t="s">
        <v>89</v>
      </c>
    </row>
    <row r="95" spans="1:8" s="54" customFormat="1" x14ac:dyDescent="0.2">
      <c r="A95" s="62" t="s">
        <v>90</v>
      </c>
      <c r="B95" s="63" t="s">
        <v>70</v>
      </c>
      <c r="D95" s="1"/>
      <c r="E95" s="1"/>
      <c r="F95" s="1"/>
      <c r="G95" s="1"/>
      <c r="H95" s="1"/>
    </row>
    <row r="96" spans="1:8" s="54" customFormat="1" x14ac:dyDescent="0.2">
      <c r="A96" s="62" t="s">
        <v>91</v>
      </c>
      <c r="B96" s="63"/>
      <c r="D96" s="1"/>
      <c r="E96" s="1"/>
      <c r="F96" s="1"/>
      <c r="G96" s="1"/>
      <c r="H96" s="1"/>
    </row>
    <row r="97" spans="1:8" s="54" customFormat="1" x14ac:dyDescent="0.2">
      <c r="A97" s="62"/>
      <c r="B97" s="63" t="s">
        <v>70</v>
      </c>
      <c r="D97" s="1"/>
      <c r="E97" s="1"/>
      <c r="F97" s="1"/>
      <c r="G97" s="1"/>
      <c r="H97" s="1"/>
    </row>
    <row r="98" spans="1:8" s="54" customFormat="1" x14ac:dyDescent="0.2">
      <c r="A98" s="62" t="s">
        <v>92</v>
      </c>
      <c r="B98" s="69">
        <v>7.1416000000000004</v>
      </c>
      <c r="D98" s="1"/>
      <c r="E98" s="1"/>
      <c r="F98" s="1"/>
      <c r="G98" s="1"/>
      <c r="H98" s="1"/>
    </row>
    <row r="99" spans="1:8" s="54" customFormat="1" x14ac:dyDescent="0.2">
      <c r="A99" s="62" t="s">
        <v>70</v>
      </c>
      <c r="B99" s="64" t="s">
        <v>70</v>
      </c>
      <c r="D99" s="1"/>
      <c r="E99" s="1"/>
      <c r="F99" s="1"/>
      <c r="G99" s="1"/>
      <c r="H99" s="1"/>
    </row>
    <row r="100" spans="1:8" s="54" customFormat="1" x14ac:dyDescent="0.2">
      <c r="A100" s="62" t="s">
        <v>93</v>
      </c>
      <c r="B100" s="65">
        <v>0.10154404625787523</v>
      </c>
      <c r="D100" s="1"/>
      <c r="E100" s="1"/>
      <c r="F100" s="1"/>
      <c r="G100" s="1"/>
      <c r="H100" s="1"/>
    </row>
    <row r="101" spans="1:8" s="54" customFormat="1" x14ac:dyDescent="0.2">
      <c r="A101" s="62" t="s">
        <v>94</v>
      </c>
      <c r="B101" s="65">
        <v>0.10212958</v>
      </c>
      <c r="D101" s="1"/>
      <c r="E101" s="1"/>
      <c r="F101" s="1"/>
      <c r="G101" s="1"/>
      <c r="H101" s="1"/>
    </row>
    <row r="102" spans="1:8" s="54" customFormat="1" x14ac:dyDescent="0.2">
      <c r="A102" s="62" t="s">
        <v>70</v>
      </c>
      <c r="B102" s="26" t="s">
        <v>70</v>
      </c>
      <c r="D102" s="1"/>
      <c r="E102" s="1"/>
      <c r="F102" s="1"/>
      <c r="G102" s="1"/>
      <c r="H102" s="1"/>
    </row>
    <row r="103" spans="1:8" s="54" customFormat="1" x14ac:dyDescent="0.2">
      <c r="A103" s="62" t="s">
        <v>95</v>
      </c>
      <c r="B103" s="66" t="s">
        <v>96</v>
      </c>
      <c r="D103" s="1"/>
      <c r="E103" s="1"/>
      <c r="F103" s="1"/>
      <c r="G103" s="1"/>
      <c r="H103" s="1"/>
    </row>
    <row r="104" spans="1:8" s="54" customFormat="1" x14ac:dyDescent="0.2">
      <c r="A104" s="67" t="s">
        <v>97</v>
      </c>
      <c r="B104" s="68"/>
      <c r="D104" s="1"/>
      <c r="E104" s="1"/>
      <c r="F104" s="1"/>
      <c r="G104" s="1"/>
      <c r="H104" s="1"/>
    </row>
    <row r="106" spans="1:8" ht="25.5" x14ac:dyDescent="0.2">
      <c r="A106" s="52" t="s">
        <v>102</v>
      </c>
    </row>
  </sheetData>
  <mergeCells count="10">
    <mergeCell ref="A1:H1"/>
    <mergeCell ref="A2:F2"/>
    <mergeCell ref="A58:F58"/>
    <mergeCell ref="A59:H59"/>
    <mergeCell ref="B88:B89"/>
    <mergeCell ref="C88:C89"/>
    <mergeCell ref="A60:H60"/>
    <mergeCell ref="A61:H61"/>
    <mergeCell ref="A87:D87"/>
    <mergeCell ref="D88:D89"/>
  </mergeCells>
  <phoneticPr fontId="0" type="noConversion"/>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LF</vt:lpstr>
      <vt:lpstr>LF!Print_Area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2023-04-04T07:28:26Z</dcterms:created>
  <dcterms:modified xsi:type="dcterms:W3CDTF">2023-04-27T07:48:44Z</dcterms:modified>
</cp:coreProperties>
</file>