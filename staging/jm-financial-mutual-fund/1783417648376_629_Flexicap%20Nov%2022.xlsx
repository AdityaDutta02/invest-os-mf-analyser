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MS" sheetId="1" r:id="rId1"/>
  </sheets>
  <definedNames>
    <definedName name="_xlnm._FilterDatabase" localSheetId="0" hidden="1">MS!$A$1:$I$81</definedName>
    <definedName name="Afs">#REF!</definedName>
    <definedName name="_xlnm.Database">#REF!</definedName>
    <definedName name="EBLDB">#REF!</definedName>
    <definedName name="fl">#REF!</definedName>
    <definedName name="_xlnm.Print_Area" localSheetId="0">MS!$A$1:$E$66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1" i="1" l="1"/>
  <c r="D69" i="1"/>
  <c r="E68" i="1"/>
  <c r="E69" i="1" s="1"/>
  <c r="D49" i="1"/>
  <c r="D53" i="1" s="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9" i="1" s="1"/>
  <c r="E53" i="1" s="1"/>
  <c r="E71" i="1" l="1"/>
  <c r="D71" i="1"/>
  <c r="D73" i="1" s="1"/>
  <c r="E73" i="1" s="1"/>
  <c r="E75" i="1" l="1"/>
</calcChain>
</file>

<file path=xl/sharedStrings.xml><?xml version="1.0" encoding="utf-8"?>
<sst xmlns="http://schemas.openxmlformats.org/spreadsheetml/2006/main" count="177" uniqueCount="150">
  <si>
    <t>JM Flexicap Fund (An open ended dynamic equity scheme investing across large cap, mid cap, small cap stocks).</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</si>
  <si>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</si>
  <si>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</si>
  <si>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</si>
  <si>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</si>
  <si>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</si>
  <si>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</si>
  <si>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</si>
  <si>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</si>
  <si>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</si>
  <si>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</si>
  <si>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</si>
  <si>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</si>
  <si>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</si>
  <si>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</si>
  <si>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</si>
  <si>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</si>
  <si>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</si>
  <si>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ICICI Bank Ltd.</t>
  </si>
  <si>
    <t>INE090A01021</t>
  </si>
  <si>
    <t>Infosys Ltd.</t>
  </si>
  <si>
    <t>IT - Software</t>
  </si>
  <si>
    <t>INE009A01021</t>
  </si>
  <si>
    <t>Axis Bank Ltd.</t>
  </si>
  <si>
    <t>INE238A01034</t>
  </si>
  <si>
    <t>Reliance Industries Ltd.</t>
  </si>
  <si>
    <t>Petroleum Products</t>
  </si>
  <si>
    <t>INE002A01018</t>
  </si>
  <si>
    <t>State Bank of India</t>
  </si>
  <si>
    <t>INE062A01020</t>
  </si>
  <si>
    <t>Ultratech Cement Ltd.</t>
  </si>
  <si>
    <t>Cement &amp; Cement Products</t>
  </si>
  <si>
    <t>INE481G01011</t>
  </si>
  <si>
    <t>Cummins India Ltd.</t>
  </si>
  <si>
    <t>Industrial Products</t>
  </si>
  <si>
    <t>INE298A01020</t>
  </si>
  <si>
    <t>Tata Consultancy Services Ltd.</t>
  </si>
  <si>
    <t>INE467B01029</t>
  </si>
  <si>
    <t>Balrampur Chini Mills Ltd.</t>
  </si>
  <si>
    <t>Agricultural Food &amp; other Products</t>
  </si>
  <si>
    <t>INE119A01028</t>
  </si>
  <si>
    <t>Bharat Forge Ltd.</t>
  </si>
  <si>
    <t>INE465A01025</t>
  </si>
  <si>
    <t>L&amp;T Technology Services Ltd.</t>
  </si>
  <si>
    <t>IT - Services</t>
  </si>
  <si>
    <t>INE010V01017</t>
  </si>
  <si>
    <t>Ashok Leyland Ltd.</t>
  </si>
  <si>
    <t>Agricultural, Commercial &amp; Construction Vehicles</t>
  </si>
  <si>
    <t>INE208A01029</t>
  </si>
  <si>
    <t>United Spirits Ltd.</t>
  </si>
  <si>
    <t>Beverages</t>
  </si>
  <si>
    <t>INE854D01024</t>
  </si>
  <si>
    <t>SKF India Ltd.</t>
  </si>
  <si>
    <t>INE640A01023</t>
  </si>
  <si>
    <t>Bank of Baroda</t>
  </si>
  <si>
    <t>INE028A01039</t>
  </si>
  <si>
    <t>Britannia Industries Ltd.</t>
  </si>
  <si>
    <t>Food Products</t>
  </si>
  <si>
    <t>INE216A01030</t>
  </si>
  <si>
    <t>Fortis Healthcare Ltd.</t>
  </si>
  <si>
    <t>Healthcare Services</t>
  </si>
  <si>
    <t>INE061F01013</t>
  </si>
  <si>
    <t>Sun Pharmaceutical Industries Ltd.</t>
  </si>
  <si>
    <t>Pharmaceuticals &amp; Biotechnology</t>
  </si>
  <si>
    <t>INE044A01036</t>
  </si>
  <si>
    <t>Maruti Suzuki India Ltd.</t>
  </si>
  <si>
    <t>Automobiles</t>
  </si>
  <si>
    <t>INE585B01010</t>
  </si>
  <si>
    <t>Bosch Ltd.</t>
  </si>
  <si>
    <t>Auto Components</t>
  </si>
  <si>
    <t>INE323A01026</t>
  </si>
  <si>
    <t>Aarti Industries Ltd.</t>
  </si>
  <si>
    <t>Chemicals &amp; Petrochemicals</t>
  </si>
  <si>
    <t>INE769A01020</t>
  </si>
  <si>
    <t>Jubilant Foodworks Ltd.</t>
  </si>
  <si>
    <t>Leisure Services</t>
  </si>
  <si>
    <t>INE797F01020</t>
  </si>
  <si>
    <t>Titan Company Ltd.</t>
  </si>
  <si>
    <t>Consumer Durables</t>
  </si>
  <si>
    <t>INE280A01028</t>
  </si>
  <si>
    <t>Trent Ltd.</t>
  </si>
  <si>
    <t>Retailing</t>
  </si>
  <si>
    <t>INE849A01020</t>
  </si>
  <si>
    <t>Mahindra &amp; Mahindra Financial Services Ltd.</t>
  </si>
  <si>
    <t>Finance</t>
  </si>
  <si>
    <t>INE774D01024</t>
  </si>
  <si>
    <t>Schaeffler India Ltd.</t>
  </si>
  <si>
    <t>INE513A01022</t>
  </si>
  <si>
    <t>Bharti Airtel Ltd.</t>
  </si>
  <si>
    <t>Telecom - Services</t>
  </si>
  <si>
    <t>INE397D01024</t>
  </si>
  <si>
    <t>SBI Life Insurance Company Ltd.</t>
  </si>
  <si>
    <t>Insurance</t>
  </si>
  <si>
    <t>INE123W01016</t>
  </si>
  <si>
    <t>TVS Motor Company Ltd.</t>
  </si>
  <si>
    <t>INE494B01023</t>
  </si>
  <si>
    <t>City Union Bank Ltd.</t>
  </si>
  <si>
    <t>INE491A01021</t>
  </si>
  <si>
    <t>Bharat Electronics Ltd.</t>
  </si>
  <si>
    <t>Aerospace &amp; Defense</t>
  </si>
  <si>
    <t>INE263A01024</t>
  </si>
  <si>
    <t>Asian Paints Ltd.</t>
  </si>
  <si>
    <t>INE021A01026</t>
  </si>
  <si>
    <t>Vardhman Textiles Ltd.</t>
  </si>
  <si>
    <t>Textiles &amp; Apparels</t>
  </si>
  <si>
    <t>INE825A01020</t>
  </si>
  <si>
    <t>Varun Beverages Ltd.</t>
  </si>
  <si>
    <t>INE200M01013</t>
  </si>
  <si>
    <t>Hindalco Industries Ltd.</t>
  </si>
  <si>
    <t>Non - Ferrous Metals</t>
  </si>
  <si>
    <t>INE038A01020</t>
  </si>
  <si>
    <t>Indraprastha Gas Ltd.</t>
  </si>
  <si>
    <t>Gas</t>
  </si>
  <si>
    <t>INE203G01027</t>
  </si>
  <si>
    <t>REC Ltd.</t>
  </si>
  <si>
    <t>INE020B01018</t>
  </si>
  <si>
    <t>Indian Oil Corporation Ltd.</t>
  </si>
  <si>
    <t>INE242A01010</t>
  </si>
  <si>
    <t>NTPC Ltd.</t>
  </si>
  <si>
    <t>Power</t>
  </si>
  <si>
    <t>INE733E01010</t>
  </si>
  <si>
    <t>Bharti Airtel Limited -  Rights Partly Paid</t>
  </si>
  <si>
    <t>IN9397D01014</t>
  </si>
  <si>
    <t xml:space="preserve"> Aarti Pharmalabs Ltd</t>
  </si>
  <si>
    <t>Pharmaceuticals</t>
  </si>
  <si>
    <t>INE0LRU01027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</si>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</sst>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5">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4" fontId="3" fillId="0" borderId="0" xfId="1" applyFont="1" applyFill="1" applyBorder="1" applyAlignment="1">
      <alignment horizontal="right"/>
    </xf>
    <xf numFmtId="0" fontId="5" fillId="0" borderId="0" xfId="2" applyFont="1" applyAlignment="1">
      <alignment horizontal="left" wrapText="1"/>
    </xf>
    <xf numFmtId="0" fontId="5" fillId="0" borderId="0" xfId="2" applyFont="1" applyAlignment="1">
      <alignment horizontal="left" vertical="top"/>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0" xfId="6"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IF" xfId="6"/>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89</xdr:row>
      <xdr:rowOff>142875</xdr:rowOff>
    </xdr:from>
    <xdr:to>
      <xdr:col>1</xdr:col>
      <xdr:colOff>933450</xdr:colOff>
      <xdr:row>103</xdr:row>
      <xdr:rowOff>38100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18373725"/>
          <a:ext cx="3429000" cy="2162175"/>
        </a:xfrm>
        <a:prstGeom prst="rect">
          <a:avLst/>
        </a:prstGeom>
        <a:noFill/>
        <a:ln w="9525">
          <a:noFill/>
          <a:miter lim="800000"/>
          <a:headEnd/>
          <a:tailEnd/>
        </a:ln>
      </xdr:spPr>
    </xdr:pic>
    <xdr:clientData/>
  </xdr:twoCellAnchor>
  <xdr:twoCellAnchor editAs="oneCell">
    <xdr:from>
      <xdr:col>3</xdr:col>
      <xdr:colOff>0</xdr:colOff>
      <xdr:row>89</xdr:row>
      <xdr:rowOff>152400</xdr:rowOff>
    </xdr:from>
    <xdr:to>
      <xdr:col>6</xdr:col>
      <xdr:colOff>555252</xdr:colOff>
      <xdr:row>103</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591175" y="18383250"/>
          <a:ext cx="3771900"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2"/>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C68" sqref="C68"/>
    </sheetView>
  </sheetViews>
  <sheetFormatPr defaultRowHeight="12.75" x14ac:dyDescent="0.2"/>
  <cols>
    <col min="1" max="1" width="49" style="57" customWidth="1"/>
    <col min="2" max="2" width="25.7109375" style="58" customWidth="1"/>
    <col min="3" max="3" width="15.28515625" style="59" customWidth="1"/>
    <col min="4" max="4" width="18.7109375" style="5" customWidth="1"/>
    <col min="5" max="5" width="15.7109375" style="5" customWidth="1"/>
    <col min="6" max="6" width="13.85546875" style="5" bestFit="1"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5" customFormat="1" x14ac:dyDescent="0.2">
      <c r="A6" s="21" t="s">
        <v>12</v>
      </c>
      <c r="B6" s="22" t="s">
        <v>13</v>
      </c>
      <c r="C6" s="23">
        <v>102950</v>
      </c>
      <c r="D6" s="24">
        <v>1655.899275</v>
      </c>
      <c r="E6" s="24">
        <f t="shared" ref="E6:E48" si="0">(+D6/$D$75*100)</f>
        <v>6.6413720682033395</v>
      </c>
      <c r="F6" s="24" t="s">
        <v>14</v>
      </c>
      <c r="G6" s="19"/>
      <c r="H6" s="19"/>
    </row>
    <row r="7" spans="1:8" s="25" customFormat="1" x14ac:dyDescent="0.2">
      <c r="A7" s="21" t="s">
        <v>15</v>
      </c>
      <c r="B7" s="22" t="s">
        <v>16</v>
      </c>
      <c r="C7" s="23">
        <v>60731</v>
      </c>
      <c r="D7" s="24">
        <v>1260.0771534999999</v>
      </c>
      <c r="E7" s="24">
        <f t="shared" si="0"/>
        <v>5.0538346971835413</v>
      </c>
      <c r="F7" s="24" t="s">
        <v>17</v>
      </c>
      <c r="G7" s="19"/>
      <c r="H7" s="18"/>
    </row>
    <row r="8" spans="1:8" s="25" customFormat="1" x14ac:dyDescent="0.2">
      <c r="A8" s="21" t="s">
        <v>18</v>
      </c>
      <c r="B8" s="22" t="s">
        <v>13</v>
      </c>
      <c r="C8" s="23">
        <v>124050</v>
      </c>
      <c r="D8" s="24">
        <v>1182.0724499999999</v>
      </c>
      <c r="E8" s="24">
        <f t="shared" si="0"/>
        <v>4.740978555004614</v>
      </c>
      <c r="F8" s="24" t="s">
        <v>19</v>
      </c>
      <c r="G8" s="19"/>
      <c r="H8" s="26"/>
    </row>
    <row r="9" spans="1:8" s="25" customFormat="1" x14ac:dyDescent="0.2">
      <c r="A9" s="21" t="s">
        <v>20</v>
      </c>
      <c r="B9" s="22" t="s">
        <v>21</v>
      </c>
      <c r="C9" s="23">
        <v>67600</v>
      </c>
      <c r="D9" s="24">
        <v>1105.2262000000001</v>
      </c>
      <c r="E9" s="24">
        <f t="shared" si="0"/>
        <v>4.4327686620471036</v>
      </c>
      <c r="F9" s="24" t="s">
        <v>22</v>
      </c>
      <c r="G9" s="19"/>
      <c r="H9" s="26"/>
    </row>
    <row r="10" spans="1:8" s="25" customFormat="1" x14ac:dyDescent="0.2">
      <c r="A10" s="21" t="s">
        <v>23</v>
      </c>
      <c r="B10" s="22" t="s">
        <v>13</v>
      </c>
      <c r="C10" s="23">
        <v>122550</v>
      </c>
      <c r="D10" s="24">
        <v>1104.4818749999999</v>
      </c>
      <c r="E10" s="24">
        <f t="shared" si="0"/>
        <v>4.4297833722174023</v>
      </c>
      <c r="F10" s="24" t="s">
        <v>24</v>
      </c>
      <c r="G10" s="19"/>
      <c r="H10" s="19"/>
    </row>
    <row r="11" spans="1:8" s="25" customFormat="1" x14ac:dyDescent="0.2">
      <c r="A11" s="21" t="s">
        <v>25</v>
      </c>
      <c r="B11" s="22" t="s">
        <v>26</v>
      </c>
      <c r="C11" s="23">
        <v>35066</v>
      </c>
      <c r="D11" s="24">
        <v>957.77519099999995</v>
      </c>
      <c r="E11" s="24">
        <f t="shared" si="0"/>
        <v>3.8413818383521656</v>
      </c>
      <c r="F11" s="24" t="s">
        <v>27</v>
      </c>
      <c r="G11" s="19"/>
      <c r="H11" s="18"/>
    </row>
    <row r="12" spans="1:8" s="25" customFormat="1" x14ac:dyDescent="0.2">
      <c r="A12" s="21" t="s">
        <v>28</v>
      </c>
      <c r="B12" s="22" t="s">
        <v>13</v>
      </c>
      <c r="C12" s="23">
        <v>157700</v>
      </c>
      <c r="D12" s="24">
        <v>950.06365000000005</v>
      </c>
      <c r="E12" s="24">
        <f t="shared" si="0"/>
        <v>3.8104528961312054</v>
      </c>
      <c r="F12" s="24" t="s">
        <v>29</v>
      </c>
      <c r="G12" s="19"/>
      <c r="H12" s="18"/>
    </row>
    <row r="13" spans="1:8" s="25" customFormat="1" x14ac:dyDescent="0.2">
      <c r="A13" s="21" t="s">
        <v>30</v>
      </c>
      <c r="B13" s="22" t="s">
        <v>31</v>
      </c>
      <c r="C13" s="23">
        <v>11550</v>
      </c>
      <c r="D13" s="24">
        <v>817.39350000000002</v>
      </c>
      <c r="E13" s="24">
        <f t="shared" si="0"/>
        <v>3.2783481710449847</v>
      </c>
      <c r="F13" s="24" t="s">
        <v>32</v>
      </c>
      <c r="G13" s="19"/>
      <c r="H13" s="18"/>
    </row>
    <row r="14" spans="1:8" s="25" customFormat="1" x14ac:dyDescent="0.2">
      <c r="A14" s="21" t="s">
        <v>33</v>
      </c>
      <c r="B14" s="22" t="s">
        <v>34</v>
      </c>
      <c r="C14" s="23">
        <v>56500</v>
      </c>
      <c r="D14" s="24">
        <v>798.62750000000005</v>
      </c>
      <c r="E14" s="24">
        <f t="shared" si="0"/>
        <v>3.2030827306202325</v>
      </c>
      <c r="F14" s="24" t="s">
        <v>35</v>
      </c>
      <c r="G14" s="19"/>
      <c r="H14" s="19"/>
    </row>
    <row r="15" spans="1:8" s="25" customFormat="1" x14ac:dyDescent="0.2">
      <c r="A15" s="21" t="s">
        <v>36</v>
      </c>
      <c r="B15" s="22" t="s">
        <v>21</v>
      </c>
      <c r="C15" s="23">
        <v>23285</v>
      </c>
      <c r="D15" s="24">
        <v>789.54777999999999</v>
      </c>
      <c r="E15" s="24">
        <f t="shared" si="0"/>
        <v>3.1666663859152635</v>
      </c>
      <c r="F15" s="24" t="s">
        <v>37</v>
      </c>
      <c r="G15" s="19"/>
      <c r="H15" s="18"/>
    </row>
    <row r="16" spans="1:8" s="25" customFormat="1" ht="25.5" x14ac:dyDescent="0.2">
      <c r="A16" s="21" t="s">
        <v>38</v>
      </c>
      <c r="B16" s="22" t="s">
        <v>39</v>
      </c>
      <c r="C16" s="23">
        <v>199467</v>
      </c>
      <c r="D16" s="24">
        <v>766.55168099999992</v>
      </c>
      <c r="E16" s="24">
        <f t="shared" si="0"/>
        <v>3.0744351422146226</v>
      </c>
      <c r="F16" s="24" t="s">
        <v>40</v>
      </c>
      <c r="G16" s="19"/>
      <c r="H16" s="19"/>
    </row>
    <row r="17" spans="1:8" s="25" customFormat="1" x14ac:dyDescent="0.2">
      <c r="A17" s="21" t="s">
        <v>41</v>
      </c>
      <c r="B17" s="22" t="s">
        <v>34</v>
      </c>
      <c r="C17" s="23">
        <v>89000</v>
      </c>
      <c r="D17" s="24">
        <v>764.99950000000001</v>
      </c>
      <c r="E17" s="24">
        <f t="shared" si="0"/>
        <v>3.0682097565925446</v>
      </c>
      <c r="F17" s="24" t="s">
        <v>42</v>
      </c>
      <c r="G17" s="19"/>
      <c r="H17" s="19"/>
    </row>
    <row r="18" spans="1:8" s="25" customFormat="1" x14ac:dyDescent="0.2">
      <c r="A18" s="21" t="s">
        <v>43</v>
      </c>
      <c r="B18" s="22" t="s">
        <v>44</v>
      </c>
      <c r="C18" s="23">
        <v>18352</v>
      </c>
      <c r="D18" s="24">
        <v>700.10127199999999</v>
      </c>
      <c r="E18" s="24">
        <f t="shared" si="0"/>
        <v>2.8079202056383705</v>
      </c>
      <c r="F18" s="24" t="s">
        <v>45</v>
      </c>
      <c r="G18" s="19"/>
      <c r="H18" s="18"/>
    </row>
    <row r="19" spans="1:8" s="25" customFormat="1" ht="25.5" x14ac:dyDescent="0.2">
      <c r="A19" s="21" t="s">
        <v>46</v>
      </c>
      <c r="B19" s="22" t="s">
        <v>47</v>
      </c>
      <c r="C19" s="23">
        <v>467000</v>
      </c>
      <c r="D19" s="24">
        <v>694.89599999999996</v>
      </c>
      <c r="E19" s="24">
        <f t="shared" si="0"/>
        <v>2.787043242534319</v>
      </c>
      <c r="F19" s="24" t="s">
        <v>48</v>
      </c>
      <c r="G19" s="19"/>
      <c r="H19" s="19"/>
    </row>
    <row r="20" spans="1:8" s="25" customFormat="1" x14ac:dyDescent="0.2">
      <c r="A20" s="21" t="s">
        <v>49</v>
      </c>
      <c r="B20" s="22" t="s">
        <v>50</v>
      </c>
      <c r="C20" s="23">
        <v>65000</v>
      </c>
      <c r="D20" s="24">
        <v>605.995</v>
      </c>
      <c r="E20" s="24">
        <f t="shared" si="0"/>
        <v>2.4304849499199657</v>
      </c>
      <c r="F20" s="24" t="s">
        <v>51</v>
      </c>
      <c r="G20" s="19"/>
      <c r="H20" s="18"/>
    </row>
    <row r="21" spans="1:8" s="25" customFormat="1" x14ac:dyDescent="0.2">
      <c r="A21" s="21" t="s">
        <v>52</v>
      </c>
      <c r="B21" s="22" t="s">
        <v>34</v>
      </c>
      <c r="C21" s="23">
        <v>12575</v>
      </c>
      <c r="D21" s="24">
        <v>592.30764999999997</v>
      </c>
      <c r="E21" s="24">
        <f t="shared" si="0"/>
        <v>2.3755886253970124</v>
      </c>
      <c r="F21" s="24" t="s">
        <v>53</v>
      </c>
      <c r="G21" s="19"/>
      <c r="H21" s="18"/>
    </row>
    <row r="22" spans="1:8" s="25" customFormat="1" x14ac:dyDescent="0.2">
      <c r="A22" s="21" t="s">
        <v>54</v>
      </c>
      <c r="B22" s="22" t="s">
        <v>13</v>
      </c>
      <c r="C22" s="23">
        <v>333000</v>
      </c>
      <c r="D22" s="24">
        <v>553.61249999999995</v>
      </c>
      <c r="E22" s="24">
        <f t="shared" si="0"/>
        <v>2.2203926589123126</v>
      </c>
      <c r="F22" s="24" t="s">
        <v>55</v>
      </c>
      <c r="G22" s="19"/>
      <c r="H22" s="19"/>
    </row>
    <row r="23" spans="1:8" s="25" customFormat="1" x14ac:dyDescent="0.2">
      <c r="A23" s="21" t="s">
        <v>56</v>
      </c>
      <c r="B23" s="22" t="s">
        <v>57</v>
      </c>
      <c r="C23" s="23">
        <v>12450</v>
      </c>
      <c r="D23" s="24">
        <v>543.10635000000002</v>
      </c>
      <c r="E23" s="24">
        <f t="shared" si="0"/>
        <v>2.1782552824379171</v>
      </c>
      <c r="F23" s="24" t="s">
        <v>58</v>
      </c>
      <c r="G23" s="19"/>
      <c r="H23" s="19"/>
    </row>
    <row r="24" spans="1:8" s="25" customFormat="1" x14ac:dyDescent="0.2">
      <c r="A24" s="21" t="s">
        <v>59</v>
      </c>
      <c r="B24" s="22" t="s">
        <v>60</v>
      </c>
      <c r="C24" s="23">
        <v>182501</v>
      </c>
      <c r="D24" s="24">
        <v>529.43540100000007</v>
      </c>
      <c r="E24" s="24">
        <f t="shared" si="0"/>
        <v>2.1234247379686999</v>
      </c>
      <c r="F24" s="24" t="s">
        <v>61</v>
      </c>
      <c r="G24" s="19"/>
      <c r="H24" s="19"/>
    </row>
    <row r="25" spans="1:8" s="25" customFormat="1" ht="25.5" x14ac:dyDescent="0.2">
      <c r="A25" s="21" t="s">
        <v>62</v>
      </c>
      <c r="B25" s="22" t="s">
        <v>63</v>
      </c>
      <c r="C25" s="23">
        <v>50250</v>
      </c>
      <c r="D25" s="24">
        <v>525.64012500000001</v>
      </c>
      <c r="E25" s="24">
        <f t="shared" si="0"/>
        <v>2.1082028942261068</v>
      </c>
      <c r="F25" s="24" t="s">
        <v>64</v>
      </c>
      <c r="G25" s="19"/>
      <c r="H25" s="18"/>
    </row>
    <row r="26" spans="1:8" s="25" customFormat="1" x14ac:dyDescent="0.2">
      <c r="A26" s="21" t="s">
        <v>65</v>
      </c>
      <c r="B26" s="22" t="s">
        <v>66</v>
      </c>
      <c r="C26" s="23">
        <v>5675</v>
      </c>
      <c r="D26" s="24">
        <v>509.28301249999998</v>
      </c>
      <c r="E26" s="24">
        <f t="shared" si="0"/>
        <v>2.0425988615931678</v>
      </c>
      <c r="F26" s="24" t="s">
        <v>67</v>
      </c>
      <c r="G26" s="19"/>
      <c r="H26" s="18"/>
    </row>
    <row r="27" spans="1:8" s="25" customFormat="1" x14ac:dyDescent="0.2">
      <c r="A27" s="21" t="s">
        <v>68</v>
      </c>
      <c r="B27" s="22" t="s">
        <v>69</v>
      </c>
      <c r="C27" s="23">
        <v>2780</v>
      </c>
      <c r="D27" s="24">
        <v>472.72232000000002</v>
      </c>
      <c r="E27" s="24">
        <f t="shared" si="0"/>
        <v>1.8959636370782764</v>
      </c>
      <c r="F27" s="24" t="s">
        <v>70</v>
      </c>
      <c r="G27" s="19"/>
      <c r="H27" s="19"/>
    </row>
    <row r="28" spans="1:8" s="25" customFormat="1" x14ac:dyDescent="0.2">
      <c r="A28" s="21" t="s">
        <v>71</v>
      </c>
      <c r="B28" s="22" t="s">
        <v>72</v>
      </c>
      <c r="C28" s="23">
        <v>69250</v>
      </c>
      <c r="D28" s="24">
        <v>467.16050000000001</v>
      </c>
      <c r="E28" s="24">
        <f t="shared" si="0"/>
        <v>1.8736566546705604</v>
      </c>
      <c r="F28" s="24" t="s">
        <v>73</v>
      </c>
      <c r="G28" s="19"/>
      <c r="H28" s="19"/>
    </row>
    <row r="29" spans="1:8" s="25" customFormat="1" x14ac:dyDescent="0.2">
      <c r="A29" s="21" t="s">
        <v>74</v>
      </c>
      <c r="B29" s="22" t="s">
        <v>75</v>
      </c>
      <c r="C29" s="23">
        <v>80500</v>
      </c>
      <c r="D29" s="24">
        <v>440.21424999999999</v>
      </c>
      <c r="E29" s="24">
        <f t="shared" si="0"/>
        <v>1.7655824047480677</v>
      </c>
      <c r="F29" s="24" t="s">
        <v>76</v>
      </c>
      <c r="G29" s="19"/>
      <c r="H29" s="26"/>
    </row>
    <row r="30" spans="1:8" s="25" customFormat="1" x14ac:dyDescent="0.2">
      <c r="A30" s="21" t="s">
        <v>77</v>
      </c>
      <c r="B30" s="22" t="s">
        <v>78</v>
      </c>
      <c r="C30" s="23">
        <v>16450</v>
      </c>
      <c r="D30" s="24">
        <v>436.41849999999999</v>
      </c>
      <c r="E30" s="24">
        <f t="shared" si="0"/>
        <v>1.7503586599174028</v>
      </c>
      <c r="F30" s="24" t="s">
        <v>79</v>
      </c>
      <c r="G30" s="19"/>
      <c r="H30" s="18"/>
    </row>
    <row r="31" spans="1:8" s="25" customFormat="1" x14ac:dyDescent="0.2">
      <c r="A31" s="21" t="s">
        <v>80</v>
      </c>
      <c r="B31" s="22" t="s">
        <v>81</v>
      </c>
      <c r="C31" s="23">
        <v>29600</v>
      </c>
      <c r="D31" s="24">
        <v>435.60840000000002</v>
      </c>
      <c r="E31" s="24">
        <f t="shared" si="0"/>
        <v>1.7471095640371894</v>
      </c>
      <c r="F31" s="24" t="s">
        <v>82</v>
      </c>
      <c r="G31" s="19"/>
      <c r="H31" s="18"/>
    </row>
    <row r="32" spans="1:8" s="25" customFormat="1" x14ac:dyDescent="0.2">
      <c r="A32" s="21" t="s">
        <v>83</v>
      </c>
      <c r="B32" s="22" t="s">
        <v>84</v>
      </c>
      <c r="C32" s="23">
        <v>190650</v>
      </c>
      <c r="D32" s="24">
        <v>409.89749999999998</v>
      </c>
      <c r="E32" s="24">
        <f t="shared" si="0"/>
        <v>1.6439899747684703</v>
      </c>
      <c r="F32" s="24" t="s">
        <v>85</v>
      </c>
      <c r="G32" s="19"/>
      <c r="H32" s="18"/>
    </row>
    <row r="33" spans="1:8" s="25" customFormat="1" x14ac:dyDescent="0.2">
      <c r="A33" s="21" t="s">
        <v>86</v>
      </c>
      <c r="B33" s="22" t="s">
        <v>69</v>
      </c>
      <c r="C33" s="23">
        <v>14900</v>
      </c>
      <c r="D33" s="24">
        <v>398.62714999999997</v>
      </c>
      <c r="E33" s="24">
        <f t="shared" si="0"/>
        <v>1.598787595119578</v>
      </c>
      <c r="F33" s="24" t="s">
        <v>87</v>
      </c>
      <c r="G33" s="19"/>
      <c r="H33" s="18"/>
    </row>
    <row r="34" spans="1:8" s="25" customFormat="1" x14ac:dyDescent="0.2">
      <c r="A34" s="21" t="s">
        <v>88</v>
      </c>
      <c r="B34" s="22" t="s">
        <v>89</v>
      </c>
      <c r="C34" s="23">
        <v>45434</v>
      </c>
      <c r="D34" s="24">
        <v>385.62107500000002</v>
      </c>
      <c r="E34" s="24">
        <f t="shared" si="0"/>
        <v>1.546623683626859</v>
      </c>
      <c r="F34" s="24" t="s">
        <v>90</v>
      </c>
      <c r="G34" s="19"/>
      <c r="H34" s="19"/>
    </row>
    <row r="35" spans="1:8" s="25" customFormat="1" x14ac:dyDescent="0.2">
      <c r="A35" s="21" t="s">
        <v>91</v>
      </c>
      <c r="B35" s="22" t="s">
        <v>92</v>
      </c>
      <c r="C35" s="23">
        <v>30000</v>
      </c>
      <c r="D35" s="24">
        <v>384.87</v>
      </c>
      <c r="E35" s="24">
        <f t="shared" si="0"/>
        <v>1.5436113213404357</v>
      </c>
      <c r="F35" s="24" t="s">
        <v>93</v>
      </c>
      <c r="G35" s="19"/>
      <c r="H35" s="18"/>
    </row>
    <row r="36" spans="1:8" s="25" customFormat="1" x14ac:dyDescent="0.2">
      <c r="A36" s="21" t="s">
        <v>94</v>
      </c>
      <c r="B36" s="22" t="s">
        <v>66</v>
      </c>
      <c r="C36" s="23">
        <v>34371</v>
      </c>
      <c r="D36" s="24">
        <v>360.2596365</v>
      </c>
      <c r="E36" s="24">
        <f t="shared" si="0"/>
        <v>1.4449056915929794</v>
      </c>
      <c r="F36" s="24" t="s">
        <v>95</v>
      </c>
      <c r="G36" s="19"/>
      <c r="H36" s="18"/>
    </row>
    <row r="37" spans="1:8" s="25" customFormat="1" x14ac:dyDescent="0.2">
      <c r="A37" s="21" t="s">
        <v>96</v>
      </c>
      <c r="B37" s="22" t="s">
        <v>13</v>
      </c>
      <c r="C37" s="23">
        <v>190000</v>
      </c>
      <c r="D37" s="24">
        <v>358.72</v>
      </c>
      <c r="E37" s="24">
        <f t="shared" si="0"/>
        <v>1.4387306186276954</v>
      </c>
      <c r="F37" s="24" t="s">
        <v>97</v>
      </c>
      <c r="G37" s="19"/>
      <c r="H37" s="19"/>
    </row>
    <row r="38" spans="1:8" s="25" customFormat="1" x14ac:dyDescent="0.2">
      <c r="A38" s="21" t="s">
        <v>98</v>
      </c>
      <c r="B38" s="22" t="s">
        <v>99</v>
      </c>
      <c r="C38" s="23">
        <v>333000</v>
      </c>
      <c r="D38" s="24">
        <v>349.983</v>
      </c>
      <c r="E38" s="24">
        <f t="shared" si="0"/>
        <v>1.4036888327920847</v>
      </c>
      <c r="F38" s="24" t="s">
        <v>100</v>
      </c>
      <c r="G38" s="19"/>
      <c r="H38" s="19"/>
    </row>
    <row r="39" spans="1:8" s="25" customFormat="1" x14ac:dyDescent="0.2">
      <c r="A39" s="21" t="s">
        <v>101</v>
      </c>
      <c r="B39" s="22" t="s">
        <v>78</v>
      </c>
      <c r="C39" s="23">
        <v>10450</v>
      </c>
      <c r="D39" s="24">
        <v>331.80317500000001</v>
      </c>
      <c r="E39" s="24">
        <f t="shared" si="0"/>
        <v>1.3307743845628441</v>
      </c>
      <c r="F39" s="24" t="s">
        <v>102</v>
      </c>
      <c r="G39" s="19"/>
      <c r="H39" s="19"/>
    </row>
    <row r="40" spans="1:8" s="25" customFormat="1" x14ac:dyDescent="0.2">
      <c r="A40" s="21" t="s">
        <v>103</v>
      </c>
      <c r="B40" s="22" t="s">
        <v>104</v>
      </c>
      <c r="C40" s="23">
        <v>93560</v>
      </c>
      <c r="D40" s="24">
        <v>325.91626000000002</v>
      </c>
      <c r="E40" s="24">
        <f t="shared" si="0"/>
        <v>1.3071635324783251</v>
      </c>
      <c r="F40" s="24" t="s">
        <v>105</v>
      </c>
      <c r="G40" s="19"/>
      <c r="H40" s="18"/>
    </row>
    <row r="41" spans="1:8" s="25" customFormat="1" x14ac:dyDescent="0.2">
      <c r="A41" s="21" t="s">
        <v>106</v>
      </c>
      <c r="B41" s="22" t="s">
        <v>50</v>
      </c>
      <c r="C41" s="23">
        <v>24951</v>
      </c>
      <c r="D41" s="24">
        <v>311.82512250000002</v>
      </c>
      <c r="E41" s="24">
        <f t="shared" si="0"/>
        <v>1.2506477235673557</v>
      </c>
      <c r="F41" s="24" t="s">
        <v>107</v>
      </c>
      <c r="G41" s="19"/>
      <c r="H41" s="18"/>
    </row>
    <row r="42" spans="1:8" s="25" customFormat="1" x14ac:dyDescent="0.2">
      <c r="A42" s="21" t="s">
        <v>108</v>
      </c>
      <c r="B42" s="22" t="s">
        <v>109</v>
      </c>
      <c r="C42" s="23">
        <v>65000</v>
      </c>
      <c r="D42" s="24">
        <v>292.95499999999998</v>
      </c>
      <c r="E42" s="24">
        <f t="shared" si="0"/>
        <v>1.1749646754573941</v>
      </c>
      <c r="F42" s="24" t="s">
        <v>110</v>
      </c>
      <c r="G42" s="19"/>
      <c r="H42" s="19"/>
    </row>
    <row r="43" spans="1:8" s="25" customFormat="1" x14ac:dyDescent="0.2">
      <c r="A43" s="21" t="s">
        <v>111</v>
      </c>
      <c r="B43" s="22" t="s">
        <v>112</v>
      </c>
      <c r="C43" s="23">
        <v>58000</v>
      </c>
      <c r="D43" s="24">
        <v>256.70800000000003</v>
      </c>
      <c r="E43" s="24">
        <f t="shared" si="0"/>
        <v>1.0295875882211152</v>
      </c>
      <c r="F43" s="24" t="s">
        <v>113</v>
      </c>
      <c r="G43" s="19"/>
      <c r="H43" s="26"/>
    </row>
    <row r="44" spans="1:8" s="25" customFormat="1" x14ac:dyDescent="0.2">
      <c r="A44" s="21" t="s">
        <v>114</v>
      </c>
      <c r="B44" s="22" t="s">
        <v>84</v>
      </c>
      <c r="C44" s="23">
        <v>230000</v>
      </c>
      <c r="D44" s="24">
        <v>253.80500000000001</v>
      </c>
      <c r="E44" s="24">
        <f t="shared" si="0"/>
        <v>1.0179444264629856</v>
      </c>
      <c r="F44" s="24" t="s">
        <v>115</v>
      </c>
      <c r="G44" s="19"/>
      <c r="H44" s="18"/>
    </row>
    <row r="45" spans="1:8" s="25" customFormat="1" x14ac:dyDescent="0.2">
      <c r="A45" s="21" t="s">
        <v>116</v>
      </c>
      <c r="B45" s="22" t="s">
        <v>26</v>
      </c>
      <c r="C45" s="23">
        <v>330000</v>
      </c>
      <c r="D45" s="24">
        <v>252.94499999999999</v>
      </c>
      <c r="E45" s="24">
        <f t="shared" si="0"/>
        <v>1.0144951949397367</v>
      </c>
      <c r="F45" s="24" t="s">
        <v>117</v>
      </c>
      <c r="G45" s="19"/>
      <c r="H45" s="26"/>
    </row>
    <row r="46" spans="1:8" s="25" customFormat="1" x14ac:dyDescent="0.2">
      <c r="A46" s="21" t="s">
        <v>118</v>
      </c>
      <c r="B46" s="22" t="s">
        <v>119</v>
      </c>
      <c r="C46" s="23">
        <v>135000</v>
      </c>
      <c r="D46" s="24">
        <v>232.47</v>
      </c>
      <c r="E46" s="24">
        <f t="shared" si="0"/>
        <v>0.9323754095461092</v>
      </c>
      <c r="F46" s="24" t="s">
        <v>120</v>
      </c>
      <c r="G46" s="19"/>
      <c r="H46" s="18"/>
    </row>
    <row r="47" spans="1:8" s="25" customFormat="1" x14ac:dyDescent="0.2">
      <c r="A47" s="21" t="s">
        <v>121</v>
      </c>
      <c r="B47" s="22" t="s">
        <v>89</v>
      </c>
      <c r="C47" s="23">
        <v>4430</v>
      </c>
      <c r="D47" s="24">
        <v>20.583995000000002</v>
      </c>
      <c r="E47" s="24">
        <f t="shared" si="0"/>
        <v>8.2556935381856003E-2</v>
      </c>
      <c r="F47" s="24" t="s">
        <v>122</v>
      </c>
      <c r="G47" s="19"/>
      <c r="H47" s="19"/>
    </row>
    <row r="48" spans="1:8" s="25" customFormat="1" x14ac:dyDescent="0.2">
      <c r="A48" s="21" t="s">
        <v>123</v>
      </c>
      <c r="B48" s="22" t="s">
        <v>124</v>
      </c>
      <c r="C48" s="23">
        <v>6812</v>
      </c>
      <c r="D48" s="24">
        <v>16.772506399999997</v>
      </c>
      <c r="E48" s="24">
        <f t="shared" si="0"/>
        <v>6.727006720787515E-2</v>
      </c>
      <c r="F48" s="24" t="s">
        <v>125</v>
      </c>
      <c r="G48" s="19"/>
      <c r="H48" s="19"/>
    </row>
    <row r="49" spans="1:8" s="25" customFormat="1" x14ac:dyDescent="0.2">
      <c r="A49" s="20" t="s">
        <v>126</v>
      </c>
      <c r="B49" s="22"/>
      <c r="C49" s="23"/>
      <c r="D49" s="27">
        <f>IF(ISERROR(SUM(D6:D48)),0,SUM(D6:D48))</f>
        <v>24602.979456400011</v>
      </c>
      <c r="E49" s="27">
        <f>IF(ISERROR(SUM(E6:E48)),0,SUM(E6:E48))</f>
        <v>98.67601431030009</v>
      </c>
      <c r="F49" s="27"/>
      <c r="G49" s="19"/>
      <c r="H49" s="18"/>
    </row>
    <row r="50" spans="1:8" s="25" customFormat="1" x14ac:dyDescent="0.2">
      <c r="A50" s="20"/>
      <c r="B50" s="20"/>
      <c r="C50" s="28"/>
      <c r="D50" s="29"/>
      <c r="E50" s="29"/>
      <c r="F50" s="29"/>
      <c r="G50" s="19"/>
      <c r="H50" s="18"/>
    </row>
    <row r="51" spans="1:8" s="25" customFormat="1" x14ac:dyDescent="0.2">
      <c r="A51" s="20" t="s">
        <v>127</v>
      </c>
      <c r="B51" s="20"/>
      <c r="C51" s="28"/>
      <c r="D51" s="30" t="s">
        <v>128</v>
      </c>
      <c r="E51" s="30" t="s">
        <v>128</v>
      </c>
      <c r="F51" s="30"/>
      <c r="G51" s="19"/>
      <c r="H51" s="18"/>
    </row>
    <row r="52" spans="1:8" s="25" customFormat="1" x14ac:dyDescent="0.2">
      <c r="A52" s="20"/>
      <c r="B52" s="13"/>
      <c r="C52" s="28"/>
      <c r="D52" s="30"/>
      <c r="E52" s="30"/>
      <c r="F52" s="31"/>
      <c r="G52" s="19"/>
      <c r="H52" s="18"/>
    </row>
    <row r="53" spans="1:8" s="25" customFormat="1" x14ac:dyDescent="0.2">
      <c r="A53" s="20" t="s">
        <v>129</v>
      </c>
      <c r="B53" s="20"/>
      <c r="C53" s="28"/>
      <c r="D53" s="27">
        <f>IF(ISERROR(+D49),0,D49)+IF(ISERROR(+#REF!),0,#REF!)</f>
        <v>24602.979456400011</v>
      </c>
      <c r="E53" s="27">
        <f>IF(ISERROR(+E49),0,E49)+IF(ISERROR(+#REF!),0,#REF!)</f>
        <v>98.67601431030009</v>
      </c>
      <c r="F53" s="32"/>
      <c r="G53" s="19"/>
      <c r="H53" s="18"/>
    </row>
    <row r="54" spans="1:8" s="25" customFormat="1" x14ac:dyDescent="0.2">
      <c r="A54" s="20"/>
      <c r="B54" s="13"/>
      <c r="C54" s="28"/>
      <c r="D54" s="30"/>
      <c r="E54" s="30"/>
      <c r="F54" s="31"/>
      <c r="G54" s="19"/>
      <c r="H54" s="18"/>
    </row>
    <row r="55" spans="1:8" s="25" customFormat="1" x14ac:dyDescent="0.2">
      <c r="A55" s="20" t="s">
        <v>130</v>
      </c>
      <c r="B55" s="13"/>
      <c r="C55" s="28"/>
      <c r="D55" s="30"/>
      <c r="E55" s="30"/>
      <c r="F55" s="31"/>
      <c r="G55" s="19"/>
      <c r="H55" s="18"/>
    </row>
    <row r="56" spans="1:8" s="25" customFormat="1" x14ac:dyDescent="0.2">
      <c r="A56" s="20" t="s">
        <v>11</v>
      </c>
      <c r="B56" s="13"/>
      <c r="C56" s="28"/>
      <c r="D56" s="30" t="s">
        <v>128</v>
      </c>
      <c r="E56" s="30" t="s">
        <v>128</v>
      </c>
      <c r="F56" s="33"/>
      <c r="G56" s="19"/>
      <c r="H56" s="18"/>
    </row>
    <row r="57" spans="1:8" s="25" customFormat="1" x14ac:dyDescent="0.2">
      <c r="A57" s="20"/>
      <c r="B57" s="13"/>
      <c r="C57" s="34"/>
      <c r="D57" s="33"/>
      <c r="E57" s="33"/>
      <c r="F57" s="33"/>
      <c r="G57" s="19"/>
      <c r="H57" s="18"/>
    </row>
    <row r="58" spans="1:8" s="25" customFormat="1" x14ac:dyDescent="0.2">
      <c r="A58" s="20" t="s">
        <v>131</v>
      </c>
      <c r="B58" s="13"/>
      <c r="C58" s="34"/>
      <c r="D58" s="30" t="s">
        <v>128</v>
      </c>
      <c r="E58" s="30" t="s">
        <v>128</v>
      </c>
      <c r="F58" s="31"/>
      <c r="G58" s="19"/>
      <c r="H58" s="18"/>
    </row>
    <row r="59" spans="1:8" s="25" customFormat="1" x14ac:dyDescent="0.2">
      <c r="A59" s="20"/>
      <c r="B59" s="13"/>
      <c r="C59" s="34"/>
      <c r="D59" s="30"/>
      <c r="E59" s="30"/>
      <c r="F59" s="30"/>
      <c r="G59" s="19"/>
      <c r="H59" s="18"/>
    </row>
    <row r="60" spans="1:8" s="25" customFormat="1" x14ac:dyDescent="0.2">
      <c r="A60" s="20" t="s">
        <v>132</v>
      </c>
      <c r="B60" s="13"/>
      <c r="C60" s="34"/>
      <c r="D60" s="30"/>
      <c r="E60" s="30"/>
      <c r="F60" s="30"/>
      <c r="G60" s="19"/>
      <c r="H60" s="18"/>
    </row>
    <row r="61" spans="1:8" s="25" customFormat="1" x14ac:dyDescent="0.2">
      <c r="A61" s="20"/>
      <c r="B61" s="13"/>
      <c r="C61" s="34"/>
      <c r="D61" s="24"/>
      <c r="E61" s="24"/>
      <c r="F61" s="35"/>
      <c r="G61" s="19"/>
      <c r="H61" s="18"/>
    </row>
    <row r="62" spans="1:8" s="25" customFormat="1" x14ac:dyDescent="0.2">
      <c r="A62" s="20" t="s">
        <v>133</v>
      </c>
      <c r="B62" s="13"/>
      <c r="C62" s="34"/>
      <c r="D62" s="30" t="s">
        <v>128</v>
      </c>
      <c r="E62" s="30" t="s">
        <v>128</v>
      </c>
      <c r="F62" s="30"/>
      <c r="G62" s="19"/>
      <c r="H62" s="18"/>
    </row>
    <row r="63" spans="1:8" s="25" customFormat="1" x14ac:dyDescent="0.2">
      <c r="A63" s="20"/>
      <c r="B63" s="13"/>
      <c r="C63" s="34"/>
      <c r="D63" s="30"/>
      <c r="E63" s="30"/>
      <c r="F63" s="30"/>
      <c r="G63" s="19"/>
      <c r="H63" s="18"/>
    </row>
    <row r="64" spans="1:8" s="25" customFormat="1" x14ac:dyDescent="0.2">
      <c r="A64" s="20" t="s">
        <v>134</v>
      </c>
      <c r="B64" s="13"/>
      <c r="C64" s="34"/>
      <c r="D64" s="30" t="s">
        <v>128</v>
      </c>
      <c r="E64" s="30" t="s">
        <v>128</v>
      </c>
      <c r="F64" s="30"/>
      <c r="G64" s="19"/>
      <c r="H64" s="18"/>
    </row>
    <row r="65" spans="1:8" s="25" customFormat="1" x14ac:dyDescent="0.2">
      <c r="A65" s="20"/>
      <c r="B65" s="13"/>
      <c r="C65" s="34"/>
      <c r="D65" s="30"/>
      <c r="E65" s="30"/>
      <c r="F65" s="30"/>
      <c r="G65" s="19"/>
      <c r="H65" s="18"/>
    </row>
    <row r="66" spans="1:8" s="25" customFormat="1" x14ac:dyDescent="0.2">
      <c r="A66" s="20" t="s">
        <v>135</v>
      </c>
      <c r="B66" s="13"/>
      <c r="C66" s="34"/>
      <c r="D66" s="30"/>
      <c r="E66" s="30"/>
      <c r="F66" s="31"/>
      <c r="G66" s="19"/>
      <c r="H66" s="18"/>
    </row>
    <row r="67" spans="1:8" s="25" customFormat="1" x14ac:dyDescent="0.2">
      <c r="A67" s="20"/>
      <c r="B67" s="36"/>
      <c r="C67" s="37"/>
      <c r="D67" s="33"/>
      <c r="E67" s="33"/>
      <c r="F67" s="38"/>
      <c r="G67" s="19"/>
      <c r="H67" s="18"/>
    </row>
    <row r="68" spans="1:8" s="25" customFormat="1" x14ac:dyDescent="0.2">
      <c r="A68" s="21" t="s">
        <v>136</v>
      </c>
      <c r="B68" s="22"/>
      <c r="C68" s="23">
        <v>0</v>
      </c>
      <c r="D68" s="24">
        <v>464.19013450000006</v>
      </c>
      <c r="E68" s="24">
        <f>(+D68/$D$75*100)</f>
        <v>1.8617433077889667</v>
      </c>
      <c r="F68" s="24">
        <v>0</v>
      </c>
      <c r="G68" s="19">
        <v>5.6050000000000004</v>
      </c>
      <c r="H68" s="18"/>
    </row>
    <row r="69" spans="1:8" s="25" customFormat="1" x14ac:dyDescent="0.2">
      <c r="A69" s="20" t="s">
        <v>126</v>
      </c>
      <c r="B69" s="13"/>
      <c r="C69" s="34"/>
      <c r="D69" s="30">
        <f>IF(ISERROR(SUM(D68:D68)),0,SUM(D68:D68))</f>
        <v>464.19013450000006</v>
      </c>
      <c r="E69" s="30">
        <f>IF(ISERROR(SUM(E68:E68)),0,SUM(E68:E68))</f>
        <v>1.8617433077889667</v>
      </c>
      <c r="F69" s="24"/>
      <c r="G69" s="19"/>
      <c r="H69" s="18"/>
    </row>
    <row r="70" spans="1:8" s="25" customFormat="1" x14ac:dyDescent="0.2">
      <c r="A70" s="20"/>
      <c r="B70" s="13"/>
      <c r="C70" s="34"/>
      <c r="D70" s="30"/>
      <c r="E70" s="30"/>
      <c r="F70" s="31"/>
      <c r="G70" s="19"/>
      <c r="H70" s="18"/>
    </row>
    <row r="71" spans="1:8" s="25" customFormat="1" x14ac:dyDescent="0.2">
      <c r="A71" s="20" t="s">
        <v>129</v>
      </c>
      <c r="B71" s="13"/>
      <c r="C71" s="34" t="s">
        <v>137</v>
      </c>
      <c r="D71" s="30">
        <f>+IF(ISERROR(#REF!),0,#REF!)+IF(ISERROR(D69),0,D69)+IF(ISERROR(D53),0,D53)+IF(ISERROR(#REF!),0,#REF!)+IF(ISERROR(#REF!),0,#REF!)+IF(ISERROR(#REF!),0,#REF!)+IF(ISERROR(#REF!),0,#REF!)+IF(ISERROR(#REF!),0,#REF!)+IF(ISERROR(#REF!),0,#REF!)</f>
        <v>25067.169590900012</v>
      </c>
      <c r="E71" s="30">
        <f>+IF(ISERROR(#REF!),0,#REF!)+IF(ISERROR(E69),0,E69)+IF(ISERROR(E53),0,E53)+IF(ISERROR(#REF!),0,#REF!)+IF(ISERROR(#REF!),0,#REF!)+IF(ISERROR(#REF!),0,#REF!)+IF(ISERROR(#REF!),0,#REF!)+IF(ISERROR(#REF!),0,#REF!)+IF(ISERROR(#REF!),0,#REF!)</f>
        <v>100.53775761808906</v>
      </c>
      <c r="F71" s="30">
        <f>+IF(ISERROR(#REF!),0,#REF!)+IF(ISERROR(F69),0,F69)+IF(ISERROR(F53),0,F53)+IF(ISERROR(#REF!),0,#REF!)+IF(ISERROR(#REF!),0,#REF!)+IF(ISERROR(#REF!),0,#REF!)+IF(ISERROR(#REF!),0,#REF!)</f>
        <v>0</v>
      </c>
      <c r="G71" s="19"/>
      <c r="H71" s="18"/>
    </row>
    <row r="72" spans="1:8" s="25" customFormat="1" x14ac:dyDescent="0.2">
      <c r="A72" s="20"/>
      <c r="B72" s="13"/>
      <c r="C72" s="34"/>
      <c r="D72" s="30"/>
      <c r="E72" s="30"/>
      <c r="F72" s="39"/>
      <c r="H72" s="5"/>
    </row>
    <row r="73" spans="1:8" s="25" customFormat="1" x14ac:dyDescent="0.2">
      <c r="A73" s="20" t="s">
        <v>138</v>
      </c>
      <c r="B73" s="13"/>
      <c r="C73" s="34"/>
      <c r="D73" s="30">
        <f>+D75-D71</f>
        <v>-134.07959090001168</v>
      </c>
      <c r="E73" s="30">
        <f>D73/$D$75*100</f>
        <v>-0.53775761808910039</v>
      </c>
      <c r="F73" s="39"/>
      <c r="H73" s="5"/>
    </row>
    <row r="74" spans="1:8" s="25" customFormat="1" x14ac:dyDescent="0.2">
      <c r="A74" s="20"/>
      <c r="B74" s="13"/>
      <c r="C74" s="34"/>
      <c r="D74" s="33"/>
      <c r="E74" s="33"/>
      <c r="F74" s="39"/>
      <c r="H74" s="5"/>
    </row>
    <row r="75" spans="1:8" s="25" customFormat="1" x14ac:dyDescent="0.2">
      <c r="A75" s="20" t="s">
        <v>139</v>
      </c>
      <c r="B75" s="13"/>
      <c r="C75" s="34"/>
      <c r="D75" s="30">
        <v>24933.09</v>
      </c>
      <c r="E75" s="30">
        <f>+E71+E73</f>
        <v>99.999999999999957</v>
      </c>
      <c r="F75" s="39"/>
      <c r="H75" s="5"/>
    </row>
    <row r="76" spans="1:8" s="25" customFormat="1" x14ac:dyDescent="0.2">
      <c r="A76" s="40"/>
      <c r="B76" s="41"/>
      <c r="C76" s="42"/>
      <c r="D76" s="43"/>
      <c r="E76" s="43"/>
      <c r="F76" s="39"/>
      <c r="H76" s="5"/>
    </row>
    <row r="77" spans="1:8" s="25" customFormat="1" ht="15" x14ac:dyDescent="0.25">
      <c r="A77" s="61" t="s">
        <v>140</v>
      </c>
      <c r="B77" s="61"/>
      <c r="C77" s="61"/>
      <c r="D77" s="61"/>
      <c r="E77" s="61"/>
      <c r="F77" s="61"/>
      <c r="G77" s="45"/>
      <c r="H77" s="45"/>
    </row>
    <row r="78" spans="1:8" s="25" customFormat="1" ht="15" x14ac:dyDescent="0.25">
      <c r="A78" s="46"/>
      <c r="B78" s="46"/>
      <c r="C78" s="46"/>
      <c r="D78" s="46"/>
      <c r="E78" s="46"/>
      <c r="F78" s="46"/>
      <c r="G78" s="45"/>
      <c r="H78" s="45"/>
    </row>
    <row r="79" spans="1:8" s="25" customFormat="1" ht="36.75" customHeight="1" x14ac:dyDescent="0.2">
      <c r="A79" s="62" t="s">
        <v>141</v>
      </c>
      <c r="B79" s="62"/>
      <c r="C79" s="62"/>
      <c r="D79" s="62"/>
      <c r="E79" s="62"/>
      <c r="F79" s="62"/>
      <c r="G79" s="45"/>
      <c r="H79" s="45"/>
    </row>
    <row r="80" spans="1:8" s="25" customFormat="1" ht="15" x14ac:dyDescent="0.2">
      <c r="A80" s="47"/>
      <c r="B80" s="48"/>
      <c r="C80" s="48"/>
      <c r="D80" s="48"/>
      <c r="E80" s="48"/>
      <c r="F80" s="48"/>
      <c r="G80" s="45"/>
      <c r="H80" s="45"/>
    </row>
    <row r="81" spans="1:8" s="25" customFormat="1" ht="15" x14ac:dyDescent="0.2">
      <c r="A81" s="63" t="s">
        <v>142</v>
      </c>
      <c r="B81" s="63"/>
      <c r="C81" s="63"/>
      <c r="D81" s="63"/>
      <c r="E81" s="63"/>
      <c r="F81" s="63"/>
      <c r="G81" s="45"/>
      <c r="H81" s="45"/>
    </row>
    <row r="82" spans="1:8" ht="74.25" customHeight="1" x14ac:dyDescent="0.2">
      <c r="A82" s="64" t="s">
        <v>143</v>
      </c>
      <c r="B82" s="64"/>
      <c r="C82" s="64"/>
      <c r="D82" s="64"/>
      <c r="E82" s="64"/>
      <c r="F82" s="49"/>
      <c r="G82" s="45"/>
      <c r="H82" s="45"/>
    </row>
    <row r="83" spans="1:8" x14ac:dyDescent="0.2">
      <c r="A83" s="44"/>
      <c r="B83" s="50"/>
      <c r="C83" s="51"/>
      <c r="D83" s="52"/>
      <c r="E83" s="39"/>
      <c r="G83" s="25"/>
    </row>
    <row r="84" spans="1:8" ht="15" x14ac:dyDescent="0.25">
      <c r="A84" s="53" t="s">
        <v>144</v>
      </c>
      <c r="B84" s="54"/>
      <c r="C84" s="54"/>
    </row>
    <row r="85" spans="1:8" ht="15" x14ac:dyDescent="0.25">
      <c r="A85" s="56" t="s">
        <v>146</v>
      </c>
      <c r="B85" s="54"/>
      <c r="C85" s="54"/>
      <c r="D85" s="54"/>
    </row>
    <row r="86" spans="1:8" ht="15" x14ac:dyDescent="0.25">
      <c r="A86" s="56" t="s">
        <v>147</v>
      </c>
      <c r="B86" s="54"/>
      <c r="C86" s="54"/>
      <c r="D86" s="54"/>
    </row>
    <row r="87" spans="1:8" ht="15" x14ac:dyDescent="0.25">
      <c r="A87" s="56" t="s">
        <v>148</v>
      </c>
      <c r="B87" s="54"/>
      <c r="C87" s="54"/>
      <c r="D87" s="54"/>
    </row>
    <row r="88" spans="1:8" ht="15" x14ac:dyDescent="0.25">
      <c r="A88" s="56"/>
      <c r="B88" s="54"/>
      <c r="C88" s="54"/>
      <c r="D88" s="54"/>
    </row>
    <row r="89" spans="1:8" ht="14.25" x14ac:dyDescent="0.2">
      <c r="A89" s="60" t="s">
        <v>149</v>
      </c>
      <c r="B89" s="54"/>
      <c r="C89" s="54"/>
      <c r="D89" s="55" t="s">
        <v>145</v>
      </c>
    </row>
    <row r="90" spans="1:8" x14ac:dyDescent="0.2">
      <c r="A90" s="54"/>
      <c r="B90" s="54"/>
      <c r="C90" s="54"/>
      <c r="D90" s="54"/>
    </row>
    <row r="91" spans="1:8" x14ac:dyDescent="0.2">
      <c r="A91" s="54"/>
      <c r="B91" s="54"/>
      <c r="C91" s="54"/>
      <c r="D91" s="54"/>
    </row>
    <row r="92" spans="1:8" x14ac:dyDescent="0.2">
      <c r="A92" s="54"/>
      <c r="B92" s="54"/>
      <c r="C92" s="54"/>
      <c r="D92" s="54"/>
    </row>
    <row r="93" spans="1:8" x14ac:dyDescent="0.2">
      <c r="A93" s="54"/>
      <c r="B93" s="54"/>
      <c r="C93" s="54"/>
      <c r="D93" s="54"/>
    </row>
    <row r="94" spans="1:8" x14ac:dyDescent="0.2">
      <c r="A94" s="54"/>
      <c r="B94" s="54"/>
      <c r="C94" s="54"/>
      <c r="D94" s="54"/>
    </row>
    <row r="95" spans="1:8" x14ac:dyDescent="0.2">
      <c r="A95" s="54"/>
      <c r="B95" s="54"/>
      <c r="C95" s="54"/>
      <c r="D95" s="54"/>
    </row>
    <row r="96" spans="1:8" x14ac:dyDescent="0.2">
      <c r="A96" s="54"/>
      <c r="B96" s="54"/>
      <c r="C96" s="54"/>
      <c r="D96" s="54"/>
    </row>
    <row r="97" spans="1:4" x14ac:dyDescent="0.2">
      <c r="A97" s="54"/>
      <c r="B97" s="54"/>
      <c r="C97" s="54"/>
      <c r="D97" s="54"/>
    </row>
    <row r="98" spans="1:4" x14ac:dyDescent="0.2">
      <c r="A98" s="54"/>
      <c r="B98" s="54"/>
      <c r="C98" s="54"/>
      <c r="D98" s="54"/>
    </row>
    <row r="99" spans="1:4" x14ac:dyDescent="0.2">
      <c r="A99" s="54"/>
      <c r="B99" s="54"/>
      <c r="C99" s="54"/>
      <c r="D99" s="54"/>
    </row>
    <row r="100" spans="1:4" x14ac:dyDescent="0.2">
      <c r="A100" s="54"/>
      <c r="B100" s="54"/>
      <c r="C100" s="54"/>
      <c r="D100" s="54"/>
    </row>
    <row r="101" spans="1:4" x14ac:dyDescent="0.2">
      <c r="A101" s="54"/>
      <c r="B101" s="54"/>
      <c r="C101" s="54"/>
      <c r="D101" s="54"/>
    </row>
    <row r="102" spans="1:4" x14ac:dyDescent="0.2">
      <c r="A102" s="54"/>
      <c r="B102" s="54"/>
      <c r="C102" s="54"/>
      <c r="D102" s="54"/>
    </row>
  </sheetData>
  <mergeCells count="4">
    <mergeCell ref="A77:F77"/>
    <mergeCell ref="A79:F79"/>
    <mergeCell ref="A81:F81"/>
    <mergeCell ref="A82:E8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2022-12-05T08:16:09Z</dcterms:created>
  <dcterms:modified xsi:type="dcterms:W3CDTF">2022-12-05T08:37:54Z</dcterms:modified>
</cp:coreProperties>
</file>