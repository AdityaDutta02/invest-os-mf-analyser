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C:\Users\shashidhar\Desktop\"/>
    </mc:Choice>
  </mc:AlternateContent>
  <xr:revisionPtr revIDLastSave="0" documentId="8_{C16AEB28-B7DE-482B-8859-DA62AD4675E5}" xr6:coauthVersionLast="47" xr6:coauthVersionMax="47" xr10:uidLastSave="{00000000-0000-0000-0000-000000000000}"/>
  <bookViews>
    <workbookView xWindow="-120" yWindow="-120" windowWidth="20730" windowHeight="11040" xr2:uid="{00000000-000D-0000-FFFF-FFFF00000000}"/>
  </bookViews>
  <sheets>
    <sheet name="JM Large and Midcap Fund" sheetId="1" r:id="rId1"/>
  </sheets>
  <definedNames>
    <definedName name="_xlnm._FilterDatabase" localSheetId="0" hidden="1">'JM Large and Midcap Fund'!$B$4:$I$79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and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 i="1" l="1"/>
  <c r="E84" i="1"/>
  <c r="E67" i="1"/>
</calcChain>
</file>

<file path=xl/sharedStrings.xml><?xml version="1.0" encoding="utf-8"?>
<sst xmlns="http://schemas.openxmlformats.org/spreadsheetml/2006/main" count="254" uniqueCount="195">
  <si>
    <t>Quantity</t>
  </si>
  <si>
    <t>JM Financial Mutual Fund</t>
  </si>
  <si>
    <t>NIL</t>
  </si>
  <si>
    <t>Total</t>
  </si>
  <si>
    <t>(b) Privately placed / Unlisted</t>
  </si>
  <si>
    <t>Cash &amp; Cash Equivalents</t>
  </si>
  <si>
    <t>Net Receivable/Payable</t>
  </si>
  <si>
    <t>CCIL</t>
  </si>
  <si>
    <t>Marico Limited</t>
  </si>
  <si>
    <t>Fortis Healthcare Limited</t>
  </si>
  <si>
    <t>(a) Listed / awaiting listing on the stock exchanges</t>
  </si>
  <si>
    <t>Dixon Technologies (India) Limited</t>
  </si>
  <si>
    <t>WAAREE ENERGIES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</si>
  <si>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</si>
  <si>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</si>
  <si>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</si>
  <si>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</si>
  <si>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</si>
  <si>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</si>
  <si>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</si>
  <si>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</si>
  <si>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</si>
  <si>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</si>
  <si>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</si>
  <si>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</si>
  <si>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</si>
  <si>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</si>
  <si>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</si>
  <si>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INE935N01020</t>
  </si>
  <si>
    <t>INE196A01026</t>
  </si>
  <si>
    <t>INE061F01013</t>
  </si>
  <si>
    <t>INE338I01027</t>
  </si>
  <si>
    <t>INE377N01017</t>
  </si>
  <si>
    <t>ISIN</t>
  </si>
  <si>
    <t>INE118H01025</t>
  </si>
  <si>
    <t>BSE Ltd</t>
  </si>
  <si>
    <t>Coforge Limited</t>
  </si>
  <si>
    <t>INE200A01026</t>
  </si>
  <si>
    <t>GE Vernova T&amp;D India Limited</t>
  </si>
  <si>
    <t>INE982J01020</t>
  </si>
  <si>
    <t>One 97 Communications Limited</t>
  </si>
  <si>
    <t>INE591G01025</t>
  </si>
  <si>
    <t>INE090A01021</t>
  </si>
  <si>
    <t>ICICI Bank Limited</t>
  </si>
  <si>
    <t>INE040A01034</t>
  </si>
  <si>
    <t>HDFC Bank Limited</t>
  </si>
  <si>
    <t>INE397D01024</t>
  </si>
  <si>
    <t>Bharti Airtel Limited</t>
  </si>
  <si>
    <t>INE262H01021</t>
  </si>
  <si>
    <t>PERSISTENT SYSTEMS LTD</t>
  </si>
  <si>
    <t>INE296A01032</t>
  </si>
  <si>
    <t>Bajaj Finance Limited</t>
  </si>
  <si>
    <t>INE018A01030</t>
  </si>
  <si>
    <t>Larsen &amp; Toubro Limited</t>
  </si>
  <si>
    <t>Construction</t>
  </si>
  <si>
    <t>Healthcare Services</t>
  </si>
  <si>
    <t>INE646L01027</t>
  </si>
  <si>
    <t>InterGlobe Aviation Limited</t>
  </si>
  <si>
    <t>INE494B01023</t>
  </si>
  <si>
    <t>TVS Motor Company Limited</t>
  </si>
  <si>
    <t>INE200M01039</t>
  </si>
  <si>
    <t>Varun Beverages Limited</t>
  </si>
  <si>
    <t>INE089A01031</t>
  </si>
  <si>
    <t>Dr. Reddy's Laboratories Limited</t>
  </si>
  <si>
    <t>INE944F01028</t>
  </si>
  <si>
    <t>Radico Khaitan Limited</t>
  </si>
  <si>
    <t>INE721A01047</t>
  </si>
  <si>
    <t>Shriram Finance Limited</t>
  </si>
  <si>
    <t>INE685A01028</t>
  </si>
  <si>
    <t>Torrent Pharmaceuticals Limited</t>
  </si>
  <si>
    <t>INE101A01026</t>
  </si>
  <si>
    <t>Mahindra &amp; Mahindra Limited</t>
  </si>
  <si>
    <t>INE742F01042</t>
  </si>
  <si>
    <t>Adani Port &amp; Special Economic Zone Ltd</t>
  </si>
  <si>
    <t>INE758T01015</t>
  </si>
  <si>
    <t>Eternal Limited</t>
  </si>
  <si>
    <t>INE271C01023</t>
  </si>
  <si>
    <t>DLF Limited</t>
  </si>
  <si>
    <t>INE849A01020</t>
  </si>
  <si>
    <t>Trent Limited</t>
  </si>
  <si>
    <t>JM Large and Midcap Fund (An open ended equity scheme predominantly investing in large and mid cap stocks.)</t>
  </si>
  <si>
    <t>INE383A01012</t>
  </si>
  <si>
    <t>INDIA CEMENTS LTD</t>
  </si>
  <si>
    <t>INE062A01020</t>
  </si>
  <si>
    <t>State Bank of India</t>
  </si>
  <si>
    <t>INE417T01026</t>
  </si>
  <si>
    <t>PB Fintech Limited</t>
  </si>
  <si>
    <t>INE263A01024</t>
  </si>
  <si>
    <t>Bharat Electronics Limited</t>
  </si>
  <si>
    <t>INE180A01020</t>
  </si>
  <si>
    <t>Max Financial Services Limited</t>
  </si>
  <si>
    <t>INE669C01036</t>
  </si>
  <si>
    <t>Tech Mahindra Limited</t>
  </si>
  <si>
    <t>INE013P01021</t>
  </si>
  <si>
    <t>One Source Specialty Pharma Ltd</t>
  </si>
  <si>
    <t>INE158A01026</t>
  </si>
  <si>
    <t>Hero MotoCorp Limited</t>
  </si>
  <si>
    <t>INE066F01020</t>
  </si>
  <si>
    <t>INE121E01018</t>
  </si>
  <si>
    <t>JSW Energy Limited</t>
  </si>
  <si>
    <t>Power</t>
  </si>
  <si>
    <t>Motilal Oswal Financial Services</t>
  </si>
  <si>
    <t>INE290S01011</t>
  </si>
  <si>
    <t>CarTrade Tech Limited</t>
  </si>
  <si>
    <t>INE585B01010</t>
  </si>
  <si>
    <t>Maruti Suzuki India Limited</t>
  </si>
  <si>
    <t>Banks</t>
  </si>
  <si>
    <t>INE324D01010</t>
  </si>
  <si>
    <t>LG Electronics India Limited</t>
  </si>
  <si>
    <t>INE169A01031</t>
  </si>
  <si>
    <t>Coromandel International Limited</t>
  </si>
  <si>
    <t>INE749A01030</t>
  </si>
  <si>
    <t>INE085001019</t>
  </si>
  <si>
    <t>WeWork India Management Limited</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</si>
  <si>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</si>
  <si>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</si>
  <si>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</si>
  <si>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</si>
  <si>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</si>
  <si>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</si>
  <si>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</si>
  <si>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</si>
  <si>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</si>
  <si>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Nifty Large Midcap 250 TRI</t>
  </si>
  <si>
    <t xml:space="preserve">                  The risk of the benchmark is Very High </t>
  </si>
  <si>
    <t>Scheme performance</t>
  </si>
  <si>
    <t xml:space="preserve">                      The risk of the scheme is Very High</t>
  </si>
  <si>
    <t xml:space="preserve">                                    Riskometer of the scheme </t>
  </si>
  <si>
    <t>This scheme is a new scheme and does not have any performance track record.</t>
  </si>
  <si>
    <t>INE002A01018</t>
  </si>
  <si>
    <t>Reliance Industries Limited</t>
  </si>
  <si>
    <t>INE205A01025</t>
  </si>
  <si>
    <t>Vedanta Limited</t>
  </si>
  <si>
    <t>Hindustan Aeronautics Limited</t>
  </si>
  <si>
    <t>INE092T01019</t>
  </si>
  <si>
    <t>IDFC First Bank Limited</t>
  </si>
  <si>
    <t>INE346A01027</t>
  </si>
  <si>
    <t>ICICI Prudential AMC Ltd</t>
  </si>
  <si>
    <t>(b) Unlisted</t>
  </si>
  <si>
    <t>INE494B04019</t>
  </si>
  <si>
    <t>CARE A1+</t>
  </si>
  <si>
    <t>INE274J01014</t>
  </si>
  <si>
    <t>Oil India Limited</t>
  </si>
  <si>
    <t>Oil</t>
  </si>
  <si>
    <t>INE774D01024</t>
  </si>
  <si>
    <t>Mahindra &amp; Mahindra Financial Serv Ltd.</t>
  </si>
  <si>
    <t>INE878B01027</t>
  </si>
  <si>
    <t>KEI Industries Limited</t>
  </si>
  <si>
    <t>INE211B01039</t>
  </si>
  <si>
    <t>The Phoenix Mills Limited</t>
  </si>
  <si>
    <t>INE154A01025</t>
  </si>
  <si>
    <t>ITC Limited</t>
  </si>
  <si>
    <t>INE298J01013</t>
  </si>
  <si>
    <t>Nippon Life India Asset Management Ltd</t>
  </si>
  <si>
    <t>INE930H01031</t>
  </si>
  <si>
    <t>K.P.R. Mill Ltd</t>
  </si>
  <si>
    <t>Monthly Portfolio Statement for the period ended 31.03.2026</t>
  </si>
  <si>
    <t>Jindal Steel Limited</t>
  </si>
  <si>
    <t>INE326A01037</t>
  </si>
  <si>
    <t>Lupin Limited</t>
  </si>
  <si>
    <t>INE245A01021</t>
  </si>
  <si>
    <t>The Tata Power Company Limited</t>
  </si>
  <si>
    <t>INE481G01011</t>
  </si>
  <si>
    <t>UltraTech Cement Limited</t>
  </si>
  <si>
    <t>INE405E01023</t>
  </si>
  <si>
    <t>UNO Minda Limited</t>
  </si>
  <si>
    <t>02-APR-2026</t>
  </si>
  <si>
    <t>Petroleum Products</t>
  </si>
  <si>
    <t>Telecom - Services</t>
  </si>
  <si>
    <t>Consumer Durables</t>
  </si>
  <si>
    <t>Finance</t>
  </si>
  <si>
    <t>Insurance</t>
  </si>
  <si>
    <t>Pharmaceuticals &amp; Biotechnology</t>
  </si>
  <si>
    <t>IT - Software</t>
  </si>
  <si>
    <t>Diversified Metals</t>
  </si>
  <si>
    <t>Ferrous Metals</t>
  </si>
  <si>
    <t>Capital Markets</t>
  </si>
  <si>
    <t>Fertilizers &amp; Agrochemicals</t>
  </si>
  <si>
    <t>Automobiles</t>
  </si>
  <si>
    <t>Electrical Equipment</t>
  </si>
  <si>
    <t>Financial Technology (Fintech)</t>
  </si>
  <si>
    <t>Transport Services</t>
  </si>
  <si>
    <t>Beverages</t>
  </si>
  <si>
    <t>Transport Infrastructure</t>
  </si>
  <si>
    <t>Industrial Products</t>
  </si>
  <si>
    <t>Aerospace &amp; Defense</t>
  </si>
  <si>
    <t>Agricultural Food &amp; other Products</t>
  </si>
  <si>
    <t>Diversified FMCG</t>
  </si>
  <si>
    <t>Retailing</t>
  </si>
  <si>
    <t>Cement &amp; Cement Products</t>
  </si>
  <si>
    <t>Textiles &amp; Apparels</t>
  </si>
  <si>
    <t>Commercial Services &amp; Supplies</t>
  </si>
  <si>
    <t>Realty</t>
  </si>
  <si>
    <t>Auto Components</t>
  </si>
  <si>
    <t xml:space="preserve">6% TVS Motor Co Ltd. Cumulative Non Convertible
Redeemable Preference Shares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</si>
</sst>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b/>
      <sz val="8"/>
      <name val="Century Gothic"/>
      <family val="2"/>
    </font>
    <font>
      <i/>
      <sz val="8"/>
      <color indexed="8"/>
      <name val="Century Gothic"/>
      <family val="2"/>
    </font>
    <font>
      <sz val="8"/>
      <color indexed="8"/>
      <name val="Century Gothic"/>
      <family val="2"/>
    </font>
    <font>
      <b/>
      <sz val="8"/>
      <color indexed="8"/>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164" fontId="2" fillId="0" borderId="0" applyFont="0" applyFill="0" applyBorder="0" applyAlignment="0" applyProtection="0"/>
    <xf numFmtId="0" fontId="2" fillId="0" borderId="0"/>
    <xf numFmtId="9" fontId="7" fillId="0" borderId="0" applyFont="0" applyFill="0" applyBorder="0" applyAlignment="0" applyProtection="0"/>
    <xf numFmtId="0" fontId="8" fillId="0" borderId="0" applyNumberFormat="0" applyFill="0" applyBorder="0" applyProtection="0"/>
    <xf numFmtId="0" fontId="5" fillId="0" borderId="0"/>
    <xf numFmtId="0" fontId="5" fillId="0" borderId="0"/>
  </cellStyleXfs>
  <cellXfs count="9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2" borderId="0" xfId="2" applyFont="1" applyFill="1" applyAlignment="1">
      <alignment horizontal="center" vertical="center" wrapText="1"/>
    </xf>
    <xf numFmtId="0" fontId="9"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11" fillId="0" borderId="0" xfId="8" applyFont="1" applyAlignment="1">
      <alignment horizontal="left" vertical="top" wrapText="1"/>
    </xf>
    <xf numFmtId="0" fontId="3" fillId="0" borderId="0" xfId="2" applyFont="1" applyAlignment="1">
      <alignment horizontal="righ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3" fillId="0" borderId="0" xfId="5" applyFont="1" applyAlignment="1">
      <alignment vertical="top"/>
    </xf>
    <xf numFmtId="0" fontId="12" fillId="0" borderId="0" xfId="8" applyFont="1" applyAlignment="1">
      <alignment vertical="top"/>
    </xf>
    <xf numFmtId="0" fontId="3" fillId="0" borderId="0" xfId="2" applyFont="1" applyAlignment="1">
      <alignment vertical="top"/>
    </xf>
    <xf numFmtId="0" fontId="11" fillId="0" borderId="0" xfId="8" applyFont="1" applyAlignment="1">
      <alignment vertical="top"/>
    </xf>
    <xf numFmtId="0" fontId="13" fillId="0" borderId="0" xfId="9" applyFont="1"/>
    <xf numFmtId="0" fontId="4" fillId="0" borderId="0" xfId="2" applyFont="1" applyAlignment="1">
      <alignment horizontal="left"/>
    </xf>
    <xf numFmtId="0" fontId="12" fillId="0" borderId="0" xfId="9" applyFont="1"/>
    <xf numFmtId="0" fontId="13" fillId="0" borderId="0" xfId="3" applyFont="1" applyAlignment="1">
      <alignment horizontal="center"/>
    </xf>
    <xf numFmtId="0" fontId="10" fillId="0" borderId="0" xfId="0" applyFont="1"/>
    <xf numFmtId="4" fontId="3" fillId="0" borderId="1" xfId="2" applyNumberFormat="1" applyFont="1" applyBorder="1"/>
    <xf numFmtId="4" fontId="3" fillId="0" borderId="0" xfId="0" applyNumberFormat="1" applyFont="1"/>
    <xf numFmtId="4" fontId="1" fillId="0" borderId="0" xfId="0" applyNumberFormat="1" applyFont="1"/>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65" fontId="10" fillId="0" borderId="1" xfId="1" applyNumberFormat="1" applyFont="1" applyFill="1" applyBorder="1" applyAlignment="1">
      <alignment horizontal="center" vertical="center"/>
    </xf>
    <xf numFmtId="165" fontId="10" fillId="0" borderId="1" xfId="1" applyNumberFormat="1" applyFont="1" applyFill="1" applyBorder="1" applyAlignment="1">
      <alignment horizontal="center" vertical="center" wrapText="1"/>
    </xf>
    <xf numFmtId="164" fontId="10" fillId="0" borderId="1" xfId="1" applyFont="1" applyBorder="1" applyAlignment="1">
      <alignment horizontal="center" vertical="center" wrapText="1"/>
    </xf>
    <xf numFmtId="10" fontId="10" fillId="0" borderId="1" xfId="0" applyNumberFormat="1" applyFont="1" applyBorder="1" applyAlignment="1">
      <alignment horizontal="center" vertical="center" wrapText="1"/>
    </xf>
    <xf numFmtId="0" fontId="1" fillId="0" borderId="0" xfId="0" applyFont="1" applyAlignment="1">
      <alignment horizontal="center"/>
    </xf>
    <xf numFmtId="0" fontId="12" fillId="0" borderId="1" xfId="0" applyFont="1" applyBorder="1"/>
    <xf numFmtId="0" fontId="14" fillId="0" borderId="1" xfId="0" applyFont="1" applyBorder="1" applyAlignment="1">
      <alignment horizontal="left" vertical="top"/>
    </xf>
    <xf numFmtId="4" fontId="12" fillId="0" borderId="1" xfId="0" applyNumberFormat="1" applyFont="1" applyBorder="1"/>
    <xf numFmtId="4" fontId="13" fillId="0" borderId="1" xfId="0" applyNumberFormat="1" applyFont="1" applyBorder="1" applyAlignment="1">
      <alignment horizontal="right"/>
    </xf>
    <xf numFmtId="10" fontId="12" fillId="0" borderId="1" xfId="6" applyNumberFormat="1" applyFont="1" applyFill="1" applyBorder="1" applyAlignment="1">
      <alignment horizontal="right"/>
    </xf>
    <xf numFmtId="10" fontId="12" fillId="0" borderId="1" xfId="6" applyNumberFormat="1" applyFont="1" applyFill="1" applyBorder="1" applyAlignment="1"/>
    <xf numFmtId="0" fontId="15" fillId="0" borderId="1" xfId="0" applyFont="1" applyBorder="1" applyAlignment="1">
      <alignment horizontal="right" vertical="top"/>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6" applyNumberFormat="1" applyFont="1" applyFill="1" applyBorder="1" applyAlignment="1" applyProtection="1">
      <alignment horizontal="right" vertical="top"/>
    </xf>
    <xf numFmtId="0" fontId="3" fillId="0" borderId="1" xfId="0" applyFont="1" applyBorder="1"/>
    <xf numFmtId="4" fontId="10" fillId="0" borderId="1" xfId="0" applyNumberFormat="1" applyFont="1" applyBorder="1" applyAlignment="1">
      <alignment horizontal="right" vertical="top"/>
    </xf>
    <xf numFmtId="10" fontId="10" fillId="0" borderId="1" xfId="6" applyNumberFormat="1" applyFont="1" applyBorder="1" applyAlignment="1">
      <alignment horizontal="right" vertical="top"/>
    </xf>
    <xf numFmtId="9" fontId="10" fillId="0" borderId="1" xfId="6" applyFont="1" applyBorder="1" applyAlignment="1">
      <alignment horizontal="right" vertical="top"/>
    </xf>
    <xf numFmtId="167" fontId="10"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4" fontId="15" fillId="0" borderId="1" xfId="0" applyNumberFormat="1" applyFont="1" applyBorder="1" applyAlignment="1">
      <alignment horizontal="left" vertical="top"/>
    </xf>
    <xf numFmtId="4" fontId="3" fillId="0" borderId="1" xfId="6" applyNumberFormat="1" applyFont="1" applyFill="1" applyBorder="1" applyAlignment="1" applyProtection="1">
      <alignment horizontal="right" vertical="top"/>
    </xf>
    <xf numFmtId="4" fontId="15" fillId="0" borderId="1" xfId="6" applyNumberFormat="1" applyFont="1" applyFill="1" applyBorder="1" applyAlignment="1" applyProtection="1">
      <alignment horizontal="right" vertical="top"/>
    </xf>
    <xf numFmtId="10" fontId="3" fillId="0" borderId="1" xfId="6" applyNumberFormat="1" applyFont="1" applyBorder="1"/>
    <xf numFmtId="167" fontId="12" fillId="0" borderId="1" xfId="0" applyNumberFormat="1" applyFont="1" applyBorder="1"/>
    <xf numFmtId="0" fontId="12" fillId="0" borderId="1" xfId="0" applyFont="1" applyBorder="1" applyAlignment="1">
      <alignment horizontal="right"/>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xf numFmtId="4" fontId="13" fillId="0" borderId="1" xfId="0" applyNumberFormat="1" applyFont="1" applyBorder="1"/>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13" fillId="0" borderId="1" xfId="0" applyNumberFormat="1" applyFont="1" applyBorder="1" applyAlignment="1">
      <alignment horizontal="right" vertical="top"/>
    </xf>
    <xf numFmtId="0" fontId="10" fillId="0" borderId="1" xfId="0" applyFont="1" applyBorder="1" applyAlignment="1">
      <alignment wrapText="1"/>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12" fillId="0" borderId="1" xfId="0" applyFont="1" applyBorder="1" applyAlignment="1">
      <alignment wrapText="1"/>
    </xf>
    <xf numFmtId="4" fontId="15" fillId="0" borderId="1" xfId="0" applyNumberFormat="1" applyFont="1" applyBorder="1" applyAlignment="1">
      <alignment horizontal="left"/>
    </xf>
    <xf numFmtId="4" fontId="15" fillId="0" borderId="1" xfId="0" applyNumberFormat="1" applyFont="1" applyBorder="1" applyAlignment="1">
      <alignment horizontal="right"/>
    </xf>
    <xf numFmtId="10" fontId="15" fillId="0" borderId="1" xfId="6" applyNumberFormat="1" applyFont="1" applyBorder="1" applyAlignment="1">
      <alignment horizontal="right"/>
    </xf>
    <xf numFmtId="4" fontId="3" fillId="0" borderId="1" xfId="6" applyNumberFormat="1" applyFont="1" applyFill="1" applyBorder="1" applyAlignment="1" applyProtection="1">
      <alignment horizontal="right"/>
    </xf>
    <xf numFmtId="4" fontId="15" fillId="0" borderId="1" xfId="6" applyNumberFormat="1" applyFont="1" applyFill="1" applyBorder="1" applyAlignment="1" applyProtection="1">
      <alignment horizontal="right"/>
    </xf>
    <xf numFmtId="10" fontId="3" fillId="0" borderId="1" xfId="6" applyNumberFormat="1" applyFont="1" applyBorder="1" applyAlignment="1"/>
    <xf numFmtId="0" fontId="6" fillId="2" borderId="3" xfId="2" applyFont="1" applyFill="1" applyBorder="1" applyAlignment="1">
      <alignment horizontal="center" vertical="center"/>
    </xf>
    <xf numFmtId="0" fontId="6" fillId="2" borderId="0" xfId="2" applyFont="1" applyFill="1" applyAlignment="1">
      <alignment horizontal="center" vertical="center" wrapText="1"/>
    </xf>
    <xf numFmtId="0" fontId="6" fillId="2" borderId="2" xfId="2" applyFont="1" applyFill="1" applyBorder="1" applyAlignment="1">
      <alignment horizontal="center" vertical="center" wrapText="1"/>
    </xf>
    <xf numFmtId="0" fontId="11" fillId="0" borderId="0" xfId="8" applyFont="1" applyAlignment="1">
      <alignment horizontal="left" vertical="top" wrapText="1"/>
    </xf>
    <xf numFmtId="0" fontId="10" fillId="0" borderId="0" xfId="2" applyFont="1" applyAlignment="1">
      <alignment horizontal="center"/>
    </xf>
    <xf numFmtId="0" fontId="3" fillId="0" borderId="0" xfId="0" applyFont="1"/>
    <xf numFmtId="0" fontId="10" fillId="0" borderId="0" xfId="2" applyFont="1"/>
    <xf numFmtId="0" fontId="10" fillId="0" borderId="0" xfId="0" applyFont="1"/>
    <xf numFmtId="0" fontId="10" fillId="0" borderId="0" xfId="2" applyFont="1" applyAlignment="1">
      <alignment horizontal="center" wrapText="1"/>
    </xf>
  </cellXfs>
  <cellStyles count="10">
    <cellStyle name="Comma" xfId="1" builtinId="3"/>
    <cellStyle name="Comma 4" xfId="4" xr:uid="{00000000-0005-0000-0000-000001000000}"/>
    <cellStyle name="Normal" xfId="0" builtinId="0"/>
    <cellStyle name="Normal 2 2 2" xfId="2" xr:uid="{00000000-0005-0000-0000-000003000000}"/>
    <cellStyle name="Normal 2 3 2" xfId="5" xr:uid="{00000000-0005-0000-0000-000004000000}"/>
    <cellStyle name="Normal 3" xfId="7" xr:uid="{00000000-0005-0000-0000-000005000000}"/>
    <cellStyle name="Normal 4_EF" xfId="9" xr:uid="{00000000-0005-0000-0000-000006000000}"/>
    <cellStyle name="Normal 4_IF" xfId="3" xr:uid="{00000000-0005-0000-0000-000007000000}"/>
    <cellStyle name="Normal 4_LD" xfId="8" xr:uid="{00000000-0005-0000-0000-000008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485775</xdr:colOff>
      <xdr:row>106</xdr:row>
      <xdr:rowOff>19050</xdr:rowOff>
    </xdr:from>
    <xdr:ext cx="2651125" cy="1466850"/>
    <xdr:pic>
      <xdr:nvPicPr>
        <xdr:cNvPr id="2" name="Picture 5">
          <a:extLst>
            <a:ext uri="{FF2B5EF4-FFF2-40B4-BE49-F238E27FC236}">
              <a16:creationId xmlns:a16="http://schemas.microsoft.com/office/drawing/2014/main" id="{45875E3F-3A26-4D9F-8092-8F16B32AC8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19640550"/>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1495425</xdr:colOff>
      <xdr:row>105</xdr:row>
      <xdr:rowOff>142875</xdr:rowOff>
    </xdr:from>
    <xdr:ext cx="2686050" cy="1466850"/>
    <xdr:pic>
      <xdr:nvPicPr>
        <xdr:cNvPr id="3" name="Picture 6">
          <a:extLst>
            <a:ext uri="{FF2B5EF4-FFF2-40B4-BE49-F238E27FC236}">
              <a16:creationId xmlns:a16="http://schemas.microsoft.com/office/drawing/2014/main" id="{53485722-C231-4981-A697-482A7F518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2150" y="20307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21"/>
  <sheetViews>
    <sheetView tabSelected="1" topLeftCell="A65" zoomScaleNormal="100" workbookViewId="0">
      <selection activeCell="A119" sqref="A119:B119"/>
    </sheetView>
  </sheetViews>
  <sheetFormatPr defaultColWidth="9.140625" defaultRowHeight="12.75" x14ac:dyDescent="0.2"/>
  <cols>
    <col min="1" max="1" width="14.42578125" style="1" customWidth="1"/>
    <col min="2" max="2" width="47.85546875" style="4" customWidth="1"/>
    <col min="3" max="3" width="35.85546875" style="3" customWidth="1"/>
    <col min="4" max="4" width="14.5703125" style="2" bestFit="1"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2.28515625" style="5" customWidth="1"/>
    <col min="11" max="16384" width="9.140625" style="1"/>
  </cols>
  <sheetData>
    <row r="1" spans="1:11" ht="13.5" x14ac:dyDescent="0.25">
      <c r="A1" s="8"/>
      <c r="B1" s="87" t="s">
        <v>1</v>
      </c>
      <c r="C1" s="87"/>
      <c r="D1" s="87"/>
      <c r="E1" s="87"/>
      <c r="F1" s="87"/>
      <c r="G1" s="87"/>
      <c r="H1" s="87"/>
      <c r="I1" s="87"/>
      <c r="J1" s="9"/>
    </row>
    <row r="2" spans="1:11" ht="13.5" x14ac:dyDescent="0.25">
      <c r="A2" s="8"/>
      <c r="B2" s="88" t="s">
        <v>80</v>
      </c>
      <c r="C2" s="88"/>
      <c r="D2" s="88"/>
      <c r="E2" s="88"/>
      <c r="F2" s="88"/>
      <c r="G2" s="88"/>
      <c r="H2" s="88"/>
      <c r="I2" s="88"/>
      <c r="J2" s="9"/>
    </row>
    <row r="3" spans="1:11" ht="12.75" customHeight="1" x14ac:dyDescent="0.25">
      <c r="A3" s="8"/>
      <c r="B3" s="89" t="s">
        <v>156</v>
      </c>
      <c r="C3" s="89"/>
      <c r="D3" s="89"/>
      <c r="E3" s="89"/>
      <c r="F3" s="89"/>
      <c r="G3" s="89"/>
      <c r="H3" s="89"/>
      <c r="I3" s="89"/>
      <c r="J3" s="9"/>
    </row>
    <row r="4" spans="1:11" s="38" customFormat="1" ht="25.5" x14ac:dyDescent="0.2">
      <c r="A4" s="32" t="s">
        <v>33</v>
      </c>
      <c r="B4" s="33" t="s">
        <v>21</v>
      </c>
      <c r="C4" s="34" t="s">
        <v>22</v>
      </c>
      <c r="D4" s="35" t="s">
        <v>0</v>
      </c>
      <c r="E4" s="36" t="s">
        <v>23</v>
      </c>
      <c r="F4" s="37" t="s">
        <v>24</v>
      </c>
      <c r="G4" s="32" t="s">
        <v>25</v>
      </c>
      <c r="H4" s="32" t="s">
        <v>26</v>
      </c>
      <c r="I4" s="32" t="s">
        <v>27</v>
      </c>
      <c r="J4" s="32" t="s">
        <v>114</v>
      </c>
    </row>
    <row r="5" spans="1:11" ht="14.25" x14ac:dyDescent="0.3">
      <c r="A5" s="39"/>
      <c r="B5" s="40" t="s">
        <v>10</v>
      </c>
      <c r="C5" s="39"/>
      <c r="D5" s="41"/>
      <c r="E5" s="42"/>
      <c r="F5" s="42"/>
      <c r="G5" s="43"/>
      <c r="H5" s="44"/>
      <c r="I5" s="45"/>
      <c r="J5" s="10"/>
      <c r="K5" s="13"/>
    </row>
    <row r="6" spans="1:11" ht="14.25" x14ac:dyDescent="0.3">
      <c r="A6" s="46" t="s">
        <v>42</v>
      </c>
      <c r="B6" s="46" t="s">
        <v>43</v>
      </c>
      <c r="C6" s="46" t="s">
        <v>106</v>
      </c>
      <c r="D6" s="47">
        <v>119000</v>
      </c>
      <c r="E6" s="47">
        <v>1435.021</v>
      </c>
      <c r="F6" s="48">
        <v>3.8753918085392962E-2</v>
      </c>
      <c r="G6" s="49"/>
      <c r="H6" s="49"/>
      <c r="I6" s="45"/>
      <c r="J6" s="10"/>
      <c r="K6" s="13"/>
    </row>
    <row r="7" spans="1:11" ht="14.25" x14ac:dyDescent="0.3">
      <c r="A7" s="46" t="s">
        <v>129</v>
      </c>
      <c r="B7" s="46" t="s">
        <v>130</v>
      </c>
      <c r="C7" s="46" t="s">
        <v>167</v>
      </c>
      <c r="D7" s="47">
        <v>96400</v>
      </c>
      <c r="E7" s="47">
        <v>1295.5196000000001</v>
      </c>
      <c r="F7" s="48">
        <v>3.4986568458873463E-2</v>
      </c>
      <c r="G7" s="49"/>
      <c r="H7" s="49"/>
      <c r="I7" s="45"/>
      <c r="J7" s="11"/>
      <c r="K7" s="13"/>
    </row>
    <row r="8" spans="1:11" ht="14.25" x14ac:dyDescent="0.3">
      <c r="A8" s="46" t="s">
        <v>44</v>
      </c>
      <c r="B8" s="46" t="s">
        <v>45</v>
      </c>
      <c r="C8" s="46" t="s">
        <v>106</v>
      </c>
      <c r="D8" s="47">
        <v>168000</v>
      </c>
      <c r="E8" s="47">
        <v>1229.0039999999999</v>
      </c>
      <c r="F8" s="48">
        <v>3.3190260172234615E-2</v>
      </c>
      <c r="G8" s="49"/>
      <c r="H8" s="49"/>
      <c r="I8" s="45"/>
      <c r="J8" s="11"/>
      <c r="K8" s="13"/>
    </row>
    <row r="9" spans="1:11" ht="14.25" x14ac:dyDescent="0.3">
      <c r="A9" s="46" t="s">
        <v>46</v>
      </c>
      <c r="B9" s="46" t="s">
        <v>47</v>
      </c>
      <c r="C9" s="46" t="s">
        <v>168</v>
      </c>
      <c r="D9" s="47">
        <v>66000</v>
      </c>
      <c r="E9" s="47">
        <v>1176.384</v>
      </c>
      <c r="F9" s="48">
        <v>3.1769213950852922E-2</v>
      </c>
      <c r="G9" s="49"/>
      <c r="H9" s="49"/>
      <c r="I9" s="45"/>
      <c r="J9" s="10"/>
      <c r="K9" s="13"/>
    </row>
    <row r="10" spans="1:11" ht="14.25" x14ac:dyDescent="0.3">
      <c r="A10" s="46" t="s">
        <v>107</v>
      </c>
      <c r="B10" s="46" t="s">
        <v>108</v>
      </c>
      <c r="C10" s="46" t="s">
        <v>169</v>
      </c>
      <c r="D10" s="47">
        <v>68288</v>
      </c>
      <c r="E10" s="47">
        <v>984.03008</v>
      </c>
      <c r="F10" s="48">
        <v>2.657453870980472E-2</v>
      </c>
      <c r="G10" s="49"/>
      <c r="H10" s="49"/>
      <c r="I10" s="45"/>
      <c r="J10" s="10"/>
      <c r="K10" s="13"/>
    </row>
    <row r="11" spans="1:11" ht="14.25" x14ac:dyDescent="0.3">
      <c r="A11" s="46" t="s">
        <v>30</v>
      </c>
      <c r="B11" s="46" t="s">
        <v>9</v>
      </c>
      <c r="C11" s="46" t="s">
        <v>55</v>
      </c>
      <c r="D11" s="47">
        <v>120000</v>
      </c>
      <c r="E11" s="47">
        <v>954</v>
      </c>
      <c r="F11" s="48">
        <v>2.5763551790158389E-2</v>
      </c>
      <c r="G11" s="49"/>
      <c r="H11" s="49"/>
      <c r="I11" s="45"/>
      <c r="J11" s="11"/>
      <c r="K11" s="13"/>
    </row>
    <row r="12" spans="1:11" ht="14.25" x14ac:dyDescent="0.3">
      <c r="A12" s="46" t="s">
        <v>50</v>
      </c>
      <c r="B12" s="46" t="s">
        <v>51</v>
      </c>
      <c r="C12" s="46" t="s">
        <v>170</v>
      </c>
      <c r="D12" s="47">
        <v>117000</v>
      </c>
      <c r="E12" s="47">
        <v>937.81349999999998</v>
      </c>
      <c r="F12" s="48">
        <v>2.5326422093039522E-2</v>
      </c>
      <c r="G12" s="49"/>
      <c r="H12" s="49"/>
      <c r="I12" s="45"/>
      <c r="J12" s="11"/>
      <c r="K12" s="13"/>
    </row>
    <row r="13" spans="1:11" ht="14.25" x14ac:dyDescent="0.3">
      <c r="A13" s="46" t="s">
        <v>89</v>
      </c>
      <c r="B13" s="46" t="s">
        <v>90</v>
      </c>
      <c r="C13" s="46" t="s">
        <v>171</v>
      </c>
      <c r="D13" s="47">
        <v>58998</v>
      </c>
      <c r="E13" s="47">
        <v>879.48318600000005</v>
      </c>
      <c r="F13" s="48">
        <v>2.3751164162562375E-2</v>
      </c>
      <c r="G13" s="49"/>
      <c r="H13" s="49"/>
      <c r="I13" s="45"/>
      <c r="J13" s="11"/>
      <c r="K13" s="13"/>
    </row>
    <row r="14" spans="1:11" ht="14.25" x14ac:dyDescent="0.3">
      <c r="A14" s="46" t="s">
        <v>68</v>
      </c>
      <c r="B14" s="46" t="s">
        <v>69</v>
      </c>
      <c r="C14" s="46" t="s">
        <v>172</v>
      </c>
      <c r="D14" s="47">
        <v>20602</v>
      </c>
      <c r="E14" s="47">
        <v>869.445604</v>
      </c>
      <c r="F14" s="48">
        <v>2.3480091034989038E-2</v>
      </c>
      <c r="G14" s="49"/>
      <c r="H14" s="49"/>
      <c r="I14" s="45"/>
      <c r="J14" s="11"/>
      <c r="K14" s="13"/>
    </row>
    <row r="15" spans="1:11" ht="14.25" x14ac:dyDescent="0.3">
      <c r="A15" s="46" t="s">
        <v>48</v>
      </c>
      <c r="B15" s="46" t="s">
        <v>49</v>
      </c>
      <c r="C15" s="46" t="s">
        <v>173</v>
      </c>
      <c r="D15" s="47">
        <v>17800</v>
      </c>
      <c r="E15" s="47">
        <v>868.14160000000004</v>
      </c>
      <c r="F15" s="48">
        <v>2.3444875338355313E-2</v>
      </c>
      <c r="G15" s="49"/>
      <c r="H15" s="49"/>
      <c r="I15" s="45"/>
      <c r="J15" s="11"/>
      <c r="K15" s="13"/>
    </row>
    <row r="16" spans="1:11" ht="14.25" x14ac:dyDescent="0.3">
      <c r="A16" s="46" t="s">
        <v>131</v>
      </c>
      <c r="B16" s="46" t="s">
        <v>132</v>
      </c>
      <c r="C16" s="46" t="s">
        <v>174</v>
      </c>
      <c r="D16" s="47">
        <v>131000</v>
      </c>
      <c r="E16" s="47">
        <v>857.78800000000001</v>
      </c>
      <c r="F16" s="48">
        <v>2.316526788571948E-2</v>
      </c>
      <c r="G16" s="49"/>
      <c r="H16" s="49"/>
      <c r="I16" s="45"/>
      <c r="J16" s="11"/>
      <c r="K16" s="13"/>
    </row>
    <row r="17" spans="1:11" ht="14.25" x14ac:dyDescent="0.3">
      <c r="A17" s="46" t="s">
        <v>83</v>
      </c>
      <c r="B17" s="46" t="s">
        <v>84</v>
      </c>
      <c r="C17" s="46" t="s">
        <v>106</v>
      </c>
      <c r="D17" s="47">
        <v>82000</v>
      </c>
      <c r="E17" s="47">
        <v>803.10799999999995</v>
      </c>
      <c r="F17" s="48">
        <v>2.1688589676195517E-2</v>
      </c>
      <c r="G17" s="49"/>
      <c r="H17" s="49"/>
      <c r="I17" s="45"/>
      <c r="J17" s="10"/>
      <c r="K17" s="13"/>
    </row>
    <row r="18" spans="1:11" ht="14.25" x14ac:dyDescent="0.3">
      <c r="A18" s="46" t="s">
        <v>111</v>
      </c>
      <c r="B18" s="46" t="s">
        <v>157</v>
      </c>
      <c r="C18" s="46" t="s">
        <v>175</v>
      </c>
      <c r="D18" s="47">
        <v>70800</v>
      </c>
      <c r="E18" s="47">
        <v>788.07479999999998</v>
      </c>
      <c r="F18" s="48">
        <v>2.1282605790690478E-2</v>
      </c>
      <c r="G18" s="49"/>
      <c r="H18" s="49"/>
      <c r="I18" s="45"/>
      <c r="J18" s="11"/>
      <c r="K18" s="13"/>
    </row>
    <row r="19" spans="1:11" ht="14.25" x14ac:dyDescent="0.3">
      <c r="A19" s="46" t="s">
        <v>34</v>
      </c>
      <c r="B19" s="46" t="s">
        <v>35</v>
      </c>
      <c r="C19" s="46" t="s">
        <v>176</v>
      </c>
      <c r="D19" s="47">
        <v>27593</v>
      </c>
      <c r="E19" s="47">
        <v>740.45815500000003</v>
      </c>
      <c r="F19" s="48">
        <v>1.9996679271265857E-2</v>
      </c>
      <c r="G19" s="49"/>
      <c r="H19" s="49"/>
      <c r="I19" s="45"/>
      <c r="J19" s="11"/>
      <c r="K19" s="13"/>
    </row>
    <row r="20" spans="1:11" ht="14.25" x14ac:dyDescent="0.3">
      <c r="A20" s="46" t="s">
        <v>98</v>
      </c>
      <c r="B20" s="46" t="s">
        <v>99</v>
      </c>
      <c r="C20" s="46" t="s">
        <v>100</v>
      </c>
      <c r="D20" s="47">
        <v>154000</v>
      </c>
      <c r="E20" s="47">
        <v>726.26400000000001</v>
      </c>
      <c r="F20" s="48">
        <v>1.9613354483571901E-2</v>
      </c>
      <c r="G20" s="49"/>
      <c r="H20" s="49"/>
      <c r="I20" s="45"/>
      <c r="J20" s="11"/>
      <c r="K20" s="13"/>
    </row>
    <row r="21" spans="1:11" ht="14.25" x14ac:dyDescent="0.3">
      <c r="A21" s="46" t="s">
        <v>109</v>
      </c>
      <c r="B21" s="46" t="s">
        <v>110</v>
      </c>
      <c r="C21" s="46" t="s">
        <v>177</v>
      </c>
      <c r="D21" s="47">
        <v>37972</v>
      </c>
      <c r="E21" s="47">
        <v>725.189256</v>
      </c>
      <c r="F21" s="48">
        <v>1.9584330141113659E-2</v>
      </c>
      <c r="G21" s="49"/>
      <c r="H21" s="49"/>
      <c r="I21" s="45"/>
      <c r="J21" s="11"/>
      <c r="K21" s="13"/>
    </row>
    <row r="22" spans="1:11" ht="14.25" x14ac:dyDescent="0.3">
      <c r="A22" s="46" t="s">
        <v>66</v>
      </c>
      <c r="B22" s="46" t="s">
        <v>67</v>
      </c>
      <c r="C22" s="46" t="s">
        <v>170</v>
      </c>
      <c r="D22" s="47">
        <v>83000</v>
      </c>
      <c r="E22" s="47">
        <v>723.84299999999996</v>
      </c>
      <c r="F22" s="48">
        <v>1.9547973394594988E-2</v>
      </c>
      <c r="G22" s="49"/>
      <c r="H22" s="49"/>
      <c r="I22" s="45"/>
      <c r="J22" s="10"/>
      <c r="K22" s="13"/>
    </row>
    <row r="23" spans="1:11" ht="14.25" x14ac:dyDescent="0.3">
      <c r="A23" s="46" t="s">
        <v>141</v>
      </c>
      <c r="B23" s="46" t="s">
        <v>142</v>
      </c>
      <c r="C23" s="46" t="s">
        <v>143</v>
      </c>
      <c r="D23" s="47">
        <v>152010</v>
      </c>
      <c r="E23" s="47">
        <v>722.73154499999998</v>
      </c>
      <c r="F23" s="48">
        <v>1.9517957641497576E-2</v>
      </c>
      <c r="G23" s="49"/>
      <c r="H23" s="49"/>
      <c r="I23" s="45"/>
      <c r="J23" s="11"/>
      <c r="K23" s="13"/>
    </row>
    <row r="24" spans="1:11" ht="14.25" x14ac:dyDescent="0.3">
      <c r="A24" s="46" t="s">
        <v>70</v>
      </c>
      <c r="B24" s="46" t="s">
        <v>71</v>
      </c>
      <c r="C24" s="46" t="s">
        <v>178</v>
      </c>
      <c r="D24" s="47">
        <v>24400</v>
      </c>
      <c r="E24" s="47">
        <v>720.94680000000005</v>
      </c>
      <c r="F24" s="48">
        <v>1.9469759140198075E-2</v>
      </c>
      <c r="G24" s="49"/>
      <c r="H24" s="49"/>
      <c r="I24" s="45"/>
      <c r="J24" s="11"/>
      <c r="K24" s="13"/>
    </row>
    <row r="25" spans="1:11" ht="14.25" x14ac:dyDescent="0.3">
      <c r="A25" s="46" t="s">
        <v>134</v>
      </c>
      <c r="B25" s="46" t="s">
        <v>135</v>
      </c>
      <c r="C25" s="46" t="s">
        <v>106</v>
      </c>
      <c r="D25" s="47">
        <v>1190000</v>
      </c>
      <c r="E25" s="47">
        <v>700.31500000000005</v>
      </c>
      <c r="F25" s="48">
        <v>1.8912580473715693E-2</v>
      </c>
      <c r="G25" s="49"/>
      <c r="H25" s="49"/>
      <c r="I25" s="45"/>
      <c r="J25" s="11"/>
      <c r="K25" s="13"/>
    </row>
    <row r="26" spans="1:11" ht="14.25" x14ac:dyDescent="0.3">
      <c r="A26" s="46" t="s">
        <v>41</v>
      </c>
      <c r="B26" s="46" t="s">
        <v>36</v>
      </c>
      <c r="C26" s="46" t="s">
        <v>173</v>
      </c>
      <c r="D26" s="47">
        <v>61000</v>
      </c>
      <c r="E26" s="47">
        <v>679.96699999999998</v>
      </c>
      <c r="F26" s="48">
        <v>1.8363066058803595E-2</v>
      </c>
      <c r="G26" s="49"/>
      <c r="H26" s="49"/>
      <c r="I26" s="45"/>
      <c r="J26" s="11"/>
      <c r="K26" s="13"/>
    </row>
    <row r="27" spans="1:11" ht="14.25" x14ac:dyDescent="0.3">
      <c r="A27" s="46" t="s">
        <v>32</v>
      </c>
      <c r="B27" s="46" t="s">
        <v>12</v>
      </c>
      <c r="C27" s="46" t="s">
        <v>179</v>
      </c>
      <c r="D27" s="47">
        <v>21800</v>
      </c>
      <c r="E27" s="47">
        <v>677.93640000000005</v>
      </c>
      <c r="F27" s="48">
        <v>1.8308228041754228E-2</v>
      </c>
      <c r="G27" s="49"/>
      <c r="H27" s="49"/>
      <c r="I27" s="45"/>
      <c r="J27" s="10"/>
      <c r="K27" s="13"/>
    </row>
    <row r="28" spans="1:11" ht="14.25" x14ac:dyDescent="0.3">
      <c r="A28" s="46" t="s">
        <v>39</v>
      </c>
      <c r="B28" s="46" t="s">
        <v>40</v>
      </c>
      <c r="C28" s="46" t="s">
        <v>180</v>
      </c>
      <c r="D28" s="47">
        <v>68284</v>
      </c>
      <c r="E28" s="47">
        <v>654.84356000000002</v>
      </c>
      <c r="F28" s="48">
        <v>1.7684586973282696E-2</v>
      </c>
      <c r="G28" s="49"/>
      <c r="H28" s="49"/>
      <c r="I28" s="45"/>
      <c r="J28" s="11"/>
      <c r="K28" s="13"/>
    </row>
    <row r="29" spans="1:11" ht="14.25" x14ac:dyDescent="0.3">
      <c r="A29" s="46" t="s">
        <v>62</v>
      </c>
      <c r="B29" s="46" t="s">
        <v>63</v>
      </c>
      <c r="C29" s="46" t="s">
        <v>172</v>
      </c>
      <c r="D29" s="47">
        <v>49850</v>
      </c>
      <c r="E29" s="47">
        <v>625.56764999999996</v>
      </c>
      <c r="F29" s="48">
        <v>1.6893967032518529E-2</v>
      </c>
      <c r="G29" s="49"/>
      <c r="H29" s="49"/>
      <c r="I29" s="45"/>
      <c r="J29" s="10"/>
      <c r="K29" s="13"/>
    </row>
    <row r="30" spans="1:11" ht="14.25" x14ac:dyDescent="0.3">
      <c r="A30" s="46" t="s">
        <v>56</v>
      </c>
      <c r="B30" s="46" t="s">
        <v>57</v>
      </c>
      <c r="C30" s="46" t="s">
        <v>181</v>
      </c>
      <c r="D30" s="47">
        <v>14900</v>
      </c>
      <c r="E30" s="47">
        <v>587.58150000000001</v>
      </c>
      <c r="F30" s="48">
        <v>1.5868119922629927E-2</v>
      </c>
      <c r="G30" s="49"/>
      <c r="H30" s="49"/>
      <c r="I30" s="45"/>
      <c r="J30" s="11"/>
      <c r="K30" s="13"/>
    </row>
    <row r="31" spans="1:11" ht="14.25" x14ac:dyDescent="0.3">
      <c r="A31" s="46" t="s">
        <v>64</v>
      </c>
      <c r="B31" s="46" t="s">
        <v>65</v>
      </c>
      <c r="C31" s="46" t="s">
        <v>182</v>
      </c>
      <c r="D31" s="47">
        <v>21849</v>
      </c>
      <c r="E31" s="47">
        <v>574.47575700000004</v>
      </c>
      <c r="F31" s="48">
        <v>1.5514188592934955E-2</v>
      </c>
      <c r="G31" s="49"/>
      <c r="H31" s="49"/>
      <c r="I31" s="45"/>
      <c r="J31" s="10"/>
      <c r="K31" s="13"/>
    </row>
    <row r="32" spans="1:11" ht="14.25" x14ac:dyDescent="0.3">
      <c r="A32" s="46" t="s">
        <v>52</v>
      </c>
      <c r="B32" s="46" t="s">
        <v>53</v>
      </c>
      <c r="C32" s="46" t="s">
        <v>54</v>
      </c>
      <c r="D32" s="47">
        <v>16300</v>
      </c>
      <c r="E32" s="47">
        <v>571.16830000000004</v>
      </c>
      <c r="F32" s="48">
        <v>1.5424868006233463E-2</v>
      </c>
      <c r="G32" s="49"/>
      <c r="H32" s="49"/>
      <c r="I32" s="45"/>
      <c r="J32" s="10"/>
      <c r="K32" s="13"/>
    </row>
    <row r="33" spans="1:11" ht="14.25" x14ac:dyDescent="0.3">
      <c r="A33" s="46" t="s">
        <v>72</v>
      </c>
      <c r="B33" s="46" t="s">
        <v>73</v>
      </c>
      <c r="C33" s="46" t="s">
        <v>183</v>
      </c>
      <c r="D33" s="47">
        <v>42400</v>
      </c>
      <c r="E33" s="47">
        <v>556.54240000000004</v>
      </c>
      <c r="F33" s="48">
        <v>1.5029883591005291E-2</v>
      </c>
      <c r="G33" s="49"/>
      <c r="H33" s="49"/>
      <c r="I33" s="45"/>
      <c r="J33" s="10"/>
      <c r="K33" s="13"/>
    </row>
    <row r="34" spans="1:11" ht="14.25" x14ac:dyDescent="0.3">
      <c r="A34" s="46" t="s">
        <v>146</v>
      </c>
      <c r="B34" s="46" t="s">
        <v>147</v>
      </c>
      <c r="C34" s="46" t="s">
        <v>184</v>
      </c>
      <c r="D34" s="47">
        <v>13708</v>
      </c>
      <c r="E34" s="47">
        <v>553.52904000000001</v>
      </c>
      <c r="F34" s="48">
        <v>1.4948505334797333E-2</v>
      </c>
      <c r="G34" s="49"/>
      <c r="H34" s="49"/>
      <c r="I34" s="45"/>
      <c r="J34" s="10"/>
      <c r="K34" s="13"/>
    </row>
    <row r="35" spans="1:11" ht="14.25" x14ac:dyDescent="0.3">
      <c r="A35" s="46" t="s">
        <v>87</v>
      </c>
      <c r="B35" s="46" t="s">
        <v>88</v>
      </c>
      <c r="C35" s="46" t="s">
        <v>185</v>
      </c>
      <c r="D35" s="47">
        <v>137351</v>
      </c>
      <c r="E35" s="47">
        <v>550.29678149999995</v>
      </c>
      <c r="F35" s="48">
        <v>1.4861215545212501E-2</v>
      </c>
      <c r="G35" s="49"/>
      <c r="H35" s="49"/>
      <c r="I35" s="45"/>
      <c r="J35" s="11"/>
      <c r="K35" s="13"/>
    </row>
    <row r="36" spans="1:11" ht="14.25" x14ac:dyDescent="0.3">
      <c r="A36" s="46" t="s">
        <v>58</v>
      </c>
      <c r="B36" s="46" t="s">
        <v>59</v>
      </c>
      <c r="C36" s="46" t="s">
        <v>178</v>
      </c>
      <c r="D36" s="47">
        <v>16100</v>
      </c>
      <c r="E36" s="47">
        <v>541.57180000000005</v>
      </c>
      <c r="F36" s="48">
        <v>1.4625590269800107E-2</v>
      </c>
      <c r="G36" s="49"/>
      <c r="H36" s="49"/>
      <c r="I36" s="45"/>
      <c r="J36" s="10"/>
      <c r="K36" s="13"/>
    </row>
    <row r="37" spans="1:11" ht="14.25" x14ac:dyDescent="0.3">
      <c r="A37" s="46" t="s">
        <v>29</v>
      </c>
      <c r="B37" s="46" t="s">
        <v>8</v>
      </c>
      <c r="C37" s="46" t="s">
        <v>186</v>
      </c>
      <c r="D37" s="47">
        <v>73500</v>
      </c>
      <c r="E37" s="47">
        <v>540.92325000000005</v>
      </c>
      <c r="F37" s="48">
        <v>1.4608075645572111E-2</v>
      </c>
      <c r="G37" s="49"/>
      <c r="H37" s="49"/>
      <c r="I37" s="45"/>
      <c r="J37" s="11"/>
      <c r="K37" s="13"/>
    </row>
    <row r="38" spans="1:11" ht="14.25" x14ac:dyDescent="0.3">
      <c r="A38" s="46" t="s">
        <v>144</v>
      </c>
      <c r="B38" s="46" t="s">
        <v>145</v>
      </c>
      <c r="C38" s="46" t="s">
        <v>170</v>
      </c>
      <c r="D38" s="47">
        <v>184545</v>
      </c>
      <c r="E38" s="47">
        <v>527.98324500000001</v>
      </c>
      <c r="F38" s="48">
        <v>1.4258620206387197E-2</v>
      </c>
      <c r="G38" s="49"/>
      <c r="H38" s="49"/>
      <c r="I38" s="45"/>
      <c r="J38" s="11"/>
      <c r="K38" s="13"/>
    </row>
    <row r="39" spans="1:11" ht="14.25" x14ac:dyDescent="0.3">
      <c r="A39" s="46" t="s">
        <v>95</v>
      </c>
      <c r="B39" s="46" t="s">
        <v>96</v>
      </c>
      <c r="C39" s="46" t="s">
        <v>178</v>
      </c>
      <c r="D39" s="47">
        <v>10250</v>
      </c>
      <c r="E39" s="47">
        <v>518.95749999999998</v>
      </c>
      <c r="F39" s="48">
        <v>1.4014872566185664E-2</v>
      </c>
      <c r="G39" s="49"/>
      <c r="H39" s="49"/>
      <c r="I39" s="45"/>
      <c r="J39" s="11"/>
      <c r="K39" s="13"/>
    </row>
    <row r="40" spans="1:11" ht="14.25" x14ac:dyDescent="0.3">
      <c r="A40" s="46" t="s">
        <v>150</v>
      </c>
      <c r="B40" s="46" t="s">
        <v>151</v>
      </c>
      <c r="C40" s="46" t="s">
        <v>187</v>
      </c>
      <c r="D40" s="47">
        <v>180000</v>
      </c>
      <c r="E40" s="47">
        <v>517.86</v>
      </c>
      <c r="F40" s="48">
        <v>1.3985233679299186E-2</v>
      </c>
      <c r="G40" s="49"/>
      <c r="H40" s="49"/>
      <c r="I40" s="45"/>
      <c r="J40" s="11"/>
      <c r="K40" s="13"/>
    </row>
    <row r="41" spans="1:11" ht="14.25" x14ac:dyDescent="0.3">
      <c r="A41" s="46" t="s">
        <v>85</v>
      </c>
      <c r="B41" s="46" t="s">
        <v>86</v>
      </c>
      <c r="C41" s="46" t="s">
        <v>180</v>
      </c>
      <c r="D41" s="47">
        <v>35650</v>
      </c>
      <c r="E41" s="47">
        <v>509.01069999999999</v>
      </c>
      <c r="F41" s="48">
        <v>1.3746251080916955E-2</v>
      </c>
      <c r="G41" s="49"/>
      <c r="H41" s="49"/>
      <c r="I41" s="45"/>
      <c r="J41" s="11"/>
      <c r="K41" s="13"/>
    </row>
    <row r="42" spans="1:11" ht="14.25" x14ac:dyDescent="0.3">
      <c r="A42" s="46" t="s">
        <v>74</v>
      </c>
      <c r="B42" s="46" t="s">
        <v>75</v>
      </c>
      <c r="C42" s="46" t="s">
        <v>188</v>
      </c>
      <c r="D42" s="47">
        <v>213000</v>
      </c>
      <c r="E42" s="47">
        <v>487.72739999999999</v>
      </c>
      <c r="F42" s="48">
        <v>1.3171478123039095E-2</v>
      </c>
      <c r="G42" s="49"/>
      <c r="H42" s="49"/>
      <c r="I42" s="45"/>
      <c r="J42" s="11"/>
      <c r="K42" s="13"/>
    </row>
    <row r="43" spans="1:11" ht="14.25" x14ac:dyDescent="0.3">
      <c r="A43" s="46" t="s">
        <v>158</v>
      </c>
      <c r="B43" s="46" t="s">
        <v>159</v>
      </c>
      <c r="C43" s="46" t="s">
        <v>172</v>
      </c>
      <c r="D43" s="47">
        <v>21000</v>
      </c>
      <c r="E43" s="47">
        <v>485.91899999999998</v>
      </c>
      <c r="F43" s="48">
        <v>1.3122640799079637E-2</v>
      </c>
      <c r="G43" s="49"/>
      <c r="H43" s="49"/>
      <c r="I43" s="45"/>
      <c r="J43" s="11"/>
      <c r="K43" s="13"/>
    </row>
    <row r="44" spans="1:11" ht="14.25" x14ac:dyDescent="0.3">
      <c r="A44" s="46" t="s">
        <v>152</v>
      </c>
      <c r="B44" s="46" t="s">
        <v>153</v>
      </c>
      <c r="C44" s="46" t="s">
        <v>176</v>
      </c>
      <c r="D44" s="47">
        <v>59477</v>
      </c>
      <c r="E44" s="47">
        <v>476.7973705</v>
      </c>
      <c r="F44" s="48">
        <v>1.2876303719379548E-2</v>
      </c>
      <c r="G44" s="49"/>
      <c r="H44" s="49"/>
      <c r="I44" s="45"/>
      <c r="J44" s="11"/>
      <c r="K44" s="13"/>
    </row>
    <row r="45" spans="1:11" ht="14.25" x14ac:dyDescent="0.3">
      <c r="A45" s="46" t="s">
        <v>37</v>
      </c>
      <c r="B45" s="46" t="s">
        <v>38</v>
      </c>
      <c r="C45" s="46" t="s">
        <v>179</v>
      </c>
      <c r="D45" s="47">
        <v>12949</v>
      </c>
      <c r="E45" s="47">
        <v>471.39539600000001</v>
      </c>
      <c r="F45" s="48">
        <v>1.273041897116166E-2</v>
      </c>
      <c r="G45" s="49"/>
      <c r="H45" s="49"/>
      <c r="I45" s="45"/>
      <c r="J45" s="11"/>
      <c r="K45" s="13"/>
    </row>
    <row r="46" spans="1:11" ht="14.25" x14ac:dyDescent="0.3">
      <c r="A46" s="46" t="s">
        <v>136</v>
      </c>
      <c r="B46" s="46" t="s">
        <v>137</v>
      </c>
      <c r="C46" s="46" t="s">
        <v>176</v>
      </c>
      <c r="D46" s="47">
        <v>16821</v>
      </c>
      <c r="E46" s="47">
        <v>471.24031500000001</v>
      </c>
      <c r="F46" s="48">
        <v>1.2726230881669867E-2</v>
      </c>
      <c r="G46" s="49"/>
      <c r="H46" s="49"/>
      <c r="I46" s="45"/>
      <c r="J46" s="11"/>
      <c r="K46" s="13"/>
    </row>
    <row r="47" spans="1:11" ht="14.25" x14ac:dyDescent="0.3">
      <c r="A47" s="46" t="s">
        <v>93</v>
      </c>
      <c r="B47" s="46" t="s">
        <v>94</v>
      </c>
      <c r="C47" s="46" t="s">
        <v>172</v>
      </c>
      <c r="D47" s="47">
        <v>31849</v>
      </c>
      <c r="E47" s="47">
        <v>469.23131699999999</v>
      </c>
      <c r="F47" s="48">
        <v>1.2671976244333048E-2</v>
      </c>
      <c r="G47" s="49"/>
      <c r="H47" s="49"/>
      <c r="I47" s="45"/>
      <c r="J47" s="11"/>
      <c r="K47" s="13"/>
    </row>
    <row r="48" spans="1:11" ht="14.25" x14ac:dyDescent="0.3">
      <c r="A48" s="46" t="s">
        <v>81</v>
      </c>
      <c r="B48" s="46" t="s">
        <v>82</v>
      </c>
      <c r="C48" s="46" t="s">
        <v>189</v>
      </c>
      <c r="D48" s="47">
        <v>135221</v>
      </c>
      <c r="E48" s="47">
        <v>464.88979799999998</v>
      </c>
      <c r="F48" s="48">
        <v>1.255472996592167E-2</v>
      </c>
      <c r="G48" s="49"/>
      <c r="H48" s="49"/>
      <c r="I48" s="45"/>
      <c r="J48" s="10"/>
      <c r="K48" s="13"/>
    </row>
    <row r="49" spans="1:11" ht="14.25" x14ac:dyDescent="0.3">
      <c r="A49" s="46" t="s">
        <v>91</v>
      </c>
      <c r="B49" s="46" t="s">
        <v>92</v>
      </c>
      <c r="C49" s="46" t="s">
        <v>173</v>
      </c>
      <c r="D49" s="47">
        <v>31300</v>
      </c>
      <c r="E49" s="47">
        <v>433.19200000000001</v>
      </c>
      <c r="F49" s="48">
        <v>1.1698704955012885E-2</v>
      </c>
      <c r="G49" s="49"/>
      <c r="H49" s="49"/>
      <c r="I49" s="45"/>
      <c r="J49" s="10"/>
      <c r="K49" s="13"/>
    </row>
    <row r="50" spans="1:11" ht="14.25" x14ac:dyDescent="0.3">
      <c r="A50" s="46" t="s">
        <v>28</v>
      </c>
      <c r="B50" s="46" t="s">
        <v>11</v>
      </c>
      <c r="C50" s="46" t="s">
        <v>169</v>
      </c>
      <c r="D50" s="47">
        <v>4450</v>
      </c>
      <c r="E50" s="47">
        <v>430.44850000000002</v>
      </c>
      <c r="F50" s="48">
        <v>1.1624614489251566E-2</v>
      </c>
      <c r="G50" s="49"/>
      <c r="H50" s="49"/>
      <c r="I50" s="45"/>
      <c r="J50" s="11"/>
      <c r="K50" s="13"/>
    </row>
    <row r="51" spans="1:11" ht="14.25" x14ac:dyDescent="0.3">
      <c r="A51" s="46" t="s">
        <v>154</v>
      </c>
      <c r="B51" s="46" t="s">
        <v>155</v>
      </c>
      <c r="C51" s="46" t="s">
        <v>190</v>
      </c>
      <c r="D51" s="47">
        <v>50000</v>
      </c>
      <c r="E51" s="47">
        <v>414.72500000000002</v>
      </c>
      <c r="F51" s="48">
        <v>1.1199988486554967E-2</v>
      </c>
      <c r="G51" s="49"/>
      <c r="H51" s="49"/>
      <c r="I51" s="45"/>
      <c r="J51" s="10"/>
      <c r="K51" s="13"/>
    </row>
    <row r="52" spans="1:11" ht="14.25" x14ac:dyDescent="0.3">
      <c r="A52" s="46" t="s">
        <v>112</v>
      </c>
      <c r="B52" s="46" t="s">
        <v>113</v>
      </c>
      <c r="C52" s="46" t="s">
        <v>191</v>
      </c>
      <c r="D52" s="47">
        <v>89688</v>
      </c>
      <c r="E52" s="47">
        <v>408.39430800000002</v>
      </c>
      <c r="F52" s="48">
        <v>1.102902296117809E-2</v>
      </c>
      <c r="G52" s="49"/>
      <c r="H52" s="49"/>
      <c r="I52" s="45"/>
      <c r="J52" s="11"/>
      <c r="K52" s="13"/>
    </row>
    <row r="53" spans="1:11" ht="14.25" x14ac:dyDescent="0.3">
      <c r="A53" s="46" t="s">
        <v>97</v>
      </c>
      <c r="B53" s="46" t="s">
        <v>133</v>
      </c>
      <c r="C53" s="46" t="s">
        <v>185</v>
      </c>
      <c r="D53" s="47">
        <v>11300</v>
      </c>
      <c r="E53" s="47">
        <v>394.05360000000002</v>
      </c>
      <c r="F53" s="48">
        <v>1.0641740389620921E-2</v>
      </c>
      <c r="G53" s="49"/>
      <c r="H53" s="49"/>
      <c r="I53" s="45"/>
      <c r="J53" s="10"/>
      <c r="K53" s="13"/>
    </row>
    <row r="54" spans="1:11" ht="14.25" x14ac:dyDescent="0.3">
      <c r="A54" s="46" t="s">
        <v>31</v>
      </c>
      <c r="B54" s="46" t="s">
        <v>101</v>
      </c>
      <c r="C54" s="46" t="s">
        <v>176</v>
      </c>
      <c r="D54" s="47">
        <v>61700</v>
      </c>
      <c r="E54" s="47">
        <v>390.40674999999999</v>
      </c>
      <c r="F54" s="48">
        <v>1.0543254216826435E-2</v>
      </c>
      <c r="G54" s="49"/>
      <c r="H54" s="49"/>
      <c r="I54" s="45"/>
      <c r="J54" s="11"/>
      <c r="K54" s="13"/>
    </row>
    <row r="55" spans="1:11" ht="14.25" x14ac:dyDescent="0.3">
      <c r="A55" s="46" t="s">
        <v>160</v>
      </c>
      <c r="B55" s="46" t="s">
        <v>161</v>
      </c>
      <c r="C55" s="46" t="s">
        <v>100</v>
      </c>
      <c r="D55" s="47">
        <v>100000</v>
      </c>
      <c r="E55" s="47">
        <v>378.75</v>
      </c>
      <c r="F55" s="48">
        <v>1.0228454130526719E-2</v>
      </c>
      <c r="G55" s="49"/>
      <c r="H55" s="49"/>
      <c r="I55" s="45"/>
      <c r="J55" s="10"/>
      <c r="K55" s="13"/>
    </row>
    <row r="56" spans="1:11" ht="14.25" x14ac:dyDescent="0.3">
      <c r="A56" s="46" t="s">
        <v>104</v>
      </c>
      <c r="B56" s="46" t="s">
        <v>105</v>
      </c>
      <c r="C56" s="46" t="s">
        <v>178</v>
      </c>
      <c r="D56" s="47">
        <v>3000</v>
      </c>
      <c r="E56" s="47">
        <v>369.18</v>
      </c>
      <c r="F56" s="48">
        <v>9.9700084380405386E-3</v>
      </c>
      <c r="G56" s="49"/>
      <c r="H56" s="49"/>
      <c r="I56" s="45"/>
      <c r="J56" s="11"/>
      <c r="K56" s="13"/>
    </row>
    <row r="57" spans="1:11" ht="14.25" x14ac:dyDescent="0.3">
      <c r="A57" s="46" t="s">
        <v>162</v>
      </c>
      <c r="B57" s="46" t="s">
        <v>163</v>
      </c>
      <c r="C57" s="46" t="s">
        <v>189</v>
      </c>
      <c r="D57" s="47">
        <v>3389</v>
      </c>
      <c r="E57" s="47">
        <v>364.14805000000001</v>
      </c>
      <c r="F57" s="48">
        <v>9.8341165046752482E-3</v>
      </c>
      <c r="G57" s="49"/>
      <c r="H57" s="49"/>
      <c r="I57" s="45"/>
      <c r="J57" s="11"/>
      <c r="K57" s="13"/>
    </row>
    <row r="58" spans="1:11" ht="14.25" x14ac:dyDescent="0.3">
      <c r="A58" s="46" t="s">
        <v>148</v>
      </c>
      <c r="B58" s="46" t="s">
        <v>149</v>
      </c>
      <c r="C58" s="46" t="s">
        <v>192</v>
      </c>
      <c r="D58" s="47">
        <v>24000</v>
      </c>
      <c r="E58" s="47">
        <v>361.512</v>
      </c>
      <c r="F58" s="48">
        <v>9.7629278142177568E-3</v>
      </c>
      <c r="G58" s="49"/>
      <c r="H58" s="49"/>
      <c r="I58" s="45"/>
      <c r="J58" s="10"/>
      <c r="K58" s="13"/>
    </row>
    <row r="59" spans="1:11" ht="14.25" x14ac:dyDescent="0.3">
      <c r="A59" s="46" t="s">
        <v>164</v>
      </c>
      <c r="B59" s="46" t="s">
        <v>165</v>
      </c>
      <c r="C59" s="46" t="s">
        <v>193</v>
      </c>
      <c r="D59" s="47">
        <v>35000</v>
      </c>
      <c r="E59" s="47">
        <v>361.06</v>
      </c>
      <c r="F59" s="48">
        <v>9.750721183809841E-3</v>
      </c>
      <c r="G59" s="49"/>
      <c r="H59" s="49"/>
      <c r="I59" s="45"/>
      <c r="J59" s="11"/>
      <c r="K59" s="13"/>
    </row>
    <row r="60" spans="1:11" ht="14.25" x14ac:dyDescent="0.3">
      <c r="A60" s="46" t="s">
        <v>60</v>
      </c>
      <c r="B60" s="46" t="s">
        <v>61</v>
      </c>
      <c r="C60" s="46" t="s">
        <v>182</v>
      </c>
      <c r="D60" s="47">
        <v>90000</v>
      </c>
      <c r="E60" s="47">
        <v>345.69</v>
      </c>
      <c r="F60" s="48">
        <v>9.3356417383017327E-3</v>
      </c>
      <c r="G60" s="49"/>
      <c r="H60" s="49"/>
      <c r="I60" s="45"/>
      <c r="J60" s="10"/>
      <c r="K60" s="13"/>
    </row>
    <row r="61" spans="1:11" ht="14.25" x14ac:dyDescent="0.3">
      <c r="A61" s="46" t="s">
        <v>102</v>
      </c>
      <c r="B61" s="46" t="s">
        <v>103</v>
      </c>
      <c r="C61" s="46" t="s">
        <v>188</v>
      </c>
      <c r="D61" s="47">
        <v>19631</v>
      </c>
      <c r="E61" s="47">
        <v>323.91149999999999</v>
      </c>
      <c r="F61" s="48">
        <v>8.7474954986141405E-3</v>
      </c>
      <c r="G61" s="49"/>
      <c r="H61" s="49"/>
      <c r="I61" s="45"/>
      <c r="J61" s="11"/>
      <c r="K61" s="13"/>
    </row>
    <row r="62" spans="1:11" ht="14.25" x14ac:dyDescent="0.3">
      <c r="A62" s="46" t="s">
        <v>78</v>
      </c>
      <c r="B62" s="46" t="s">
        <v>79</v>
      </c>
      <c r="C62" s="46" t="s">
        <v>188</v>
      </c>
      <c r="D62" s="47">
        <v>8700</v>
      </c>
      <c r="E62" s="47">
        <v>286.7346</v>
      </c>
      <c r="F62" s="48">
        <v>7.7435028481450206E-3</v>
      </c>
      <c r="G62" s="49"/>
      <c r="H62" s="49"/>
      <c r="I62" s="45"/>
      <c r="J62" s="11"/>
      <c r="K62" s="13"/>
    </row>
    <row r="63" spans="1:11" ht="14.25" x14ac:dyDescent="0.3">
      <c r="A63" s="46" t="s">
        <v>76</v>
      </c>
      <c r="B63" s="46" t="s">
        <v>77</v>
      </c>
      <c r="C63" s="50" t="s">
        <v>192</v>
      </c>
      <c r="D63" s="47">
        <v>47000</v>
      </c>
      <c r="E63" s="47">
        <v>236.92699999999999</v>
      </c>
      <c r="F63" s="48">
        <v>6.3984077934872716E-3</v>
      </c>
      <c r="G63" s="49"/>
      <c r="H63" s="49"/>
      <c r="I63" s="45"/>
      <c r="J63" s="11"/>
      <c r="K63" s="13"/>
    </row>
    <row r="64" spans="1:11" ht="14.25" x14ac:dyDescent="0.3">
      <c r="A64" s="46"/>
      <c r="B64" s="40" t="s">
        <v>13</v>
      </c>
      <c r="C64" s="46"/>
      <c r="D64" s="47"/>
      <c r="E64" s="51">
        <v>36152.109914000015</v>
      </c>
      <c r="F64" s="52">
        <v>0.976317354395008</v>
      </c>
      <c r="G64" s="53"/>
      <c r="H64" s="49"/>
      <c r="I64" s="45"/>
      <c r="J64" s="11"/>
      <c r="K64" s="13"/>
    </row>
    <row r="65" spans="1:11" ht="14.25" x14ac:dyDescent="0.3">
      <c r="A65" s="46"/>
      <c r="B65" s="40" t="s">
        <v>138</v>
      </c>
      <c r="C65" s="46"/>
      <c r="D65" s="47"/>
      <c r="E65" s="51" t="s">
        <v>2</v>
      </c>
      <c r="F65" s="54" t="s">
        <v>2</v>
      </c>
      <c r="G65" s="49"/>
      <c r="H65" s="49"/>
      <c r="I65" s="45"/>
      <c r="J65" s="11"/>
      <c r="K65" s="13"/>
    </row>
    <row r="66" spans="1:11" ht="14.25" x14ac:dyDescent="0.3">
      <c r="A66" s="46"/>
      <c r="B66" s="40" t="s">
        <v>13</v>
      </c>
      <c r="C66" s="46"/>
      <c r="D66" s="47"/>
      <c r="E66" s="51" t="s">
        <v>2</v>
      </c>
      <c r="F66" s="54" t="s">
        <v>2</v>
      </c>
      <c r="G66" s="49"/>
      <c r="H66" s="49"/>
      <c r="I66" s="45"/>
      <c r="J66" s="11"/>
      <c r="K66" s="13"/>
    </row>
    <row r="67" spans="1:11" ht="14.25" x14ac:dyDescent="0.3">
      <c r="A67" s="46"/>
      <c r="B67" s="40" t="s">
        <v>3</v>
      </c>
      <c r="C67" s="46"/>
      <c r="D67" s="47"/>
      <c r="E67" s="51">
        <f>E64</f>
        <v>36152.109914000015</v>
      </c>
      <c r="F67" s="55">
        <v>0.976317354395008</v>
      </c>
      <c r="G67" s="49"/>
      <c r="H67" s="49"/>
      <c r="I67" s="45"/>
      <c r="J67" s="11"/>
      <c r="K67" s="13"/>
    </row>
    <row r="68" spans="1:11" ht="14.25" x14ac:dyDescent="0.3">
      <c r="A68" s="46"/>
      <c r="B68" s="40"/>
      <c r="C68" s="46"/>
      <c r="D68" s="47"/>
      <c r="E68" s="51"/>
      <c r="F68" s="55"/>
      <c r="G68" s="49"/>
      <c r="H68" s="49"/>
      <c r="I68" s="45"/>
      <c r="J68" s="11"/>
      <c r="K68" s="13"/>
    </row>
    <row r="69" spans="1:11" ht="14.25" x14ac:dyDescent="0.3">
      <c r="A69" s="39"/>
      <c r="B69" s="40" t="s">
        <v>14</v>
      </c>
      <c r="C69" s="39"/>
      <c r="D69" s="39"/>
      <c r="E69" s="39"/>
      <c r="F69" s="60"/>
      <c r="G69" s="61"/>
      <c r="H69" s="39"/>
      <c r="I69" s="45"/>
      <c r="J69" s="11"/>
      <c r="K69" s="13"/>
    </row>
    <row r="70" spans="1:11" ht="14.25" x14ac:dyDescent="0.3">
      <c r="A70" s="46"/>
      <c r="B70" s="40" t="s">
        <v>15</v>
      </c>
      <c r="C70" s="46"/>
      <c r="D70" s="56"/>
      <c r="E70" s="51" t="s">
        <v>2</v>
      </c>
      <c r="F70" s="54" t="s">
        <v>2</v>
      </c>
      <c r="G70" s="45"/>
      <c r="H70" s="46"/>
      <c r="I70" s="45"/>
      <c r="J70" s="11"/>
      <c r="K70" s="13"/>
    </row>
    <row r="71" spans="1:11" ht="14.25" x14ac:dyDescent="0.3">
      <c r="A71" s="39"/>
      <c r="B71" s="40" t="s">
        <v>13</v>
      </c>
      <c r="C71" s="39"/>
      <c r="D71" s="41"/>
      <c r="E71" s="62" t="s">
        <v>2</v>
      </c>
      <c r="F71" s="55" t="s">
        <v>2</v>
      </c>
      <c r="G71" s="63"/>
      <c r="H71" s="55"/>
      <c r="I71" s="45"/>
      <c r="J71" s="11"/>
      <c r="K71" s="13"/>
    </row>
    <row r="72" spans="1:11" ht="14.25" x14ac:dyDescent="0.3">
      <c r="A72" s="64"/>
      <c r="B72" s="40" t="s">
        <v>4</v>
      </c>
      <c r="C72" s="64"/>
      <c r="D72" s="65"/>
      <c r="E72" s="42" t="s">
        <v>2</v>
      </c>
      <c r="F72" s="42" t="s">
        <v>2</v>
      </c>
      <c r="G72" s="63"/>
      <c r="H72" s="55"/>
      <c r="I72" s="45"/>
      <c r="J72" s="11"/>
      <c r="K72" s="13"/>
    </row>
    <row r="73" spans="1:11" ht="14.25" x14ac:dyDescent="0.3">
      <c r="A73" s="66"/>
      <c r="B73" s="40" t="s">
        <v>13</v>
      </c>
      <c r="C73" s="66"/>
      <c r="D73" s="66"/>
      <c r="E73" s="62" t="s">
        <v>2</v>
      </c>
      <c r="F73" s="55" t="s">
        <v>2</v>
      </c>
      <c r="G73" s="67"/>
      <c r="H73" s="66"/>
      <c r="I73" s="45"/>
      <c r="J73" s="11"/>
      <c r="K73" s="13"/>
    </row>
    <row r="74" spans="1:11" ht="14.25" x14ac:dyDescent="0.3">
      <c r="A74" s="66"/>
      <c r="B74" s="40" t="s">
        <v>16</v>
      </c>
      <c r="C74" s="66"/>
      <c r="D74" s="67"/>
      <c r="E74" s="42" t="s">
        <v>2</v>
      </c>
      <c r="F74" s="42" t="s">
        <v>2</v>
      </c>
      <c r="G74" s="68"/>
      <c r="H74" s="68"/>
      <c r="I74" s="45"/>
      <c r="J74" s="11"/>
      <c r="K74" s="13"/>
    </row>
    <row r="75" spans="1:11" ht="14.25" x14ac:dyDescent="0.3">
      <c r="A75" s="64"/>
      <c r="B75" s="40" t="s">
        <v>13</v>
      </c>
      <c r="C75" s="64"/>
      <c r="D75" s="65"/>
      <c r="E75" s="62" t="s">
        <v>2</v>
      </c>
      <c r="F75" s="55" t="s">
        <v>2</v>
      </c>
      <c r="G75" s="69"/>
      <c r="H75" s="70"/>
      <c r="I75" s="45"/>
      <c r="J75" s="11"/>
      <c r="K75" s="13"/>
    </row>
    <row r="76" spans="1:11" ht="14.25" x14ac:dyDescent="0.3">
      <c r="A76" s="64"/>
      <c r="B76" s="40" t="s">
        <v>17</v>
      </c>
      <c r="C76" s="64"/>
      <c r="D76" s="65"/>
      <c r="E76" s="42" t="s">
        <v>2</v>
      </c>
      <c r="F76" s="42" t="s">
        <v>2</v>
      </c>
      <c r="G76" s="69"/>
      <c r="H76" s="70"/>
      <c r="I76" s="45"/>
      <c r="J76" s="11"/>
      <c r="K76" s="13"/>
    </row>
    <row r="77" spans="1:11" ht="14.25" x14ac:dyDescent="0.3">
      <c r="A77" s="64"/>
      <c r="B77" s="40" t="s">
        <v>13</v>
      </c>
      <c r="C77" s="64"/>
      <c r="D77" s="65"/>
      <c r="E77" s="62" t="s">
        <v>2</v>
      </c>
      <c r="F77" s="55" t="s">
        <v>2</v>
      </c>
      <c r="G77" s="63"/>
      <c r="H77" s="55"/>
      <c r="I77" s="45"/>
      <c r="J77" s="11"/>
      <c r="K77" s="13"/>
    </row>
    <row r="78" spans="1:11" ht="14.25" x14ac:dyDescent="0.3">
      <c r="A78" s="64"/>
      <c r="B78" s="71" t="s">
        <v>3</v>
      </c>
      <c r="C78" s="64"/>
      <c r="D78" s="65"/>
      <c r="E78" s="62" t="s">
        <v>2</v>
      </c>
      <c r="F78" s="55" t="s">
        <v>2</v>
      </c>
      <c r="G78" s="63"/>
      <c r="H78" s="55"/>
      <c r="I78" s="45"/>
      <c r="J78" s="11"/>
      <c r="K78" s="13"/>
    </row>
    <row r="79" spans="1:11" ht="14.25" x14ac:dyDescent="0.3">
      <c r="A79" s="66"/>
      <c r="B79" s="66"/>
      <c r="C79" s="66"/>
      <c r="D79" s="72"/>
      <c r="E79" s="72"/>
      <c r="F79" s="73"/>
      <c r="G79" s="68"/>
      <c r="H79" s="68"/>
      <c r="I79" s="45"/>
      <c r="J79" s="11"/>
      <c r="K79" s="13"/>
    </row>
    <row r="80" spans="1:11" ht="13.5" customHeight="1" x14ac:dyDescent="0.3">
      <c r="A80" s="64"/>
      <c r="B80" s="40" t="s">
        <v>18</v>
      </c>
      <c r="C80" s="64"/>
      <c r="D80" s="65"/>
      <c r="E80" s="74"/>
      <c r="F80" s="54"/>
      <c r="G80" s="63"/>
      <c r="H80" s="55"/>
      <c r="I80" s="45"/>
      <c r="J80" s="11"/>
      <c r="K80" s="13"/>
    </row>
    <row r="81" spans="1:11" ht="13.5" customHeight="1" x14ac:dyDescent="0.3">
      <c r="A81" s="64"/>
      <c r="B81" s="64" t="s">
        <v>3</v>
      </c>
      <c r="C81" s="64"/>
      <c r="D81" s="65"/>
      <c r="E81" s="51" t="s">
        <v>2</v>
      </c>
      <c r="F81" s="55" t="s">
        <v>2</v>
      </c>
      <c r="G81" s="63"/>
      <c r="H81" s="55"/>
      <c r="I81" s="45"/>
      <c r="J81" s="11"/>
      <c r="K81" s="13"/>
    </row>
    <row r="82" spans="1:11" ht="13.5" customHeight="1" x14ac:dyDescent="0.3">
      <c r="A82" s="64"/>
      <c r="B82" s="64"/>
      <c r="C82" s="64"/>
      <c r="D82" s="65"/>
      <c r="E82" s="51"/>
      <c r="F82" s="55"/>
      <c r="G82" s="63"/>
      <c r="H82" s="55"/>
      <c r="I82" s="45"/>
      <c r="J82" s="11"/>
      <c r="K82" s="13"/>
    </row>
    <row r="83" spans="1:11" s="31" customFormat="1" ht="40.5" x14ac:dyDescent="0.3">
      <c r="A83" s="56" t="s">
        <v>139</v>
      </c>
      <c r="B83" s="80" t="s">
        <v>194</v>
      </c>
      <c r="C83" s="81" t="s">
        <v>140</v>
      </c>
      <c r="D83" s="82">
        <v>84000</v>
      </c>
      <c r="E83" s="82">
        <v>8.61</v>
      </c>
      <c r="F83" s="83">
        <v>2.0000000000000001E-4</v>
      </c>
      <c r="G83" s="84">
        <v>46266</v>
      </c>
      <c r="H83" s="85"/>
      <c r="I83" s="86">
        <v>8.1479999999999997E-2</v>
      </c>
      <c r="J83" s="29"/>
      <c r="K83" s="30"/>
    </row>
    <row r="84" spans="1:11" s="31" customFormat="1" ht="14.25" x14ac:dyDescent="0.3">
      <c r="A84" s="56"/>
      <c r="B84" s="64" t="s">
        <v>3</v>
      </c>
      <c r="C84" s="56"/>
      <c r="D84" s="47"/>
      <c r="E84" s="51">
        <f>+E83</f>
        <v>8.61</v>
      </c>
      <c r="F84" s="52">
        <f>+F83</f>
        <v>2.0000000000000001E-4</v>
      </c>
      <c r="G84" s="57"/>
      <c r="H84" s="58"/>
      <c r="I84" s="59"/>
      <c r="J84" s="29"/>
      <c r="K84" s="30"/>
    </row>
    <row r="85" spans="1:11" ht="13.5" customHeight="1" x14ac:dyDescent="0.3">
      <c r="A85" s="64"/>
      <c r="B85" s="64"/>
      <c r="C85" s="64"/>
      <c r="D85" s="65"/>
      <c r="E85" s="65"/>
      <c r="F85" s="54"/>
      <c r="G85" s="63"/>
      <c r="H85" s="55"/>
      <c r="I85" s="45"/>
      <c r="J85" s="11"/>
      <c r="K85" s="13"/>
    </row>
    <row r="86" spans="1:11" ht="14.25" x14ac:dyDescent="0.3">
      <c r="A86" s="64"/>
      <c r="B86" s="75" t="s">
        <v>19</v>
      </c>
      <c r="C86" s="64"/>
      <c r="D86" s="65"/>
      <c r="E86" s="65"/>
      <c r="F86" s="54"/>
      <c r="G86" s="63"/>
      <c r="H86" s="55"/>
      <c r="I86" s="45"/>
      <c r="J86" s="11"/>
      <c r="K86" s="13"/>
    </row>
    <row r="87" spans="1:11" ht="14.25" x14ac:dyDescent="0.3">
      <c r="A87" s="46"/>
      <c r="B87" s="46" t="s">
        <v>7</v>
      </c>
      <c r="C87" s="46"/>
      <c r="D87" s="47">
        <v>5083.6803</v>
      </c>
      <c r="E87" s="47">
        <v>508.28659649999997</v>
      </c>
      <c r="F87" s="48">
        <v>1.3726696072506385E-2</v>
      </c>
      <c r="G87" s="63" t="s">
        <v>166</v>
      </c>
      <c r="H87" s="55"/>
      <c r="I87" s="59">
        <v>5.8496079999999999E-2</v>
      </c>
      <c r="J87" s="12"/>
      <c r="K87" s="13"/>
    </row>
    <row r="88" spans="1:11" ht="14.25" x14ac:dyDescent="0.3">
      <c r="A88" s="64"/>
      <c r="B88" s="75" t="s">
        <v>3</v>
      </c>
      <c r="C88" s="64"/>
      <c r="D88" s="65"/>
      <c r="E88" s="51">
        <v>508.28659649999997</v>
      </c>
      <c r="F88" s="55">
        <v>1.3726696072506385E-2</v>
      </c>
      <c r="G88" s="63"/>
      <c r="H88" s="55"/>
      <c r="I88" s="45"/>
      <c r="J88" s="12"/>
      <c r="K88" s="13"/>
    </row>
    <row r="89" spans="1:11" ht="14.25" x14ac:dyDescent="0.3">
      <c r="A89" s="64"/>
      <c r="B89" s="75"/>
      <c r="C89" s="64"/>
      <c r="D89" s="65"/>
      <c r="E89" s="65"/>
      <c r="F89" s="54"/>
      <c r="G89" s="63"/>
      <c r="H89" s="55"/>
      <c r="I89" s="45"/>
      <c r="J89" s="12"/>
      <c r="K89" s="13"/>
    </row>
    <row r="90" spans="1:11" ht="14.25" x14ac:dyDescent="0.3">
      <c r="A90" s="64"/>
      <c r="B90" s="75" t="s">
        <v>5</v>
      </c>
      <c r="C90" s="64"/>
      <c r="D90" s="65"/>
      <c r="E90" s="65"/>
      <c r="F90" s="54"/>
      <c r="G90" s="63"/>
      <c r="H90" s="55"/>
      <c r="I90" s="45"/>
      <c r="J90" s="12"/>
      <c r="K90" s="13"/>
    </row>
    <row r="91" spans="1:11" ht="14.25" x14ac:dyDescent="0.3">
      <c r="A91" s="39"/>
      <c r="B91" s="75" t="s">
        <v>6</v>
      </c>
      <c r="C91" s="39"/>
      <c r="D91" s="41"/>
      <c r="E91" s="41">
        <v>360.04941200000002</v>
      </c>
      <c r="F91" s="48">
        <v>9.7234294267065785E-3</v>
      </c>
      <c r="G91" s="63"/>
      <c r="H91" s="63"/>
      <c r="I91" s="45"/>
      <c r="J91" s="11"/>
      <c r="K91" s="13"/>
    </row>
    <row r="92" spans="1:11" ht="14.25" x14ac:dyDescent="0.3">
      <c r="A92" s="64"/>
      <c r="B92" s="75" t="s">
        <v>3</v>
      </c>
      <c r="C92" s="64"/>
      <c r="D92" s="65"/>
      <c r="E92" s="65">
        <v>360.04941200000002</v>
      </c>
      <c r="F92" s="55">
        <v>9.7234294267065785E-3</v>
      </c>
      <c r="G92" s="76"/>
      <c r="H92" s="77"/>
      <c r="I92" s="45"/>
      <c r="J92" s="11"/>
      <c r="K92" s="13"/>
    </row>
    <row r="93" spans="1:11" ht="14.25" x14ac:dyDescent="0.3">
      <c r="A93" s="50"/>
      <c r="B93" s="75" t="s">
        <v>20</v>
      </c>
      <c r="C93" s="50"/>
      <c r="D93" s="50"/>
      <c r="E93" s="65">
        <v>37029.055922500018</v>
      </c>
      <c r="F93" s="55">
        <v>1</v>
      </c>
      <c r="G93" s="78"/>
      <c r="H93" s="50"/>
      <c r="I93" s="45"/>
      <c r="J93" s="11"/>
      <c r="K93" s="13"/>
    </row>
    <row r="94" spans="1:11" ht="14.25" x14ac:dyDescent="0.3">
      <c r="A94" s="13"/>
      <c r="B94" s="7"/>
      <c r="C94" s="7"/>
      <c r="D94" s="7"/>
      <c r="E94" s="6"/>
      <c r="F94" s="6"/>
      <c r="G94" s="7"/>
      <c r="H94" s="7"/>
      <c r="I94" s="6"/>
      <c r="J94" s="6"/>
      <c r="K94" s="13"/>
    </row>
    <row r="95" spans="1:11" ht="14.25" x14ac:dyDescent="0.3">
      <c r="A95" s="20" t="s">
        <v>115</v>
      </c>
      <c r="B95" s="20"/>
      <c r="C95" s="20"/>
      <c r="D95" s="20"/>
      <c r="E95" s="20"/>
      <c r="F95" s="20"/>
      <c r="G95" s="20"/>
      <c r="H95" s="20"/>
      <c r="I95" s="6"/>
      <c r="J95" s="13"/>
      <c r="K95" s="13"/>
    </row>
    <row r="96" spans="1:11" ht="14.25" x14ac:dyDescent="0.3">
      <c r="A96" s="20" t="s">
        <v>116</v>
      </c>
      <c r="B96" s="20"/>
      <c r="C96" s="20"/>
      <c r="D96" s="20"/>
      <c r="E96" s="20"/>
      <c r="F96" s="20"/>
      <c r="G96" s="20"/>
      <c r="H96" s="20"/>
      <c r="I96" s="6"/>
      <c r="J96" s="6"/>
      <c r="K96" s="13"/>
    </row>
    <row r="97" spans="1:11" ht="14.25" x14ac:dyDescent="0.3">
      <c r="A97" s="21" t="s">
        <v>117</v>
      </c>
      <c r="B97" s="21"/>
      <c r="C97" s="21"/>
      <c r="D97" s="21"/>
      <c r="E97" s="21"/>
      <c r="F97" s="21"/>
      <c r="G97" s="22"/>
      <c r="H97" s="22"/>
      <c r="I97" s="6"/>
      <c r="J97" s="6"/>
      <c r="K97" s="13"/>
    </row>
    <row r="98" spans="1:11" ht="62.25" customHeight="1" x14ac:dyDescent="0.3">
      <c r="A98" s="90" t="s">
        <v>118</v>
      </c>
      <c r="B98" s="90"/>
      <c r="C98" s="90"/>
      <c r="D98" s="90"/>
      <c r="E98" s="90"/>
      <c r="F98" s="90"/>
      <c r="G98" s="90"/>
      <c r="H98" s="90"/>
      <c r="I98" s="6"/>
      <c r="J98" s="6"/>
      <c r="K98" s="13"/>
    </row>
    <row r="99" spans="1:11" ht="14.25" x14ac:dyDescent="0.3">
      <c r="A99" s="23"/>
      <c r="B99" s="23"/>
      <c r="C99" s="23"/>
      <c r="D99" s="23"/>
      <c r="E99" s="23"/>
      <c r="F99" s="23"/>
      <c r="G99" s="22"/>
      <c r="H99" s="22"/>
      <c r="I99" s="6"/>
      <c r="J99" s="6"/>
      <c r="K99" s="13"/>
    </row>
    <row r="100" spans="1:11" ht="14.25" x14ac:dyDescent="0.3">
      <c r="A100" s="24" t="s">
        <v>119</v>
      </c>
      <c r="B100" s="25"/>
      <c r="C100" s="6"/>
      <c r="D100" s="25"/>
      <c r="E100" s="6"/>
      <c r="F100" s="6"/>
      <c r="G100" s="6"/>
      <c r="H100" s="6"/>
      <c r="I100" s="6"/>
      <c r="J100" s="6"/>
      <c r="K100" s="13"/>
    </row>
    <row r="101" spans="1:11" ht="14.25" x14ac:dyDescent="0.3">
      <c r="A101" s="26" t="s">
        <v>120</v>
      </c>
      <c r="B101" s="25"/>
      <c r="C101" s="25"/>
      <c r="D101" s="25"/>
      <c r="E101" s="6"/>
      <c r="F101" s="6"/>
      <c r="G101" s="6"/>
      <c r="H101" s="6"/>
      <c r="I101" s="6"/>
      <c r="J101" s="13"/>
      <c r="K101" s="13"/>
    </row>
    <row r="102" spans="1:11" ht="14.25" x14ac:dyDescent="0.3">
      <c r="A102" s="26" t="s">
        <v>121</v>
      </c>
      <c r="B102" s="25"/>
      <c r="C102" s="25"/>
      <c r="D102" s="25"/>
      <c r="E102" s="6"/>
      <c r="F102" s="6"/>
      <c r="G102" s="6"/>
      <c r="H102" s="6"/>
      <c r="I102" s="13"/>
      <c r="J102" s="13"/>
      <c r="K102" s="13"/>
    </row>
    <row r="103" spans="1:11" ht="14.25" x14ac:dyDescent="0.3">
      <c r="A103" s="26" t="s">
        <v>122</v>
      </c>
      <c r="B103" s="25"/>
      <c r="C103" s="25"/>
      <c r="D103" s="25"/>
      <c r="E103" s="6"/>
      <c r="F103" s="6"/>
      <c r="G103" s="6"/>
      <c r="H103" s="6"/>
      <c r="I103" s="13"/>
      <c r="J103" s="13"/>
      <c r="K103" s="13"/>
    </row>
    <row r="104" spans="1:11" ht="14.25" x14ac:dyDescent="0.3">
      <c r="A104" s="13"/>
      <c r="B104" s="16"/>
      <c r="C104" s="17"/>
      <c r="D104" s="18"/>
      <c r="E104" s="6"/>
      <c r="F104" s="6"/>
      <c r="G104" s="6"/>
      <c r="H104" s="6"/>
      <c r="I104" s="13"/>
      <c r="J104" s="13"/>
      <c r="K104" s="13"/>
    </row>
    <row r="105" spans="1:11" ht="14.25" x14ac:dyDescent="0.3">
      <c r="A105" s="94" t="s">
        <v>127</v>
      </c>
      <c r="B105" s="94"/>
      <c r="C105" s="91" t="s">
        <v>123</v>
      </c>
      <c r="D105" s="91"/>
      <c r="E105" s="92"/>
      <c r="F105" s="92"/>
      <c r="G105" s="6"/>
      <c r="H105" s="6"/>
      <c r="I105" s="13"/>
      <c r="J105" s="14"/>
      <c r="K105" s="13"/>
    </row>
    <row r="106" spans="1:11" ht="14.25" x14ac:dyDescent="0.3">
      <c r="A106" s="13"/>
      <c r="B106" s="27"/>
      <c r="C106" s="17"/>
      <c r="D106" s="18"/>
      <c r="E106" s="6"/>
      <c r="F106" s="6"/>
      <c r="G106" s="6"/>
      <c r="H106" s="6"/>
      <c r="I106" s="13"/>
      <c r="J106" s="15"/>
      <c r="K106" s="13"/>
    </row>
    <row r="107" spans="1:11" ht="14.25" x14ac:dyDescent="0.3">
      <c r="A107" s="13"/>
      <c r="B107" s="16"/>
      <c r="C107" s="17"/>
      <c r="D107" s="18"/>
      <c r="E107" s="6"/>
      <c r="F107" s="6"/>
      <c r="G107" s="6"/>
      <c r="H107" s="6"/>
      <c r="I107" s="13"/>
      <c r="J107" s="15"/>
      <c r="K107" s="13"/>
    </row>
    <row r="108" spans="1:11" ht="14.25" x14ac:dyDescent="0.3">
      <c r="A108" s="13"/>
      <c r="B108" s="16"/>
      <c r="C108" s="17"/>
      <c r="D108" s="18"/>
      <c r="E108" s="6"/>
      <c r="F108" s="6"/>
      <c r="G108" s="6"/>
      <c r="H108" s="6"/>
      <c r="I108" s="13"/>
      <c r="J108" s="15"/>
      <c r="K108" s="13"/>
    </row>
    <row r="109" spans="1:11" ht="14.25" x14ac:dyDescent="0.3">
      <c r="A109" s="13"/>
      <c r="B109" s="16"/>
      <c r="C109" s="17"/>
      <c r="D109" s="18"/>
      <c r="E109" s="6"/>
      <c r="F109" s="6"/>
      <c r="G109" s="6"/>
      <c r="H109" s="6"/>
      <c r="I109" s="13"/>
      <c r="J109" s="15"/>
      <c r="K109" s="13"/>
    </row>
    <row r="110" spans="1:11" ht="14.25" x14ac:dyDescent="0.3">
      <c r="A110" s="13"/>
      <c r="B110" s="16"/>
      <c r="C110" s="17"/>
      <c r="D110" s="18"/>
      <c r="E110" s="6"/>
      <c r="F110" s="6"/>
      <c r="G110" s="6"/>
      <c r="H110" s="6"/>
      <c r="I110" s="13"/>
      <c r="J110" s="15"/>
      <c r="K110" s="13"/>
    </row>
    <row r="111" spans="1:11" ht="14.25" x14ac:dyDescent="0.3">
      <c r="A111" s="13"/>
      <c r="B111" s="16"/>
      <c r="C111" s="17"/>
      <c r="D111" s="18"/>
      <c r="E111" s="6"/>
      <c r="F111" s="6"/>
      <c r="G111" s="6"/>
      <c r="H111" s="6"/>
      <c r="I111" s="13"/>
      <c r="J111" s="15"/>
      <c r="K111" s="13"/>
    </row>
    <row r="112" spans="1:11" ht="14.25" x14ac:dyDescent="0.3">
      <c r="A112" s="13"/>
      <c r="B112" s="16"/>
      <c r="C112" s="17"/>
      <c r="D112" s="18"/>
      <c r="E112" s="6"/>
      <c r="F112" s="6"/>
      <c r="G112" s="6"/>
      <c r="H112" s="6"/>
      <c r="I112" s="13"/>
      <c r="J112" s="15"/>
      <c r="K112" s="13"/>
    </row>
    <row r="113" spans="1:11" ht="14.25" x14ac:dyDescent="0.3">
      <c r="A113" s="13"/>
      <c r="B113" s="16"/>
      <c r="C113" s="17"/>
      <c r="D113" s="18"/>
      <c r="E113" s="6"/>
      <c r="F113" s="6"/>
      <c r="G113" s="6"/>
      <c r="H113" s="6"/>
      <c r="I113" s="13"/>
      <c r="J113" s="6"/>
      <c r="K113" s="13"/>
    </row>
    <row r="114" spans="1:11" ht="14.25" x14ac:dyDescent="0.3">
      <c r="A114" s="13"/>
      <c r="B114" s="16"/>
      <c r="C114" s="17"/>
      <c r="D114" s="18"/>
      <c r="E114" s="6"/>
      <c r="F114" s="6"/>
      <c r="G114" s="6"/>
      <c r="H114" s="6"/>
      <c r="I114" s="13"/>
      <c r="J114" s="6"/>
      <c r="K114" s="13"/>
    </row>
    <row r="115" spans="1:11" ht="14.25" x14ac:dyDescent="0.3">
      <c r="A115" s="13"/>
      <c r="B115" s="16"/>
      <c r="C115" s="17"/>
      <c r="D115" s="18"/>
      <c r="E115" s="6"/>
      <c r="F115" s="6"/>
      <c r="G115" s="6"/>
      <c r="H115" s="6"/>
      <c r="I115" s="13"/>
      <c r="J115" s="6"/>
      <c r="K115" s="13"/>
    </row>
    <row r="116" spans="1:11" ht="14.25" x14ac:dyDescent="0.3">
      <c r="A116" s="94" t="s">
        <v>126</v>
      </c>
      <c r="B116" s="94"/>
      <c r="C116" s="95" t="s">
        <v>124</v>
      </c>
      <c r="D116" s="95"/>
      <c r="E116" s="95"/>
      <c r="F116" s="95"/>
      <c r="G116" s="6"/>
      <c r="H116" s="6"/>
      <c r="I116" s="13"/>
      <c r="J116" s="6"/>
      <c r="K116" s="13"/>
    </row>
    <row r="117" spans="1:11" ht="14.25" x14ac:dyDescent="0.3">
      <c r="A117" s="13"/>
      <c r="B117" s="16"/>
      <c r="C117" s="17"/>
      <c r="D117" s="18"/>
      <c r="E117" s="6"/>
      <c r="F117" s="6"/>
      <c r="G117" s="6"/>
      <c r="H117" s="6"/>
      <c r="I117" s="13"/>
      <c r="J117" s="6"/>
      <c r="K117" s="13"/>
    </row>
    <row r="118" spans="1:11" ht="14.25" x14ac:dyDescent="0.3">
      <c r="A118" s="93"/>
      <c r="B118" s="94"/>
      <c r="C118" s="19"/>
      <c r="D118" s="18"/>
      <c r="E118" s="13"/>
      <c r="F118" s="13"/>
      <c r="G118" s="13"/>
      <c r="H118" s="13"/>
      <c r="I118" s="13"/>
      <c r="J118" s="6"/>
      <c r="K118" s="13"/>
    </row>
    <row r="119" spans="1:11" ht="14.25" x14ac:dyDescent="0.3">
      <c r="A119" s="93" t="s">
        <v>125</v>
      </c>
      <c r="B119" s="94"/>
      <c r="C119" s="19"/>
      <c r="D119" s="18"/>
      <c r="E119" s="13"/>
      <c r="F119" s="13"/>
      <c r="G119" s="13"/>
      <c r="H119" s="13"/>
      <c r="I119" s="13"/>
      <c r="J119" s="6"/>
    </row>
    <row r="120" spans="1:11" ht="14.25" x14ac:dyDescent="0.3">
      <c r="A120" s="28" t="s">
        <v>128</v>
      </c>
      <c r="B120" s="79"/>
      <c r="C120" s="19"/>
      <c r="D120" s="18"/>
      <c r="E120" s="13"/>
      <c r="F120" s="13"/>
      <c r="G120" s="13"/>
      <c r="H120" s="13"/>
      <c r="I120" s="13"/>
      <c r="J120" s="6"/>
    </row>
    <row r="121" spans="1:11" ht="14.25" x14ac:dyDescent="0.3">
      <c r="A121" s="13"/>
      <c r="B121" s="79"/>
      <c r="C121" s="19"/>
      <c r="D121" s="18"/>
      <c r="E121" s="13"/>
      <c r="F121" s="13"/>
      <c r="G121" s="13"/>
      <c r="H121" s="13"/>
      <c r="I121" s="13"/>
      <c r="J121" s="6"/>
    </row>
  </sheetData>
  <mergeCells count="10">
    <mergeCell ref="A119:B119"/>
    <mergeCell ref="C116:F116"/>
    <mergeCell ref="A105:B105"/>
    <mergeCell ref="A116:B116"/>
    <mergeCell ref="A118:B118"/>
    <mergeCell ref="B1:I1"/>
    <mergeCell ref="B2:I2"/>
    <mergeCell ref="B3:I3"/>
    <mergeCell ref="A98:H98"/>
    <mergeCell ref="C105:F10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and Midcap Fund</vt:lpstr>
      <vt:lpstr>'JM Large and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2026-04-09T03:40:08Z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