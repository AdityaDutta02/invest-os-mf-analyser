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Nov 2022\Monthly\Portfolio compliance\"/>
    </mc:Choice>
  </mc:AlternateContent>
  <bookViews>
    <workbookView xWindow="0" yWindow="0" windowWidth="20490" windowHeight="7770"/>
  </bookViews>
  <sheets>
    <sheet name="BA" sheetId="1" r:id="rId1"/>
  </sheets>
  <externalReferences>
    <externalReference r:id="rId2"/>
  </externalReferences>
  <definedNames>
    <definedName name="_xlnm._FilterDatabase" localSheetId="0" hidden="1">BA!$A$1:$I$75</definedName>
    <definedName name="Afs">#REF!</definedName>
    <definedName name="_xlnm.Database">#REF!</definedName>
    <definedName name="EBLDB">#REF!</definedName>
    <definedName name="fl">#REF!</definedName>
    <definedName name="_xlnm.Print_Area" localSheetId="0">BA!$A$1:$E$61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66" i="1" l="1"/>
  <c r="D64" i="1"/>
  <c r="E63" i="1"/>
  <c r="E64" i="1" s="1"/>
  <c r="D43" i="1"/>
  <c r="D47" i="1" s="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43" i="1" l="1"/>
  <c r="E47" i="1" s="1"/>
  <c r="E66" i="1" s="1"/>
  <c r="D66" i="1"/>
  <c r="D68" i="1" s="1"/>
  <c r="E68" i="1" s="1"/>
  <c r="E70" i="1" l="1"/>
</calcChain>
</file>

<file path=xl/sharedStrings.xml><?xml version="1.0" encoding="utf-8"?>
<sst xmlns="http://schemas.openxmlformats.org/spreadsheetml/2006/main" count="159" uniqueCount="134">
  <si>
    <t xml:space="preserve">JM Value Fund (An open ended equity scheme following a value investment strategy). </t>
  </si>
  <si>
    <t>Portfolio as on 30.11.2022</t>
  </si>
  <si>
    <t>Name of the Instruments</t>
  </si>
  <si>
    <t>Industry/Rating</t>
  </si>
  <si>
    <t>Quantity</t>
  </si>
  <si>
    <t>Market Value (Rs. In Lakhs)</t>
  </si>
  <si>
    <t>% age to NAV</t>
  </si>
  <si>
    <t>ISIN</t>
  </si>
  <si>
    <t>Yield %</t>
  </si>
  <si>
    <t>^YTC (AT1/Tier 2 bonds)</t>
  </si>
  <si>
    <t>EQUITY &amp; EQUITY RELATED</t>
  </si>
  <si>
    <t>a) Listed/Awaiting Listing On  Stock Exchange</t>
  </si>
  <si>
    <t>State Bank of India</t>
  </si>
  <si>
    <t>Banks</t>
  </si>
  <si>
    <t>INE062A01020</t>
  </si>
  <si>
    <t>HDFC Bank Ltd.</t>
  </si>
  <si>
    <t>INE040A01034</t>
  </si>
  <si>
    <t>Infosys Ltd.</t>
  </si>
  <si>
    <t>IT - Software</t>
  </si>
  <si>
    <t>INE009A01021</t>
  </si>
  <si>
    <t>Larsen &amp; Toubro Ltd.</t>
  </si>
  <si>
    <t>Construction</t>
  </si>
  <si>
    <t>INE018A01030</t>
  </si>
  <si>
    <t>ICICI Bank Ltd.</t>
  </si>
  <si>
    <t>INE090A01021</t>
  </si>
  <si>
    <t>Kalpataru Power Transmission Ltd.</t>
  </si>
  <si>
    <t>INE220B01022</t>
  </si>
  <si>
    <t>Hero MotoCorp Ltd.</t>
  </si>
  <si>
    <t>Automobiles</t>
  </si>
  <si>
    <t>INE158A01026</t>
  </si>
  <si>
    <t>HCL Technologies Ltd.</t>
  </si>
  <si>
    <t>INE860A01027</t>
  </si>
  <si>
    <t>Cummins India Ltd.</t>
  </si>
  <si>
    <t>Industrial Products</t>
  </si>
  <si>
    <t>INE298A01020</t>
  </si>
  <si>
    <t>Aditya Birla Fashion and Retail Ltd.</t>
  </si>
  <si>
    <t>Retailing</t>
  </si>
  <si>
    <t>INE647O01011</t>
  </si>
  <si>
    <t>REC Ltd.</t>
  </si>
  <si>
    <t>Finance</t>
  </si>
  <si>
    <t>INE020B01018</t>
  </si>
  <si>
    <t>SKF India Ltd.</t>
  </si>
  <si>
    <t>INE640A01023</t>
  </si>
  <si>
    <t>Ultratech Cement Ltd.</t>
  </si>
  <si>
    <t>Cement &amp; Cement Products</t>
  </si>
  <si>
    <t>INE481G01011</t>
  </si>
  <si>
    <t>Axis Bank Ltd.</t>
  </si>
  <si>
    <t>INE238A01034</t>
  </si>
  <si>
    <t>Mahindra &amp; Mahindra Financial Services Ltd.</t>
  </si>
  <si>
    <t>INE774D01024</t>
  </si>
  <si>
    <t>Bank of Baroda</t>
  </si>
  <si>
    <t>INE028A01039</t>
  </si>
  <si>
    <t>NTPC Ltd.</t>
  </si>
  <si>
    <t>Power</t>
  </si>
  <si>
    <t>INE733E01010</t>
  </si>
  <si>
    <t>Sun Pharmaceutical Industries Ltd.</t>
  </si>
  <si>
    <t>Pharmaceuticals &amp; Biotechnology</t>
  </si>
  <si>
    <t>INE044A01036</t>
  </si>
  <si>
    <t>Indian Oil Corporation Ltd.</t>
  </si>
  <si>
    <t>Petroleum Products</t>
  </si>
  <si>
    <t>INE242A01010</t>
  </si>
  <si>
    <t>Godrej Consumer Products Ltd.</t>
  </si>
  <si>
    <t>Personal Products</t>
  </si>
  <si>
    <t>INE102D01028</t>
  </si>
  <si>
    <t>Fortis Healthcare Ltd.</t>
  </si>
  <si>
    <t>Healthcare Services</t>
  </si>
  <si>
    <t>INE061F01013</t>
  </si>
  <si>
    <t>Ashok Leyland Ltd.</t>
  </si>
  <si>
    <t>Agricultural, Commercial &amp; Construction Vehicles</t>
  </si>
  <si>
    <t>INE208A01029</t>
  </si>
  <si>
    <t>Britannia Industries Ltd.</t>
  </si>
  <si>
    <t>Food Products</t>
  </si>
  <si>
    <t>INE216A01030</t>
  </si>
  <si>
    <t>Maruti Suzuki India Ltd.</t>
  </si>
  <si>
    <t>INE585B01010</t>
  </si>
  <si>
    <t>Bharat Forge Ltd.</t>
  </si>
  <si>
    <t>INE465A01025</t>
  </si>
  <si>
    <t>CG Power and Industrial Solutions Ltd.</t>
  </si>
  <si>
    <t>Electrical Equipment</t>
  </si>
  <si>
    <t>INE067A01029</t>
  </si>
  <si>
    <t>Kirloskar Ferrous Industries Ltd</t>
  </si>
  <si>
    <t>Ferrous Metals</t>
  </si>
  <si>
    <t>INE884B01025</t>
  </si>
  <si>
    <t>Vardhman Textiles Ltd.</t>
  </si>
  <si>
    <t>Textiles &amp; Apparels</t>
  </si>
  <si>
    <t>INE825A01020</t>
  </si>
  <si>
    <t>Hindustan Aeronautics Ltd.</t>
  </si>
  <si>
    <t>Aerospace &amp; Defense</t>
  </si>
  <si>
    <t>INE066F01012</t>
  </si>
  <si>
    <t>Hindalco Industries Ltd.</t>
  </si>
  <si>
    <t>Non - Ferrous Metals</t>
  </si>
  <si>
    <t>INE038A01020</t>
  </si>
  <si>
    <t>Welspun India Ltd.</t>
  </si>
  <si>
    <t>INE192B01031</t>
  </si>
  <si>
    <t>Vedanta Ltd.</t>
  </si>
  <si>
    <t>Diversified Metals</t>
  </si>
  <si>
    <t>INE205A01025</t>
  </si>
  <si>
    <t>Indraprastha Gas Ltd.</t>
  </si>
  <si>
    <t>Gas</t>
  </si>
  <si>
    <t>INE203G01027</t>
  </si>
  <si>
    <t>CESC Ltd.</t>
  </si>
  <si>
    <t>INE486A01021</t>
  </si>
  <si>
    <t>Balrampur Chini Mills Ltd.</t>
  </si>
  <si>
    <t>Agricultural Food &amp; other Products</t>
  </si>
  <si>
    <t>INE119A01028</t>
  </si>
  <si>
    <t>Bharti Airtel Ltd.</t>
  </si>
  <si>
    <t>Telecom - Services</t>
  </si>
  <si>
    <t>INE397D01024</t>
  </si>
  <si>
    <t>Bharti Airtel Limited -  Rights Partly Paid</t>
  </si>
  <si>
    <t>IN9397D01014</t>
  </si>
  <si>
    <t>Sub Total:</t>
  </si>
  <si>
    <t>b) Unlisted</t>
  </si>
  <si>
    <t>NIL</t>
  </si>
  <si>
    <t>Total:</t>
  </si>
  <si>
    <t>DEBT INSTRUMENTS</t>
  </si>
  <si>
    <t>b) Privately Placed / Unlisted</t>
  </si>
  <si>
    <t>TERM DEPOSITS</t>
  </si>
  <si>
    <t>Deposits (Maturity not exceeding 91 days)</t>
  </si>
  <si>
    <t>Deposits (Placed as F &amp; O margin)</t>
  </si>
  <si>
    <t>MONEY MARKET INSTRUMENTS</t>
  </si>
  <si>
    <t>TREPS-Triparty Repo</t>
  </si>
  <si>
    <t xml:space="preserve"> </t>
  </si>
  <si>
    <t>Net Current Assets</t>
  </si>
  <si>
    <t>Net Assets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</si>
  <si>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</si>
  <si>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</si>
  <si>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</si>
  <si>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</si>
  <si>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</si>
  <si>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Benchmark of the scheme - S&amp;P BSE 500 TRI</t>
  </si>
  <si>
    <t>• Capital appreciation over Long Term.</t>
  </si>
  <si>
    <t>• Investment predominantly in Equity and Equity related securities following a value investment strategy.</t>
  </si>
  <si>
    <t>*Investors should consult their financial advisers if in doubt about whether the product is suitable for them.</t>
  </si>
  <si>
    <t xml:space="preserve">         Riskometer of the scheme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</si>
</sst>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0" x14ac:knownFonts="1">
    <font>
      <sz val="10"/>
      <name val="Arial"/>
      <family val="2"/>
    </font>
    <font>
      <sz val="10"/>
      <name val="Arial"/>
      <family val="2"/>
    </font>
    <font>
      <b/>
      <sz val="10"/>
      <color indexed="9"/>
      <name val="Times New Roman"/>
      <family val="1"/>
    </font>
    <font>
      <sz val="10"/>
      <name val="Times New Roman"/>
      <family val="1"/>
    </font>
    <font>
      <b/>
      <sz val="10"/>
      <name val="Times New Roman"/>
      <family val="1"/>
    </font>
    <font>
      <sz val="11"/>
      <name val="Calibri"/>
      <family val="2"/>
    </font>
    <font>
      <sz val="11"/>
      <color indexed="8"/>
      <name val="Calibri"/>
      <family val="2"/>
    </font>
    <font>
      <i/>
      <sz val="11"/>
      <color indexed="8"/>
      <name val="Calibri"/>
      <family val="2"/>
    </font>
    <font>
      <b/>
      <sz val="11"/>
      <color indexed="8"/>
      <name val="Calibri"/>
      <family val="2"/>
    </font>
    <font>
      <b/>
      <sz val="11"/>
      <color indexed="8"/>
      <name val="Times New Roman"/>
      <family val="1"/>
    </font>
  </fonts>
  <fills count="3">
    <fill>
      <patternFill patternType="none"/>
    </fill>
    <fill>
      <patternFill patternType="gray125"/>
    </fill>
    <fill>
      <patternFill patternType="solid">
        <fgColor indexed="58"/>
        <bgColor indexed="64"/>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0" fontId="1" fillId="0" borderId="0"/>
    <xf numFmtId="0" fontId="6" fillId="0" borderId="0"/>
    <xf numFmtId="164" fontId="1" fillId="0" borderId="0" applyFont="0" applyFill="0" applyBorder="0" applyAlignment="0" applyProtection="0"/>
    <xf numFmtId="0" fontId="6" fillId="0" borderId="0"/>
    <xf numFmtId="0" fontId="6" fillId="0" borderId="0"/>
  </cellStyleXfs>
  <cellXfs count="63">
    <xf numFmtId="0" fontId="0" fillId="0" borderId="0" xfId="0"/>
    <xf numFmtId="0" fontId="2" fillId="2" borderId="1" xfId="0" applyFont="1" applyFill="1" applyBorder="1" applyAlignment="1">
      <alignment horizontal="left"/>
    </xf>
    <xf numFmtId="0" fontId="2" fillId="2" borderId="1" xfId="0" applyFont="1" applyFill="1" applyBorder="1" applyAlignment="1">
      <alignment horizontal="center"/>
    </xf>
    <xf numFmtId="0" fontId="2" fillId="2" borderId="1" xfId="0" applyFont="1" applyFill="1" applyBorder="1" applyAlignment="1">
      <alignment horizontal="right"/>
    </xf>
    <xf numFmtId="0" fontId="3" fillId="2" borderId="0" xfId="0" applyFont="1" applyFill="1"/>
    <xf numFmtId="0" fontId="3" fillId="0" borderId="0" xfId="0" applyFont="1"/>
    <xf numFmtId="0" fontId="2" fillId="2" borderId="1" xfId="0" applyFont="1" applyFill="1" applyBorder="1" applyAlignment="1">
      <alignment horizontal="left" wrapText="1"/>
    </xf>
    <xf numFmtId="0" fontId="4" fillId="0" borderId="2" xfId="0" applyFont="1" applyFill="1" applyBorder="1" applyAlignment="1">
      <alignment horizontal="center" vertical="center" wrapText="1"/>
    </xf>
    <xf numFmtId="0" fontId="4" fillId="0" borderId="2" xfId="0" applyFont="1" applyFill="1" applyBorder="1" applyAlignment="1">
      <alignment horizontal="left" vertical="center" wrapText="1"/>
    </xf>
    <xf numFmtId="165" fontId="4" fillId="0" borderId="2" xfId="1" applyNumberFormat="1" applyFont="1" applyFill="1" applyBorder="1" applyAlignment="1">
      <alignment horizontal="center" vertical="center"/>
    </xf>
    <xf numFmtId="0" fontId="4" fillId="0" borderId="2" xfId="0" applyFont="1" applyBorder="1" applyAlignment="1">
      <alignment horizontal="center"/>
    </xf>
    <xf numFmtId="0" fontId="4" fillId="0" borderId="2" xfId="0" applyFont="1" applyBorder="1" applyAlignment="1">
      <alignment horizontal="center" wrapText="1"/>
    </xf>
    <xf numFmtId="0" fontId="3" fillId="0" borderId="0" xfId="0" applyFont="1" applyAlignment="1">
      <alignment horizontal="center"/>
    </xf>
    <xf numFmtId="0" fontId="4" fillId="0" borderId="2" xfId="0" applyFont="1" applyFill="1" applyBorder="1" applyAlignment="1">
      <alignment horizontal="left" wrapText="1"/>
    </xf>
    <xf numFmtId="0" fontId="3" fillId="0" borderId="2" xfId="0" applyFont="1" applyFill="1" applyBorder="1" applyAlignment="1">
      <alignment horizontal="center" wrapText="1"/>
    </xf>
    <xf numFmtId="165" fontId="3" fillId="0" borderId="2" xfId="1" applyNumberFormat="1" applyFont="1" applyFill="1" applyBorder="1" applyAlignment="1">
      <alignment horizontal="center"/>
    </xf>
    <xf numFmtId="0" fontId="4" fillId="0" borderId="2" xfId="0" applyFont="1" applyFill="1" applyBorder="1" applyAlignment="1">
      <alignment horizontal="center" wrapText="1"/>
    </xf>
    <xf numFmtId="0" fontId="3" fillId="0" borderId="2" xfId="0" applyFont="1" applyFill="1" applyBorder="1" applyAlignment="1">
      <alignment horizontal="center"/>
    </xf>
    <xf numFmtId="0" fontId="3" fillId="0" borderId="2" xfId="0" applyFont="1" applyBorder="1"/>
    <xf numFmtId="166" fontId="3" fillId="0" borderId="2" xfId="0" applyNumberFormat="1" applyFont="1" applyFill="1" applyBorder="1"/>
    <xf numFmtId="0" fontId="4" fillId="0" borderId="2" xfId="0" applyFont="1" applyFill="1" applyBorder="1" applyAlignment="1">
      <alignment wrapText="1"/>
    </xf>
    <xf numFmtId="4" fontId="3" fillId="0" borderId="2" xfId="0" applyNumberFormat="1" applyFont="1" applyFill="1" applyBorder="1" applyAlignment="1">
      <alignment wrapText="1"/>
    </xf>
    <xf numFmtId="0" fontId="3" fillId="0" borderId="2" xfId="0" applyFont="1" applyFill="1" applyBorder="1" applyAlignment="1">
      <alignment wrapText="1"/>
    </xf>
    <xf numFmtId="165" fontId="3" fillId="0" borderId="2" xfId="1" applyNumberFormat="1" applyFont="1" applyFill="1" applyBorder="1"/>
    <xf numFmtId="164" fontId="3" fillId="0" borderId="2" xfId="1" applyFont="1" applyFill="1" applyBorder="1"/>
    <xf numFmtId="0" fontId="3" fillId="0" borderId="0" xfId="0" applyFont="1" applyFill="1"/>
    <xf numFmtId="0" fontId="3" fillId="0" borderId="2" xfId="0" applyFont="1" applyFill="1" applyBorder="1"/>
    <xf numFmtId="164" fontId="4" fillId="0" borderId="2" xfId="1" applyFont="1" applyFill="1" applyBorder="1"/>
    <xf numFmtId="165" fontId="4" fillId="0" borderId="2" xfId="1" applyNumberFormat="1" applyFont="1" applyFill="1" applyBorder="1"/>
    <xf numFmtId="164" fontId="3" fillId="0" borderId="2" xfId="1" applyFont="1" applyFill="1" applyBorder="1" applyAlignment="1">
      <alignment horizontal="center"/>
    </xf>
    <xf numFmtId="164" fontId="4" fillId="0" borderId="2" xfId="1" applyFont="1" applyFill="1" applyBorder="1" applyAlignment="1">
      <alignment horizontal="right"/>
    </xf>
    <xf numFmtId="0" fontId="3" fillId="0" borderId="2" xfId="0" applyFont="1" applyFill="1" applyBorder="1" applyAlignment="1">
      <alignment horizontal="right"/>
    </xf>
    <xf numFmtId="4" fontId="4" fillId="0" borderId="2" xfId="1" applyNumberFormat="1" applyFont="1" applyFill="1" applyBorder="1"/>
    <xf numFmtId="164" fontId="3" fillId="0" borderId="2" xfId="1" applyFont="1" applyFill="1" applyBorder="1" applyAlignment="1">
      <alignment horizontal="right"/>
    </xf>
    <xf numFmtId="165" fontId="4" fillId="0" borderId="2" xfId="1" applyNumberFormat="1" applyFont="1" applyFill="1" applyBorder="1" applyAlignment="1">
      <alignment horizontal="right"/>
    </xf>
    <xf numFmtId="164" fontId="3" fillId="0" borderId="3" xfId="1" applyFont="1" applyFill="1" applyBorder="1"/>
    <xf numFmtId="0" fontId="3" fillId="0" borderId="2" xfId="0" applyFont="1" applyFill="1" applyBorder="1" applyAlignment="1">
      <alignment horizontal="left" wrapText="1"/>
    </xf>
    <xf numFmtId="165" fontId="3" fillId="0" borderId="2" xfId="1" applyNumberFormat="1" applyFont="1" applyFill="1" applyBorder="1" applyAlignment="1">
      <alignment horizontal="right"/>
    </xf>
    <xf numFmtId="2" fontId="3" fillId="0" borderId="2" xfId="0" applyNumberFormat="1" applyFont="1" applyFill="1" applyBorder="1" applyAlignment="1">
      <alignment horizontal="right"/>
    </xf>
    <xf numFmtId="0" fontId="3" fillId="0" borderId="0" xfId="0" applyFont="1" applyFill="1" applyBorder="1" applyAlignment="1">
      <alignment horizontal="right"/>
    </xf>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3" fillId="0" borderId="0" xfId="0" applyFont="1" applyFill="1" applyBorder="1" applyAlignment="1">
      <alignment wrapText="1"/>
    </xf>
    <xf numFmtId="0" fontId="3" fillId="0" borderId="0" xfId="0" applyFont="1" applyFill="1" applyAlignment="1">
      <alignment horizontal="right"/>
    </xf>
    <xf numFmtId="0" fontId="5" fillId="0" borderId="0" xfId="2" applyFont="1" applyAlignment="1">
      <alignment horizontal="left" wrapText="1"/>
    </xf>
    <xf numFmtId="164" fontId="3" fillId="0" borderId="0" xfId="1" applyFont="1" applyFill="1" applyBorder="1" applyAlignment="1">
      <alignment horizontal="right"/>
    </xf>
    <xf numFmtId="0" fontId="5" fillId="0" borderId="0" xfId="2" applyFont="1" applyAlignment="1">
      <alignment horizontal="left" vertical="top" wrapText="1"/>
    </xf>
    <xf numFmtId="0" fontId="6" fillId="0" borderId="0" xfId="3" applyBorder="1" applyAlignment="1">
      <alignment horizontal="left" vertical="center"/>
    </xf>
    <xf numFmtId="0" fontId="7" fillId="0" borderId="0" xfId="3" applyFont="1" applyBorder="1" applyAlignment="1">
      <alignment horizontal="left" vertical="center" wrapText="1"/>
    </xf>
    <xf numFmtId="0" fontId="3" fillId="0" borderId="0" xfId="0" applyFont="1" applyFill="1" applyAlignment="1">
      <alignment wrapText="1"/>
    </xf>
    <xf numFmtId="0" fontId="3" fillId="0" borderId="0" xfId="0" applyFont="1" applyFill="1" applyAlignment="1">
      <alignment horizontal="left" wrapText="1"/>
    </xf>
    <xf numFmtId="165" fontId="3" fillId="0" borderId="0" xfId="4" applyNumberFormat="1" applyFont="1" applyFill="1"/>
    <xf numFmtId="164" fontId="3" fillId="0" borderId="0" xfId="4" applyFont="1" applyFill="1" applyAlignment="1">
      <alignment horizontal="right"/>
    </xf>
    <xf numFmtId="0" fontId="8" fillId="0" borderId="0" xfId="5" applyFont="1" applyBorder="1"/>
    <xf numFmtId="0" fontId="2" fillId="0" borderId="0" xfId="0" applyFont="1" applyFill="1" applyBorder="1" applyAlignment="1">
      <alignment horizontal="left" wrapText="1"/>
    </xf>
    <xf numFmtId="0" fontId="4" fillId="0" borderId="0" xfId="0" applyFont="1" applyFill="1" applyBorder="1" applyAlignment="1">
      <alignment horizontal="left"/>
    </xf>
    <xf numFmtId="0" fontId="6" fillId="0" borderId="0" xfId="5" applyBorder="1"/>
    <xf numFmtId="0" fontId="3" fillId="0" borderId="0" xfId="0" applyFont="1" applyAlignment="1">
      <alignment horizontal="left" wrapText="1"/>
    </xf>
    <xf numFmtId="165" fontId="3" fillId="0" borderId="0" xfId="1" applyNumberFormat="1" applyFont="1"/>
    <xf numFmtId="0" fontId="3" fillId="0" borderId="0" xfId="0" applyFont="1" applyAlignment="1">
      <alignment wrapText="1"/>
    </xf>
    <xf numFmtId="0" fontId="9" fillId="0" borderId="0" xfId="6" applyFont="1"/>
  </cellXfs>
  <cellStyles count="7">
    <cellStyle name="Comma" xfId="1" builtinId="3"/>
    <cellStyle name="Comma 4" xfId="4"/>
    <cellStyle name="Normal" xfId="0" builtinId="0"/>
    <cellStyle name="Normal 2 3 2" xfId="2"/>
    <cellStyle name="Normal 4_BA" xfId="5"/>
    <cellStyle name="Normal 4_IF" xfId="6"/>
    <cellStyle name="Normal 4_LD"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85</xdr:row>
      <xdr:rowOff>0</xdr:rowOff>
    </xdr:from>
    <xdr:to>
      <xdr:col>0</xdr:col>
      <xdr:colOff>3705225</xdr:colOff>
      <xdr:row>98</xdr:row>
      <xdr:rowOff>0</xdr:rowOff>
    </xdr:to>
    <xdr:pic>
      <xdr:nvPicPr>
        <xdr:cNvPr id="2" name="Picture 13"/>
        <xdr:cNvPicPr>
          <a:picLocks noChangeAspect="1" noChangeArrowheads="1"/>
        </xdr:cNvPicPr>
      </xdr:nvPicPr>
      <xdr:blipFill>
        <a:blip xmlns:r="http://schemas.openxmlformats.org/officeDocument/2006/relationships" r:embed="rId1" cstate="print"/>
        <a:srcRect/>
        <a:stretch>
          <a:fillRect/>
        </a:stretch>
      </xdr:blipFill>
      <xdr:spPr bwMode="auto">
        <a:xfrm>
          <a:off x="0" y="16954500"/>
          <a:ext cx="3705225" cy="2105025"/>
        </a:xfrm>
        <a:prstGeom prst="rect">
          <a:avLst/>
        </a:prstGeom>
        <a:noFill/>
        <a:ln w="9525">
          <a:noFill/>
          <a:miter lim="800000"/>
          <a:headEnd/>
          <a:tailEnd/>
        </a:ln>
      </xdr:spPr>
    </xdr:pic>
    <xdr:clientData/>
  </xdr:twoCellAnchor>
  <xdr:twoCellAnchor editAs="oneCell">
    <xdr:from>
      <xdr:col>2</xdr:col>
      <xdr:colOff>1085850</xdr:colOff>
      <xdr:row>85</xdr:row>
      <xdr:rowOff>123825</xdr:rowOff>
    </xdr:from>
    <xdr:to>
      <xdr:col>6</xdr:col>
      <xdr:colOff>257175</xdr:colOff>
      <xdr:row>98</xdr:row>
      <xdr:rowOff>66675</xdr:rowOff>
    </xdr:to>
    <xdr:pic>
      <xdr:nvPicPr>
        <xdr:cNvPr id="3" name="Picture 14"/>
        <xdr:cNvPicPr>
          <a:picLocks noChangeAspect="1" noChangeArrowheads="1"/>
        </xdr:cNvPicPr>
      </xdr:nvPicPr>
      <xdr:blipFill>
        <a:blip xmlns:r="http://schemas.openxmlformats.org/officeDocument/2006/relationships" r:embed="rId2" cstate="print"/>
        <a:srcRect/>
        <a:stretch>
          <a:fillRect/>
        </a:stretch>
      </xdr:blipFill>
      <xdr:spPr bwMode="auto">
        <a:xfrm>
          <a:off x="7286625" y="17078325"/>
          <a:ext cx="3781425" cy="204787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NAV%20All%20Files%202006-2007/Monthly%20Portfolio/Nov%202022/Monthly/Template%20Portfolio%20Disclosure%20-30th%20Nov%20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D"/>
      <sheetName val="SD"/>
      <sheetName val="TG"/>
      <sheetName val="MS"/>
      <sheetName val="EF"/>
      <sheetName val="BF"/>
      <sheetName val="AA"/>
      <sheetName val="CR"/>
      <sheetName val="BA"/>
      <sheetName val="LD"/>
      <sheetName val="FF"/>
      <sheetName val="IF"/>
      <sheetName val="ON"/>
      <sheetName val="LF"/>
      <sheetName val="Index"/>
      <sheetName val="Final (2)"/>
      <sheetName val="Final (203)"/>
      <sheetName val="ISIN"/>
      <sheetName val="Scheme Names"/>
      <sheetName val="SH 30.11.2022"/>
      <sheetName val="GHS 301122"/>
      <sheetName val="Sheet1 (2)"/>
      <sheetName val="NAV"/>
      <sheetName val="Long Name"/>
      <sheetName val="Sheet1"/>
      <sheetName val="checklist"/>
      <sheetName val="FORTIS- PROV 31.10.17"/>
      <sheetName val="Sheet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98"/>
  <sheetViews>
    <sheetView tabSelected="1" zoomScaleNormal="100" workbookViewId="0">
      <pane xSplit="1" ySplit="3" topLeftCell="B4" activePane="bottomRight" state="frozen"/>
      <selection activeCell="A2" sqref="A2"/>
      <selection pane="topRight" activeCell="A2" sqref="A2"/>
      <selection pane="bottomLeft" activeCell="A2" sqref="A2"/>
      <selection pane="bottomRight" activeCell="A49" sqref="A49:XFD49"/>
    </sheetView>
  </sheetViews>
  <sheetFormatPr defaultRowHeight="12.75" x14ac:dyDescent="0.2"/>
  <cols>
    <col min="1" max="1" width="67.28515625" style="61" customWidth="1"/>
    <col min="2" max="2" width="21.42578125" style="59" bestFit="1" customWidth="1"/>
    <col min="3" max="3" width="13.42578125" style="60" customWidth="1"/>
    <col min="4" max="4" width="20.85546875" style="5" customWidth="1"/>
    <col min="5" max="5" width="15.7109375" style="5" customWidth="1"/>
    <col min="6" max="6" width="16.28515625" style="5" customWidth="1"/>
    <col min="7" max="7" width="9.5703125" style="5" bestFit="1" customWidth="1"/>
    <col min="8" max="8" width="12.28515625" style="5" customWidth="1"/>
    <col min="9" max="16384" width="9.140625" style="5"/>
  </cols>
  <sheetData>
    <row r="1" spans="1:8" x14ac:dyDescent="0.2">
      <c r="A1" s="1" t="s">
        <v>0</v>
      </c>
      <c r="B1" s="2"/>
      <c r="C1" s="2"/>
      <c r="D1" s="2"/>
      <c r="E1" s="3"/>
      <c r="F1" s="3"/>
      <c r="G1" s="4"/>
      <c r="H1" s="4"/>
    </row>
    <row r="2" spans="1:8" x14ac:dyDescent="0.2">
      <c r="A2" s="6" t="s">
        <v>1</v>
      </c>
      <c r="B2" s="2"/>
      <c r="C2" s="2"/>
      <c r="D2" s="2"/>
      <c r="E2" s="3"/>
      <c r="F2" s="3"/>
      <c r="G2" s="4"/>
      <c r="H2" s="4"/>
    </row>
    <row r="3" spans="1:8" s="12" customFormat="1" ht="53.25" customHeight="1" x14ac:dyDescent="0.2">
      <c r="A3" s="7" t="s">
        <v>2</v>
      </c>
      <c r="B3" s="8" t="s">
        <v>3</v>
      </c>
      <c r="C3" s="9" t="s">
        <v>4</v>
      </c>
      <c r="D3" s="7" t="s">
        <v>5</v>
      </c>
      <c r="E3" s="7" t="s">
        <v>6</v>
      </c>
      <c r="F3" s="7" t="s">
        <v>7</v>
      </c>
      <c r="G3" s="10" t="s">
        <v>8</v>
      </c>
      <c r="H3" s="11" t="s">
        <v>9</v>
      </c>
    </row>
    <row r="4" spans="1:8" x14ac:dyDescent="0.2">
      <c r="A4" s="13" t="s">
        <v>10</v>
      </c>
      <c r="B4" s="14"/>
      <c r="C4" s="15"/>
      <c r="D4" s="16"/>
      <c r="E4" s="16"/>
      <c r="F4" s="17"/>
      <c r="G4" s="18"/>
      <c r="H4" s="19"/>
    </row>
    <row r="5" spans="1:8" x14ac:dyDescent="0.2">
      <c r="A5" s="20" t="s">
        <v>11</v>
      </c>
      <c r="B5" s="14"/>
      <c r="C5" s="15"/>
      <c r="D5" s="16"/>
      <c r="E5" s="16"/>
      <c r="F5" s="17"/>
      <c r="G5" s="18"/>
      <c r="H5" s="19"/>
    </row>
    <row r="6" spans="1:8" s="25" customFormat="1" x14ac:dyDescent="0.2">
      <c r="A6" s="21" t="s">
        <v>12</v>
      </c>
      <c r="B6" s="22" t="s">
        <v>13</v>
      </c>
      <c r="C6" s="23">
        <v>144000</v>
      </c>
      <c r="D6" s="24">
        <v>867.52800000000002</v>
      </c>
      <c r="E6" s="24">
        <f t="shared" ref="E6:E42" si="0">(+D6/$D$70*100)</f>
        <v>5.1393428548142523</v>
      </c>
      <c r="F6" s="24" t="s">
        <v>14</v>
      </c>
      <c r="G6" s="19"/>
      <c r="H6" s="18"/>
    </row>
    <row r="7" spans="1:8" s="25" customFormat="1" x14ac:dyDescent="0.2">
      <c r="A7" s="21" t="s">
        <v>15</v>
      </c>
      <c r="B7" s="22" t="s">
        <v>13</v>
      </c>
      <c r="C7" s="23">
        <v>52755</v>
      </c>
      <c r="D7" s="24">
        <v>848.53779750000001</v>
      </c>
      <c r="E7" s="24">
        <f t="shared" si="0"/>
        <v>5.0268425533486507</v>
      </c>
      <c r="F7" s="24" t="s">
        <v>16</v>
      </c>
      <c r="G7" s="19"/>
      <c r="H7" s="19"/>
    </row>
    <row r="8" spans="1:8" s="25" customFormat="1" x14ac:dyDescent="0.2">
      <c r="A8" s="21" t="s">
        <v>17</v>
      </c>
      <c r="B8" s="22" t="s">
        <v>18</v>
      </c>
      <c r="C8" s="23">
        <v>50905</v>
      </c>
      <c r="D8" s="24">
        <v>832.27129749999995</v>
      </c>
      <c r="E8" s="24">
        <f t="shared" si="0"/>
        <v>4.9304778013777213</v>
      </c>
      <c r="F8" s="24" t="s">
        <v>19</v>
      </c>
      <c r="G8" s="19"/>
      <c r="H8" s="26"/>
    </row>
    <row r="9" spans="1:8" s="25" customFormat="1" x14ac:dyDescent="0.2">
      <c r="A9" s="21" t="s">
        <v>20</v>
      </c>
      <c r="B9" s="22" t="s">
        <v>21</v>
      </c>
      <c r="C9" s="23">
        <v>39000</v>
      </c>
      <c r="D9" s="24">
        <v>809.19150000000002</v>
      </c>
      <c r="E9" s="24">
        <f t="shared" si="0"/>
        <v>4.7937502348067467</v>
      </c>
      <c r="F9" s="24" t="s">
        <v>22</v>
      </c>
      <c r="G9" s="19"/>
      <c r="H9" s="18"/>
    </row>
    <row r="10" spans="1:8" s="25" customFormat="1" x14ac:dyDescent="0.2">
      <c r="A10" s="21" t="s">
        <v>23</v>
      </c>
      <c r="B10" s="22" t="s">
        <v>13</v>
      </c>
      <c r="C10" s="23">
        <v>77000</v>
      </c>
      <c r="D10" s="24">
        <v>733.73299999999995</v>
      </c>
      <c r="E10" s="24">
        <f t="shared" si="0"/>
        <v>4.346724775328779</v>
      </c>
      <c r="F10" s="24" t="s">
        <v>24</v>
      </c>
      <c r="G10" s="19"/>
      <c r="H10" s="26"/>
    </row>
    <row r="11" spans="1:8" s="25" customFormat="1" x14ac:dyDescent="0.2">
      <c r="A11" s="21" t="s">
        <v>25</v>
      </c>
      <c r="B11" s="22" t="s">
        <v>21</v>
      </c>
      <c r="C11" s="23">
        <v>128496</v>
      </c>
      <c r="D11" s="24">
        <v>651.667464</v>
      </c>
      <c r="E11" s="24">
        <f t="shared" si="0"/>
        <v>3.8605584198127598</v>
      </c>
      <c r="F11" s="24" t="s">
        <v>26</v>
      </c>
      <c r="G11" s="19"/>
      <c r="H11" s="26"/>
    </row>
    <row r="12" spans="1:8" s="25" customFormat="1" x14ac:dyDescent="0.2">
      <c r="A12" s="21" t="s">
        <v>27</v>
      </c>
      <c r="B12" s="22" t="s">
        <v>28</v>
      </c>
      <c r="C12" s="23">
        <v>22700</v>
      </c>
      <c r="D12" s="24">
        <v>647.38130000000001</v>
      </c>
      <c r="E12" s="24">
        <f t="shared" si="0"/>
        <v>3.8351666557106654</v>
      </c>
      <c r="F12" s="24" t="s">
        <v>29</v>
      </c>
      <c r="G12" s="19"/>
      <c r="H12" s="19"/>
    </row>
    <row r="13" spans="1:8" s="25" customFormat="1" x14ac:dyDescent="0.2">
      <c r="A13" s="21" t="s">
        <v>30</v>
      </c>
      <c r="B13" s="22" t="s">
        <v>18</v>
      </c>
      <c r="C13" s="23">
        <v>57600</v>
      </c>
      <c r="D13" s="24">
        <v>645.58079999999995</v>
      </c>
      <c r="E13" s="24">
        <f t="shared" si="0"/>
        <v>3.824500271674538</v>
      </c>
      <c r="F13" s="24" t="s">
        <v>31</v>
      </c>
      <c r="G13" s="19"/>
      <c r="H13" s="19"/>
    </row>
    <row r="14" spans="1:8" s="25" customFormat="1" x14ac:dyDescent="0.2">
      <c r="A14" s="21" t="s">
        <v>32</v>
      </c>
      <c r="B14" s="22" t="s">
        <v>33</v>
      </c>
      <c r="C14" s="23">
        <v>44172</v>
      </c>
      <c r="D14" s="24">
        <v>624.37121999999999</v>
      </c>
      <c r="E14" s="24">
        <f t="shared" si="0"/>
        <v>3.6988521042071927</v>
      </c>
      <c r="F14" s="24" t="s">
        <v>34</v>
      </c>
      <c r="G14" s="19"/>
      <c r="H14" s="19"/>
    </row>
    <row r="15" spans="1:8" s="25" customFormat="1" x14ac:dyDescent="0.2">
      <c r="A15" s="21" t="s">
        <v>35</v>
      </c>
      <c r="B15" s="22" t="s">
        <v>36</v>
      </c>
      <c r="C15" s="23">
        <v>185200</v>
      </c>
      <c r="D15" s="24">
        <v>582.08360000000005</v>
      </c>
      <c r="E15" s="24">
        <f t="shared" si="0"/>
        <v>3.4483350284539025</v>
      </c>
      <c r="F15" s="24" t="s">
        <v>37</v>
      </c>
      <c r="G15" s="19"/>
      <c r="H15" s="19"/>
    </row>
    <row r="16" spans="1:8" s="25" customFormat="1" x14ac:dyDescent="0.2">
      <c r="A16" s="21" t="s">
        <v>38</v>
      </c>
      <c r="B16" s="22" t="s">
        <v>39</v>
      </c>
      <c r="C16" s="23">
        <v>518300</v>
      </c>
      <c r="D16" s="24">
        <v>571.94404999999995</v>
      </c>
      <c r="E16" s="24">
        <f t="shared" si="0"/>
        <v>3.3882670838532301</v>
      </c>
      <c r="F16" s="24" t="s">
        <v>40</v>
      </c>
      <c r="G16" s="19"/>
      <c r="H16" s="18"/>
    </row>
    <row r="17" spans="1:8" s="25" customFormat="1" x14ac:dyDescent="0.2">
      <c r="A17" s="21" t="s">
        <v>41</v>
      </c>
      <c r="B17" s="22" t="s">
        <v>33</v>
      </c>
      <c r="C17" s="23">
        <v>11643</v>
      </c>
      <c r="D17" s="24">
        <v>548.40858600000001</v>
      </c>
      <c r="E17" s="24">
        <f t="shared" si="0"/>
        <v>3.2488400927438508</v>
      </c>
      <c r="F17" s="24" t="s">
        <v>42</v>
      </c>
      <c r="G17" s="19"/>
      <c r="H17" s="18"/>
    </row>
    <row r="18" spans="1:8" s="25" customFormat="1" ht="25.5" x14ac:dyDescent="0.2">
      <c r="A18" s="21" t="s">
        <v>43</v>
      </c>
      <c r="B18" s="22" t="s">
        <v>44</v>
      </c>
      <c r="C18" s="23">
        <v>7654</v>
      </c>
      <c r="D18" s="24">
        <v>541.67358000000002</v>
      </c>
      <c r="E18" s="24">
        <f t="shared" si="0"/>
        <v>3.2089410866446455</v>
      </c>
      <c r="F18" s="24" t="s">
        <v>45</v>
      </c>
      <c r="G18" s="19"/>
      <c r="H18" s="18"/>
    </row>
    <row r="19" spans="1:8" s="25" customFormat="1" x14ac:dyDescent="0.2">
      <c r="A19" s="21" t="s">
        <v>46</v>
      </c>
      <c r="B19" s="22" t="s">
        <v>13</v>
      </c>
      <c r="C19" s="23">
        <v>54200</v>
      </c>
      <c r="D19" s="24">
        <v>488.47750000000002</v>
      </c>
      <c r="E19" s="24">
        <f t="shared" si="0"/>
        <v>2.893800948629357</v>
      </c>
      <c r="F19" s="24" t="s">
        <v>47</v>
      </c>
      <c r="G19" s="19"/>
      <c r="H19" s="19"/>
    </row>
    <row r="20" spans="1:8" s="25" customFormat="1" x14ac:dyDescent="0.2">
      <c r="A20" s="21" t="s">
        <v>48</v>
      </c>
      <c r="B20" s="22" t="s">
        <v>39</v>
      </c>
      <c r="C20" s="23">
        <v>200010</v>
      </c>
      <c r="D20" s="24">
        <v>430.0215</v>
      </c>
      <c r="E20" s="24">
        <f t="shared" si="0"/>
        <v>2.5475003958852129</v>
      </c>
      <c r="F20" s="24" t="s">
        <v>49</v>
      </c>
      <c r="G20" s="19"/>
      <c r="H20" s="18"/>
    </row>
    <row r="21" spans="1:8" s="25" customFormat="1" x14ac:dyDescent="0.2">
      <c r="A21" s="21" t="s">
        <v>50</v>
      </c>
      <c r="B21" s="22" t="s">
        <v>13</v>
      </c>
      <c r="C21" s="23">
        <v>255000</v>
      </c>
      <c r="D21" s="24">
        <v>423.9375</v>
      </c>
      <c r="E21" s="24">
        <f t="shared" si="0"/>
        <v>2.5114580296115134</v>
      </c>
      <c r="F21" s="24" t="s">
        <v>51</v>
      </c>
      <c r="G21" s="19"/>
      <c r="H21" s="19"/>
    </row>
    <row r="22" spans="1:8" s="25" customFormat="1" x14ac:dyDescent="0.2">
      <c r="A22" s="21" t="s">
        <v>52</v>
      </c>
      <c r="B22" s="22" t="s">
        <v>53</v>
      </c>
      <c r="C22" s="23">
        <v>240000</v>
      </c>
      <c r="D22" s="24">
        <v>413.28</v>
      </c>
      <c r="E22" s="24">
        <f t="shared" si="0"/>
        <v>2.4483216853376883</v>
      </c>
      <c r="F22" s="24" t="s">
        <v>54</v>
      </c>
      <c r="G22" s="19"/>
      <c r="H22" s="18"/>
    </row>
    <row r="23" spans="1:8" s="25" customFormat="1" ht="25.5" x14ac:dyDescent="0.2">
      <c r="A23" s="21" t="s">
        <v>55</v>
      </c>
      <c r="B23" s="22" t="s">
        <v>56</v>
      </c>
      <c r="C23" s="23">
        <v>39500</v>
      </c>
      <c r="D23" s="24">
        <v>413.18975</v>
      </c>
      <c r="E23" s="24">
        <f t="shared" si="0"/>
        <v>2.4477870332081353</v>
      </c>
      <c r="F23" s="24" t="s">
        <v>57</v>
      </c>
      <c r="G23" s="19"/>
      <c r="H23" s="18"/>
    </row>
    <row r="24" spans="1:8" s="25" customFormat="1" x14ac:dyDescent="0.2">
      <c r="A24" s="21" t="s">
        <v>58</v>
      </c>
      <c r="B24" s="22" t="s">
        <v>59</v>
      </c>
      <c r="C24" s="23">
        <v>509500</v>
      </c>
      <c r="D24" s="24">
        <v>390.53174999999999</v>
      </c>
      <c r="E24" s="24">
        <f t="shared" si="0"/>
        <v>2.3135582470428688</v>
      </c>
      <c r="F24" s="24" t="s">
        <v>60</v>
      </c>
      <c r="G24" s="19"/>
      <c r="H24" s="26"/>
    </row>
    <row r="25" spans="1:8" s="25" customFormat="1" x14ac:dyDescent="0.2">
      <c r="A25" s="21" t="s">
        <v>61</v>
      </c>
      <c r="B25" s="22" t="s">
        <v>62</v>
      </c>
      <c r="C25" s="23">
        <v>44000</v>
      </c>
      <c r="D25" s="24">
        <v>387.83800000000002</v>
      </c>
      <c r="E25" s="24">
        <f t="shared" si="0"/>
        <v>2.2976001398519128</v>
      </c>
      <c r="F25" s="24" t="s">
        <v>63</v>
      </c>
      <c r="G25" s="19"/>
      <c r="H25" s="19"/>
    </row>
    <row r="26" spans="1:8" s="25" customFormat="1" x14ac:dyDescent="0.2">
      <c r="A26" s="21" t="s">
        <v>64</v>
      </c>
      <c r="B26" s="22" t="s">
        <v>65</v>
      </c>
      <c r="C26" s="23">
        <v>130000</v>
      </c>
      <c r="D26" s="24">
        <v>377.13</v>
      </c>
      <c r="E26" s="24">
        <f t="shared" si="0"/>
        <v>2.2341646273504705</v>
      </c>
      <c r="F26" s="24" t="s">
        <v>66</v>
      </c>
      <c r="G26" s="19"/>
      <c r="H26" s="19"/>
    </row>
    <row r="27" spans="1:8" s="25" customFormat="1" ht="25.5" x14ac:dyDescent="0.2">
      <c r="A27" s="21" t="s">
        <v>67</v>
      </c>
      <c r="B27" s="22" t="s">
        <v>68</v>
      </c>
      <c r="C27" s="23">
        <v>247000</v>
      </c>
      <c r="D27" s="24">
        <v>367.536</v>
      </c>
      <c r="E27" s="24">
        <f t="shared" si="0"/>
        <v>2.1773285882265596</v>
      </c>
      <c r="F27" s="24" t="s">
        <v>69</v>
      </c>
      <c r="G27" s="19"/>
      <c r="H27" s="19"/>
    </row>
    <row r="28" spans="1:8" s="25" customFormat="1" x14ac:dyDescent="0.2">
      <c r="A28" s="21" t="s">
        <v>70</v>
      </c>
      <c r="B28" s="22" t="s">
        <v>71</v>
      </c>
      <c r="C28" s="23">
        <v>8400</v>
      </c>
      <c r="D28" s="24">
        <v>366.4332</v>
      </c>
      <c r="E28" s="24">
        <f t="shared" si="0"/>
        <v>2.1707954650302028</v>
      </c>
      <c r="F28" s="24" t="s">
        <v>72</v>
      </c>
      <c r="G28" s="19"/>
      <c r="H28" s="19"/>
    </row>
    <row r="29" spans="1:8" s="25" customFormat="1" x14ac:dyDescent="0.2">
      <c r="A29" s="21" t="s">
        <v>73</v>
      </c>
      <c r="B29" s="22" t="s">
        <v>28</v>
      </c>
      <c r="C29" s="23">
        <v>4070</v>
      </c>
      <c r="D29" s="24">
        <v>365.247905</v>
      </c>
      <c r="E29" s="24">
        <f t="shared" si="0"/>
        <v>2.1637736312806326</v>
      </c>
      <c r="F29" s="24" t="s">
        <v>74</v>
      </c>
      <c r="G29" s="19"/>
      <c r="H29" s="18"/>
    </row>
    <row r="30" spans="1:8" s="25" customFormat="1" x14ac:dyDescent="0.2">
      <c r="A30" s="21" t="s">
        <v>75</v>
      </c>
      <c r="B30" s="22" t="s">
        <v>33</v>
      </c>
      <c r="C30" s="23">
        <v>42000</v>
      </c>
      <c r="D30" s="24">
        <v>361.01100000000002</v>
      </c>
      <c r="E30" s="24">
        <f t="shared" si="0"/>
        <v>2.1386736835691158</v>
      </c>
      <c r="F30" s="24" t="s">
        <v>76</v>
      </c>
      <c r="G30" s="19"/>
      <c r="H30" s="19"/>
    </row>
    <row r="31" spans="1:8" s="25" customFormat="1" x14ac:dyDescent="0.2">
      <c r="A31" s="21" t="s">
        <v>77</v>
      </c>
      <c r="B31" s="22" t="s">
        <v>78</v>
      </c>
      <c r="C31" s="23">
        <v>114000</v>
      </c>
      <c r="D31" s="24">
        <v>318.74400000000003</v>
      </c>
      <c r="E31" s="24">
        <f t="shared" si="0"/>
        <v>1.8882787632386668</v>
      </c>
      <c r="F31" s="24" t="s">
        <v>79</v>
      </c>
      <c r="G31" s="19"/>
      <c r="H31" s="19"/>
    </row>
    <row r="32" spans="1:8" s="25" customFormat="1" x14ac:dyDescent="0.2">
      <c r="A32" s="21" t="s">
        <v>80</v>
      </c>
      <c r="B32" s="22" t="s">
        <v>81</v>
      </c>
      <c r="C32" s="23">
        <v>99436</v>
      </c>
      <c r="D32" s="24">
        <v>316.05732599999999</v>
      </c>
      <c r="E32" s="24">
        <f t="shared" si="0"/>
        <v>1.8723625751443165</v>
      </c>
      <c r="F32" s="24" t="s">
        <v>82</v>
      </c>
      <c r="G32" s="19"/>
      <c r="H32" s="18"/>
    </row>
    <row r="33" spans="1:8" s="25" customFormat="1" x14ac:dyDescent="0.2">
      <c r="A33" s="21" t="s">
        <v>83</v>
      </c>
      <c r="B33" s="22" t="s">
        <v>84</v>
      </c>
      <c r="C33" s="23">
        <v>80000</v>
      </c>
      <c r="D33" s="24">
        <v>278.68</v>
      </c>
      <c r="E33" s="24">
        <f t="shared" si="0"/>
        <v>1.6509346865803014</v>
      </c>
      <c r="F33" s="24" t="s">
        <v>85</v>
      </c>
      <c r="G33" s="19"/>
      <c r="H33" s="18"/>
    </row>
    <row r="34" spans="1:8" s="25" customFormat="1" x14ac:dyDescent="0.2">
      <c r="A34" s="21" t="s">
        <v>86</v>
      </c>
      <c r="B34" s="22" t="s">
        <v>87</v>
      </c>
      <c r="C34" s="23">
        <v>9371</v>
      </c>
      <c r="D34" s="24">
        <v>258.08202549999999</v>
      </c>
      <c r="E34" s="24">
        <f t="shared" si="0"/>
        <v>1.5289097455176255</v>
      </c>
      <c r="F34" s="24" t="s">
        <v>88</v>
      </c>
      <c r="G34" s="19"/>
      <c r="H34" s="19"/>
    </row>
    <row r="35" spans="1:8" s="25" customFormat="1" x14ac:dyDescent="0.2">
      <c r="A35" s="21" t="s">
        <v>89</v>
      </c>
      <c r="B35" s="22" t="s">
        <v>90</v>
      </c>
      <c r="C35" s="23">
        <v>56500</v>
      </c>
      <c r="D35" s="24">
        <v>254.6455</v>
      </c>
      <c r="E35" s="24">
        <f t="shared" si="0"/>
        <v>1.5085513446662269</v>
      </c>
      <c r="F35" s="24" t="s">
        <v>91</v>
      </c>
      <c r="G35" s="19"/>
      <c r="H35" s="19"/>
    </row>
    <row r="36" spans="1:8" s="25" customFormat="1" x14ac:dyDescent="0.2">
      <c r="A36" s="21" t="s">
        <v>92</v>
      </c>
      <c r="B36" s="22" t="s">
        <v>84</v>
      </c>
      <c r="C36" s="23">
        <v>280000</v>
      </c>
      <c r="D36" s="24">
        <v>229.46</v>
      </c>
      <c r="E36" s="24">
        <f t="shared" si="0"/>
        <v>1.3593493368118128</v>
      </c>
      <c r="F36" s="24" t="s">
        <v>93</v>
      </c>
      <c r="G36" s="19"/>
      <c r="H36" s="18"/>
    </row>
    <row r="37" spans="1:8" s="25" customFormat="1" x14ac:dyDescent="0.2">
      <c r="A37" s="21" t="s">
        <v>94</v>
      </c>
      <c r="B37" s="22" t="s">
        <v>95</v>
      </c>
      <c r="C37" s="23">
        <v>75000</v>
      </c>
      <c r="D37" s="24">
        <v>228.26249999999999</v>
      </c>
      <c r="E37" s="24">
        <f t="shared" si="0"/>
        <v>1.3522551991371323</v>
      </c>
      <c r="F37" s="24" t="s">
        <v>96</v>
      </c>
      <c r="G37" s="19"/>
      <c r="H37" s="18"/>
    </row>
    <row r="38" spans="1:8" s="25" customFormat="1" x14ac:dyDescent="0.2">
      <c r="A38" s="21" t="s">
        <v>97</v>
      </c>
      <c r="B38" s="22" t="s">
        <v>98</v>
      </c>
      <c r="C38" s="23">
        <v>49000</v>
      </c>
      <c r="D38" s="24">
        <v>216.874</v>
      </c>
      <c r="E38" s="24">
        <f t="shared" si="0"/>
        <v>1.2847883207170099</v>
      </c>
      <c r="F38" s="24" t="s">
        <v>99</v>
      </c>
      <c r="G38" s="19"/>
      <c r="H38" s="26"/>
    </row>
    <row r="39" spans="1:8" s="25" customFormat="1" x14ac:dyDescent="0.2">
      <c r="A39" s="21" t="s">
        <v>100</v>
      </c>
      <c r="B39" s="22" t="s">
        <v>53</v>
      </c>
      <c r="C39" s="23">
        <v>285968</v>
      </c>
      <c r="D39" s="24">
        <v>212.76019199999999</v>
      </c>
      <c r="E39" s="24">
        <f t="shared" si="0"/>
        <v>1.2604176148137101</v>
      </c>
      <c r="F39" s="24" t="s">
        <v>101</v>
      </c>
      <c r="G39" s="19"/>
      <c r="H39" s="19"/>
    </row>
    <row r="40" spans="1:8" s="25" customFormat="1" ht="25.5" x14ac:dyDescent="0.2">
      <c r="A40" s="21" t="s">
        <v>102</v>
      </c>
      <c r="B40" s="22" t="s">
        <v>103</v>
      </c>
      <c r="C40" s="23">
        <v>55000</v>
      </c>
      <c r="D40" s="24">
        <v>211.36500000000001</v>
      </c>
      <c r="E40" s="24">
        <f t="shared" si="0"/>
        <v>1.2521523253518207</v>
      </c>
      <c r="F40" s="24" t="s">
        <v>104</v>
      </c>
      <c r="G40" s="19"/>
      <c r="H40" s="19"/>
    </row>
    <row r="41" spans="1:8" s="25" customFormat="1" x14ac:dyDescent="0.2">
      <c r="A41" s="21" t="s">
        <v>105</v>
      </c>
      <c r="B41" s="22" t="s">
        <v>106</v>
      </c>
      <c r="C41" s="23">
        <v>21072</v>
      </c>
      <c r="D41" s="24">
        <v>178.8486</v>
      </c>
      <c r="E41" s="24">
        <f t="shared" si="0"/>
        <v>1.0595211618570608</v>
      </c>
      <c r="F41" s="24" t="s">
        <v>107</v>
      </c>
      <c r="G41" s="19"/>
      <c r="H41" s="19"/>
    </row>
    <row r="42" spans="1:8" s="25" customFormat="1" x14ac:dyDescent="0.2">
      <c r="A42" s="21" t="s">
        <v>108</v>
      </c>
      <c r="B42" s="22" t="s">
        <v>106</v>
      </c>
      <c r="C42" s="23">
        <v>4009</v>
      </c>
      <c r="D42" s="24">
        <v>18.6278185</v>
      </c>
      <c r="E42" s="24">
        <f t="shared" si="0"/>
        <v>0.11035349396071566</v>
      </c>
      <c r="F42" s="24" t="s">
        <v>109</v>
      </c>
      <c r="G42" s="19"/>
      <c r="H42" s="19"/>
    </row>
    <row r="43" spans="1:8" s="25" customFormat="1" x14ac:dyDescent="0.2">
      <c r="A43" s="20" t="s">
        <v>110</v>
      </c>
      <c r="B43" s="22"/>
      <c r="C43" s="23"/>
      <c r="D43" s="27">
        <f>IF(ISERROR(SUM(D6:D42)),0,SUM(D6:D42))</f>
        <v>16411.413262000002</v>
      </c>
      <c r="E43" s="27">
        <f>IF(ISERROR(SUM(E6:E42)),0,SUM(E6:E42))</f>
        <v>97.223236005596988</v>
      </c>
      <c r="F43" s="27"/>
      <c r="G43" s="19"/>
      <c r="H43" s="18"/>
    </row>
    <row r="44" spans="1:8" s="25" customFormat="1" x14ac:dyDescent="0.2">
      <c r="A44" s="20"/>
      <c r="B44" s="20"/>
      <c r="C44" s="28"/>
      <c r="D44" s="29"/>
      <c r="E44" s="29"/>
      <c r="F44" s="29"/>
      <c r="G44" s="19"/>
      <c r="H44" s="18"/>
    </row>
    <row r="45" spans="1:8" s="25" customFormat="1" x14ac:dyDescent="0.2">
      <c r="A45" s="20" t="s">
        <v>111</v>
      </c>
      <c r="B45" s="20"/>
      <c r="C45" s="28"/>
      <c r="D45" s="30" t="s">
        <v>112</v>
      </c>
      <c r="E45" s="30" t="s">
        <v>112</v>
      </c>
      <c r="F45" s="30"/>
      <c r="G45" s="19"/>
      <c r="H45" s="18"/>
    </row>
    <row r="46" spans="1:8" s="25" customFormat="1" x14ac:dyDescent="0.2">
      <c r="A46" s="20"/>
      <c r="B46" s="13"/>
      <c r="C46" s="28"/>
      <c r="D46" s="30"/>
      <c r="E46" s="30"/>
      <c r="F46" s="31"/>
      <c r="G46" s="19"/>
      <c r="H46" s="18"/>
    </row>
    <row r="47" spans="1:8" s="25" customFormat="1" x14ac:dyDescent="0.2">
      <c r="A47" s="20" t="s">
        <v>113</v>
      </c>
      <c r="B47" s="20"/>
      <c r="C47" s="28"/>
      <c r="D47" s="27">
        <f>IF(ISERROR(+D43),0,D43)+IF(ISERROR(+#REF!),0,#REF!)</f>
        <v>16411.413262000002</v>
      </c>
      <c r="E47" s="27">
        <f>IF(ISERROR(+E43),0,E43)+IF(ISERROR(+#REF!),0,#REF!)</f>
        <v>97.223236005596988</v>
      </c>
      <c r="F47" s="32"/>
      <c r="G47" s="19"/>
      <c r="H47" s="18"/>
    </row>
    <row r="48" spans="1:8" s="25" customFormat="1" x14ac:dyDescent="0.2">
      <c r="A48" s="20"/>
      <c r="B48" s="13"/>
      <c r="C48" s="28"/>
      <c r="D48" s="30"/>
      <c r="E48" s="30"/>
      <c r="F48" s="31"/>
      <c r="G48" s="19"/>
      <c r="H48" s="18"/>
    </row>
    <row r="49" spans="1:8" s="25" customFormat="1" x14ac:dyDescent="0.2">
      <c r="A49" s="20" t="s">
        <v>114</v>
      </c>
      <c r="B49" s="13"/>
      <c r="C49" s="28"/>
      <c r="D49" s="30"/>
      <c r="E49" s="30"/>
      <c r="F49" s="31"/>
      <c r="G49" s="19"/>
      <c r="H49" s="18"/>
    </row>
    <row r="50" spans="1:8" s="25" customFormat="1" x14ac:dyDescent="0.2">
      <c r="A50" s="20" t="s">
        <v>11</v>
      </c>
      <c r="B50" s="13"/>
      <c r="C50" s="28"/>
      <c r="D50" s="30" t="s">
        <v>112</v>
      </c>
      <c r="E50" s="30" t="s">
        <v>112</v>
      </c>
      <c r="F50" s="33"/>
      <c r="G50" s="19"/>
      <c r="H50" s="18"/>
    </row>
    <row r="51" spans="1:8" s="25" customFormat="1" x14ac:dyDescent="0.2">
      <c r="A51" s="20"/>
      <c r="B51" s="13"/>
      <c r="C51" s="34"/>
      <c r="D51" s="33"/>
      <c r="E51" s="33"/>
      <c r="F51" s="33"/>
      <c r="G51" s="19"/>
      <c r="H51" s="18"/>
    </row>
    <row r="52" spans="1:8" s="25" customFormat="1" x14ac:dyDescent="0.2">
      <c r="A52" s="20" t="s">
        <v>115</v>
      </c>
      <c r="B52" s="13"/>
      <c r="C52" s="34"/>
      <c r="D52" s="30" t="s">
        <v>112</v>
      </c>
      <c r="E52" s="30" t="s">
        <v>112</v>
      </c>
      <c r="F52" s="31"/>
      <c r="G52" s="19"/>
      <c r="H52" s="18"/>
    </row>
    <row r="53" spans="1:8" s="25" customFormat="1" x14ac:dyDescent="0.2">
      <c r="A53" s="20"/>
      <c r="B53" s="13"/>
      <c r="C53" s="34"/>
      <c r="D53" s="33"/>
      <c r="E53" s="33"/>
      <c r="F53" s="33"/>
      <c r="G53" s="19"/>
      <c r="H53" s="18"/>
    </row>
    <row r="54" spans="1:8" s="25" customFormat="1" x14ac:dyDescent="0.2">
      <c r="A54" s="20"/>
      <c r="B54" s="13"/>
      <c r="C54" s="34"/>
      <c r="D54" s="30"/>
      <c r="E54" s="30"/>
      <c r="F54" s="30"/>
      <c r="G54" s="19"/>
      <c r="H54" s="18"/>
    </row>
    <row r="55" spans="1:8" s="25" customFormat="1" x14ac:dyDescent="0.2">
      <c r="A55" s="20" t="s">
        <v>116</v>
      </c>
      <c r="B55" s="13"/>
      <c r="C55" s="34"/>
      <c r="D55" s="30"/>
      <c r="E55" s="30"/>
      <c r="F55" s="30"/>
      <c r="G55" s="19"/>
      <c r="H55" s="18"/>
    </row>
    <row r="56" spans="1:8" s="25" customFormat="1" x14ac:dyDescent="0.2">
      <c r="A56" s="20"/>
      <c r="B56" s="13"/>
      <c r="C56" s="34"/>
      <c r="D56" s="24"/>
      <c r="E56" s="24"/>
      <c r="F56" s="35"/>
      <c r="G56" s="19"/>
      <c r="H56" s="18"/>
    </row>
    <row r="57" spans="1:8" s="25" customFormat="1" x14ac:dyDescent="0.2">
      <c r="A57" s="20" t="s">
        <v>117</v>
      </c>
      <c r="B57" s="13"/>
      <c r="C57" s="34"/>
      <c r="D57" s="30" t="s">
        <v>112</v>
      </c>
      <c r="E57" s="30" t="s">
        <v>112</v>
      </c>
      <c r="F57" s="30"/>
      <c r="G57" s="19"/>
      <c r="H57" s="18"/>
    </row>
    <row r="58" spans="1:8" s="25" customFormat="1" x14ac:dyDescent="0.2">
      <c r="A58" s="20"/>
      <c r="B58" s="13"/>
      <c r="C58" s="34"/>
      <c r="D58" s="30"/>
      <c r="E58" s="30"/>
      <c r="F58" s="30"/>
      <c r="G58" s="19"/>
      <c r="H58" s="18"/>
    </row>
    <row r="59" spans="1:8" s="25" customFormat="1" x14ac:dyDescent="0.2">
      <c r="A59" s="20" t="s">
        <v>118</v>
      </c>
      <c r="B59" s="13"/>
      <c r="C59" s="34"/>
      <c r="D59" s="30" t="s">
        <v>112</v>
      </c>
      <c r="E59" s="30" t="s">
        <v>112</v>
      </c>
      <c r="F59" s="30"/>
      <c r="G59" s="19"/>
      <c r="H59" s="18"/>
    </row>
    <row r="60" spans="1:8" s="25" customFormat="1" x14ac:dyDescent="0.2">
      <c r="A60" s="20"/>
      <c r="B60" s="13"/>
      <c r="C60" s="34"/>
      <c r="D60" s="30"/>
      <c r="E60" s="30"/>
      <c r="F60" s="30"/>
      <c r="G60" s="19"/>
      <c r="H60" s="18"/>
    </row>
    <row r="61" spans="1:8" s="25" customFormat="1" x14ac:dyDescent="0.2">
      <c r="A61" s="20" t="s">
        <v>119</v>
      </c>
      <c r="B61" s="13"/>
      <c r="C61" s="34"/>
      <c r="D61" s="30"/>
      <c r="E61" s="30"/>
      <c r="F61" s="31"/>
      <c r="G61" s="19"/>
      <c r="H61" s="18"/>
    </row>
    <row r="62" spans="1:8" s="25" customFormat="1" x14ac:dyDescent="0.2">
      <c r="A62" s="20"/>
      <c r="B62" s="36"/>
      <c r="C62" s="37"/>
      <c r="D62" s="33"/>
      <c r="E62" s="33"/>
      <c r="F62" s="38"/>
      <c r="G62" s="19"/>
      <c r="H62" s="18"/>
    </row>
    <row r="63" spans="1:8" s="25" customFormat="1" x14ac:dyDescent="0.2">
      <c r="A63" s="21" t="s">
        <v>120</v>
      </c>
      <c r="B63" s="22"/>
      <c r="C63" s="23">
        <v>0</v>
      </c>
      <c r="D63" s="24">
        <v>356.1156039</v>
      </c>
      <c r="E63" s="24">
        <f>(+D63/$D$70*100)</f>
        <v>2.1096727533766373</v>
      </c>
      <c r="F63" s="24">
        <v>0</v>
      </c>
      <c r="G63" s="19">
        <v>5.6050000000000004</v>
      </c>
      <c r="H63" s="18"/>
    </row>
    <row r="64" spans="1:8" s="25" customFormat="1" x14ac:dyDescent="0.2">
      <c r="A64" s="20" t="s">
        <v>110</v>
      </c>
      <c r="B64" s="13"/>
      <c r="C64" s="34"/>
      <c r="D64" s="30">
        <f>IF(ISERROR(SUM(D63:D63)),0,SUM(D63:D63))</f>
        <v>356.1156039</v>
      </c>
      <c r="E64" s="30">
        <f>IF(ISERROR(SUM(E63:E63)),0,SUM(E63:E63))</f>
        <v>2.1096727533766373</v>
      </c>
      <c r="F64" s="24"/>
      <c r="G64" s="19"/>
      <c r="H64" s="18"/>
    </row>
    <row r="65" spans="1:8" s="25" customFormat="1" x14ac:dyDescent="0.2">
      <c r="A65" s="20"/>
      <c r="B65" s="13"/>
      <c r="C65" s="34"/>
      <c r="D65" s="30"/>
      <c r="E65" s="30"/>
      <c r="F65" s="31"/>
      <c r="G65" s="19"/>
      <c r="H65" s="18"/>
    </row>
    <row r="66" spans="1:8" s="25" customFormat="1" x14ac:dyDescent="0.2">
      <c r="A66" s="20" t="s">
        <v>113</v>
      </c>
      <c r="B66" s="13"/>
      <c r="C66" s="34" t="s">
        <v>121</v>
      </c>
      <c r="D66" s="30">
        <f>+IF(ISERROR(#REF!),0,#REF!)+IF(ISERROR(D64),0,D64)+IF(ISERROR(D47),0,D47)+IF(ISERROR(#REF!),0,#REF!)+IF(ISERROR(#REF!),0,#REF!)+IF(ISERROR(#REF!),0,#REF!)+IF(ISERROR(#REF!),0,#REF!)+IF(ISERROR(#REF!),0,#REF!)+IF(ISERROR(#REF!),0,#REF!)</f>
        <v>16767.528865900003</v>
      </c>
      <c r="E66" s="30">
        <f>+IF(ISERROR(#REF!),0,#REF!)+IF(ISERROR(E64),0,E64)+IF(ISERROR(E47),0,E47)+IF(ISERROR(#REF!),0,#REF!)+IF(ISERROR(#REF!),0,#REF!)+IF(ISERROR(#REF!),0,#REF!)+IF(ISERROR(#REF!),0,#REF!)+IF(ISERROR(#REF!),0,#REF!)+IF(ISERROR(#REF!),0,#REF!)</f>
        <v>99.33290875897363</v>
      </c>
      <c r="F66" s="30">
        <f>+IF(ISERROR(#REF!),0,#REF!)+IF(ISERROR(F64),0,F64)+IF(ISERROR(F47),0,F47)+IF(ISERROR(#REF!),0,#REF!)+IF(ISERROR(#REF!),0,#REF!)+IF(ISERROR(#REF!),0,#REF!)+IF(ISERROR(#REF!),0,#REF!)</f>
        <v>0</v>
      </c>
      <c r="G66" s="19"/>
      <c r="H66" s="18"/>
    </row>
    <row r="67" spans="1:8" s="25" customFormat="1" x14ac:dyDescent="0.2">
      <c r="A67" s="20"/>
      <c r="B67" s="13"/>
      <c r="C67" s="34"/>
      <c r="D67" s="30"/>
      <c r="E67" s="30"/>
      <c r="F67" s="39"/>
      <c r="H67" s="5"/>
    </row>
    <row r="68" spans="1:8" s="25" customFormat="1" x14ac:dyDescent="0.2">
      <c r="A68" s="20" t="s">
        <v>122</v>
      </c>
      <c r="B68" s="13"/>
      <c r="C68" s="34"/>
      <c r="D68" s="30">
        <f>+D70-D66</f>
        <v>112.60590050009705</v>
      </c>
      <c r="E68" s="30">
        <f>D68/$D$70*100</f>
        <v>0.66709124102633965</v>
      </c>
      <c r="F68" s="39"/>
      <c r="H68" s="5"/>
    </row>
    <row r="69" spans="1:8" s="25" customFormat="1" x14ac:dyDescent="0.2">
      <c r="A69" s="20"/>
      <c r="B69" s="13"/>
      <c r="C69" s="34"/>
      <c r="D69" s="33"/>
      <c r="E69" s="33"/>
      <c r="F69" s="39"/>
      <c r="H69" s="5"/>
    </row>
    <row r="70" spans="1:8" s="25" customFormat="1" x14ac:dyDescent="0.2">
      <c r="A70" s="20" t="s">
        <v>123</v>
      </c>
      <c r="B70" s="13"/>
      <c r="C70" s="34"/>
      <c r="D70" s="30">
        <v>16880.1347664001</v>
      </c>
      <c r="E70" s="30">
        <f>+E66+E68</f>
        <v>99.999999999999972</v>
      </c>
      <c r="F70" s="39"/>
      <c r="H70" s="5"/>
    </row>
    <row r="71" spans="1:8" s="25" customFormat="1" x14ac:dyDescent="0.2">
      <c r="A71" s="40"/>
      <c r="B71" s="41"/>
      <c r="C71" s="42"/>
      <c r="D71" s="43"/>
      <c r="E71" s="43"/>
      <c r="F71" s="39"/>
      <c r="H71" s="5"/>
    </row>
    <row r="72" spans="1:8" s="25" customFormat="1" x14ac:dyDescent="0.2">
      <c r="A72" s="44"/>
      <c r="B72" s="41"/>
      <c r="C72" s="42"/>
      <c r="D72" s="43"/>
      <c r="E72" s="43"/>
      <c r="F72" s="45"/>
      <c r="H72" s="5"/>
    </row>
    <row r="73" spans="1:8" s="25" customFormat="1" ht="15" x14ac:dyDescent="0.25">
      <c r="A73" s="46" t="s">
        <v>124</v>
      </c>
      <c r="B73" s="46"/>
      <c r="C73" s="46"/>
      <c r="D73" s="46"/>
      <c r="E73" s="46"/>
      <c r="F73" s="46"/>
      <c r="G73" s="46"/>
      <c r="H73" s="47"/>
    </row>
    <row r="74" spans="1:8" s="25" customFormat="1" ht="15" x14ac:dyDescent="0.2">
      <c r="A74" s="48" t="s">
        <v>125</v>
      </c>
      <c r="B74" s="48"/>
      <c r="C74" s="48"/>
      <c r="D74" s="48"/>
      <c r="E74" s="48"/>
      <c r="F74" s="48"/>
      <c r="G74" s="48"/>
      <c r="H74" s="47"/>
    </row>
    <row r="75" spans="1:8" s="25" customFormat="1" ht="39.75" customHeight="1" x14ac:dyDescent="0.2">
      <c r="A75" s="49" t="s">
        <v>126</v>
      </c>
      <c r="B75" s="49"/>
      <c r="C75" s="49"/>
      <c r="D75" s="49"/>
      <c r="E75" s="49"/>
      <c r="F75" s="49"/>
      <c r="G75" s="49"/>
      <c r="H75" s="47"/>
    </row>
    <row r="76" spans="1:8" ht="66.75" customHeight="1" x14ac:dyDescent="0.2">
      <c r="A76" s="50" t="s">
        <v>127</v>
      </c>
      <c r="B76" s="50"/>
      <c r="C76" s="50"/>
      <c r="D76" s="50"/>
      <c r="E76" s="50"/>
      <c r="F76" s="50"/>
      <c r="G76" s="50"/>
      <c r="H76" s="47"/>
    </row>
    <row r="77" spans="1:8" x14ac:dyDescent="0.2">
      <c r="A77" s="51"/>
      <c r="B77" s="52"/>
      <c r="C77" s="53"/>
      <c r="D77" s="54"/>
      <c r="E77" s="54"/>
      <c r="F77" s="45"/>
      <c r="H77" s="47"/>
    </row>
    <row r="78" spans="1:8" x14ac:dyDescent="0.2">
      <c r="A78" s="51"/>
      <c r="B78" s="52"/>
      <c r="C78" s="53"/>
      <c r="D78" s="54"/>
      <c r="E78" s="54"/>
      <c r="F78" s="45"/>
      <c r="H78" s="47"/>
    </row>
    <row r="79" spans="1:8" ht="15" x14ac:dyDescent="0.25">
      <c r="A79" s="55" t="s">
        <v>128</v>
      </c>
      <c r="B79" s="56"/>
      <c r="C79" s="56"/>
      <c r="E79" s="56"/>
      <c r="H79" s="47"/>
    </row>
    <row r="80" spans="1:8" ht="15" x14ac:dyDescent="0.25">
      <c r="A80" s="58" t="s">
        <v>130</v>
      </c>
      <c r="B80" s="56"/>
      <c r="C80" s="56"/>
      <c r="D80" s="56"/>
      <c r="E80" s="56"/>
      <c r="H80" s="47"/>
    </row>
    <row r="81" spans="1:8" ht="15" x14ac:dyDescent="0.25">
      <c r="A81" s="58" t="s">
        <v>131</v>
      </c>
      <c r="B81" s="56"/>
      <c r="C81" s="56"/>
      <c r="D81" s="56"/>
      <c r="E81" s="56"/>
      <c r="H81" s="47"/>
    </row>
    <row r="82" spans="1:8" ht="15" x14ac:dyDescent="0.25">
      <c r="A82" s="58" t="s">
        <v>132</v>
      </c>
      <c r="B82" s="56"/>
      <c r="C82" s="56"/>
      <c r="D82" s="56"/>
      <c r="E82" s="56"/>
      <c r="H82" s="47"/>
    </row>
    <row r="84" spans="1:8" ht="14.25" x14ac:dyDescent="0.2">
      <c r="A84" s="62" t="s">
        <v>133</v>
      </c>
      <c r="D84" s="57" t="s">
        <v>129</v>
      </c>
      <c r="E84" s="56"/>
      <c r="F84" s="56"/>
    </row>
    <row r="85" spans="1:8" x14ac:dyDescent="0.2">
      <c r="A85" s="56"/>
      <c r="D85" s="56"/>
      <c r="E85" s="56"/>
      <c r="F85" s="56"/>
    </row>
    <row r="86" spans="1:8" x14ac:dyDescent="0.2">
      <c r="A86" s="56"/>
      <c r="D86" s="56"/>
      <c r="E86" s="56"/>
      <c r="F86" s="56"/>
    </row>
    <row r="87" spans="1:8" x14ac:dyDescent="0.2">
      <c r="A87" s="56"/>
      <c r="D87" s="56"/>
      <c r="E87" s="56"/>
      <c r="F87" s="56"/>
    </row>
    <row r="88" spans="1:8" x14ac:dyDescent="0.2">
      <c r="A88" s="56"/>
      <c r="D88" s="56"/>
      <c r="E88" s="56"/>
      <c r="F88" s="56"/>
    </row>
    <row r="89" spans="1:8" x14ac:dyDescent="0.2">
      <c r="A89" s="56"/>
      <c r="D89" s="56"/>
      <c r="E89" s="56"/>
      <c r="F89" s="56"/>
    </row>
    <row r="90" spans="1:8" x14ac:dyDescent="0.2">
      <c r="A90" s="56"/>
      <c r="D90" s="56"/>
      <c r="E90" s="56"/>
      <c r="F90" s="56"/>
    </row>
    <row r="91" spans="1:8" x14ac:dyDescent="0.2">
      <c r="A91" s="56"/>
      <c r="D91" s="56"/>
      <c r="E91" s="56"/>
      <c r="F91" s="56"/>
    </row>
    <row r="92" spans="1:8" x14ac:dyDescent="0.2">
      <c r="A92" s="56"/>
      <c r="D92" s="56"/>
      <c r="E92" s="56"/>
      <c r="F92" s="56"/>
    </row>
    <row r="93" spans="1:8" x14ac:dyDescent="0.2">
      <c r="A93" s="56"/>
      <c r="D93" s="56"/>
      <c r="E93" s="56"/>
      <c r="F93" s="56"/>
    </row>
    <row r="94" spans="1:8" x14ac:dyDescent="0.2">
      <c r="A94" s="56"/>
      <c r="D94" s="56"/>
      <c r="E94" s="56"/>
      <c r="F94" s="56"/>
    </row>
    <row r="95" spans="1:8" x14ac:dyDescent="0.2">
      <c r="A95" s="56"/>
      <c r="D95" s="56"/>
      <c r="E95" s="56"/>
      <c r="F95" s="56"/>
    </row>
    <row r="96" spans="1:8" x14ac:dyDescent="0.2">
      <c r="A96" s="56"/>
      <c r="D96" s="56"/>
      <c r="E96" s="56"/>
      <c r="F96" s="56"/>
    </row>
    <row r="97" spans="1:6" x14ac:dyDescent="0.2">
      <c r="A97" s="56"/>
      <c r="D97" s="56"/>
      <c r="E97" s="56"/>
      <c r="F97" s="56"/>
    </row>
    <row r="98" spans="1:6" x14ac:dyDescent="0.2">
      <c r="D98" s="59"/>
      <c r="E98" s="60"/>
    </row>
  </sheetData>
  <mergeCells count="5">
    <mergeCell ref="A73:G73"/>
    <mergeCell ref="A74:G74"/>
    <mergeCell ref="A75:G75"/>
    <mergeCell ref="A76:E76"/>
    <mergeCell ref="F76:G76"/>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BA</vt:lpstr>
      <vt:lpstr>BA!Print_Area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2022-12-05T08:45:01Z</dcterms:created>
  <dcterms:modified xsi:type="dcterms:W3CDTF">2022-12-05T08:45:54Z</dcterms:modified>
</cp:coreProperties>
</file>