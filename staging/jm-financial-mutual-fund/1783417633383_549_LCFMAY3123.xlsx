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3\Monthly\For Sent\without Risko meter\"/>
    </mc:Choice>
  </mc:AlternateContent>
  <bookViews>
    <workbookView xWindow="0" yWindow="0" windowWidth="20490" windowHeight="7770"/>
  </bookViews>
  <sheets>
    <sheet name="JM Large Cap Fund" sheetId="1" r:id="rId1"/>
  </sheets>
  <definedNames>
    <definedName name="_xlnm._FilterDatabase" localSheetId="0" hidden="1">'JM Large Cap Fund'!$A$1:$J$72</definedName>
    <definedName name="Afs">#REF!</definedName>
    <definedName name="_xlnm.Database">#REF!</definedName>
    <definedName name="EBLDB">#REF!</definedName>
    <definedName name="fl">#REF!</definedName>
    <definedName name="_xlnm.Print_Area" localSheetId="0">'JM Large Cap Fund'!$A$1:$E$61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4" i="1" l="1"/>
  <c r="E63" i="1"/>
  <c r="E64" i="1" s="1"/>
  <c r="D44" i="1"/>
  <c r="D48" i="1" s="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4" i="1" l="1"/>
  <c r="E48" i="1" s="1"/>
  <c r="E66" i="1" s="1"/>
  <c r="D66" i="1"/>
  <c r="D68" i="1" s="1"/>
  <c r="E68" i="1" s="1"/>
  <c r="E70" i="1" l="1"/>
</calcChain>
</file>

<file path=xl/sharedStrings.xml><?xml version="1.0" encoding="utf-8"?>
<sst xmlns="http://schemas.openxmlformats.org/spreadsheetml/2006/main" count="163" uniqueCount="133">
  <si>
    <t>JM Large Cap Fund (An open ended equity scheme predominantly investing in large cap stocks).</t>
  </si>
  <si>
    <t>Portfolio as on 31.05.2023</t>
  </si>
  <si>
    <t>Name of the Instruments</t>
  </si>
  <si>
    <t>Industry/Rating</t>
  </si>
  <si>
    <t>Quantity</t>
  </si>
  <si>
    <t>Market Value (Rs. In Lakhs)</t>
  </si>
  <si>
    <t>% age to NAV</t>
  </si>
  <si>
    <t>ISIN</t>
  </si>
  <si>
    <t>Yield %</t>
  </si>
  <si>
    <t>^YTC (AT1/Tier 2 bonds)</t>
  </si>
  <si>
    <t>EQUITY &amp; EQUITY RELATED</t>
  </si>
  <si>
    <t>a) Listed/Awaiting Listing On  Stock Exchange</t>
  </si>
  <si>
    <t>Kalpataru Power Transmission Ltd.</t>
  </si>
  <si>
    <t>Construction</t>
  </si>
  <si>
    <t>INE220B01022</t>
  </si>
  <si>
    <t>Jubilant Foodworks Ltd.</t>
  </si>
  <si>
    <t>Leisure Services</t>
  </si>
  <si>
    <t>INE797F01020</t>
  </si>
  <si>
    <t>The Phoenix Mills Ltd.</t>
  </si>
  <si>
    <t>Realty</t>
  </si>
  <si>
    <t>INE211B01039</t>
  </si>
  <si>
    <t>TVS Motor Company Ltd.</t>
  </si>
  <si>
    <t>Automobiles</t>
  </si>
  <si>
    <t>INE494B01023</t>
  </si>
  <si>
    <t>Blue Star Ltd.</t>
  </si>
  <si>
    <t>Consumer Durables</t>
  </si>
  <si>
    <t>INE472A01039</t>
  </si>
  <si>
    <t>The Indian Hotels Company Ltd.</t>
  </si>
  <si>
    <t>INE053A01029</t>
  </si>
  <si>
    <t>Bharat Heavy Electricals Ltd.</t>
  </si>
  <si>
    <t>Electrical Equipment</t>
  </si>
  <si>
    <t>INE257A01026</t>
  </si>
  <si>
    <t>Godrej Consumer Products Ltd.</t>
  </si>
  <si>
    <t>Personal Products</t>
  </si>
  <si>
    <t>INE102D01028</t>
  </si>
  <si>
    <t>One 97 Communications Ltd.</t>
  </si>
  <si>
    <t>Financial Technology (Fintech)</t>
  </si>
  <si>
    <t>INE982J01020</t>
  </si>
  <si>
    <t>Gujarat Gas Ltd.</t>
  </si>
  <si>
    <t>Gas</t>
  </si>
  <si>
    <t>INE844O01030</t>
  </si>
  <si>
    <t>Power Grid Corporation of India Ltd.</t>
  </si>
  <si>
    <t>Power</t>
  </si>
  <si>
    <t>INE752E01010</t>
  </si>
  <si>
    <t>Hindalco Industries Ltd.</t>
  </si>
  <si>
    <t>Non - Ferrous Metals</t>
  </si>
  <si>
    <t>INE038A01020</t>
  </si>
  <si>
    <t>Poonawalla Fincorp Ltd.</t>
  </si>
  <si>
    <t>Finance</t>
  </si>
  <si>
    <t>INE511C01022</t>
  </si>
  <si>
    <t>Sun Pharmaceutical Industries Ltd.</t>
  </si>
  <si>
    <t>Pharmaceuticals &amp; Biotechnology</t>
  </si>
  <si>
    <t>INE044A01036</t>
  </si>
  <si>
    <t>Hindustan Aeronautics Ltd.</t>
  </si>
  <si>
    <t>Aerospace &amp; Defense</t>
  </si>
  <si>
    <t>INE066F01012</t>
  </si>
  <si>
    <t>Tata Consultancy Services Ltd.</t>
  </si>
  <si>
    <t>IT - Software</t>
  </si>
  <si>
    <t>INE467B01029</t>
  </si>
  <si>
    <t>Indian Oil Corporation Ltd.</t>
  </si>
  <si>
    <t>Petroleum Products</t>
  </si>
  <si>
    <t>INE242A01010</t>
  </si>
  <si>
    <t>Hindustan Unilever Ltd.</t>
  </si>
  <si>
    <t>Diversified FMCG</t>
  </si>
  <si>
    <t>INE030A01027</t>
  </si>
  <si>
    <t>Birla Corporation Ltd.</t>
  </si>
  <si>
    <t>Cement &amp; Cement Products</t>
  </si>
  <si>
    <t>INE340A01012</t>
  </si>
  <si>
    <t>NTPC Ltd.</t>
  </si>
  <si>
    <t>INE733E01010</t>
  </si>
  <si>
    <t>Axis Bank Ltd.</t>
  </si>
  <si>
    <t>Banks</t>
  </si>
  <si>
    <t>INE238A01034</t>
  </si>
  <si>
    <t>Crompton Greaves Consumer Electricals Ltd.</t>
  </si>
  <si>
    <t>INE299U01018</t>
  </si>
  <si>
    <t>Tech Mahindra Ltd.</t>
  </si>
  <si>
    <t>INE669C01036</t>
  </si>
  <si>
    <t>Kotak Mahindra Bank Ltd.</t>
  </si>
  <si>
    <t>INE237A01028</t>
  </si>
  <si>
    <t>Maruti Suzuki India Ltd.</t>
  </si>
  <si>
    <t>INE585B01010</t>
  </si>
  <si>
    <t>Bank of Baroda</t>
  </si>
  <si>
    <t>INE028A01039</t>
  </si>
  <si>
    <t>Fortis Healthcare Ltd.</t>
  </si>
  <si>
    <t>Healthcare Services</t>
  </si>
  <si>
    <t>INE061F01013</t>
  </si>
  <si>
    <t>Mahindra &amp; Mahindra Ltd.</t>
  </si>
  <si>
    <t>INE101A01026</t>
  </si>
  <si>
    <t>HCL Technologies Ltd.</t>
  </si>
  <si>
    <t>INE860A01027</t>
  </si>
  <si>
    <t>Housing Development Finance Corporation Ltd.</t>
  </si>
  <si>
    <t>INE001A01036</t>
  </si>
  <si>
    <t>State Bank of India</t>
  </si>
  <si>
    <t>INE062A01020</t>
  </si>
  <si>
    <t>Infosys Ltd.</t>
  </si>
  <si>
    <t>INE009A01021</t>
  </si>
  <si>
    <t>ITC Ltd.</t>
  </si>
  <si>
    <t>INE154A01025</t>
  </si>
  <si>
    <t>Ultratech Cement Ltd.</t>
  </si>
  <si>
    <t>INE481G01011</t>
  </si>
  <si>
    <t>ICICI Bank Ltd.</t>
  </si>
  <si>
    <t>INE090A01021</t>
  </si>
  <si>
    <t>Larsen &amp; Toubro Ltd.</t>
  </si>
  <si>
    <t>INE018A01030</t>
  </si>
  <si>
    <t>HDFC Bank Ltd.</t>
  </si>
  <si>
    <t>INE040A01034</t>
  </si>
  <si>
    <t>Reliance Industries Ltd.</t>
  </si>
  <si>
    <t>INE002A01018</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</si>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</sst>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4">
    <xf numFmtId="0" fontId="0" fillId="0" borderId="0" xfId="0"/>
    <xf numFmtId="0" fontId="3" fillId="0" borderId="0" xfId="0" applyFont="1"/>
    <xf numFmtId="0" fontId="2" fillId="2" borderId="1" xfId="2" applyFont="1" applyFill="1" applyBorder="1" applyAlignment="1">
      <alignment horizontal="center" vertical="center"/>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2" fontId="5"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Border="1" applyAlignment="1">
      <alignment wrapText="1"/>
    </xf>
    <xf numFmtId="0" fontId="5" fillId="0" borderId="0" xfId="2" applyFont="1" applyBorder="1" applyAlignment="1">
      <alignment horizontal="left" wrapText="1"/>
    </xf>
    <xf numFmtId="165" fontId="5" fillId="0" borderId="0" xfId="5" applyNumberFormat="1" applyFont="1" applyBorder="1"/>
    <xf numFmtId="0" fontId="5" fillId="0" borderId="0" xfId="2" applyFont="1" applyBorder="1"/>
    <xf numFmtId="0" fontId="5" fillId="0" borderId="0" xfId="2" applyFont="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0" fontId="4" fillId="0" borderId="0" xfId="2"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center" wrapText="1"/>
    </xf>
    <xf numFmtId="0" fontId="7" fillId="0" borderId="0" xfId="4" applyFont="1" applyBorder="1" applyAlignment="1">
      <alignment horizontal="left" vertical="center" wrapText="1"/>
    </xf>
    <xf numFmtId="0" fontId="5" fillId="0" borderId="0" xfId="2" applyFont="1" applyAlignment="1">
      <alignment horizontal="left" vertical="center" wrapText="1"/>
    </xf>
    <xf numFmtId="0" fontId="8" fillId="0" borderId="0" xfId="4" applyFont="1" applyBorder="1" applyAlignment="1">
      <alignment horizontal="left" vertical="center" wrapText="1"/>
    </xf>
  </cellXfs>
  <cellStyles count="8">
    <cellStyle name="Comma" xfId="1" builtinId="3"/>
    <cellStyle name="Comma 4" xfId="5"/>
    <cellStyle name="Normal" xfId="0" builtinId="0"/>
    <cellStyle name="Normal 2 2" xfId="2"/>
    <cellStyle name="Normal 2 3 2" xfId="3"/>
    <cellStyle name="Normal 4_E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942975</xdr:colOff>
      <xdr:row>83</xdr:row>
      <xdr:rowOff>0</xdr:rowOff>
    </xdr:from>
    <xdr:to>
      <xdr:col>0</xdr:col>
      <xdr:colOff>2743200</xdr:colOff>
      <xdr:row>88</xdr:row>
      <xdr:rowOff>96371</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942975" y="15735300"/>
          <a:ext cx="1800225" cy="1001246"/>
        </a:xfrm>
        <a:prstGeom prst="rect">
          <a:avLst/>
        </a:prstGeom>
        <a:noFill/>
        <a:ln w="9525">
          <a:noFill/>
          <a:miter lim="800000"/>
          <a:headEnd/>
          <a:tailEnd/>
        </a:ln>
      </xdr:spPr>
    </xdr:pic>
    <xdr:clientData/>
  </xdr:twoCellAnchor>
  <xdr:twoCellAnchor editAs="oneCell">
    <xdr:from>
      <xdr:col>1</xdr:col>
      <xdr:colOff>133350</xdr:colOff>
      <xdr:row>82</xdr:row>
      <xdr:rowOff>171450</xdr:rowOff>
    </xdr:from>
    <xdr:to>
      <xdr:col>1</xdr:col>
      <xdr:colOff>1939178</xdr:colOff>
      <xdr:row>88</xdr:row>
      <xdr:rowOff>96371</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524250" y="15725775"/>
          <a:ext cx="1805828" cy="1010771"/>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9"/>
  <sheetViews>
    <sheetView tabSelected="1" topLeftCell="A73" zoomScaleNormal="100" workbookViewId="0">
      <selection activeCell="B91" sqref="B91"/>
    </sheetView>
  </sheetViews>
  <sheetFormatPr defaultRowHeight="12.75" x14ac:dyDescent="0.2"/>
  <cols>
    <col min="1" max="1" width="50.85546875" style="55" customWidth="1"/>
    <col min="2" max="2" width="29.42578125" style="56" customWidth="1"/>
    <col min="3" max="3" width="13.7109375" style="57" customWidth="1"/>
    <col min="4" max="8" width="13.7109375" style="1" customWidth="1"/>
    <col min="9" max="16384" width="9.140625" style="1"/>
  </cols>
  <sheetData>
    <row r="1" spans="1:8" x14ac:dyDescent="0.2">
      <c r="A1" s="58" t="s">
        <v>0</v>
      </c>
      <c r="B1" s="58"/>
      <c r="C1" s="58"/>
      <c r="D1" s="58"/>
      <c r="E1" s="58"/>
      <c r="F1" s="58"/>
      <c r="G1" s="58"/>
      <c r="H1" s="58"/>
    </row>
    <row r="2" spans="1:8" x14ac:dyDescent="0.2">
      <c r="A2" s="59" t="s">
        <v>1</v>
      </c>
      <c r="B2" s="59"/>
      <c r="C2" s="59"/>
      <c r="D2" s="59"/>
      <c r="E2" s="59"/>
      <c r="F2" s="59"/>
      <c r="G2" s="2"/>
      <c r="H2" s="2"/>
    </row>
    <row r="3" spans="1:8" s="8" customFormat="1" ht="25.5" x14ac:dyDescent="0.25">
      <c r="A3" s="3" t="s">
        <v>2</v>
      </c>
      <c r="B3" s="4" t="s">
        <v>3</v>
      </c>
      <c r="C3" s="5" t="s">
        <v>4</v>
      </c>
      <c r="D3" s="3" t="s">
        <v>5</v>
      </c>
      <c r="E3" s="3" t="s">
        <v>6</v>
      </c>
      <c r="F3" s="3" t="s">
        <v>7</v>
      </c>
      <c r="G3" s="6" t="s">
        <v>8</v>
      </c>
      <c r="H3" s="7" t="s">
        <v>9</v>
      </c>
    </row>
    <row r="4" spans="1:8" ht="14.25" x14ac:dyDescent="0.3">
      <c r="A4" s="9" t="s">
        <v>10</v>
      </c>
      <c r="B4" s="10"/>
      <c r="C4" s="11"/>
      <c r="D4" s="12"/>
      <c r="E4" s="12"/>
      <c r="F4" s="13"/>
      <c r="G4" s="14"/>
      <c r="H4" s="15"/>
    </row>
    <row r="5" spans="1:8" ht="14.25" x14ac:dyDescent="0.3">
      <c r="A5" s="16" t="s">
        <v>11</v>
      </c>
      <c r="B5" s="10"/>
      <c r="C5" s="11"/>
      <c r="D5" s="12"/>
      <c r="E5" s="12"/>
      <c r="F5" s="13"/>
      <c r="G5" s="14"/>
      <c r="H5" s="15"/>
    </row>
    <row r="6" spans="1:8" s="21" customFormat="1" ht="14.25" x14ac:dyDescent="0.3">
      <c r="A6" s="17" t="s">
        <v>12</v>
      </c>
      <c r="B6" s="18" t="s">
        <v>13</v>
      </c>
      <c r="C6" s="19">
        <v>4000</v>
      </c>
      <c r="D6" s="20">
        <v>21.484000000000002</v>
      </c>
      <c r="E6" s="20">
        <f t="shared" ref="E6:E43" si="0">(+D6/$D$70*100)</f>
        <v>0.47659296653750582</v>
      </c>
      <c r="F6" s="20" t="s">
        <v>14</v>
      </c>
      <c r="G6" s="15"/>
      <c r="H6" s="14"/>
    </row>
    <row r="7" spans="1:8" s="21" customFormat="1" ht="14.25" x14ac:dyDescent="0.3">
      <c r="A7" s="17" t="s">
        <v>15</v>
      </c>
      <c r="B7" s="18" t="s">
        <v>16</v>
      </c>
      <c r="C7" s="19">
        <v>5000</v>
      </c>
      <c r="D7" s="20">
        <v>24.164999999999999</v>
      </c>
      <c r="E7" s="20">
        <f t="shared" si="0"/>
        <v>0.5360672610490983</v>
      </c>
      <c r="F7" s="20" t="s">
        <v>17</v>
      </c>
      <c r="G7" s="15"/>
      <c r="H7" s="14"/>
    </row>
    <row r="8" spans="1:8" s="21" customFormat="1" ht="14.25" x14ac:dyDescent="0.3">
      <c r="A8" s="17" t="s">
        <v>18</v>
      </c>
      <c r="B8" s="18" t="s">
        <v>19</v>
      </c>
      <c r="C8" s="19">
        <v>1700</v>
      </c>
      <c r="D8" s="20">
        <v>24.9407</v>
      </c>
      <c r="E8" s="20">
        <f t="shared" si="0"/>
        <v>0.55327509777145645</v>
      </c>
      <c r="F8" s="20" t="s">
        <v>20</v>
      </c>
      <c r="G8" s="15"/>
      <c r="H8" s="14"/>
    </row>
    <row r="9" spans="1:8" s="21" customFormat="1" ht="14.25" x14ac:dyDescent="0.3">
      <c r="A9" s="17" t="s">
        <v>21</v>
      </c>
      <c r="B9" s="18" t="s">
        <v>22</v>
      </c>
      <c r="C9" s="19">
        <v>2100</v>
      </c>
      <c r="D9" s="20">
        <v>27.358799999999999</v>
      </c>
      <c r="E9" s="20">
        <f t="shared" si="0"/>
        <v>0.60691731767391133</v>
      </c>
      <c r="F9" s="20" t="s">
        <v>23</v>
      </c>
      <c r="G9" s="15"/>
      <c r="H9" s="14"/>
    </row>
    <row r="10" spans="1:8" s="21" customFormat="1" ht="14.25" x14ac:dyDescent="0.3">
      <c r="A10" s="17" t="s">
        <v>24</v>
      </c>
      <c r="B10" s="18" t="s">
        <v>25</v>
      </c>
      <c r="C10" s="19">
        <v>3100</v>
      </c>
      <c r="D10" s="20">
        <v>44.698900000000002</v>
      </c>
      <c r="E10" s="20">
        <f t="shared" si="0"/>
        <v>0.99158356693182448</v>
      </c>
      <c r="F10" s="20" t="s">
        <v>26</v>
      </c>
      <c r="G10" s="15"/>
      <c r="H10" s="15"/>
    </row>
    <row r="11" spans="1:8" s="21" customFormat="1" ht="14.25" x14ac:dyDescent="0.3">
      <c r="A11" s="17" t="s">
        <v>27</v>
      </c>
      <c r="B11" s="18" t="s">
        <v>16</v>
      </c>
      <c r="C11" s="19">
        <v>12000</v>
      </c>
      <c r="D11" s="20">
        <v>46.764000000000003</v>
      </c>
      <c r="E11" s="20">
        <f t="shared" si="0"/>
        <v>1.0373949677508807</v>
      </c>
      <c r="F11" s="20" t="s">
        <v>28</v>
      </c>
      <c r="G11" s="15"/>
      <c r="H11" s="22"/>
    </row>
    <row r="12" spans="1:8" s="21" customFormat="1" ht="14.25" x14ac:dyDescent="0.3">
      <c r="A12" s="17" t="s">
        <v>29</v>
      </c>
      <c r="B12" s="18" t="s">
        <v>30</v>
      </c>
      <c r="C12" s="19">
        <v>62000</v>
      </c>
      <c r="D12" s="20">
        <v>50.777999999999999</v>
      </c>
      <c r="E12" s="20">
        <f t="shared" si="0"/>
        <v>1.1264400323422765</v>
      </c>
      <c r="F12" s="20" t="s">
        <v>31</v>
      </c>
      <c r="G12" s="15"/>
      <c r="H12" s="15"/>
    </row>
    <row r="13" spans="1:8" s="21" customFormat="1" ht="14.25" x14ac:dyDescent="0.3">
      <c r="A13" s="17" t="s">
        <v>32</v>
      </c>
      <c r="B13" s="18" t="s">
        <v>33</v>
      </c>
      <c r="C13" s="19">
        <v>6800</v>
      </c>
      <c r="D13" s="20">
        <v>71.967799999999997</v>
      </c>
      <c r="E13" s="20">
        <f t="shared" si="0"/>
        <v>1.5965065768561677</v>
      </c>
      <c r="F13" s="20" t="s">
        <v>34</v>
      </c>
      <c r="G13" s="15"/>
      <c r="H13" s="15"/>
    </row>
    <row r="14" spans="1:8" s="21" customFormat="1" ht="14.25" x14ac:dyDescent="0.3">
      <c r="A14" s="17" t="s">
        <v>35</v>
      </c>
      <c r="B14" s="18" t="s">
        <v>36</v>
      </c>
      <c r="C14" s="19">
        <v>10500</v>
      </c>
      <c r="D14" s="20">
        <v>73.22175</v>
      </c>
      <c r="E14" s="20">
        <f t="shared" si="0"/>
        <v>1.624323731501006</v>
      </c>
      <c r="F14" s="20" t="s">
        <v>37</v>
      </c>
      <c r="G14" s="15"/>
      <c r="H14" s="14"/>
    </row>
    <row r="15" spans="1:8" s="21" customFormat="1" ht="14.25" x14ac:dyDescent="0.3">
      <c r="A15" s="17" t="s">
        <v>38</v>
      </c>
      <c r="B15" s="18" t="s">
        <v>39</v>
      </c>
      <c r="C15" s="19">
        <v>14500</v>
      </c>
      <c r="D15" s="20">
        <v>73.456999999999994</v>
      </c>
      <c r="E15" s="20">
        <f t="shared" si="0"/>
        <v>1.6295424289213163</v>
      </c>
      <c r="F15" s="20" t="s">
        <v>40</v>
      </c>
      <c r="G15" s="15"/>
      <c r="H15" s="15"/>
    </row>
    <row r="16" spans="1:8" s="21" customFormat="1" ht="14.25" x14ac:dyDescent="0.3">
      <c r="A16" s="17" t="s">
        <v>41</v>
      </c>
      <c r="B16" s="18" t="s">
        <v>42</v>
      </c>
      <c r="C16" s="19">
        <v>33633</v>
      </c>
      <c r="D16" s="20">
        <v>78.650770499999993</v>
      </c>
      <c r="E16" s="20">
        <f t="shared" si="0"/>
        <v>1.7447590780606752</v>
      </c>
      <c r="F16" s="20" t="s">
        <v>43</v>
      </c>
      <c r="G16" s="15"/>
      <c r="H16" s="14"/>
    </row>
    <row r="17" spans="1:8" s="21" customFormat="1" ht="14.25" x14ac:dyDescent="0.3">
      <c r="A17" s="17" t="s">
        <v>44</v>
      </c>
      <c r="B17" s="18" t="s">
        <v>45</v>
      </c>
      <c r="C17" s="19">
        <v>19600</v>
      </c>
      <c r="D17" s="20">
        <v>79.556399999999996</v>
      </c>
      <c r="E17" s="20">
        <f t="shared" si="0"/>
        <v>1.7648492218881224</v>
      </c>
      <c r="F17" s="20" t="s">
        <v>46</v>
      </c>
      <c r="G17" s="15"/>
      <c r="H17" s="15"/>
    </row>
    <row r="18" spans="1:8" s="21" customFormat="1" ht="14.25" x14ac:dyDescent="0.3">
      <c r="A18" s="17" t="s">
        <v>47</v>
      </c>
      <c r="B18" s="18" t="s">
        <v>48</v>
      </c>
      <c r="C18" s="19">
        <v>24000</v>
      </c>
      <c r="D18" s="20">
        <v>82.98</v>
      </c>
      <c r="E18" s="20">
        <f t="shared" si="0"/>
        <v>1.840797075185358</v>
      </c>
      <c r="F18" s="20" t="s">
        <v>49</v>
      </c>
      <c r="G18" s="15"/>
      <c r="H18" s="14"/>
    </row>
    <row r="19" spans="1:8" s="21" customFormat="1" ht="14.25" x14ac:dyDescent="0.3">
      <c r="A19" s="17" t="s">
        <v>50</v>
      </c>
      <c r="B19" s="18" t="s">
        <v>51</v>
      </c>
      <c r="C19" s="19">
        <v>9300</v>
      </c>
      <c r="D19" s="20">
        <v>90.707549999999998</v>
      </c>
      <c r="E19" s="20">
        <f t="shared" si="0"/>
        <v>2.0122221346978741</v>
      </c>
      <c r="F19" s="20" t="s">
        <v>52</v>
      </c>
      <c r="G19" s="15"/>
      <c r="H19" s="14"/>
    </row>
    <row r="20" spans="1:8" s="21" customFormat="1" ht="14.25" x14ac:dyDescent="0.3">
      <c r="A20" s="17" t="s">
        <v>53</v>
      </c>
      <c r="B20" s="18" t="s">
        <v>54</v>
      </c>
      <c r="C20" s="19">
        <v>2925</v>
      </c>
      <c r="D20" s="20">
        <v>91.173712499999993</v>
      </c>
      <c r="E20" s="20">
        <f t="shared" si="0"/>
        <v>2.0225633080717125</v>
      </c>
      <c r="F20" s="20" t="s">
        <v>55</v>
      </c>
      <c r="G20" s="15"/>
      <c r="H20" s="15"/>
    </row>
    <row r="21" spans="1:8" s="21" customFormat="1" ht="14.25" x14ac:dyDescent="0.3">
      <c r="A21" s="17" t="s">
        <v>56</v>
      </c>
      <c r="B21" s="18" t="s">
        <v>57</v>
      </c>
      <c r="C21" s="19">
        <v>2835</v>
      </c>
      <c r="D21" s="20">
        <v>93.257324999999994</v>
      </c>
      <c r="E21" s="20">
        <f t="shared" si="0"/>
        <v>2.0687853832201775</v>
      </c>
      <c r="F21" s="20" t="s">
        <v>58</v>
      </c>
      <c r="G21" s="15"/>
      <c r="H21" s="14"/>
    </row>
    <row r="22" spans="1:8" s="21" customFormat="1" ht="14.25" x14ac:dyDescent="0.3">
      <c r="A22" s="17" t="s">
        <v>59</v>
      </c>
      <c r="B22" s="18" t="s">
        <v>60</v>
      </c>
      <c r="C22" s="19">
        <v>104000</v>
      </c>
      <c r="D22" s="20">
        <v>93.6</v>
      </c>
      <c r="E22" s="20">
        <f t="shared" si="0"/>
        <v>2.0763871563912928</v>
      </c>
      <c r="F22" s="20" t="s">
        <v>61</v>
      </c>
      <c r="G22" s="15"/>
      <c r="H22" s="22"/>
    </row>
    <row r="23" spans="1:8" s="21" customFormat="1" ht="14.25" x14ac:dyDescent="0.3">
      <c r="A23" s="17" t="s">
        <v>62</v>
      </c>
      <c r="B23" s="18" t="s">
        <v>63</v>
      </c>
      <c r="C23" s="19">
        <v>3600</v>
      </c>
      <c r="D23" s="20">
        <v>96.031800000000004</v>
      </c>
      <c r="E23" s="20">
        <f t="shared" si="0"/>
        <v>2.1303332919352282</v>
      </c>
      <c r="F23" s="20" t="s">
        <v>64</v>
      </c>
      <c r="G23" s="15"/>
      <c r="H23" s="15"/>
    </row>
    <row r="24" spans="1:8" s="21" customFormat="1" ht="14.25" x14ac:dyDescent="0.3">
      <c r="A24" s="17" t="s">
        <v>65</v>
      </c>
      <c r="B24" s="18" t="s">
        <v>66</v>
      </c>
      <c r="C24" s="19">
        <v>9000</v>
      </c>
      <c r="D24" s="20">
        <v>100.899</v>
      </c>
      <c r="E24" s="20">
        <f t="shared" si="0"/>
        <v>2.2383054240675757</v>
      </c>
      <c r="F24" s="20" t="s">
        <v>67</v>
      </c>
      <c r="G24" s="15"/>
      <c r="H24" s="15"/>
    </row>
    <row r="25" spans="1:8" s="21" customFormat="1" ht="14.25" x14ac:dyDescent="0.3">
      <c r="A25" s="17" t="s">
        <v>68</v>
      </c>
      <c r="B25" s="18" t="s">
        <v>42</v>
      </c>
      <c r="C25" s="19">
        <v>59000</v>
      </c>
      <c r="D25" s="20">
        <v>102.5715</v>
      </c>
      <c r="E25" s="20">
        <f t="shared" si="0"/>
        <v>2.2754075343139903</v>
      </c>
      <c r="F25" s="20" t="s">
        <v>69</v>
      </c>
      <c r="G25" s="15"/>
      <c r="H25" s="14"/>
    </row>
    <row r="26" spans="1:8" s="21" customFormat="1" ht="14.25" x14ac:dyDescent="0.3">
      <c r="A26" s="17" t="s">
        <v>70</v>
      </c>
      <c r="B26" s="18" t="s">
        <v>71</v>
      </c>
      <c r="C26" s="19">
        <v>11500</v>
      </c>
      <c r="D26" s="20">
        <v>105.20775</v>
      </c>
      <c r="E26" s="20">
        <f t="shared" si="0"/>
        <v>2.3338891116754921</v>
      </c>
      <c r="F26" s="20" t="s">
        <v>72</v>
      </c>
      <c r="G26" s="15"/>
      <c r="H26" s="15"/>
    </row>
    <row r="27" spans="1:8" s="21" customFormat="1" ht="14.25" x14ac:dyDescent="0.3">
      <c r="A27" s="17" t="s">
        <v>73</v>
      </c>
      <c r="B27" s="18" t="s">
        <v>25</v>
      </c>
      <c r="C27" s="19">
        <v>41500</v>
      </c>
      <c r="D27" s="20">
        <v>114.042</v>
      </c>
      <c r="E27" s="20">
        <f t="shared" si="0"/>
        <v>2.5298647872775195</v>
      </c>
      <c r="F27" s="20" t="s">
        <v>74</v>
      </c>
      <c r="G27" s="15"/>
      <c r="H27" s="15"/>
    </row>
    <row r="28" spans="1:8" s="21" customFormat="1" ht="14.25" x14ac:dyDescent="0.3">
      <c r="A28" s="17" t="s">
        <v>75</v>
      </c>
      <c r="B28" s="18" t="s">
        <v>57</v>
      </c>
      <c r="C28" s="19">
        <v>10250</v>
      </c>
      <c r="D28" s="20">
        <v>114.343875</v>
      </c>
      <c r="E28" s="20">
        <f t="shared" si="0"/>
        <v>2.5365614686112337</v>
      </c>
      <c r="F28" s="20" t="s">
        <v>76</v>
      </c>
      <c r="G28" s="15"/>
      <c r="H28" s="14"/>
    </row>
    <row r="29" spans="1:8" s="21" customFormat="1" ht="14.25" x14ac:dyDescent="0.3">
      <c r="A29" s="17" t="s">
        <v>77</v>
      </c>
      <c r="B29" s="18" t="s">
        <v>71</v>
      </c>
      <c r="C29" s="19">
        <v>6750</v>
      </c>
      <c r="D29" s="20">
        <v>135.968625</v>
      </c>
      <c r="E29" s="20">
        <f t="shared" si="0"/>
        <v>3.0162767801515393</v>
      </c>
      <c r="F29" s="20" t="s">
        <v>78</v>
      </c>
      <c r="G29" s="15"/>
      <c r="H29" s="14"/>
    </row>
    <row r="30" spans="1:8" s="21" customFormat="1" ht="14.25" x14ac:dyDescent="0.3">
      <c r="A30" s="17" t="s">
        <v>79</v>
      </c>
      <c r="B30" s="18" t="s">
        <v>22</v>
      </c>
      <c r="C30" s="19">
        <v>1475</v>
      </c>
      <c r="D30" s="20">
        <v>138.173575</v>
      </c>
      <c r="E30" s="20">
        <f t="shared" si="0"/>
        <v>3.065190560712276</v>
      </c>
      <c r="F30" s="20" t="s">
        <v>80</v>
      </c>
      <c r="G30" s="15"/>
      <c r="H30" s="14"/>
    </row>
    <row r="31" spans="1:8" s="21" customFormat="1" ht="14.25" x14ac:dyDescent="0.3">
      <c r="A31" s="17" t="s">
        <v>81</v>
      </c>
      <c r="B31" s="18" t="s">
        <v>71</v>
      </c>
      <c r="C31" s="19">
        <v>74750</v>
      </c>
      <c r="D31" s="20">
        <v>138.28749999999999</v>
      </c>
      <c r="E31" s="20">
        <f t="shared" si="0"/>
        <v>3.0677178300156083</v>
      </c>
      <c r="F31" s="20" t="s">
        <v>82</v>
      </c>
      <c r="G31" s="15"/>
      <c r="H31" s="15"/>
    </row>
    <row r="32" spans="1:8" s="21" customFormat="1" ht="14.25" x14ac:dyDescent="0.3">
      <c r="A32" s="17" t="s">
        <v>83</v>
      </c>
      <c r="B32" s="18" t="s">
        <v>84</v>
      </c>
      <c r="C32" s="19">
        <v>50800</v>
      </c>
      <c r="D32" s="20">
        <v>139.54759999999999</v>
      </c>
      <c r="E32" s="20">
        <f t="shared" si="0"/>
        <v>3.0956714139447605</v>
      </c>
      <c r="F32" s="20" t="s">
        <v>85</v>
      </c>
      <c r="G32" s="15"/>
      <c r="H32" s="15"/>
    </row>
    <row r="33" spans="1:8" s="21" customFormat="1" ht="14.25" x14ac:dyDescent="0.3">
      <c r="A33" s="17" t="s">
        <v>86</v>
      </c>
      <c r="B33" s="18" t="s">
        <v>22</v>
      </c>
      <c r="C33" s="19">
        <v>11100</v>
      </c>
      <c r="D33" s="20">
        <v>146.40899999999999</v>
      </c>
      <c r="E33" s="20">
        <f t="shared" si="0"/>
        <v>3.2478821279924444</v>
      </c>
      <c r="F33" s="20" t="s">
        <v>87</v>
      </c>
      <c r="G33" s="15"/>
      <c r="H33" s="14"/>
    </row>
    <row r="34" spans="1:8" s="21" customFormat="1" ht="14.25" x14ac:dyDescent="0.3">
      <c r="A34" s="17" t="s">
        <v>88</v>
      </c>
      <c r="B34" s="18" t="s">
        <v>57</v>
      </c>
      <c r="C34" s="19">
        <v>13843</v>
      </c>
      <c r="D34" s="20">
        <v>158.51619300000002</v>
      </c>
      <c r="E34" s="20">
        <f t="shared" si="0"/>
        <v>3.5164635387312333</v>
      </c>
      <c r="F34" s="20" t="s">
        <v>89</v>
      </c>
      <c r="G34" s="15"/>
      <c r="H34" s="15"/>
    </row>
    <row r="35" spans="1:8" s="21" customFormat="1" ht="14.25" x14ac:dyDescent="0.3">
      <c r="A35" s="17" t="s">
        <v>90</v>
      </c>
      <c r="B35" s="18" t="s">
        <v>48</v>
      </c>
      <c r="C35" s="19">
        <v>6109</v>
      </c>
      <c r="D35" s="20">
        <v>161.30203599999999</v>
      </c>
      <c r="E35" s="20">
        <f t="shared" si="0"/>
        <v>3.5782636308778413</v>
      </c>
      <c r="F35" s="20" t="s">
        <v>91</v>
      </c>
      <c r="G35" s="15"/>
      <c r="H35" s="15"/>
    </row>
    <row r="36" spans="1:8" s="21" customFormat="1" ht="14.25" x14ac:dyDescent="0.3">
      <c r="A36" s="17" t="s">
        <v>92</v>
      </c>
      <c r="B36" s="18" t="s">
        <v>71</v>
      </c>
      <c r="C36" s="19">
        <v>28247</v>
      </c>
      <c r="D36" s="20">
        <v>163.79022949999998</v>
      </c>
      <c r="E36" s="20">
        <f t="shared" si="0"/>
        <v>3.6334607785916906</v>
      </c>
      <c r="F36" s="20" t="s">
        <v>93</v>
      </c>
      <c r="G36" s="15"/>
      <c r="H36" s="14"/>
    </row>
    <row r="37" spans="1:8" s="21" customFormat="1" ht="14.25" x14ac:dyDescent="0.3">
      <c r="A37" s="17" t="s">
        <v>94</v>
      </c>
      <c r="B37" s="18" t="s">
        <v>57</v>
      </c>
      <c r="C37" s="19">
        <v>15198</v>
      </c>
      <c r="D37" s="20">
        <v>200.355234</v>
      </c>
      <c r="E37" s="20">
        <f t="shared" si="0"/>
        <v>4.4446050704420097</v>
      </c>
      <c r="F37" s="20" t="s">
        <v>95</v>
      </c>
      <c r="G37" s="15"/>
      <c r="H37" s="22"/>
    </row>
    <row r="38" spans="1:8" s="21" customFormat="1" ht="14.25" x14ac:dyDescent="0.3">
      <c r="A38" s="17" t="s">
        <v>96</v>
      </c>
      <c r="B38" s="18" t="s">
        <v>63</v>
      </c>
      <c r="C38" s="19">
        <v>45750</v>
      </c>
      <c r="D38" s="20">
        <v>203.81625</v>
      </c>
      <c r="E38" s="20">
        <f t="shared" si="0"/>
        <v>4.5213829461948389</v>
      </c>
      <c r="F38" s="20" t="s">
        <v>97</v>
      </c>
      <c r="G38" s="15"/>
      <c r="H38" s="22"/>
    </row>
    <row r="39" spans="1:8" s="21" customFormat="1" ht="14.25" x14ac:dyDescent="0.3">
      <c r="A39" s="17" t="s">
        <v>98</v>
      </c>
      <c r="B39" s="18" t="s">
        <v>66</v>
      </c>
      <c r="C39" s="19">
        <v>2625</v>
      </c>
      <c r="D39" s="20">
        <v>206.58881249999999</v>
      </c>
      <c r="E39" s="20">
        <f t="shared" si="0"/>
        <v>4.5828884287300111</v>
      </c>
      <c r="F39" s="20" t="s">
        <v>99</v>
      </c>
      <c r="G39" s="15"/>
      <c r="H39" s="14"/>
    </row>
    <row r="40" spans="1:8" s="21" customFormat="1" ht="14.25" x14ac:dyDescent="0.3">
      <c r="A40" s="17" t="s">
        <v>100</v>
      </c>
      <c r="B40" s="18" t="s">
        <v>71</v>
      </c>
      <c r="C40" s="19">
        <v>21887</v>
      </c>
      <c r="D40" s="20">
        <v>207.74046050000001</v>
      </c>
      <c r="E40" s="20">
        <f t="shared" si="0"/>
        <v>4.6084361543270589</v>
      </c>
      <c r="F40" s="20" t="s">
        <v>101</v>
      </c>
      <c r="G40" s="15"/>
      <c r="H40" s="15"/>
    </row>
    <row r="41" spans="1:8" s="21" customFormat="1" ht="14.25" x14ac:dyDescent="0.3">
      <c r="A41" s="17" t="s">
        <v>102</v>
      </c>
      <c r="B41" s="18" t="s">
        <v>13</v>
      </c>
      <c r="C41" s="19">
        <v>9807</v>
      </c>
      <c r="D41" s="20">
        <v>216.30809550000001</v>
      </c>
      <c r="E41" s="20">
        <f t="shared" si="0"/>
        <v>4.7984973431587745</v>
      </c>
      <c r="F41" s="20" t="s">
        <v>103</v>
      </c>
      <c r="G41" s="15"/>
      <c r="H41" s="14"/>
    </row>
    <row r="42" spans="1:8" s="21" customFormat="1" ht="14.25" x14ac:dyDescent="0.3">
      <c r="A42" s="17" t="s">
        <v>104</v>
      </c>
      <c r="B42" s="18" t="s">
        <v>71</v>
      </c>
      <c r="C42" s="19">
        <v>16009</v>
      </c>
      <c r="D42" s="20">
        <v>257.88097649999997</v>
      </c>
      <c r="E42" s="20">
        <f t="shared" si="0"/>
        <v>5.7207344816479146</v>
      </c>
      <c r="F42" s="20" t="s">
        <v>105</v>
      </c>
      <c r="G42" s="15"/>
      <c r="H42" s="15"/>
    </row>
    <row r="43" spans="1:8" s="21" customFormat="1" ht="14.25" x14ac:dyDescent="0.3">
      <c r="A43" s="17" t="s">
        <v>106</v>
      </c>
      <c r="B43" s="18" t="s">
        <v>60</v>
      </c>
      <c r="C43" s="19">
        <v>12053</v>
      </c>
      <c r="D43" s="20">
        <v>297.697047</v>
      </c>
      <c r="E43" s="20">
        <f t="shared" si="0"/>
        <v>6.6039991975044341</v>
      </c>
      <c r="F43" s="20" t="s">
        <v>107</v>
      </c>
      <c r="G43" s="15"/>
      <c r="H43" s="14"/>
    </row>
    <row r="44" spans="1:8" s="21" customFormat="1" ht="14.25" x14ac:dyDescent="0.3">
      <c r="A44" s="16" t="s">
        <v>108</v>
      </c>
      <c r="B44" s="18"/>
      <c r="C44" s="19"/>
      <c r="D44" s="23">
        <f>IF(ISERROR(SUM(D6:D43)),0,SUM(D6:D43))</f>
        <v>4474.2392675000001</v>
      </c>
      <c r="E44" s="23">
        <f>IF(ISERROR(SUM(E6:E43)),0,SUM(E6:E43))</f>
        <v>99.254839205754124</v>
      </c>
      <c r="F44" s="23"/>
      <c r="G44" s="15"/>
      <c r="H44" s="14"/>
    </row>
    <row r="45" spans="1:8" s="21" customFormat="1" ht="14.25" x14ac:dyDescent="0.3">
      <c r="A45" s="16"/>
      <c r="B45" s="16"/>
      <c r="C45" s="24"/>
      <c r="D45" s="25"/>
      <c r="E45" s="25"/>
      <c r="F45" s="25"/>
      <c r="G45" s="15"/>
      <c r="H45" s="14"/>
    </row>
    <row r="46" spans="1:8" s="21" customFormat="1" ht="14.25" x14ac:dyDescent="0.3">
      <c r="A46" s="16" t="s">
        <v>109</v>
      </c>
      <c r="B46" s="16"/>
      <c r="C46" s="24"/>
      <c r="D46" s="26" t="s">
        <v>110</v>
      </c>
      <c r="E46" s="26" t="s">
        <v>110</v>
      </c>
      <c r="F46" s="26"/>
      <c r="G46" s="15"/>
      <c r="H46" s="14"/>
    </row>
    <row r="47" spans="1:8" s="21" customFormat="1" ht="14.25" x14ac:dyDescent="0.3">
      <c r="A47" s="16"/>
      <c r="B47" s="9"/>
      <c r="C47" s="24"/>
      <c r="D47" s="26"/>
      <c r="E47" s="26"/>
      <c r="F47" s="27"/>
      <c r="G47" s="15"/>
      <c r="H47" s="14"/>
    </row>
    <row r="48" spans="1:8" s="21" customFormat="1" ht="14.25" x14ac:dyDescent="0.3">
      <c r="A48" s="16" t="s">
        <v>111</v>
      </c>
      <c r="B48" s="16"/>
      <c r="C48" s="24"/>
      <c r="D48" s="23">
        <f>IF(ISERROR(+D44),0,D44)+IF(ISERROR(+#REF!),0,#REF!)</f>
        <v>4474.2392675000001</v>
      </c>
      <c r="E48" s="23">
        <f>IF(ISERROR(+E44),0,E44)+IF(ISERROR(+#REF!),0,#REF!)</f>
        <v>99.254839205754124</v>
      </c>
      <c r="F48" s="28"/>
      <c r="G48" s="15"/>
      <c r="H48" s="14"/>
    </row>
    <row r="49" spans="1:8" s="21" customFormat="1" ht="14.25" x14ac:dyDescent="0.3">
      <c r="A49" s="16"/>
      <c r="B49" s="9"/>
      <c r="C49" s="24"/>
      <c r="D49" s="26"/>
      <c r="E49" s="26"/>
      <c r="F49" s="27"/>
      <c r="G49" s="15"/>
      <c r="H49" s="14"/>
    </row>
    <row r="50" spans="1:8" s="21" customFormat="1" ht="14.25" x14ac:dyDescent="0.3">
      <c r="A50" s="16" t="s">
        <v>112</v>
      </c>
      <c r="B50" s="9"/>
      <c r="C50" s="24"/>
      <c r="D50" s="26"/>
      <c r="E50" s="26"/>
      <c r="F50" s="27"/>
      <c r="G50" s="15"/>
      <c r="H50" s="14"/>
    </row>
    <row r="51" spans="1:8" s="21" customFormat="1" ht="14.25" x14ac:dyDescent="0.3">
      <c r="A51" s="16" t="s">
        <v>11</v>
      </c>
      <c r="B51" s="9"/>
      <c r="C51" s="24"/>
      <c r="D51" s="26" t="s">
        <v>110</v>
      </c>
      <c r="E51" s="26" t="s">
        <v>110</v>
      </c>
      <c r="F51" s="29"/>
      <c r="G51" s="15"/>
      <c r="H51" s="14"/>
    </row>
    <row r="52" spans="1:8" s="21" customFormat="1" ht="14.25" x14ac:dyDescent="0.3">
      <c r="A52" s="16"/>
      <c r="B52" s="9"/>
      <c r="C52" s="30"/>
      <c r="D52" s="29"/>
      <c r="E52" s="29"/>
      <c r="F52" s="29"/>
      <c r="G52" s="15"/>
      <c r="H52" s="14"/>
    </row>
    <row r="53" spans="1:8" s="21" customFormat="1" ht="14.25" x14ac:dyDescent="0.3">
      <c r="A53" s="16" t="s">
        <v>113</v>
      </c>
      <c r="B53" s="9"/>
      <c r="C53" s="30"/>
      <c r="D53" s="26" t="s">
        <v>110</v>
      </c>
      <c r="E53" s="26" t="s">
        <v>110</v>
      </c>
      <c r="F53" s="27"/>
      <c r="G53" s="15"/>
      <c r="H53" s="14"/>
    </row>
    <row r="54" spans="1:8" s="21" customFormat="1" ht="14.25" x14ac:dyDescent="0.3">
      <c r="A54" s="16"/>
      <c r="B54" s="9"/>
      <c r="C54" s="30"/>
      <c r="D54" s="26"/>
      <c r="E54" s="26"/>
      <c r="F54" s="26"/>
      <c r="G54" s="15"/>
      <c r="H54" s="14"/>
    </row>
    <row r="55" spans="1:8" s="21" customFormat="1" ht="14.25" x14ac:dyDescent="0.3">
      <c r="A55" s="16" t="s">
        <v>114</v>
      </c>
      <c r="B55" s="9"/>
      <c r="C55" s="30"/>
      <c r="D55" s="26"/>
      <c r="E55" s="26"/>
      <c r="F55" s="26"/>
      <c r="G55" s="15"/>
      <c r="H55" s="14"/>
    </row>
    <row r="56" spans="1:8" s="21" customFormat="1" ht="14.25" x14ac:dyDescent="0.3">
      <c r="A56" s="16"/>
      <c r="B56" s="9"/>
      <c r="C56" s="30"/>
      <c r="D56" s="20"/>
      <c r="E56" s="20"/>
      <c r="F56" s="31"/>
      <c r="G56" s="15"/>
      <c r="H56" s="14"/>
    </row>
    <row r="57" spans="1:8" s="21" customFormat="1" ht="14.25" x14ac:dyDescent="0.3">
      <c r="A57" s="16" t="s">
        <v>115</v>
      </c>
      <c r="B57" s="9"/>
      <c r="C57" s="30"/>
      <c r="D57" s="26" t="s">
        <v>110</v>
      </c>
      <c r="E57" s="26" t="s">
        <v>110</v>
      </c>
      <c r="F57" s="26"/>
      <c r="G57" s="15"/>
      <c r="H57" s="14"/>
    </row>
    <row r="58" spans="1:8" s="21" customFormat="1" ht="14.25" x14ac:dyDescent="0.3">
      <c r="A58" s="16"/>
      <c r="B58" s="9"/>
      <c r="C58" s="30"/>
      <c r="D58" s="26"/>
      <c r="E58" s="26"/>
      <c r="F58" s="26"/>
      <c r="G58" s="15"/>
      <c r="H58" s="14"/>
    </row>
    <row r="59" spans="1:8" s="21" customFormat="1" ht="14.25" x14ac:dyDescent="0.3">
      <c r="A59" s="16" t="s">
        <v>116</v>
      </c>
      <c r="B59" s="9"/>
      <c r="C59" s="30"/>
      <c r="D59" s="26" t="s">
        <v>110</v>
      </c>
      <c r="E59" s="26" t="s">
        <v>110</v>
      </c>
      <c r="F59" s="26"/>
      <c r="G59" s="15"/>
      <c r="H59" s="14"/>
    </row>
    <row r="60" spans="1:8" s="21" customFormat="1" ht="14.25" x14ac:dyDescent="0.3">
      <c r="A60" s="16"/>
      <c r="B60" s="9"/>
      <c r="C60" s="30"/>
      <c r="D60" s="26"/>
      <c r="E60" s="26"/>
      <c r="F60" s="26"/>
      <c r="G60" s="15"/>
      <c r="H60" s="14"/>
    </row>
    <row r="61" spans="1:8" s="21" customFormat="1" ht="14.25" x14ac:dyDescent="0.3">
      <c r="A61" s="16" t="s">
        <v>117</v>
      </c>
      <c r="B61" s="9"/>
      <c r="C61" s="30"/>
      <c r="D61" s="26"/>
      <c r="E61" s="26"/>
      <c r="F61" s="27"/>
      <c r="G61" s="15"/>
      <c r="H61" s="14"/>
    </row>
    <row r="62" spans="1:8" s="21" customFormat="1" ht="14.25" x14ac:dyDescent="0.3">
      <c r="A62" s="16"/>
      <c r="B62" s="32"/>
      <c r="C62" s="33"/>
      <c r="D62" s="29"/>
      <c r="E62" s="29"/>
      <c r="F62" s="34"/>
      <c r="G62" s="15"/>
      <c r="H62" s="14"/>
    </row>
    <row r="63" spans="1:8" s="21" customFormat="1" ht="14.25" x14ac:dyDescent="0.3">
      <c r="A63" s="17" t="s">
        <v>118</v>
      </c>
      <c r="B63" s="18"/>
      <c r="C63" s="19">
        <v>0</v>
      </c>
      <c r="D63" s="20">
        <v>0.19350000000000001</v>
      </c>
      <c r="E63" s="20">
        <f>(+D63/$D$70*100)</f>
        <v>4.2925311406166152E-3</v>
      </c>
      <c r="F63" s="20" t="s">
        <v>119</v>
      </c>
      <c r="G63" s="15">
        <v>6.2098000000000004</v>
      </c>
      <c r="H63" s="14"/>
    </row>
    <row r="64" spans="1:8" s="21" customFormat="1" ht="14.25" x14ac:dyDescent="0.3">
      <c r="A64" s="16" t="s">
        <v>108</v>
      </c>
      <c r="B64" s="9"/>
      <c r="C64" s="30"/>
      <c r="D64" s="26">
        <f>IF(ISERROR(SUM(D63:D63)),0,SUM(D63:D63))</f>
        <v>0.19350000000000001</v>
      </c>
      <c r="E64" s="26">
        <f>IF(ISERROR(SUM(E63:E63)),0,SUM(E63:E63))</f>
        <v>4.2925311406166152E-3</v>
      </c>
      <c r="F64" s="20"/>
      <c r="G64" s="15"/>
      <c r="H64" s="14"/>
    </row>
    <row r="65" spans="1:8" s="21" customFormat="1" ht="14.25" x14ac:dyDescent="0.3">
      <c r="A65" s="16"/>
      <c r="B65" s="9"/>
      <c r="C65" s="30"/>
      <c r="D65" s="26"/>
      <c r="E65" s="26"/>
      <c r="F65" s="26"/>
      <c r="G65" s="15"/>
      <c r="H65" s="14"/>
    </row>
    <row r="66" spans="1:8" s="21" customFormat="1" ht="14.25" x14ac:dyDescent="0.3">
      <c r="A66" s="16" t="s">
        <v>111</v>
      </c>
      <c r="B66" s="9"/>
      <c r="C66" s="30" t="s">
        <v>120</v>
      </c>
      <c r="D66" s="26">
        <f>+IF(ISERROR(#REF!),0,#REF!)+IF(ISERROR(D64),0,D64)+IF(ISERROR(D48),0,D48)+IF(ISERROR(#REF!),0,#REF!)+IF(ISERROR(#REF!),0,#REF!)+IF(ISERROR(#REF!),0,#REF!)+IF(ISERROR(#REF!),0,#REF!)+IF(ISERROR(#REF!),0,#REF!)+IF(ISERROR(#REF!),0,#REF!)</f>
        <v>4474.4327675000004</v>
      </c>
      <c r="E66" s="26">
        <f>+IF(ISERROR(#REF!),0,#REF!)+IF(ISERROR(E64),0,E64)+IF(ISERROR(E48),0,E48)+IF(ISERROR(#REF!),0,#REF!)+IF(ISERROR(#REF!),0,#REF!)+IF(ISERROR(#REF!),0,#REF!)+IF(ISERROR(#REF!),0,#REF!)+IF(ISERROR(#REF!),0,#REF!)+IF(ISERROR(#REF!),0,#REF!)</f>
        <v>99.259131736894744</v>
      </c>
      <c r="F66" s="26"/>
      <c r="G66" s="15"/>
      <c r="H66" s="14"/>
    </row>
    <row r="67" spans="1:8" s="21" customFormat="1" ht="14.25" x14ac:dyDescent="0.3">
      <c r="A67" s="16"/>
      <c r="B67" s="9"/>
      <c r="C67" s="30"/>
      <c r="D67" s="26"/>
      <c r="E67" s="26"/>
      <c r="F67" s="35"/>
      <c r="G67" s="36"/>
      <c r="H67" s="37"/>
    </row>
    <row r="68" spans="1:8" s="21" customFormat="1" ht="14.25" x14ac:dyDescent="0.3">
      <c r="A68" s="16" t="s">
        <v>121</v>
      </c>
      <c r="B68" s="9"/>
      <c r="C68" s="30"/>
      <c r="D68" s="26">
        <f>+D70-D66</f>
        <v>33.39708070009965</v>
      </c>
      <c r="E68" s="26">
        <f>D68/$D$70*100</f>
        <v>0.7408682631052399</v>
      </c>
      <c r="F68" s="35"/>
      <c r="G68" s="36"/>
      <c r="H68" s="37"/>
    </row>
    <row r="69" spans="1:8" s="21" customFormat="1" ht="14.25" x14ac:dyDescent="0.3">
      <c r="A69" s="16"/>
      <c r="B69" s="9"/>
      <c r="C69" s="30"/>
      <c r="D69" s="29"/>
      <c r="E69" s="29"/>
      <c r="F69" s="35"/>
      <c r="G69" s="36"/>
      <c r="H69" s="37"/>
    </row>
    <row r="70" spans="1:8" s="21" customFormat="1" ht="14.25" x14ac:dyDescent="0.3">
      <c r="A70" s="16" t="s">
        <v>122</v>
      </c>
      <c r="B70" s="9"/>
      <c r="C70" s="30"/>
      <c r="D70" s="26">
        <v>4507.8298482001001</v>
      </c>
      <c r="E70" s="26">
        <f>+E66+E68</f>
        <v>99.999999999999986</v>
      </c>
      <c r="F70" s="35"/>
      <c r="G70" s="36"/>
      <c r="H70" s="37"/>
    </row>
    <row r="71" spans="1:8" s="21" customFormat="1" ht="14.25" x14ac:dyDescent="0.3">
      <c r="A71" s="38"/>
      <c r="B71" s="39"/>
      <c r="C71" s="40"/>
      <c r="D71" s="41"/>
      <c r="E71" s="41"/>
      <c r="F71" s="35"/>
      <c r="G71" s="36"/>
      <c r="H71" s="37"/>
    </row>
    <row r="72" spans="1:8" s="21" customFormat="1" ht="13.5" x14ac:dyDescent="0.2">
      <c r="A72" s="60" t="s">
        <v>123</v>
      </c>
      <c r="B72" s="60"/>
      <c r="C72" s="60"/>
      <c r="D72" s="60"/>
      <c r="E72" s="60"/>
      <c r="F72" s="60"/>
      <c r="G72" s="60"/>
      <c r="H72" s="60"/>
    </row>
    <row r="73" spans="1:8" ht="26.25" customHeight="1" x14ac:dyDescent="0.2">
      <c r="A73" s="60" t="s">
        <v>124</v>
      </c>
      <c r="B73" s="60"/>
      <c r="C73" s="60"/>
      <c r="D73" s="60"/>
      <c r="E73" s="60"/>
      <c r="F73" s="60"/>
      <c r="G73" s="60"/>
      <c r="H73" s="60"/>
    </row>
    <row r="74" spans="1:8" ht="13.5" x14ac:dyDescent="0.2">
      <c r="A74" s="61" t="s">
        <v>125</v>
      </c>
      <c r="B74" s="61"/>
      <c r="C74" s="61"/>
      <c r="D74" s="61"/>
      <c r="E74" s="61"/>
      <c r="F74" s="61"/>
      <c r="G74" s="62"/>
      <c r="H74" s="62"/>
    </row>
    <row r="75" spans="1:8" ht="51.75" customHeight="1" x14ac:dyDescent="0.2">
      <c r="A75" s="63" t="s">
        <v>126</v>
      </c>
      <c r="B75" s="63"/>
      <c r="C75" s="63"/>
      <c r="D75" s="63"/>
      <c r="E75" s="63"/>
      <c r="F75" s="63"/>
      <c r="G75" s="62"/>
      <c r="H75" s="62"/>
    </row>
    <row r="76" spans="1:8" ht="14.25" x14ac:dyDescent="0.3">
      <c r="A76" s="42"/>
      <c r="B76" s="43"/>
      <c r="C76" s="44"/>
      <c r="D76" s="45"/>
      <c r="E76" s="45"/>
      <c r="F76" s="46"/>
      <c r="G76" s="46"/>
      <c r="H76" s="46"/>
    </row>
    <row r="77" spans="1:8" ht="14.25" x14ac:dyDescent="0.3">
      <c r="A77" s="47" t="s">
        <v>127</v>
      </c>
      <c r="B77" s="48"/>
      <c r="C77" s="46"/>
      <c r="D77" s="48"/>
      <c r="E77" s="46"/>
      <c r="F77" s="46"/>
      <c r="G77" s="46"/>
      <c r="H77" s="46"/>
    </row>
    <row r="78" spans="1:8" ht="14.25" x14ac:dyDescent="0.3">
      <c r="A78" s="49" t="s">
        <v>128</v>
      </c>
      <c r="B78" s="48"/>
      <c r="C78" s="48"/>
      <c r="D78" s="48"/>
      <c r="E78" s="46"/>
      <c r="F78" s="46"/>
      <c r="G78" s="46"/>
      <c r="H78" s="46"/>
    </row>
    <row r="79" spans="1:8" ht="14.25" x14ac:dyDescent="0.3">
      <c r="A79" s="49" t="s">
        <v>129</v>
      </c>
      <c r="B79" s="48"/>
      <c r="C79" s="48"/>
      <c r="D79" s="48"/>
      <c r="E79" s="46"/>
      <c r="F79" s="46"/>
      <c r="G79" s="46"/>
      <c r="H79" s="46"/>
    </row>
    <row r="80" spans="1:8" ht="14.25" x14ac:dyDescent="0.3">
      <c r="A80" s="49" t="s">
        <v>130</v>
      </c>
      <c r="B80" s="48"/>
      <c r="C80" s="48"/>
      <c r="D80" s="48"/>
      <c r="E80" s="46"/>
      <c r="F80" s="46"/>
      <c r="G80" s="46"/>
      <c r="H80" s="46"/>
    </row>
    <row r="81" spans="1:8" ht="14.25" x14ac:dyDescent="0.3">
      <c r="A81" s="50"/>
      <c r="B81" s="51"/>
      <c r="C81" s="52"/>
      <c r="D81" s="46"/>
      <c r="E81" s="46"/>
      <c r="F81" s="46"/>
      <c r="G81" s="46"/>
      <c r="H81" s="46"/>
    </row>
    <row r="82" spans="1:8" ht="14.25" x14ac:dyDescent="0.3">
      <c r="A82" s="53" t="s">
        <v>131</v>
      </c>
      <c r="B82" s="54" t="s">
        <v>132</v>
      </c>
      <c r="C82" s="54"/>
      <c r="D82" s="46"/>
      <c r="E82" s="46"/>
      <c r="F82" s="46"/>
      <c r="G82" s="46"/>
      <c r="H82" s="46"/>
    </row>
    <row r="83" spans="1:8" ht="14.25" x14ac:dyDescent="0.3">
      <c r="A83" s="50"/>
      <c r="B83" s="51"/>
      <c r="C83" s="52"/>
      <c r="D83" s="46"/>
      <c r="E83" s="46"/>
      <c r="F83" s="46"/>
      <c r="G83" s="46"/>
      <c r="H83" s="46"/>
    </row>
    <row r="84" spans="1:8" ht="14.25" x14ac:dyDescent="0.3">
      <c r="A84" s="50"/>
      <c r="B84" s="51"/>
      <c r="C84" s="52"/>
      <c r="D84" s="46"/>
      <c r="E84" s="46"/>
      <c r="F84" s="46"/>
      <c r="G84" s="46"/>
      <c r="H84" s="46"/>
    </row>
    <row r="85" spans="1:8" ht="14.25" x14ac:dyDescent="0.3">
      <c r="A85" s="50"/>
      <c r="B85" s="51"/>
      <c r="C85" s="52"/>
      <c r="D85" s="46"/>
      <c r="E85" s="46"/>
      <c r="F85" s="46"/>
      <c r="G85" s="46"/>
      <c r="H85" s="46"/>
    </row>
    <row r="86" spans="1:8" ht="14.25" x14ac:dyDescent="0.3">
      <c r="A86" s="50"/>
      <c r="B86" s="51"/>
      <c r="C86" s="52"/>
      <c r="D86" s="46"/>
      <c r="E86" s="46"/>
      <c r="F86" s="46"/>
      <c r="G86" s="46"/>
      <c r="H86" s="46"/>
    </row>
    <row r="87" spans="1:8" ht="14.25" x14ac:dyDescent="0.3">
      <c r="A87" s="50"/>
      <c r="B87" s="51"/>
      <c r="C87" s="52"/>
      <c r="D87" s="46"/>
      <c r="E87" s="46"/>
      <c r="F87" s="46"/>
      <c r="G87" s="46"/>
      <c r="H87" s="46"/>
    </row>
    <row r="88" spans="1:8" ht="14.25" x14ac:dyDescent="0.3">
      <c r="A88" s="50"/>
      <c r="B88" s="51"/>
      <c r="C88" s="52"/>
      <c r="D88" s="46"/>
      <c r="E88" s="46"/>
      <c r="F88" s="46"/>
      <c r="G88" s="46"/>
      <c r="H88" s="46"/>
    </row>
    <row r="89" spans="1:8" ht="14.25" x14ac:dyDescent="0.3">
      <c r="A89" s="50"/>
      <c r="B89" s="51"/>
      <c r="C89" s="52"/>
      <c r="D89" s="46"/>
      <c r="E89" s="46"/>
      <c r="F89" s="46"/>
      <c r="G89" s="46"/>
      <c r="H89" s="46"/>
    </row>
  </sheetData>
  <mergeCells count="6">
    <mergeCell ref="A75:H75"/>
    <mergeCell ref="A1:H1"/>
    <mergeCell ref="A2:F2"/>
    <mergeCell ref="A72:H72"/>
    <mergeCell ref="A73:H73"/>
    <mergeCell ref="A74:H7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Santosh Parab</cp:lastModifiedBy>
  <dcterms:created xsi:type="dcterms:W3CDTF">2023-06-01T18:22:08Z</dcterms:created>
  <dcterms:modified xsi:type="dcterms:W3CDTF">2023-06-05T05:52:29Z</dcterms:modified>
</cp:coreProperties>
</file>