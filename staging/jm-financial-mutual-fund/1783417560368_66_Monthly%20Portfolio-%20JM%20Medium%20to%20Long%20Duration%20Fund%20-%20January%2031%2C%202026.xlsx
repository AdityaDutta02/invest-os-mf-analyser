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0D5A8D68-7770-4FE4-AD1B-CB8B5BD63355}" xr6:coauthVersionLast="47" xr6:coauthVersionMax="47" xr10:uidLastSave="{00000000-0000-0000-0000-000000000000}"/>
  <bookViews>
    <workbookView xWindow="-120" yWindow="-120" windowWidth="20730" windowHeight="11040" xr2:uid="{00000000-000D-0000-FFFF-FFFF00000000}"/>
  </bookViews>
  <sheets>
    <sheet name="JM Medium to Long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c r="F23" i="1" s="1"/>
  <c r="E11" i="1"/>
  <c r="E23" i="1" s="1"/>
</calcChain>
</file>

<file path=xl/sharedStrings.xml><?xml version="1.0" encoding="utf-8"?>
<sst xmlns="http://schemas.openxmlformats.org/spreadsheetml/2006/main" count="125" uniqueCount="104">
  <si>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</si>
  <si>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</si>
  <si>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</si>
  <si>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</si>
  <si>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</si>
  <si>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</si>
  <si>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</si>
  <si>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</si>
  <si>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</si>
  <si>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</si>
  <si>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SOVEREIGN</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</si>
  <si>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</si>
  <si>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</si>
  <si>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</si>
  <si>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</si>
  <si>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</si>
  <si>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</si>
  <si>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</si>
  <si>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</si>
  <si>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</si>
  <si>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</si>
  <si>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</si>
  <si>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</si>
  <si>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</si>
  <si>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</si>
  <si>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</si>
  <si>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</si>
  <si>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</si>
  <si>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</si>
  <si>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</si>
  <si>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</si>
  <si>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</si>
  <si>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</si>
  <si>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</si>
  <si>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</si>
  <si>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</si>
  <si>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</si>
  <si>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</si>
  <si>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</si>
  <si>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</si>
  <si>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</si>
  <si>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</si>
  <si>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</si>
  <si>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</si>
  <si>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</si>
  <si>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</si>
  <si>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</si>
  <si>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</si>
  <si>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</si>
  <si>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</si>
  <si>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</si>
  <si>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</si>
  <si>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</si>
  <si>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</si>
  <si>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</si>
  <si>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</si>
  <si>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</si>
  <si>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Non Convertible Debentures / Bonds</t>
  </si>
  <si>
    <t>INE261F08EO7</t>
  </si>
  <si>
    <t>CRISIL AAA</t>
  </si>
  <si>
    <t>15-SEP-2028</t>
  </si>
  <si>
    <t>IN0020240183</t>
  </si>
  <si>
    <t>6.75% GOI 23-Dec-2029</t>
  </si>
  <si>
    <t>23-DEC-2029</t>
  </si>
  <si>
    <t>IN0020250059</t>
  </si>
  <si>
    <t>6.28% GOI 14-July-2032</t>
  </si>
  <si>
    <t>14-JUL-2032</t>
  </si>
  <si>
    <t>INE020B08CU7</t>
  </si>
  <si>
    <t>7.55% REC Limited 11-MAY-2030**</t>
  </si>
  <si>
    <t>11-MAY-2030</t>
  </si>
  <si>
    <t>INE377Y07573</t>
  </si>
  <si>
    <t>7.08% Bajaj Housing Finance Ltd 12-JUN-2030**</t>
  </si>
  <si>
    <t>12-JUN-2030</t>
  </si>
  <si>
    <t>IN0020250091</t>
  </si>
  <si>
    <t>6.48% GOI 06-Oct-2035</t>
  </si>
  <si>
    <t>06-OCT-2035</t>
  </si>
  <si>
    <t>^YTC (AT1/Tier 2 bonds)</t>
  </si>
  <si>
    <t>**  Non Traded Security</t>
  </si>
  <si>
    <t>Average Maturity ( Years )</t>
  </si>
  <si>
    <t>Scheme performance</t>
  </si>
  <si>
    <t>https://www.jmfinancialmf.com/products/Fixed-Income/JM-Medium-to-Long-Duration-Fund/J06/Regular-Plan-Growth-Option</t>
  </si>
  <si>
    <t>https://www.jmfinancialmf.com/products/Fixed-Income/JM-Medium-to-Long-Duration-Fund/J460/Direct-Plan-Growth-Option</t>
  </si>
  <si>
    <t>Regular Plan</t>
  </si>
  <si>
    <t>Direct Plan</t>
  </si>
  <si>
    <t>Quantity</t>
  </si>
  <si>
    <t>7.48% NABARD 15-SEP-2028</t>
  </si>
  <si>
    <t>6.18%</t>
  </si>
  <si>
    <t>IN0020250075</t>
  </si>
  <si>
    <t>7.24% GOI 18-Aug-2055</t>
  </si>
  <si>
    <t>18-AUG-2055</t>
  </si>
  <si>
    <t>Alternative Investment Fund Units</t>
  </si>
  <si>
    <t>Corporate Debt Market Development Fund - Class A2 Units</t>
  </si>
  <si>
    <t>7.28%</t>
  </si>
  <si>
    <t>7.18%</t>
  </si>
  <si>
    <t>IN0020240076</t>
  </si>
  <si>
    <t>7.02% GOI 18-JUN-2031</t>
  </si>
  <si>
    <t>18-JUN-2031</t>
  </si>
  <si>
    <t>6.52%</t>
  </si>
  <si>
    <t>6.62%</t>
  </si>
  <si>
    <t>7.35%</t>
  </si>
  <si>
    <t>02-FEB-2026</t>
  </si>
  <si>
    <t>31.01.2026</t>
  </si>
  <si>
    <t>Note - Traded Securities (Debt) as on January 30, 2026</t>
  </si>
  <si>
    <t>Monthly Portfolio Statement for the period ended 31.01.2026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</si>
</sst>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u/>
      <sz val="11"/>
      <color theme="10"/>
      <name val="Calibri"/>
      <family val="2"/>
      <scheme val="minor"/>
    </font>
    <font>
      <b/>
      <sz val="10"/>
      <name val="Times New Roman"/>
      <family val="1"/>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7" fillId="0" borderId="0" applyNumberFormat="0" applyFill="0" applyBorder="0" applyAlignment="0" applyProtection="0"/>
  </cellStyleXfs>
  <cellXfs count="110">
    <xf numFmtId="0" fontId="0" fillId="0" borderId="0" xfId="0"/>
    <xf numFmtId="0" fontId="4" fillId="0" borderId="0" xfId="3" applyFont="1"/>
    <xf numFmtId="0" fontId="6" fillId="0" borderId="0" xfId="3" applyFont="1" applyAlignment="1">
      <alignment horizontal="right"/>
    </xf>
    <xf numFmtId="0" fontId="6" fillId="0" borderId="0" xfId="3" applyFont="1"/>
    <xf numFmtId="0" fontId="8" fillId="0" borderId="0" xfId="6" applyFont="1" applyAlignment="1">
      <alignment wrapText="1"/>
    </xf>
    <xf numFmtId="0" fontId="6" fillId="0" borderId="0" xfId="3" applyFont="1" applyAlignment="1">
      <alignment wrapText="1"/>
    </xf>
    <xf numFmtId="0" fontId="9" fillId="0" borderId="0" xfId="7" applyFont="1"/>
    <xf numFmtId="0" fontId="10" fillId="0" borderId="0" xfId="3" applyFont="1" applyAlignment="1">
      <alignment horizontal="left" wrapText="1"/>
    </xf>
    <xf numFmtId="0" fontId="11" fillId="0" borderId="0" xfId="7" applyFont="1"/>
    <xf numFmtId="0" fontId="6" fillId="0" borderId="0" xfId="3" applyFont="1" applyAlignment="1">
      <alignment horizontal="left" wrapText="1"/>
    </xf>
    <xf numFmtId="165" fontId="6" fillId="0" borderId="0" xfId="1" applyNumberFormat="1" applyFont="1"/>
    <xf numFmtId="0" fontId="9" fillId="0" borderId="6" xfId="3" applyFont="1" applyBorder="1" applyAlignment="1">
      <alignment vertical="center" wrapText="1"/>
    </xf>
    <xf numFmtId="0" fontId="11" fillId="0" borderId="6" xfId="3" applyFont="1" applyBorder="1" applyAlignment="1">
      <alignment vertical="center" wrapText="1"/>
    </xf>
    <xf numFmtId="0" fontId="11" fillId="0" borderId="8" xfId="3" applyFont="1" applyBorder="1" applyAlignment="1">
      <alignment vertical="center" wrapText="1"/>
    </xf>
    <xf numFmtId="0" fontId="11" fillId="3" borderId="8" xfId="3" applyFont="1" applyFill="1" applyBorder="1" applyAlignment="1">
      <alignment horizontal="center" vertical="center" wrapText="1"/>
    </xf>
    <xf numFmtId="165" fontId="6" fillId="0" borderId="0" xfId="8"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13" fillId="5"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14" fillId="0" borderId="0" xfId="0" applyFont="1" applyAlignment="1">
      <alignment horizontal="left" vertical="top"/>
    </xf>
    <xf numFmtId="0" fontId="5" fillId="0" borderId="0" xfId="3" applyFont="1" applyAlignment="1">
      <alignment horizontal="center" wrapText="1"/>
    </xf>
    <xf numFmtId="0" fontId="16" fillId="0" borderId="0" xfId="0" applyFont="1"/>
    <xf numFmtId="0" fontId="5" fillId="0" borderId="0" xfId="0" applyFont="1" applyAlignment="1">
      <alignment wrapText="1"/>
    </xf>
    <xf numFmtId="4" fontId="9"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6" fillId="4" borderId="0" xfId="3" applyFont="1" applyFill="1" applyAlignment="1">
      <alignment wrapText="1"/>
    </xf>
    <xf numFmtId="0" fontId="6" fillId="4" borderId="0" xfId="3" applyFont="1" applyFill="1" applyAlignment="1">
      <alignment horizontal="left" wrapText="1"/>
    </xf>
    <xf numFmtId="0" fontId="5" fillId="0" borderId="0" xfId="3" applyFont="1" applyAlignment="1">
      <alignment wrapText="1"/>
    </xf>
    <xf numFmtId="0" fontId="5" fillId="0" borderId="0" xfId="3" applyFont="1"/>
    <xf numFmtId="0" fontId="18" fillId="0" borderId="0" xfId="3" applyFont="1"/>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11" fillId="0" borderId="2" xfId="0" applyFont="1" applyBorder="1"/>
    <xf numFmtId="0" fontId="14" fillId="0" borderId="2" xfId="0" applyFont="1" applyBorder="1" applyAlignment="1">
      <alignment horizontal="left" vertical="top"/>
    </xf>
    <xf numFmtId="167" fontId="11" fillId="0" borderId="2" xfId="0" applyNumberFormat="1" applyFont="1" applyBorder="1"/>
    <xf numFmtId="0" fontId="11"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9"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4" fontId="11"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5" fillId="0" borderId="2" xfId="0" applyNumberFormat="1" applyFont="1" applyBorder="1" applyAlignment="1">
      <alignment horizontal="right" vertical="top"/>
    </xf>
    <xf numFmtId="10" fontId="15"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9" fillId="0" borderId="0" xfId="10" applyFont="1" applyAlignment="1"/>
    <xf numFmtId="0" fontId="20" fillId="0" borderId="0" xfId="10" applyFont="1" applyAlignment="1"/>
    <xf numFmtId="0" fontId="5" fillId="0" borderId="0" xfId="3" applyFont="1" applyAlignment="1">
      <alignment horizontal="left" wrapText="1"/>
    </xf>
    <xf numFmtId="165" fontId="5" fillId="0" borderId="0" xfId="1" applyNumberFormat="1" applyFont="1"/>
    <xf numFmtId="2" fontId="6" fillId="0" borderId="2" xfId="3" applyNumberFormat="1" applyFont="1" applyBorder="1" applyAlignment="1">
      <alignment horizontal="center"/>
    </xf>
    <xf numFmtId="10" fontId="14" fillId="0" borderId="2" xfId="2" applyNumberFormat="1" applyFont="1" applyBorder="1" applyAlignment="1">
      <alignment horizontal="right" vertical="top"/>
    </xf>
    <xf numFmtId="0" fontId="6" fillId="0" borderId="0" xfId="5" applyFont="1" applyAlignment="1">
      <alignment vertical="top" wrapText="1"/>
    </xf>
    <xf numFmtId="0" fontId="6" fillId="0" borderId="0" xfId="5"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center"/>
    </xf>
    <xf numFmtId="0" fontId="8" fillId="0" borderId="0" xfId="6" applyFont="1" applyAlignment="1">
      <alignment vertical="top" wrapText="1"/>
    </xf>
    <xf numFmtId="0" fontId="16" fillId="0" borderId="0" xfId="0" applyFont="1"/>
  </cellXfs>
  <cellStyles count="11">
    <cellStyle name="Comma" xfId="1" builtinId="3"/>
    <cellStyle name="Comma 3" xfId="8" xr:uid="{00000000-0005-0000-0000-000001000000}"/>
    <cellStyle name="Hyperlink" xfId="10" builtinId="8"/>
    <cellStyle name="Normal" xfId="0" builtinId="0"/>
    <cellStyle name="Normal 2 2 2" xfId="3" xr:uid="{00000000-0005-0000-0000-000004000000}"/>
    <cellStyle name="Normal 2 2_Template Portfolio Disclosure -31.01 2025" xfId="4" xr:uid="{00000000-0005-0000-0000-000005000000}"/>
    <cellStyle name="Normal 2 3 2" xfId="5" xr:uid="{00000000-0005-0000-0000-000006000000}"/>
    <cellStyle name="Normal 3" xfId="9" xr:uid="{00000000-0005-0000-0000-000007000000}"/>
    <cellStyle name="Normal 4_IF" xfId="7" xr:uid="{00000000-0005-0000-0000-000008000000}"/>
    <cellStyle name="Normal 4_LD" xfId="6"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1308100</xdr:colOff>
      <xdr:row>56</xdr:row>
      <xdr:rowOff>101600</xdr:rowOff>
    </xdr:from>
    <xdr:to>
      <xdr:col>1</xdr:col>
      <xdr:colOff>2076450</xdr:colOff>
      <xdr:row>64</xdr:row>
      <xdr:rowOff>50800</xdr:rowOff>
    </xdr:to>
    <xdr:pic>
      <xdr:nvPicPr>
        <xdr:cNvPr id="2" name="Picture 7">
          <a:extLst>
            <a:ext uri="{FF2B5EF4-FFF2-40B4-BE49-F238E27FC236}">
              <a16:creationId xmlns:a16="http://schemas.microsoft.com/office/drawing/2014/main" id="{C5078050-2934-45CA-90E1-C3D908655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8100" y="11236325"/>
          <a:ext cx="2549525"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609600</xdr:colOff>
      <xdr:row>56</xdr:row>
      <xdr:rowOff>107950</xdr:rowOff>
    </xdr:from>
    <xdr:to>
      <xdr:col>5</xdr:col>
      <xdr:colOff>660400</xdr:colOff>
      <xdr:row>64</xdr:row>
      <xdr:rowOff>73025</xdr:rowOff>
    </xdr:to>
    <xdr:pic>
      <xdr:nvPicPr>
        <xdr:cNvPr id="3" name="Picture 8">
          <a:extLst>
            <a:ext uri="{FF2B5EF4-FFF2-40B4-BE49-F238E27FC236}">
              <a16:creationId xmlns:a16="http://schemas.microsoft.com/office/drawing/2014/main" id="{2B571ACD-5ED3-4368-9328-2F7C6492E8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86400" y="11242675"/>
          <a:ext cx="2689225" cy="141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Medium-to-Long-Duration-Fund/J460/Direct-Plan-Growth-Option" TargetMode="External"/><Relationship Id="rId1" Type="http://schemas.openxmlformats.org/officeDocument/2006/relationships/hyperlink" Target="https://www.jmfinancialmf.com/products/Fixed-Income/JM-Medium-to-Long-Duration-Fund/J06/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4"/>
  <sheetViews>
    <sheetView tabSelected="1" zoomScaleNormal="100" workbookViewId="0">
      <selection sqref="A1:I1"/>
    </sheetView>
  </sheetViews>
  <sheetFormatPr defaultColWidth="9.140625" defaultRowHeight="14.25" x14ac:dyDescent="0.3"/>
  <cols>
    <col min="1" max="1" width="26.7109375" style="16" customWidth="1"/>
    <col min="2" max="2" width="46.42578125" style="17" customWidth="1"/>
    <col min="3" max="3" width="16.5703125" style="18" bestFit="1" customWidth="1"/>
    <col min="4" max="4" width="13.5703125" style="1" customWidth="1"/>
    <col min="5" max="5" width="9.42578125" style="1" customWidth="1"/>
    <col min="6" max="6" width="16.28515625" style="1" customWidth="1"/>
    <col min="7" max="7" width="11.5703125" style="1" bestFit="1" customWidth="1"/>
    <col min="8" max="8" width="12.28515625" style="1" customWidth="1"/>
    <col min="9" max="9" width="10.42578125" style="1" bestFit="1" customWidth="1"/>
    <col min="10" max="10" width="9.140625" style="3"/>
    <col min="11" max="16384" width="9.140625" style="1"/>
  </cols>
  <sheetData>
    <row r="1" spans="1:10" ht="13.5" x14ac:dyDescent="0.25">
      <c r="A1" s="95" t="s">
        <v>0</v>
      </c>
      <c r="B1" s="95"/>
      <c r="C1" s="95"/>
      <c r="D1" s="95"/>
      <c r="E1" s="95"/>
      <c r="F1" s="95"/>
      <c r="G1" s="95"/>
      <c r="H1" s="95"/>
      <c r="I1" s="95"/>
      <c r="J1" s="28"/>
    </row>
    <row r="2" spans="1:10" ht="27.75" customHeight="1" x14ac:dyDescent="0.25">
      <c r="A2" s="96" t="s">
        <v>1</v>
      </c>
      <c r="B2" s="96"/>
      <c r="C2" s="96"/>
      <c r="D2" s="96"/>
      <c r="E2" s="96"/>
      <c r="F2" s="96"/>
      <c r="G2" s="96"/>
      <c r="H2" s="96"/>
      <c r="I2" s="96"/>
      <c r="J2" s="28"/>
    </row>
    <row r="3" spans="1:10" ht="12.75" customHeight="1" x14ac:dyDescent="0.25">
      <c r="A3" s="97" t="s">
        <v>103</v>
      </c>
      <c r="B3" s="97"/>
      <c r="C3" s="97"/>
      <c r="D3" s="97"/>
      <c r="E3" s="97"/>
      <c r="F3" s="97"/>
      <c r="G3" s="97"/>
      <c r="H3" s="97"/>
      <c r="I3" s="97"/>
      <c r="J3" s="28"/>
    </row>
    <row r="4" spans="1:10" s="51" customFormat="1" ht="38.25" x14ac:dyDescent="0.2">
      <c r="A4" s="29" t="s">
        <v>2</v>
      </c>
      <c r="B4" s="46" t="s">
        <v>50</v>
      </c>
      <c r="C4" s="47" t="s">
        <v>51</v>
      </c>
      <c r="D4" s="48" t="s">
        <v>84</v>
      </c>
      <c r="E4" s="49" t="s">
        <v>52</v>
      </c>
      <c r="F4" s="50" t="s">
        <v>53</v>
      </c>
      <c r="G4" s="29" t="s">
        <v>54</v>
      </c>
      <c r="H4" s="29" t="s">
        <v>55</v>
      </c>
      <c r="I4" s="29" t="s">
        <v>56</v>
      </c>
      <c r="J4" s="29" t="s">
        <v>76</v>
      </c>
    </row>
    <row r="5" spans="1:10" x14ac:dyDescent="0.3">
      <c r="A5" s="52"/>
      <c r="B5" s="53" t="s">
        <v>3</v>
      </c>
      <c r="C5" s="52"/>
      <c r="D5" s="52"/>
      <c r="E5" s="52"/>
      <c r="F5" s="54"/>
      <c r="G5" s="55"/>
      <c r="H5" s="52"/>
      <c r="I5" s="56"/>
      <c r="J5" s="30"/>
    </row>
    <row r="6" spans="1:10" x14ac:dyDescent="0.3">
      <c r="A6" s="57"/>
      <c r="B6" s="53" t="s">
        <v>4</v>
      </c>
      <c r="C6" s="57"/>
      <c r="D6" s="58"/>
      <c r="E6" s="59"/>
      <c r="F6" s="60"/>
      <c r="G6" s="56"/>
      <c r="H6" s="57"/>
      <c r="I6" s="56"/>
      <c r="J6" s="30"/>
    </row>
    <row r="7" spans="1:10" x14ac:dyDescent="0.3">
      <c r="A7" s="57"/>
      <c r="B7" s="53" t="s">
        <v>57</v>
      </c>
      <c r="C7" s="57"/>
      <c r="D7" s="58"/>
      <c r="E7" s="61"/>
      <c r="F7" s="61"/>
      <c r="G7" s="56"/>
      <c r="H7" s="57"/>
      <c r="I7" s="56"/>
      <c r="J7" s="30"/>
    </row>
    <row r="8" spans="1:10" x14ac:dyDescent="0.3">
      <c r="A8" s="57" t="s">
        <v>67</v>
      </c>
      <c r="B8" s="57" t="s">
        <v>68</v>
      </c>
      <c r="C8" s="57" t="s">
        <v>59</v>
      </c>
      <c r="D8" s="62">
        <v>250000</v>
      </c>
      <c r="E8" s="62">
        <v>252.3175</v>
      </c>
      <c r="F8" s="63">
        <v>8.3225716460351082E-2</v>
      </c>
      <c r="G8" s="63" t="s">
        <v>69</v>
      </c>
      <c r="H8" s="63"/>
      <c r="I8" s="56" t="s">
        <v>92</v>
      </c>
      <c r="J8" s="31"/>
    </row>
    <row r="9" spans="1:10" x14ac:dyDescent="0.3">
      <c r="A9" s="57" t="s">
        <v>70</v>
      </c>
      <c r="B9" s="57" t="s">
        <v>71</v>
      </c>
      <c r="C9" s="57" t="s">
        <v>59</v>
      </c>
      <c r="D9" s="62">
        <v>250000</v>
      </c>
      <c r="E9" s="62">
        <v>246.11150000000001</v>
      </c>
      <c r="F9" s="63">
        <v>8.1178697144001888E-2</v>
      </c>
      <c r="G9" s="63" t="s">
        <v>72</v>
      </c>
      <c r="H9" s="63"/>
      <c r="I9" s="81">
        <v>7.4999999999999997E-2</v>
      </c>
      <c r="J9" s="31"/>
    </row>
    <row r="10" spans="1:10" x14ac:dyDescent="0.3">
      <c r="A10" s="57" t="s">
        <v>58</v>
      </c>
      <c r="B10" s="57" t="s">
        <v>85</v>
      </c>
      <c r="C10" s="57" t="s">
        <v>59</v>
      </c>
      <c r="D10" s="62">
        <v>200000</v>
      </c>
      <c r="E10" s="62">
        <v>201.26779999999999</v>
      </c>
      <c r="F10" s="63">
        <v>6.6387217911554497E-2</v>
      </c>
      <c r="G10" s="63" t="s">
        <v>60</v>
      </c>
      <c r="H10" s="63"/>
      <c r="I10" s="56" t="s">
        <v>93</v>
      </c>
      <c r="J10" s="31"/>
    </row>
    <row r="11" spans="1:10" x14ac:dyDescent="0.3">
      <c r="A11" s="52"/>
      <c r="B11" s="53" t="s">
        <v>6</v>
      </c>
      <c r="C11" s="52"/>
      <c r="D11" s="64"/>
      <c r="E11" s="65">
        <f>SUM(E8:E10)</f>
        <v>699.69679999999994</v>
      </c>
      <c r="F11" s="66">
        <f>SUM(F8:F10)</f>
        <v>0.23079163151590748</v>
      </c>
      <c r="G11" s="67"/>
      <c r="H11" s="66"/>
      <c r="I11" s="56"/>
      <c r="J11" s="31"/>
    </row>
    <row r="12" spans="1:10" x14ac:dyDescent="0.3">
      <c r="A12" s="68"/>
      <c r="B12" s="53" t="s">
        <v>7</v>
      </c>
      <c r="C12" s="68"/>
      <c r="D12" s="69"/>
      <c r="E12" s="61"/>
      <c r="F12" s="61"/>
      <c r="G12" s="67"/>
      <c r="H12" s="66"/>
      <c r="I12" s="56"/>
      <c r="J12" s="31"/>
    </row>
    <row r="13" spans="1:10" ht="13.5" x14ac:dyDescent="0.25">
      <c r="A13" s="70"/>
      <c r="B13" s="53" t="s">
        <v>6</v>
      </c>
      <c r="C13" s="70"/>
      <c r="D13" s="70"/>
      <c r="E13" s="61" t="s">
        <v>5</v>
      </c>
      <c r="F13" s="61" t="s">
        <v>5</v>
      </c>
      <c r="G13" s="71"/>
      <c r="H13" s="70"/>
      <c r="I13" s="56"/>
      <c r="J13" s="32"/>
    </row>
    <row r="14" spans="1:10" ht="13.5" x14ac:dyDescent="0.25">
      <c r="A14" s="70"/>
      <c r="B14" s="53" t="s">
        <v>8</v>
      </c>
      <c r="C14" s="70"/>
      <c r="D14" s="71"/>
      <c r="E14" s="61" t="s">
        <v>5</v>
      </c>
      <c r="F14" s="61" t="s">
        <v>5</v>
      </c>
      <c r="G14" s="72"/>
      <c r="H14" s="72"/>
      <c r="I14" s="56"/>
      <c r="J14" s="32"/>
    </row>
    <row r="15" spans="1:10" x14ac:dyDescent="0.3">
      <c r="A15" s="68"/>
      <c r="B15" s="53" t="s">
        <v>6</v>
      </c>
      <c r="C15" s="68"/>
      <c r="D15" s="69"/>
      <c r="E15" s="65" t="s">
        <v>5</v>
      </c>
      <c r="F15" s="66" t="s">
        <v>5</v>
      </c>
      <c r="G15" s="73"/>
      <c r="H15" s="74"/>
      <c r="I15" s="56"/>
      <c r="J15" s="31"/>
    </row>
    <row r="16" spans="1:10" x14ac:dyDescent="0.3">
      <c r="A16" s="68"/>
      <c r="B16" s="53" t="s">
        <v>9</v>
      </c>
      <c r="C16" s="68"/>
      <c r="D16" s="69"/>
      <c r="E16" s="61"/>
      <c r="F16" s="61"/>
      <c r="G16" s="73"/>
      <c r="H16" s="74"/>
      <c r="I16" s="56"/>
      <c r="J16" s="31"/>
    </row>
    <row r="17" spans="1:10" x14ac:dyDescent="0.3">
      <c r="A17" s="57" t="s">
        <v>61</v>
      </c>
      <c r="B17" s="57" t="s">
        <v>62</v>
      </c>
      <c r="C17" s="57" t="s">
        <v>10</v>
      </c>
      <c r="D17" s="62">
        <v>900000</v>
      </c>
      <c r="E17" s="62">
        <v>917.30610000000001</v>
      </c>
      <c r="F17" s="63">
        <v>0.30256901477682069</v>
      </c>
      <c r="G17" s="67" t="s">
        <v>63</v>
      </c>
      <c r="H17" s="66"/>
      <c r="I17" s="56" t="s">
        <v>86</v>
      </c>
      <c r="J17" s="31"/>
    </row>
    <row r="18" spans="1:10" x14ac:dyDescent="0.3">
      <c r="A18" s="57" t="s">
        <v>94</v>
      </c>
      <c r="B18" s="57" t="s">
        <v>95</v>
      </c>
      <c r="C18" s="57" t="s">
        <v>10</v>
      </c>
      <c r="D18" s="62">
        <v>500000</v>
      </c>
      <c r="E18" s="62">
        <v>511.04700000000003</v>
      </c>
      <c r="F18" s="63">
        <v>0.1685664003484223</v>
      </c>
      <c r="G18" s="67" t="s">
        <v>96</v>
      </c>
      <c r="H18" s="66"/>
      <c r="I18" s="56" t="s">
        <v>97</v>
      </c>
      <c r="J18" s="31"/>
    </row>
    <row r="19" spans="1:10" x14ac:dyDescent="0.3">
      <c r="A19" s="57" t="s">
        <v>73</v>
      </c>
      <c r="B19" s="57" t="s">
        <v>74</v>
      </c>
      <c r="C19" s="57" t="s">
        <v>10</v>
      </c>
      <c r="D19" s="62">
        <v>425000</v>
      </c>
      <c r="E19" s="62">
        <v>418.50855000000001</v>
      </c>
      <c r="F19" s="63">
        <v>0.13804303672370194</v>
      </c>
      <c r="G19" s="67" t="s">
        <v>75</v>
      </c>
      <c r="H19" s="66"/>
      <c r="I19" s="81">
        <v>6.7000000000000004E-2</v>
      </c>
      <c r="J19" s="31"/>
    </row>
    <row r="20" spans="1:10" x14ac:dyDescent="0.3">
      <c r="A20" s="57" t="s">
        <v>64</v>
      </c>
      <c r="B20" s="57" t="s">
        <v>65</v>
      </c>
      <c r="C20" s="57" t="s">
        <v>10</v>
      </c>
      <c r="D20" s="62">
        <v>200000</v>
      </c>
      <c r="E20" s="62">
        <v>196.506</v>
      </c>
      <c r="F20" s="63">
        <v>6.4816561034243561E-2</v>
      </c>
      <c r="G20" s="67" t="s">
        <v>66</v>
      </c>
      <c r="H20" s="66"/>
      <c r="I20" s="56" t="s">
        <v>98</v>
      </c>
      <c r="J20" s="31"/>
    </row>
    <row r="21" spans="1:10" x14ac:dyDescent="0.3">
      <c r="A21" s="57" t="s">
        <v>87</v>
      </c>
      <c r="B21" s="57" t="s">
        <v>88</v>
      </c>
      <c r="C21" s="57" t="s">
        <v>10</v>
      </c>
      <c r="D21" s="62">
        <v>100000</v>
      </c>
      <c r="E21" s="62">
        <v>98.636099999999999</v>
      </c>
      <c r="F21" s="63">
        <v>3.2534644213559644E-2</v>
      </c>
      <c r="G21" s="67" t="s">
        <v>89</v>
      </c>
      <c r="H21" s="66"/>
      <c r="I21" s="56" t="s">
        <v>99</v>
      </c>
      <c r="J21" s="31"/>
    </row>
    <row r="22" spans="1:10" ht="13.5" x14ac:dyDescent="0.25">
      <c r="A22" s="68"/>
      <c r="B22" s="53" t="s">
        <v>6</v>
      </c>
      <c r="C22" s="68"/>
      <c r="D22" s="69"/>
      <c r="E22" s="65">
        <v>2142.0037500000003</v>
      </c>
      <c r="F22" s="66">
        <v>0.7065296570967482</v>
      </c>
      <c r="G22" s="67"/>
      <c r="H22" s="66"/>
      <c r="I22" s="56"/>
      <c r="J22" s="32"/>
    </row>
    <row r="23" spans="1:10" x14ac:dyDescent="0.3">
      <c r="A23" s="68"/>
      <c r="B23" s="75" t="s">
        <v>11</v>
      </c>
      <c r="C23" s="68"/>
      <c r="D23" s="69"/>
      <c r="E23" s="65">
        <f>+E22+E11</f>
        <v>2841.7005500000005</v>
      </c>
      <c r="F23" s="92">
        <f>+F22+F11</f>
        <v>0.93732128861265562</v>
      </c>
      <c r="G23" s="67"/>
      <c r="H23" s="66"/>
      <c r="I23" s="56"/>
      <c r="J23" s="31"/>
    </row>
    <row r="24" spans="1:10" x14ac:dyDescent="0.3">
      <c r="A24" s="70"/>
      <c r="B24" s="70"/>
      <c r="C24" s="70"/>
      <c r="D24" s="76"/>
      <c r="E24" s="76"/>
      <c r="F24" s="77"/>
      <c r="G24" s="72"/>
      <c r="H24" s="72"/>
      <c r="I24" s="56"/>
      <c r="J24" s="31"/>
    </row>
    <row r="25" spans="1:10" x14ac:dyDescent="0.3">
      <c r="A25" s="68"/>
      <c r="B25" s="53" t="s">
        <v>12</v>
      </c>
      <c r="C25" s="68"/>
      <c r="D25" s="69"/>
      <c r="E25" s="78"/>
      <c r="F25" s="60"/>
      <c r="G25" s="67"/>
      <c r="H25" s="66"/>
      <c r="I25" s="56"/>
      <c r="J25" s="31"/>
    </row>
    <row r="26" spans="1:10" ht="13.5" x14ac:dyDescent="0.25">
      <c r="A26" s="68"/>
      <c r="B26" s="68" t="s">
        <v>11</v>
      </c>
      <c r="C26" s="68"/>
      <c r="D26" s="69"/>
      <c r="E26" s="59" t="s">
        <v>5</v>
      </c>
      <c r="F26" s="66" t="s">
        <v>5</v>
      </c>
      <c r="G26" s="67"/>
      <c r="H26" s="66"/>
      <c r="I26" s="56"/>
      <c r="J26" s="32"/>
    </row>
    <row r="27" spans="1:10" x14ac:dyDescent="0.3">
      <c r="A27" s="68"/>
      <c r="B27" s="68"/>
      <c r="C27" s="68"/>
      <c r="D27" s="69"/>
      <c r="E27" s="69"/>
      <c r="F27" s="60"/>
      <c r="G27" s="67"/>
      <c r="H27" s="66"/>
      <c r="I27" s="56"/>
      <c r="J27" s="31"/>
    </row>
    <row r="28" spans="1:10" x14ac:dyDescent="0.3">
      <c r="A28" s="68"/>
      <c r="B28" s="79" t="s">
        <v>90</v>
      </c>
      <c r="C28" s="68"/>
      <c r="D28" s="69"/>
      <c r="E28" s="69"/>
      <c r="F28" s="60"/>
      <c r="G28" s="67"/>
      <c r="H28" s="66"/>
      <c r="I28" s="56"/>
      <c r="J28" s="31"/>
    </row>
    <row r="29" spans="1:10" ht="27" x14ac:dyDescent="0.3">
      <c r="A29" s="52" t="s">
        <v>13</v>
      </c>
      <c r="B29" s="80" t="s">
        <v>91</v>
      </c>
      <c r="C29" s="52"/>
      <c r="D29" s="62">
        <v>78.760999999999996</v>
      </c>
      <c r="E29" s="62">
        <v>9.1354146000000007</v>
      </c>
      <c r="F29" s="63">
        <v>3.0132726633996915E-3</v>
      </c>
      <c r="G29" s="67"/>
      <c r="H29" s="66"/>
      <c r="I29" s="81">
        <v>5.5899999999999998E-2</v>
      </c>
      <c r="J29" s="31"/>
    </row>
    <row r="30" spans="1:10" x14ac:dyDescent="0.3">
      <c r="A30" s="68"/>
      <c r="B30" s="53" t="s">
        <v>11</v>
      </c>
      <c r="C30" s="68"/>
      <c r="D30" s="70"/>
      <c r="E30" s="65">
        <v>9.1354146000000007</v>
      </c>
      <c r="F30" s="66">
        <v>3.0132726633996915E-3</v>
      </c>
      <c r="G30" s="67"/>
      <c r="H30" s="66"/>
      <c r="I30" s="56"/>
      <c r="J30" s="31"/>
    </row>
    <row r="31" spans="1:10" x14ac:dyDescent="0.3">
      <c r="A31" s="68"/>
      <c r="B31" s="68"/>
      <c r="C31" s="68"/>
      <c r="D31" s="69"/>
      <c r="E31" s="69"/>
      <c r="F31" s="60"/>
      <c r="G31" s="67"/>
      <c r="H31" s="66"/>
      <c r="I31" s="56"/>
      <c r="J31" s="31"/>
    </row>
    <row r="32" spans="1:10" x14ac:dyDescent="0.3">
      <c r="A32" s="68"/>
      <c r="B32" s="68"/>
      <c r="C32" s="68"/>
      <c r="D32" s="69"/>
      <c r="E32" s="69"/>
      <c r="F32" s="60"/>
      <c r="G32" s="67"/>
      <c r="H32" s="66"/>
      <c r="I32" s="56"/>
      <c r="J32" s="31"/>
    </row>
    <row r="33" spans="1:10" x14ac:dyDescent="0.3">
      <c r="A33" s="68"/>
      <c r="B33" s="79" t="s">
        <v>14</v>
      </c>
      <c r="C33" s="68"/>
      <c r="D33" s="69"/>
      <c r="E33" s="69"/>
      <c r="F33" s="60"/>
      <c r="G33" s="67"/>
      <c r="H33" s="66"/>
      <c r="I33" s="56"/>
      <c r="J33" s="31"/>
    </row>
    <row r="34" spans="1:10" x14ac:dyDescent="0.3">
      <c r="A34" s="57"/>
      <c r="B34" s="57" t="s">
        <v>15</v>
      </c>
      <c r="C34" s="57"/>
      <c r="D34" s="62">
        <v>1205.43</v>
      </c>
      <c r="E34" s="62">
        <v>120.525599</v>
      </c>
      <c r="F34" s="63">
        <v>3.9754790407276447E-2</v>
      </c>
      <c r="G34" s="67" t="s">
        <v>100</v>
      </c>
      <c r="H34" s="66"/>
      <c r="I34" s="82">
        <v>5.2699999999999997E-2</v>
      </c>
      <c r="J34" s="31"/>
    </row>
    <row r="35" spans="1:10" ht="13.5" x14ac:dyDescent="0.25">
      <c r="A35" s="68"/>
      <c r="B35" s="79" t="s">
        <v>11</v>
      </c>
      <c r="C35" s="68"/>
      <c r="D35" s="69"/>
      <c r="E35" s="59">
        <v>120.525599</v>
      </c>
      <c r="F35" s="66">
        <v>3.9754790407276447E-2</v>
      </c>
      <c r="G35" s="67"/>
      <c r="H35" s="66"/>
      <c r="I35" s="56"/>
      <c r="J35" s="32"/>
    </row>
    <row r="36" spans="1:10" x14ac:dyDescent="0.3">
      <c r="A36" s="68"/>
      <c r="B36" s="79"/>
      <c r="C36" s="68"/>
      <c r="D36" s="69"/>
      <c r="E36" s="69"/>
      <c r="F36" s="60"/>
      <c r="G36" s="67"/>
      <c r="H36" s="66"/>
      <c r="I36" s="56"/>
      <c r="J36" s="31"/>
    </row>
    <row r="37" spans="1:10" x14ac:dyDescent="0.3">
      <c r="A37" s="68"/>
      <c r="B37" s="79" t="s">
        <v>16</v>
      </c>
      <c r="C37" s="68"/>
      <c r="D37" s="69"/>
      <c r="E37" s="69"/>
      <c r="F37" s="60"/>
      <c r="G37" s="67"/>
      <c r="H37" s="66"/>
      <c r="I37" s="56"/>
      <c r="J37" s="31"/>
    </row>
    <row r="38" spans="1:10" x14ac:dyDescent="0.3">
      <c r="A38" s="52"/>
      <c r="B38" s="79" t="s">
        <v>17</v>
      </c>
      <c r="C38" s="52"/>
      <c r="D38" s="64"/>
      <c r="E38" s="64">
        <v>60.363613800000003</v>
      </c>
      <c r="F38" s="63">
        <v>1.9910648316668229E-2</v>
      </c>
      <c r="G38" s="67"/>
      <c r="H38" s="67"/>
      <c r="I38" s="56"/>
      <c r="J38" s="31"/>
    </row>
    <row r="39" spans="1:10" x14ac:dyDescent="0.3">
      <c r="A39" s="68"/>
      <c r="B39" s="79" t="s">
        <v>11</v>
      </c>
      <c r="C39" s="68"/>
      <c r="D39" s="69"/>
      <c r="E39" s="69">
        <v>60.363613800000003</v>
      </c>
      <c r="F39" s="66">
        <v>1.9910648316668229E-2</v>
      </c>
      <c r="G39" s="83"/>
      <c r="H39" s="84"/>
      <c r="I39" s="56"/>
      <c r="J39" s="31"/>
    </row>
    <row r="40" spans="1:10" x14ac:dyDescent="0.3">
      <c r="A40" s="85"/>
      <c r="B40" s="79" t="s">
        <v>18</v>
      </c>
      <c r="C40" s="85"/>
      <c r="D40" s="85"/>
      <c r="E40" s="69">
        <v>3031.7251774000001</v>
      </c>
      <c r="F40" s="66">
        <v>1</v>
      </c>
      <c r="G40" s="86"/>
      <c r="H40" s="85"/>
      <c r="I40" s="56"/>
      <c r="J40" s="31"/>
    </row>
    <row r="41" spans="1:10" x14ac:dyDescent="0.3">
      <c r="A41" s="35"/>
      <c r="B41" s="36"/>
      <c r="C41" s="35"/>
      <c r="D41" s="35"/>
      <c r="E41" s="37"/>
      <c r="F41" s="38"/>
      <c r="G41" s="39"/>
      <c r="H41" s="35"/>
      <c r="I41" s="40"/>
    </row>
    <row r="42" spans="1:10" x14ac:dyDescent="0.3">
      <c r="A42" s="33" t="s">
        <v>77</v>
      </c>
      <c r="B42" s="36"/>
      <c r="C42" s="35"/>
      <c r="D42" s="35"/>
      <c r="E42" s="37"/>
      <c r="F42" s="38"/>
      <c r="G42" s="39"/>
      <c r="H42" s="35"/>
      <c r="I42" s="40"/>
    </row>
    <row r="43" spans="1:10" x14ac:dyDescent="0.3">
      <c r="A43" s="33"/>
      <c r="B43" s="36"/>
      <c r="C43" s="35"/>
      <c r="D43" s="35"/>
      <c r="E43" s="37"/>
      <c r="F43" s="38"/>
      <c r="G43" s="39"/>
      <c r="H43" s="35"/>
      <c r="I43" s="40"/>
    </row>
    <row r="44" spans="1:10" x14ac:dyDescent="0.3">
      <c r="A44" s="8" t="s">
        <v>102</v>
      </c>
      <c r="B44" s="36"/>
      <c r="C44" s="35"/>
      <c r="D44" s="35"/>
      <c r="E44" s="37"/>
      <c r="F44" s="38"/>
      <c r="G44" s="39"/>
      <c r="H44" s="35"/>
      <c r="I44" s="40"/>
    </row>
    <row r="45" spans="1:10" x14ac:dyDescent="0.3">
      <c r="A45" s="8"/>
      <c r="B45" s="36"/>
      <c r="C45" s="35"/>
      <c r="D45" s="35"/>
      <c r="E45" s="37"/>
      <c r="F45" s="38"/>
      <c r="G45" s="39"/>
      <c r="H45" s="35"/>
      <c r="I45" s="40"/>
    </row>
    <row r="46" spans="1:10" ht="12.95" customHeight="1" x14ac:dyDescent="0.3">
      <c r="A46" s="93" t="s">
        <v>19</v>
      </c>
      <c r="B46" s="93"/>
      <c r="C46" s="93"/>
      <c r="D46" s="93"/>
      <c r="E46" s="93"/>
      <c r="F46" s="93"/>
      <c r="G46" s="93"/>
      <c r="H46" s="93"/>
      <c r="I46" s="3"/>
    </row>
    <row r="47" spans="1:10" ht="12.95" customHeight="1" x14ac:dyDescent="0.3">
      <c r="A47" s="94" t="s">
        <v>20</v>
      </c>
      <c r="B47" s="94"/>
      <c r="C47" s="94"/>
      <c r="D47" s="94"/>
      <c r="E47" s="94"/>
      <c r="F47" s="94"/>
      <c r="G47" s="94"/>
      <c r="H47" s="94"/>
      <c r="I47" s="3"/>
    </row>
    <row r="48" spans="1:10" ht="12.95" customHeight="1" x14ac:dyDescent="0.3">
      <c r="A48" s="93" t="s">
        <v>21</v>
      </c>
      <c r="B48" s="93"/>
      <c r="C48" s="93"/>
      <c r="D48" s="93"/>
      <c r="E48" s="93"/>
      <c r="F48" s="93"/>
      <c r="G48" s="93"/>
      <c r="H48" s="93"/>
      <c r="I48" s="3"/>
    </row>
    <row r="49" spans="1:10" ht="53.25" customHeight="1" x14ac:dyDescent="0.3">
      <c r="A49" s="108" t="s">
        <v>22</v>
      </c>
      <c r="B49" s="108"/>
      <c r="C49" s="108"/>
      <c r="D49" s="108"/>
      <c r="E49" s="108"/>
      <c r="F49" s="108"/>
      <c r="G49" s="108"/>
      <c r="H49" s="108"/>
      <c r="I49" s="109"/>
      <c r="J49" s="109"/>
    </row>
    <row r="50" spans="1:10" x14ac:dyDescent="0.3">
      <c r="A50" s="4"/>
      <c r="B50" s="4"/>
      <c r="C50" s="4"/>
      <c r="D50" s="4"/>
      <c r="E50" s="4"/>
      <c r="F50" s="4"/>
      <c r="G50" s="4"/>
      <c r="H50" s="5"/>
      <c r="I50" s="3"/>
    </row>
    <row r="51" spans="1:10" x14ac:dyDescent="0.3">
      <c r="A51" s="6" t="s">
        <v>23</v>
      </c>
      <c r="B51" s="7"/>
      <c r="C51" s="7"/>
      <c r="D51" s="3"/>
      <c r="E51" s="3"/>
      <c r="F51" s="2"/>
      <c r="G51" s="2"/>
      <c r="H51" s="2"/>
      <c r="I51" s="3"/>
    </row>
    <row r="52" spans="1:10" x14ac:dyDescent="0.3">
      <c r="A52" s="8" t="s">
        <v>24</v>
      </c>
      <c r="B52" s="7"/>
      <c r="C52" s="7"/>
      <c r="D52" s="3"/>
      <c r="E52" s="3"/>
      <c r="F52" s="2"/>
      <c r="G52" s="2"/>
      <c r="H52" s="2"/>
      <c r="I52" s="3"/>
    </row>
    <row r="53" spans="1:10" x14ac:dyDescent="0.3">
      <c r="A53" s="8" t="s">
        <v>25</v>
      </c>
      <c r="B53" s="7"/>
      <c r="C53" s="7"/>
      <c r="D53" s="3"/>
      <c r="E53" s="3"/>
      <c r="F53" s="3"/>
      <c r="G53" s="3"/>
      <c r="H53" s="3"/>
      <c r="I53" s="3"/>
    </row>
    <row r="54" spans="1:10" x14ac:dyDescent="0.3">
      <c r="A54" s="8" t="s">
        <v>26</v>
      </c>
      <c r="B54" s="7"/>
      <c r="C54" s="7"/>
      <c r="D54" s="3"/>
      <c r="E54" s="3"/>
      <c r="F54" s="3"/>
      <c r="G54" s="3"/>
      <c r="H54" s="3"/>
      <c r="I54" s="3"/>
    </row>
    <row r="55" spans="1:10" x14ac:dyDescent="0.3">
      <c r="A55" s="5"/>
      <c r="B55" s="9"/>
      <c r="C55" s="10"/>
      <c r="D55" s="3"/>
      <c r="E55" s="3"/>
      <c r="F55" s="3"/>
      <c r="G55" s="3"/>
      <c r="H55" s="3"/>
      <c r="I55" s="3"/>
    </row>
    <row r="56" spans="1:10" x14ac:dyDescent="0.3">
      <c r="A56" s="107" t="s">
        <v>27</v>
      </c>
      <c r="B56" s="107"/>
      <c r="C56" s="105" t="s">
        <v>28</v>
      </c>
      <c r="D56" s="105"/>
      <c r="E56" s="105"/>
      <c r="F56" s="105"/>
      <c r="G56" s="3"/>
      <c r="H56" s="3"/>
      <c r="I56" s="3"/>
    </row>
    <row r="57" spans="1:10" x14ac:dyDescent="0.3">
      <c r="A57" s="5"/>
      <c r="B57" s="9"/>
      <c r="C57" s="10"/>
      <c r="D57" s="3"/>
      <c r="E57" s="3"/>
      <c r="F57" s="3"/>
      <c r="G57" s="3"/>
      <c r="H57" s="3"/>
      <c r="I57" s="3"/>
    </row>
    <row r="58" spans="1:10" x14ac:dyDescent="0.3">
      <c r="A58" s="5"/>
      <c r="B58" s="9"/>
      <c r="C58" s="10"/>
      <c r="D58" s="3"/>
      <c r="E58" s="3"/>
      <c r="F58" s="3"/>
      <c r="G58" s="3"/>
      <c r="H58" s="3"/>
      <c r="I58" s="3"/>
    </row>
    <row r="59" spans="1:10" x14ac:dyDescent="0.3">
      <c r="A59" s="5"/>
      <c r="B59" s="9"/>
      <c r="C59" s="10"/>
      <c r="D59" s="3"/>
      <c r="E59" s="3"/>
      <c r="F59" s="3"/>
      <c r="G59" s="3"/>
      <c r="H59" s="3"/>
      <c r="I59" s="3"/>
    </row>
    <row r="60" spans="1:10" x14ac:dyDescent="0.3">
      <c r="A60" s="5"/>
      <c r="B60" s="9"/>
      <c r="C60" s="10"/>
      <c r="D60" s="3"/>
      <c r="E60" s="3"/>
      <c r="F60" s="3"/>
      <c r="G60" s="3"/>
      <c r="H60" s="3"/>
      <c r="I60" s="3"/>
    </row>
    <row r="61" spans="1:10" x14ac:dyDescent="0.3">
      <c r="A61" s="5"/>
      <c r="B61" s="9"/>
      <c r="C61" s="10"/>
      <c r="D61" s="3"/>
      <c r="E61" s="3"/>
      <c r="F61" s="3"/>
      <c r="G61" s="3"/>
      <c r="H61" s="3"/>
      <c r="I61" s="3"/>
    </row>
    <row r="62" spans="1:10" x14ac:dyDescent="0.3">
      <c r="A62" s="5"/>
      <c r="B62" s="9"/>
      <c r="C62" s="10"/>
      <c r="D62" s="3"/>
      <c r="E62" s="3"/>
      <c r="F62" s="3"/>
      <c r="G62" s="3"/>
      <c r="H62" s="3"/>
      <c r="I62" s="3"/>
    </row>
    <row r="63" spans="1:10" x14ac:dyDescent="0.3">
      <c r="A63" s="5"/>
      <c r="B63" s="9"/>
      <c r="C63" s="10"/>
      <c r="D63" s="3"/>
      <c r="E63" s="3"/>
      <c r="F63" s="3"/>
      <c r="G63" s="3"/>
      <c r="H63" s="3"/>
      <c r="I63" s="3"/>
    </row>
    <row r="64" spans="1:10" x14ac:dyDescent="0.3">
      <c r="A64" s="5"/>
      <c r="B64" s="9"/>
      <c r="C64" s="10"/>
      <c r="D64" s="3"/>
      <c r="E64" s="3"/>
      <c r="F64" s="3"/>
      <c r="G64" s="3"/>
      <c r="H64" s="3"/>
      <c r="I64" s="3"/>
    </row>
    <row r="65" spans="1:9" x14ac:dyDescent="0.3">
      <c r="A65" s="5"/>
      <c r="B65" s="9"/>
      <c r="C65" s="10"/>
      <c r="D65" s="3"/>
      <c r="E65" s="3"/>
      <c r="F65" s="3"/>
      <c r="G65" s="3"/>
      <c r="H65" s="3"/>
      <c r="I65" s="3"/>
    </row>
    <row r="66" spans="1:9" ht="12.95" customHeight="1" x14ac:dyDescent="0.3">
      <c r="A66" s="106" t="s">
        <v>29</v>
      </c>
      <c r="B66" s="106"/>
      <c r="C66" s="106" t="s">
        <v>30</v>
      </c>
      <c r="D66" s="106"/>
      <c r="E66" s="106"/>
      <c r="F66" s="106"/>
      <c r="G66" s="3"/>
      <c r="H66" s="3"/>
      <c r="I66" s="3"/>
    </row>
    <row r="67" spans="1:9" ht="12.95" customHeight="1" thickBot="1" x14ac:dyDescent="0.35">
      <c r="A67" s="34"/>
      <c r="B67" s="34"/>
      <c r="C67" s="34"/>
      <c r="D67" s="34"/>
      <c r="E67" s="34"/>
      <c r="F67" s="34"/>
      <c r="G67" s="3"/>
      <c r="H67" s="3"/>
      <c r="I67" s="3"/>
    </row>
    <row r="68" spans="1:9" ht="15" thickBot="1" x14ac:dyDescent="0.35">
      <c r="A68" s="100" t="s">
        <v>31</v>
      </c>
      <c r="B68" s="101"/>
      <c r="C68" s="101"/>
      <c r="D68" s="102"/>
      <c r="E68" s="3"/>
      <c r="F68" s="3"/>
      <c r="G68" s="3"/>
      <c r="H68" s="3"/>
      <c r="I68" s="3"/>
    </row>
    <row r="69" spans="1:9" ht="15" thickBot="1" x14ac:dyDescent="0.35">
      <c r="A69" s="11" t="s">
        <v>32</v>
      </c>
      <c r="B69" s="103" t="s">
        <v>33</v>
      </c>
      <c r="C69" s="103" t="s">
        <v>34</v>
      </c>
      <c r="D69" s="103" t="s">
        <v>35</v>
      </c>
      <c r="E69" s="3"/>
      <c r="F69" s="3"/>
      <c r="G69" s="3"/>
      <c r="H69" s="3"/>
      <c r="I69" s="3"/>
    </row>
    <row r="70" spans="1:9" ht="15" thickBot="1" x14ac:dyDescent="0.35">
      <c r="A70" s="11" t="s">
        <v>36</v>
      </c>
      <c r="B70" s="104"/>
      <c r="C70" s="104"/>
      <c r="D70" s="104"/>
      <c r="E70" s="3"/>
      <c r="F70" s="3"/>
      <c r="G70" s="3"/>
      <c r="H70" s="3"/>
      <c r="I70" s="3"/>
    </row>
    <row r="71" spans="1:9" ht="15" thickBot="1" x14ac:dyDescent="0.35">
      <c r="A71" s="12" t="s">
        <v>37</v>
      </c>
      <c r="B71" s="13"/>
      <c r="C71" s="13"/>
      <c r="D71" s="13"/>
      <c r="E71" s="3"/>
      <c r="F71" s="3"/>
      <c r="G71" s="3"/>
      <c r="H71" s="3"/>
      <c r="I71" s="3"/>
    </row>
    <row r="72" spans="1:9" ht="15" thickBot="1" x14ac:dyDescent="0.35">
      <c r="A72" s="12" t="s">
        <v>38</v>
      </c>
      <c r="B72" s="13"/>
      <c r="C72" s="13"/>
      <c r="D72" s="13"/>
      <c r="E72" s="3"/>
      <c r="F72" s="3"/>
      <c r="G72" s="3"/>
      <c r="H72" s="3"/>
      <c r="I72" s="3"/>
    </row>
    <row r="73" spans="1:9" ht="15" thickBot="1" x14ac:dyDescent="0.35">
      <c r="A73" s="12" t="s">
        <v>39</v>
      </c>
      <c r="B73" s="13"/>
      <c r="C73" s="14" t="s">
        <v>40</v>
      </c>
      <c r="D73" s="13"/>
      <c r="E73" s="3"/>
      <c r="F73" s="3"/>
      <c r="G73" s="3"/>
      <c r="H73" s="3"/>
      <c r="I73" s="3"/>
    </row>
    <row r="74" spans="1:9" x14ac:dyDescent="0.3">
      <c r="A74" s="5"/>
      <c r="B74" s="9"/>
      <c r="C74" s="10"/>
      <c r="D74" s="3"/>
      <c r="E74" s="3"/>
      <c r="F74" s="3"/>
      <c r="G74" s="3"/>
      <c r="H74" s="3"/>
      <c r="I74" s="3"/>
    </row>
    <row r="75" spans="1:9" x14ac:dyDescent="0.3">
      <c r="A75" s="98" t="s">
        <v>41</v>
      </c>
      <c r="B75" s="99"/>
      <c r="C75" s="3"/>
      <c r="D75" s="3"/>
      <c r="E75" s="3"/>
      <c r="F75" s="3"/>
      <c r="G75" s="3"/>
      <c r="H75" s="3"/>
      <c r="I75" s="3"/>
    </row>
    <row r="76" spans="1:9" x14ac:dyDescent="0.3">
      <c r="A76" s="21" t="s">
        <v>42</v>
      </c>
      <c r="B76" s="22" t="s">
        <v>43</v>
      </c>
      <c r="C76" s="3"/>
      <c r="D76" s="3"/>
      <c r="E76" s="3"/>
      <c r="F76" s="3"/>
      <c r="G76" s="3"/>
      <c r="H76" s="3"/>
      <c r="I76" s="3"/>
    </row>
    <row r="77" spans="1:9" x14ac:dyDescent="0.3">
      <c r="A77" s="23" t="s">
        <v>44</v>
      </c>
      <c r="B77" s="24"/>
      <c r="C77" s="3"/>
      <c r="D77" s="3"/>
      <c r="E77" s="3"/>
      <c r="F77" s="3"/>
      <c r="G77" s="3"/>
      <c r="H77" s="3"/>
      <c r="I77" s="3"/>
    </row>
    <row r="78" spans="1:9" x14ac:dyDescent="0.3">
      <c r="A78" s="23"/>
      <c r="B78" s="24"/>
      <c r="C78" s="3"/>
      <c r="D78" s="3"/>
      <c r="E78" s="3"/>
      <c r="F78" s="3"/>
      <c r="G78" s="3"/>
      <c r="H78" s="3"/>
      <c r="I78" s="3"/>
    </row>
    <row r="79" spans="1:9" ht="27" x14ac:dyDescent="0.3">
      <c r="A79" s="23" t="s">
        <v>45</v>
      </c>
      <c r="B79" s="26">
        <v>6.6911395283833594E-2</v>
      </c>
      <c r="C79" s="3"/>
      <c r="D79" s="3"/>
      <c r="E79" s="3"/>
      <c r="F79" s="3"/>
      <c r="G79" s="3"/>
      <c r="H79" s="3"/>
      <c r="I79" s="3"/>
    </row>
    <row r="80" spans="1:9" x14ac:dyDescent="0.3">
      <c r="A80" s="23" t="s">
        <v>46</v>
      </c>
      <c r="B80" s="27"/>
      <c r="C80" s="3"/>
      <c r="D80" s="3"/>
      <c r="E80" s="3"/>
      <c r="F80" s="3"/>
      <c r="G80" s="3"/>
      <c r="H80" s="3"/>
      <c r="I80" s="3"/>
    </row>
    <row r="81" spans="1:10" x14ac:dyDescent="0.3">
      <c r="A81" s="23" t="s">
        <v>47</v>
      </c>
      <c r="B81" s="91">
        <v>4.4000000000000004</v>
      </c>
      <c r="C81" s="3"/>
      <c r="D81" s="3"/>
      <c r="E81" s="3"/>
      <c r="F81" s="3"/>
      <c r="G81" s="3"/>
      <c r="H81" s="3"/>
      <c r="I81" s="3"/>
    </row>
    <row r="82" spans="1:10" x14ac:dyDescent="0.3">
      <c r="A82" s="23" t="s">
        <v>78</v>
      </c>
      <c r="B82" s="91">
        <v>5.81</v>
      </c>
      <c r="C82" s="3"/>
      <c r="D82" s="3"/>
      <c r="E82" s="3"/>
      <c r="F82" s="3"/>
      <c r="G82" s="3"/>
      <c r="H82" s="3"/>
      <c r="I82" s="3"/>
    </row>
    <row r="83" spans="1:10" x14ac:dyDescent="0.3">
      <c r="A83" s="23" t="s">
        <v>46</v>
      </c>
      <c r="B83" s="24"/>
      <c r="C83" s="3"/>
      <c r="D83" s="3"/>
      <c r="E83" s="3"/>
      <c r="F83" s="3"/>
      <c r="G83" s="3"/>
      <c r="H83" s="3"/>
      <c r="I83" s="3"/>
    </row>
    <row r="84" spans="1:10" x14ac:dyDescent="0.3">
      <c r="A84" s="23" t="s">
        <v>48</v>
      </c>
      <c r="B84" s="25" t="s">
        <v>101</v>
      </c>
      <c r="C84" s="15"/>
      <c r="D84" s="3"/>
      <c r="E84" s="3"/>
      <c r="F84" s="3"/>
      <c r="G84" s="3"/>
      <c r="H84" s="3"/>
      <c r="I84" s="3"/>
    </row>
    <row r="85" spans="1:10" ht="27" x14ac:dyDescent="0.3">
      <c r="A85" s="19" t="s">
        <v>49</v>
      </c>
      <c r="B85" s="20"/>
      <c r="C85" s="15"/>
      <c r="D85" s="3"/>
      <c r="E85" s="3"/>
      <c r="F85" s="3"/>
      <c r="G85" s="3"/>
      <c r="H85" s="3"/>
      <c r="I85" s="3"/>
    </row>
    <row r="86" spans="1:10" x14ac:dyDescent="0.3">
      <c r="A86" s="41"/>
      <c r="B86" s="42"/>
      <c r="C86" s="10"/>
      <c r="D86" s="3"/>
      <c r="E86" s="3"/>
      <c r="F86" s="3"/>
      <c r="G86" s="3"/>
      <c r="H86" s="3"/>
      <c r="I86" s="3"/>
    </row>
    <row r="87" spans="1:10" x14ac:dyDescent="0.3">
      <c r="A87" s="43" t="s">
        <v>79</v>
      </c>
      <c r="B87" s="42"/>
      <c r="C87" s="10"/>
      <c r="D87" s="3"/>
      <c r="E87" s="3"/>
      <c r="F87" s="3"/>
      <c r="G87" s="3"/>
      <c r="H87" s="3"/>
      <c r="I87" s="3"/>
    </row>
    <row r="88" spans="1:10" x14ac:dyDescent="0.3">
      <c r="A88" s="5"/>
      <c r="B88" s="9"/>
      <c r="C88" s="10"/>
      <c r="D88" s="3"/>
      <c r="E88" s="3"/>
      <c r="F88" s="3"/>
      <c r="G88" s="3"/>
      <c r="H88" s="3"/>
      <c r="I88" s="3"/>
    </row>
    <row r="89" spans="1:10" x14ac:dyDescent="0.3">
      <c r="A89" s="43" t="s">
        <v>82</v>
      </c>
      <c r="B89" s="9"/>
      <c r="C89" s="10"/>
      <c r="D89" s="3"/>
      <c r="E89" s="3"/>
      <c r="F89" s="3"/>
      <c r="G89" s="3"/>
      <c r="H89" s="3"/>
      <c r="I89" s="3"/>
    </row>
    <row r="90" spans="1:10" s="45" customFormat="1" ht="15.75" customHeight="1" x14ac:dyDescent="0.25">
      <c r="A90" s="87" t="s">
        <v>80</v>
      </c>
      <c r="B90" s="88"/>
      <c r="C90" s="88"/>
      <c r="D90" s="44"/>
      <c r="E90" s="44"/>
      <c r="F90" s="44"/>
      <c r="G90" s="44"/>
      <c r="H90" s="44"/>
      <c r="I90" s="44"/>
      <c r="J90" s="44"/>
    </row>
    <row r="91" spans="1:10" x14ac:dyDescent="0.3">
      <c r="A91" s="5"/>
      <c r="B91" s="9"/>
      <c r="C91" s="10"/>
      <c r="D91" s="3"/>
      <c r="E91" s="3"/>
      <c r="F91" s="3"/>
      <c r="G91" s="3"/>
      <c r="H91" s="3"/>
      <c r="I91" s="3"/>
    </row>
    <row r="92" spans="1:10" x14ac:dyDescent="0.3">
      <c r="A92" s="43" t="s">
        <v>83</v>
      </c>
      <c r="B92" s="9"/>
      <c r="C92" s="10"/>
      <c r="D92" s="3"/>
      <c r="E92" s="3"/>
      <c r="F92" s="3"/>
      <c r="G92" s="3"/>
      <c r="H92" s="3"/>
      <c r="I92" s="3"/>
    </row>
    <row r="93" spans="1:10" s="45" customFormat="1" ht="13.5" x14ac:dyDescent="0.25">
      <c r="A93" s="88" t="s">
        <v>81</v>
      </c>
      <c r="B93" s="89"/>
      <c r="C93" s="90"/>
      <c r="D93" s="44"/>
      <c r="E93" s="44"/>
      <c r="F93" s="44"/>
      <c r="G93" s="44"/>
      <c r="H93" s="44"/>
      <c r="I93" s="44"/>
      <c r="J93" s="44"/>
    </row>
    <row r="94" spans="1:10" x14ac:dyDescent="0.3">
      <c r="A94" s="5"/>
      <c r="B94" s="9"/>
      <c r="C94" s="10"/>
      <c r="D94" s="3"/>
      <c r="E94" s="3"/>
      <c r="F94" s="3"/>
      <c r="G94" s="3"/>
      <c r="H94" s="3"/>
      <c r="I94" s="3"/>
    </row>
  </sheetData>
  <mergeCells count="16">
    <mergeCell ref="C56:F56"/>
    <mergeCell ref="C66:F66"/>
    <mergeCell ref="A56:B56"/>
    <mergeCell ref="A66:B66"/>
    <mergeCell ref="A49:J49"/>
    <mergeCell ref="A75:B75"/>
    <mergeCell ref="A68:D68"/>
    <mergeCell ref="B69:B70"/>
    <mergeCell ref="C69:C70"/>
    <mergeCell ref="D69:D70"/>
    <mergeCell ref="A48:H48"/>
    <mergeCell ref="A46:H46"/>
    <mergeCell ref="A47:H47"/>
    <mergeCell ref="A1:I1"/>
    <mergeCell ref="A2:I2"/>
    <mergeCell ref="A3:I3"/>
  </mergeCells>
  <hyperlinks>
    <hyperlink ref="A90" r:id="rId1" xr:uid="{00000000-0004-0000-0000-000000000000}"/>
    <hyperlink ref="A93"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2026-02-06T08:07:24Z</dcterms:modified>
</cp:coreProperties>
</file>