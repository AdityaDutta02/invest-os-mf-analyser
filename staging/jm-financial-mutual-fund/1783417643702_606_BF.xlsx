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BF" sheetId="1" r:id="rId1"/>
  </sheets>
  <definedNames>
    <definedName name="_xlnm._FilterDatabase" localSheetId="0" hidden="1">BF!$A$1:$H$58</definedName>
    <definedName name="Afs">#REF!</definedName>
    <definedName name="_xlnm.Database">#REF!</definedName>
    <definedName name="EBLDB">#REF!</definedName>
    <definedName name="fl">#REF!</definedName>
    <definedName name="_xlnm.Print_Area" localSheetId="0">BF!$A$1:$E$46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2" i="1" l="1"/>
  <c r="D49" i="1"/>
  <c r="E48" i="1"/>
  <c r="E49" i="1" s="1"/>
  <c r="D29" i="1"/>
  <c r="D33" i="1" s="1"/>
  <c r="E28" i="1"/>
  <c r="E27" i="1"/>
  <c r="E26" i="1"/>
  <c r="E25" i="1"/>
  <c r="E24" i="1"/>
  <c r="E23" i="1"/>
  <c r="E22" i="1"/>
  <c r="E21" i="1"/>
  <c r="E20" i="1"/>
  <c r="E19" i="1"/>
  <c r="E18" i="1"/>
  <c r="E17" i="1"/>
  <c r="E16" i="1"/>
  <c r="E15" i="1"/>
  <c r="E14" i="1"/>
  <c r="E13" i="1"/>
  <c r="E12" i="1"/>
  <c r="E11" i="1"/>
  <c r="E10" i="1"/>
  <c r="E9" i="1"/>
  <c r="E8" i="1"/>
  <c r="E7" i="1"/>
  <c r="E6" i="1"/>
  <c r="E29" i="1" l="1"/>
  <c r="E33" i="1" s="1"/>
  <c r="D52" i="1"/>
  <c r="D54" i="1" s="1"/>
  <c r="E54" i="1" s="1"/>
  <c r="E52" i="1"/>
  <c r="E56" i="1" l="1"/>
</calcChain>
</file>

<file path=xl/sharedStrings.xml><?xml version="1.0" encoding="utf-8"?>
<sst xmlns="http://schemas.openxmlformats.org/spreadsheetml/2006/main" count="118" uniqueCount="100">
  <si>
    <t>JM Equity Hybrid Fund (An open ended hybrid scheme investing predominantly in equity and equity related instruments).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</si>
  <si>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</si>
  <si>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</si>
  <si>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</si>
  <si>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</si>
  <si>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</si>
  <si>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</si>
  <si>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</si>
  <si>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</si>
  <si>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</si>
  <si>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</si>
  <si>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</si>
  <si>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</si>
  <si>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</si>
  <si>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</si>
  <si>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Axis Bank Ltd.</t>
  </si>
  <si>
    <t>INE238A01034</t>
  </si>
  <si>
    <t>Infosys Ltd.</t>
  </si>
  <si>
    <t>IT - Software</t>
  </si>
  <si>
    <t>INE009A01021</t>
  </si>
  <si>
    <t>Reliance Industries Ltd.</t>
  </si>
  <si>
    <t>Petroleum Products</t>
  </si>
  <si>
    <t>INE002A01018</t>
  </si>
  <si>
    <t>REC Ltd.</t>
  </si>
  <si>
    <t>Finance</t>
  </si>
  <si>
    <t>INE020B01018</t>
  </si>
  <si>
    <t>Bharat Forge Ltd.</t>
  </si>
  <si>
    <t>Industrial Products</t>
  </si>
  <si>
    <t>INE465A01025</t>
  </si>
  <si>
    <t>State Bank of India</t>
  </si>
  <si>
    <t>INE062A01020</t>
  </si>
  <si>
    <t>Gujarat Gas Ltd.</t>
  </si>
  <si>
    <t>Gas</t>
  </si>
  <si>
    <t>INE844O01030</t>
  </si>
  <si>
    <t>L&amp;T Technology Services Ltd.</t>
  </si>
  <si>
    <t>IT - Services</t>
  </si>
  <si>
    <t>INE010V01017</t>
  </si>
  <si>
    <t>Balrampur Chini Mills Ltd.</t>
  </si>
  <si>
    <t>Agricultural Food &amp; other Products</t>
  </si>
  <si>
    <t>INE119A01028</t>
  </si>
  <si>
    <t>Mahindra &amp; Mahindra Financial Services Ltd.</t>
  </si>
  <si>
    <t>INE774D01024</t>
  </si>
  <si>
    <t>ICICI Bank Ltd.</t>
  </si>
  <si>
    <t>INE090A01021</t>
  </si>
  <si>
    <t>ICRA Ltd.</t>
  </si>
  <si>
    <t>Capital Markets</t>
  </si>
  <si>
    <t>INE725G01011</t>
  </si>
  <si>
    <t>SKF India Ltd.</t>
  </si>
  <si>
    <t>INE640A01023</t>
  </si>
  <si>
    <t>Larsen &amp; Toubro Ltd.</t>
  </si>
  <si>
    <t>Construction</t>
  </si>
  <si>
    <t>INE018A01030</t>
  </si>
  <si>
    <t>Cummins India Ltd.</t>
  </si>
  <si>
    <t>INE298A01020</t>
  </si>
  <si>
    <t>Dr. Reddy's Laboratories Ltd.</t>
  </si>
  <si>
    <t>Pharmaceuticals &amp; Biotechnology</t>
  </si>
  <si>
    <t>INE089A01023</t>
  </si>
  <si>
    <t>Britannia Industries Ltd.</t>
  </si>
  <si>
    <t>Food Products</t>
  </si>
  <si>
    <t>INE216A01030</t>
  </si>
  <si>
    <t>Ultratech Cement Ltd.</t>
  </si>
  <si>
    <t>Cement &amp; Cement Products</t>
  </si>
  <si>
    <t>INE481G01011</t>
  </si>
  <si>
    <t>TVS Motor Company Ltd.</t>
  </si>
  <si>
    <t>Automobiles</t>
  </si>
  <si>
    <t>INE494B01023</t>
  </si>
  <si>
    <t>CG Power and Industrial Solutions Ltd.</t>
  </si>
  <si>
    <t>Electrical Equipment</t>
  </si>
  <si>
    <t>INE067A01029</t>
  </si>
  <si>
    <t>Navin Fluorine International Ltd.</t>
  </si>
  <si>
    <t>Chemicals &amp; Petrochemicals</t>
  </si>
  <si>
    <t>INE048G01026</t>
  </si>
  <si>
    <t>Bharti Airtel Limited -  Rights Partly Paid</t>
  </si>
  <si>
    <t>Telecom - Services</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</si>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</sst>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xf numFmtId="0" fontId="6" fillId="0" borderId="0"/>
  </cellStyleXfs>
  <cellXfs count="66">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wrapText="1"/>
    </xf>
    <xf numFmtId="0" fontId="5" fillId="0" borderId="0" xfId="2" applyFont="1" applyAlignment="1">
      <alignment horizontal="left" wrapText="1"/>
    </xf>
    <xf numFmtId="0" fontId="5" fillId="0" borderId="0" xfId="2" applyFont="1" applyAlignment="1">
      <alignment vertical="top" wrapText="1"/>
    </xf>
    <xf numFmtId="0" fontId="5" fillId="0" borderId="0" xfId="2" applyFont="1" applyAlignment="1">
      <alignment horizontal="left" vertical="top" wrapText="1"/>
    </xf>
    <xf numFmtId="0" fontId="6" fillId="0" borderId="0" xfId="3" applyBorder="1" applyAlignment="1">
      <alignment vertical="center"/>
    </xf>
    <xf numFmtId="164" fontId="2" fillId="0" borderId="0" xfId="1" applyFont="1" applyFill="1" applyBorder="1" applyAlignment="1">
      <alignment horizontal="right"/>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0" applyFont="1" applyAlignment="1">
      <alignment vertical="top" wrapText="1"/>
    </xf>
    <xf numFmtId="0" fontId="10" fillId="0" borderId="0" xfId="6" applyFont="1"/>
    <xf numFmtId="0" fontId="3" fillId="0" borderId="0" xfId="0"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6" fillId="0" borderId="0" xfId="5" applyBorder="1" applyAlignment="1">
      <alignment wrapText="1"/>
    </xf>
  </cellXfs>
  <cellStyles count="7">
    <cellStyle name="Comma" xfId="1" builtinId="3"/>
    <cellStyle name="Comma 4" xfId="4"/>
    <cellStyle name="Normal" xfId="0" builtinId="0"/>
    <cellStyle name="Normal 2 3 2" xfId="2"/>
    <cellStyle name="Normal 4_BF"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72</xdr:row>
      <xdr:rowOff>133350</xdr:rowOff>
    </xdr:from>
    <xdr:to>
      <xdr:col>1</xdr:col>
      <xdr:colOff>657225</xdr:colOff>
      <xdr:row>86</xdr:row>
      <xdr:rowOff>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3696950"/>
          <a:ext cx="3505200" cy="2133600"/>
        </a:xfrm>
        <a:prstGeom prst="rect">
          <a:avLst/>
        </a:prstGeom>
        <a:noFill/>
        <a:ln w="9525">
          <a:noFill/>
          <a:miter lim="800000"/>
          <a:headEnd/>
          <a:tailEnd/>
        </a:ln>
      </xdr:spPr>
    </xdr:pic>
    <xdr:clientData/>
  </xdr:twoCellAnchor>
  <xdr:twoCellAnchor editAs="oneCell">
    <xdr:from>
      <xdr:col>3</xdr:col>
      <xdr:colOff>0</xdr:colOff>
      <xdr:row>72</xdr:row>
      <xdr:rowOff>95250</xdr:rowOff>
    </xdr:from>
    <xdr:to>
      <xdr:col>5</xdr:col>
      <xdr:colOff>990600</xdr:colOff>
      <xdr:row>86</xdr:row>
      <xdr:rowOff>38100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429375" y="13658850"/>
          <a:ext cx="3429000" cy="2209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1"/>
  <sheetViews>
    <sheetView tabSelected="1" topLeftCell="A70" zoomScaleNormal="100" workbookViewId="0">
      <selection activeCell="I46" sqref="I1:I1048576"/>
    </sheetView>
  </sheetViews>
  <sheetFormatPr defaultRowHeight="12.75" x14ac:dyDescent="0.2"/>
  <cols>
    <col min="1" max="1" width="42.7109375" style="58" customWidth="1"/>
    <col min="2" max="2" width="40.28515625" style="59" customWidth="1"/>
    <col min="3" max="3" width="13.42578125" style="6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1" t="s">
        <v>0</v>
      </c>
      <c r="B1" s="61"/>
      <c r="C1" s="61"/>
      <c r="D1" s="61"/>
      <c r="E1" s="61"/>
      <c r="F1" s="61"/>
      <c r="G1" s="61"/>
      <c r="H1" s="61"/>
    </row>
    <row r="2" spans="1:8" x14ac:dyDescent="0.2">
      <c r="A2" s="2" t="s">
        <v>1</v>
      </c>
      <c r="B2" s="3"/>
      <c r="C2" s="3"/>
      <c r="D2" s="3"/>
      <c r="E2" s="3"/>
      <c r="F2" s="3"/>
      <c r="G2" s="3"/>
      <c r="H2" s="3"/>
    </row>
    <row r="3" spans="1:8" s="9" customFormat="1" ht="38.2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5180</v>
      </c>
      <c r="D6" s="21">
        <v>84.338170000000005</v>
      </c>
      <c r="E6" s="21">
        <f t="shared" ref="E6:E28" si="0">(+D6/$D$56*100)</f>
        <v>7.5625203923075004</v>
      </c>
      <c r="F6" s="21" t="s">
        <v>14</v>
      </c>
      <c r="G6" s="16"/>
      <c r="H6" s="16"/>
    </row>
    <row r="7" spans="1:8" s="22" customFormat="1" x14ac:dyDescent="0.2">
      <c r="A7" s="18" t="s">
        <v>15</v>
      </c>
      <c r="B7" s="19" t="s">
        <v>13</v>
      </c>
      <c r="C7" s="20">
        <v>6450</v>
      </c>
      <c r="D7" s="21">
        <v>60.226875</v>
      </c>
      <c r="E7" s="21">
        <f t="shared" si="0"/>
        <v>5.4004843874660171</v>
      </c>
      <c r="F7" s="21" t="s">
        <v>16</v>
      </c>
      <c r="G7" s="16"/>
      <c r="H7" s="16"/>
    </row>
    <row r="8" spans="1:8" s="22" customFormat="1" x14ac:dyDescent="0.2">
      <c r="A8" s="18" t="s">
        <v>17</v>
      </c>
      <c r="B8" s="19" t="s">
        <v>18</v>
      </c>
      <c r="C8" s="20">
        <v>3875</v>
      </c>
      <c r="D8" s="21">
        <v>58.442749999999997</v>
      </c>
      <c r="E8" s="21">
        <f t="shared" si="0"/>
        <v>5.2405036611243663</v>
      </c>
      <c r="F8" s="21" t="s">
        <v>19</v>
      </c>
      <c r="G8" s="16"/>
      <c r="H8" s="23"/>
    </row>
    <row r="9" spans="1:8" s="22" customFormat="1" x14ac:dyDescent="0.2">
      <c r="A9" s="18" t="s">
        <v>20</v>
      </c>
      <c r="B9" s="19" t="s">
        <v>21</v>
      </c>
      <c r="C9" s="20">
        <v>1950</v>
      </c>
      <c r="D9" s="21">
        <v>49.670400000000001</v>
      </c>
      <c r="E9" s="21">
        <f t="shared" si="0"/>
        <v>4.4538957021959389</v>
      </c>
      <c r="F9" s="21" t="s">
        <v>22</v>
      </c>
      <c r="G9" s="16"/>
      <c r="H9" s="15"/>
    </row>
    <row r="10" spans="1:8" s="22" customFormat="1" x14ac:dyDescent="0.2">
      <c r="A10" s="18" t="s">
        <v>23</v>
      </c>
      <c r="B10" s="19" t="s">
        <v>24</v>
      </c>
      <c r="C10" s="20">
        <v>38000</v>
      </c>
      <c r="D10" s="21">
        <v>44.27</v>
      </c>
      <c r="E10" s="21">
        <f t="shared" si="0"/>
        <v>3.9696471688614192</v>
      </c>
      <c r="F10" s="21" t="s">
        <v>25</v>
      </c>
      <c r="G10" s="16"/>
      <c r="H10" s="15"/>
    </row>
    <row r="11" spans="1:8" s="22" customFormat="1" x14ac:dyDescent="0.2">
      <c r="A11" s="18" t="s">
        <v>26</v>
      </c>
      <c r="B11" s="19" t="s">
        <v>27</v>
      </c>
      <c r="C11" s="20">
        <v>5000</v>
      </c>
      <c r="D11" s="21">
        <v>43.9925</v>
      </c>
      <c r="E11" s="21">
        <f t="shared" si="0"/>
        <v>3.944764017983645</v>
      </c>
      <c r="F11" s="21" t="s">
        <v>28</v>
      </c>
      <c r="G11" s="16"/>
      <c r="H11" s="16"/>
    </row>
    <row r="12" spans="1:8" s="22" customFormat="1" x14ac:dyDescent="0.2">
      <c r="A12" s="18" t="s">
        <v>29</v>
      </c>
      <c r="B12" s="19" t="s">
        <v>13</v>
      </c>
      <c r="C12" s="20">
        <v>7000</v>
      </c>
      <c r="D12" s="21">
        <v>42.959000000000003</v>
      </c>
      <c r="E12" s="21">
        <f t="shared" si="0"/>
        <v>3.852091093903721</v>
      </c>
      <c r="F12" s="21" t="s">
        <v>30</v>
      </c>
      <c r="G12" s="16"/>
      <c r="H12" s="15"/>
    </row>
    <row r="13" spans="1:8" s="22" customFormat="1" x14ac:dyDescent="0.2">
      <c r="A13" s="18" t="s">
        <v>31</v>
      </c>
      <c r="B13" s="19" t="s">
        <v>32</v>
      </c>
      <c r="C13" s="20">
        <v>8500</v>
      </c>
      <c r="D13" s="21">
        <v>41.322749999999999</v>
      </c>
      <c r="E13" s="21">
        <f t="shared" si="0"/>
        <v>3.7053701727370276</v>
      </c>
      <c r="F13" s="21" t="s">
        <v>33</v>
      </c>
      <c r="G13" s="16"/>
      <c r="H13" s="16"/>
    </row>
    <row r="14" spans="1:8" s="22" customFormat="1" x14ac:dyDescent="0.2">
      <c r="A14" s="18" t="s">
        <v>34</v>
      </c>
      <c r="B14" s="19" t="s">
        <v>35</v>
      </c>
      <c r="C14" s="20">
        <v>1100</v>
      </c>
      <c r="D14" s="21">
        <v>40.51905</v>
      </c>
      <c r="E14" s="21">
        <f t="shared" si="0"/>
        <v>3.6333031876542647</v>
      </c>
      <c r="F14" s="21" t="s">
        <v>36</v>
      </c>
      <c r="G14" s="16"/>
      <c r="H14" s="15"/>
    </row>
    <row r="15" spans="1:8" s="22" customFormat="1" x14ac:dyDescent="0.2">
      <c r="A15" s="18" t="s">
        <v>37</v>
      </c>
      <c r="B15" s="19" t="s">
        <v>38</v>
      </c>
      <c r="C15" s="20">
        <v>10000</v>
      </c>
      <c r="D15" s="21">
        <v>39.674999999999997</v>
      </c>
      <c r="E15" s="21">
        <f t="shared" si="0"/>
        <v>3.557618057930354</v>
      </c>
      <c r="F15" s="21" t="s">
        <v>39</v>
      </c>
      <c r="G15" s="16"/>
      <c r="H15" s="16"/>
    </row>
    <row r="16" spans="1:8" s="22" customFormat="1" x14ac:dyDescent="0.2">
      <c r="A16" s="18" t="s">
        <v>40</v>
      </c>
      <c r="B16" s="19" t="s">
        <v>24</v>
      </c>
      <c r="C16" s="20">
        <v>16000</v>
      </c>
      <c r="D16" s="21">
        <v>37.536000000000001</v>
      </c>
      <c r="E16" s="21">
        <f t="shared" si="0"/>
        <v>3.3658160408941096</v>
      </c>
      <c r="F16" s="21" t="s">
        <v>41</v>
      </c>
      <c r="G16" s="16"/>
      <c r="H16" s="15"/>
    </row>
    <row r="17" spans="1:8" s="22" customFormat="1" x14ac:dyDescent="0.2">
      <c r="A17" s="18" t="s">
        <v>42</v>
      </c>
      <c r="B17" s="19" t="s">
        <v>13</v>
      </c>
      <c r="C17" s="20">
        <v>4000</v>
      </c>
      <c r="D17" s="21">
        <v>35.634</v>
      </c>
      <c r="E17" s="21">
        <f t="shared" si="0"/>
        <v>3.1952655797426655</v>
      </c>
      <c r="F17" s="21" t="s">
        <v>43</v>
      </c>
      <c r="G17" s="16"/>
      <c r="H17" s="16"/>
    </row>
    <row r="18" spans="1:8" s="22" customFormat="1" x14ac:dyDescent="0.2">
      <c r="A18" s="18" t="s">
        <v>44</v>
      </c>
      <c r="B18" s="19" t="s">
        <v>45</v>
      </c>
      <c r="C18" s="20">
        <v>725</v>
      </c>
      <c r="D18" s="21">
        <v>33.247774999999997</v>
      </c>
      <c r="E18" s="21">
        <f t="shared" si="0"/>
        <v>2.9812951411721587</v>
      </c>
      <c r="F18" s="21" t="s">
        <v>46</v>
      </c>
      <c r="G18" s="16"/>
      <c r="H18" s="16"/>
    </row>
    <row r="19" spans="1:8" s="22" customFormat="1" x14ac:dyDescent="0.2">
      <c r="A19" s="18" t="s">
        <v>47</v>
      </c>
      <c r="B19" s="19" t="s">
        <v>27</v>
      </c>
      <c r="C19" s="20">
        <v>720</v>
      </c>
      <c r="D19" s="21">
        <v>32.393520000000002</v>
      </c>
      <c r="E19" s="21">
        <f t="shared" si="0"/>
        <v>2.9046949391790324</v>
      </c>
      <c r="F19" s="21" t="s">
        <v>48</v>
      </c>
      <c r="G19" s="16"/>
      <c r="H19" s="15"/>
    </row>
    <row r="20" spans="1:8" s="22" customFormat="1" x14ac:dyDescent="0.2">
      <c r="A20" s="18" t="s">
        <v>49</v>
      </c>
      <c r="B20" s="19" t="s">
        <v>50</v>
      </c>
      <c r="C20" s="20">
        <v>1350</v>
      </c>
      <c r="D20" s="21">
        <v>28.158300000000001</v>
      </c>
      <c r="E20" s="21">
        <f t="shared" si="0"/>
        <v>2.5249269454472665</v>
      </c>
      <c r="F20" s="21" t="s">
        <v>51</v>
      </c>
      <c r="G20" s="16"/>
      <c r="H20" s="15"/>
    </row>
    <row r="21" spans="1:8" s="22" customFormat="1" x14ac:dyDescent="0.2">
      <c r="A21" s="18" t="s">
        <v>52</v>
      </c>
      <c r="B21" s="19" t="s">
        <v>27</v>
      </c>
      <c r="C21" s="20">
        <v>2000</v>
      </c>
      <c r="D21" s="21">
        <v>27.608000000000001</v>
      </c>
      <c r="E21" s="21">
        <f t="shared" si="0"/>
        <v>2.4755820880489283</v>
      </c>
      <c r="F21" s="21" t="s">
        <v>53</v>
      </c>
      <c r="G21" s="16"/>
      <c r="H21" s="16"/>
    </row>
    <row r="22" spans="1:8" s="22" customFormat="1" x14ac:dyDescent="0.2">
      <c r="A22" s="18" t="s">
        <v>54</v>
      </c>
      <c r="B22" s="19" t="s">
        <v>55</v>
      </c>
      <c r="C22" s="20">
        <v>625</v>
      </c>
      <c r="D22" s="21">
        <v>26.4846875</v>
      </c>
      <c r="E22" s="21">
        <f t="shared" si="0"/>
        <v>2.3748557658132912</v>
      </c>
      <c r="F22" s="21" t="s">
        <v>56</v>
      </c>
      <c r="G22" s="16"/>
      <c r="H22" s="16"/>
    </row>
    <row r="23" spans="1:8" s="22" customFormat="1" x14ac:dyDescent="0.2">
      <c r="A23" s="18" t="s">
        <v>57</v>
      </c>
      <c r="B23" s="19" t="s">
        <v>58</v>
      </c>
      <c r="C23" s="20">
        <v>600</v>
      </c>
      <c r="D23" s="21">
        <v>25.8447</v>
      </c>
      <c r="E23" s="21">
        <f t="shared" si="0"/>
        <v>2.3174687188857628</v>
      </c>
      <c r="F23" s="21" t="s">
        <v>59</v>
      </c>
      <c r="G23" s="16"/>
      <c r="H23" s="16"/>
    </row>
    <row r="24" spans="1:8" s="22" customFormat="1" x14ac:dyDescent="0.2">
      <c r="A24" s="18" t="s">
        <v>60</v>
      </c>
      <c r="B24" s="19" t="s">
        <v>61</v>
      </c>
      <c r="C24" s="20">
        <v>360</v>
      </c>
      <c r="D24" s="21">
        <v>25.052579999999999</v>
      </c>
      <c r="E24" s="21">
        <f t="shared" si="0"/>
        <v>2.246440100963953</v>
      </c>
      <c r="F24" s="21" t="s">
        <v>62</v>
      </c>
      <c r="G24" s="16"/>
      <c r="H24" s="15"/>
    </row>
    <row r="25" spans="1:8" s="22" customFormat="1" x14ac:dyDescent="0.2">
      <c r="A25" s="18" t="s">
        <v>63</v>
      </c>
      <c r="B25" s="19" t="s">
        <v>64</v>
      </c>
      <c r="C25" s="20">
        <v>2200</v>
      </c>
      <c r="D25" s="21">
        <v>23.878799999999998</v>
      </c>
      <c r="E25" s="21">
        <f t="shared" si="0"/>
        <v>2.141188407856518</v>
      </c>
      <c r="F25" s="21" t="s">
        <v>65</v>
      </c>
      <c r="G25" s="16"/>
      <c r="H25" s="15"/>
    </row>
    <row r="26" spans="1:8" s="22" customFormat="1" x14ac:dyDescent="0.2">
      <c r="A26" s="18" t="s">
        <v>66</v>
      </c>
      <c r="B26" s="19" t="s">
        <v>67</v>
      </c>
      <c r="C26" s="20">
        <v>8500</v>
      </c>
      <c r="D26" s="21">
        <v>22.9755</v>
      </c>
      <c r="E26" s="21">
        <f t="shared" si="0"/>
        <v>2.060190389161408</v>
      </c>
      <c r="F26" s="21" t="s">
        <v>68</v>
      </c>
      <c r="G26" s="16"/>
      <c r="H26" s="16"/>
    </row>
    <row r="27" spans="1:8" s="22" customFormat="1" x14ac:dyDescent="0.2">
      <c r="A27" s="18" t="s">
        <v>69</v>
      </c>
      <c r="B27" s="19" t="s">
        <v>70</v>
      </c>
      <c r="C27" s="20">
        <v>520</v>
      </c>
      <c r="D27" s="21">
        <v>21.1601</v>
      </c>
      <c r="E27" s="21">
        <f t="shared" si="0"/>
        <v>1.8974052644640731</v>
      </c>
      <c r="F27" s="21" t="s">
        <v>71</v>
      </c>
      <c r="G27" s="16"/>
      <c r="H27" s="15"/>
    </row>
    <row r="28" spans="1:8" s="22" customFormat="1" x14ac:dyDescent="0.2">
      <c r="A28" s="18" t="s">
        <v>72</v>
      </c>
      <c r="B28" s="19" t="s">
        <v>73</v>
      </c>
      <c r="C28" s="20">
        <v>171</v>
      </c>
      <c r="D28" s="21">
        <v>0.741456</v>
      </c>
      <c r="E28" s="21">
        <f t="shared" si="0"/>
        <v>6.6485627089119315E-2</v>
      </c>
      <c r="F28" s="21" t="s">
        <v>74</v>
      </c>
      <c r="G28" s="16"/>
      <c r="H28" s="16"/>
    </row>
    <row r="29" spans="1:8" s="22" customFormat="1" x14ac:dyDescent="0.2">
      <c r="A29" s="17" t="s">
        <v>75</v>
      </c>
      <c r="B29" s="19"/>
      <c r="C29" s="20"/>
      <c r="D29" s="24">
        <f>IF(ISERROR(SUM(D6:D28)),0,SUM(D6:D28))</f>
        <v>846.13191349999988</v>
      </c>
      <c r="E29" s="24">
        <f>IF(ISERROR(SUM(E6:E28)),0,SUM(E6:E28))</f>
        <v>75.871812850882549</v>
      </c>
      <c r="F29" s="24"/>
      <c r="G29" s="16"/>
      <c r="H29" s="15"/>
    </row>
    <row r="30" spans="1:8" s="22" customFormat="1" x14ac:dyDescent="0.2">
      <c r="A30" s="17"/>
      <c r="B30" s="17"/>
      <c r="C30" s="25"/>
      <c r="D30" s="26"/>
      <c r="E30" s="26"/>
      <c r="F30" s="26"/>
      <c r="G30" s="16"/>
      <c r="H30" s="15"/>
    </row>
    <row r="31" spans="1:8" s="22" customFormat="1" x14ac:dyDescent="0.2">
      <c r="A31" s="17" t="s">
        <v>76</v>
      </c>
      <c r="B31" s="17"/>
      <c r="C31" s="25"/>
      <c r="D31" s="27" t="s">
        <v>77</v>
      </c>
      <c r="E31" s="27" t="s">
        <v>77</v>
      </c>
      <c r="F31" s="27"/>
      <c r="G31" s="16"/>
      <c r="H31" s="15"/>
    </row>
    <row r="32" spans="1:8" s="22" customFormat="1" x14ac:dyDescent="0.2">
      <c r="A32" s="17"/>
      <c r="B32" s="10"/>
      <c r="C32" s="25"/>
      <c r="D32" s="27"/>
      <c r="E32" s="27"/>
      <c r="F32" s="28"/>
      <c r="G32" s="16"/>
      <c r="H32" s="15"/>
    </row>
    <row r="33" spans="1:8" s="22" customFormat="1" x14ac:dyDescent="0.2">
      <c r="A33" s="17" t="s">
        <v>78</v>
      </c>
      <c r="B33" s="17"/>
      <c r="C33" s="25"/>
      <c r="D33" s="24">
        <f>IF(ISERROR(+D29),0,D29)+IF(ISERROR(+#REF!),0,#REF!)</f>
        <v>846.13191349999988</v>
      </c>
      <c r="E33" s="24">
        <f>IF(ISERROR(+E29),0,E29)+IF(ISERROR(+#REF!),0,#REF!)</f>
        <v>75.871812850882549</v>
      </c>
      <c r="F33" s="29"/>
      <c r="G33" s="16"/>
      <c r="H33" s="15"/>
    </row>
    <row r="34" spans="1:8" s="22" customFormat="1" x14ac:dyDescent="0.2">
      <c r="A34" s="17"/>
      <c r="B34" s="10"/>
      <c r="C34" s="25"/>
      <c r="D34" s="27"/>
      <c r="E34" s="27"/>
      <c r="F34" s="28"/>
      <c r="G34" s="16"/>
      <c r="H34" s="15"/>
    </row>
    <row r="35" spans="1:8" s="22" customFormat="1" x14ac:dyDescent="0.2">
      <c r="A35" s="17" t="s">
        <v>79</v>
      </c>
      <c r="B35" s="10"/>
      <c r="C35" s="25"/>
      <c r="D35" s="27"/>
      <c r="E35" s="27"/>
      <c r="F35" s="28"/>
      <c r="G35" s="16"/>
      <c r="H35" s="15"/>
    </row>
    <row r="36" spans="1:8" s="22" customFormat="1" x14ac:dyDescent="0.2">
      <c r="A36" s="17" t="s">
        <v>11</v>
      </c>
      <c r="B36" s="10"/>
      <c r="C36" s="25"/>
      <c r="D36" s="27" t="s">
        <v>77</v>
      </c>
      <c r="E36" s="27" t="s">
        <v>77</v>
      </c>
      <c r="F36" s="30"/>
      <c r="G36" s="16"/>
      <c r="H36" s="15"/>
    </row>
    <row r="37" spans="1:8" s="22" customFormat="1" x14ac:dyDescent="0.2">
      <c r="A37" s="17"/>
      <c r="B37" s="10"/>
      <c r="C37" s="31"/>
      <c r="D37" s="30"/>
      <c r="E37" s="30"/>
      <c r="F37" s="30"/>
      <c r="G37" s="16"/>
      <c r="H37" s="15"/>
    </row>
    <row r="38" spans="1:8" s="22" customFormat="1" x14ac:dyDescent="0.2">
      <c r="A38" s="17" t="s">
        <v>80</v>
      </c>
      <c r="B38" s="10"/>
      <c r="C38" s="31"/>
      <c r="D38" s="27" t="s">
        <v>77</v>
      </c>
      <c r="E38" s="27" t="s">
        <v>77</v>
      </c>
      <c r="F38" s="28"/>
      <c r="G38" s="16"/>
      <c r="H38" s="15"/>
    </row>
    <row r="39" spans="1:8" s="22" customFormat="1" x14ac:dyDescent="0.2">
      <c r="A39" s="17"/>
      <c r="B39" s="10"/>
      <c r="C39" s="31"/>
      <c r="D39" s="27"/>
      <c r="E39" s="27"/>
      <c r="F39" s="27"/>
      <c r="G39" s="16"/>
      <c r="H39" s="15"/>
    </row>
    <row r="40" spans="1:8" s="22" customFormat="1" x14ac:dyDescent="0.2">
      <c r="A40" s="17" t="s">
        <v>81</v>
      </c>
      <c r="B40" s="10"/>
      <c r="C40" s="31"/>
      <c r="D40" s="27"/>
      <c r="E40" s="27"/>
      <c r="F40" s="27"/>
      <c r="G40" s="16"/>
      <c r="H40" s="15"/>
    </row>
    <row r="41" spans="1:8" s="22" customFormat="1" x14ac:dyDescent="0.2">
      <c r="A41" s="17"/>
      <c r="B41" s="10"/>
      <c r="C41" s="31"/>
      <c r="D41" s="21"/>
      <c r="E41" s="21"/>
      <c r="F41" s="32"/>
      <c r="G41" s="16"/>
      <c r="H41" s="15"/>
    </row>
    <row r="42" spans="1:8" s="22" customFormat="1" x14ac:dyDescent="0.2">
      <c r="A42" s="17" t="s">
        <v>82</v>
      </c>
      <c r="B42" s="10"/>
      <c r="C42" s="31"/>
      <c r="D42" s="27" t="s">
        <v>77</v>
      </c>
      <c r="E42" s="27" t="s">
        <v>77</v>
      </c>
      <c r="F42" s="27"/>
      <c r="G42" s="16"/>
      <c r="H42" s="15"/>
    </row>
    <row r="43" spans="1:8" s="22" customFormat="1" x14ac:dyDescent="0.2">
      <c r="A43" s="17"/>
      <c r="B43" s="10"/>
      <c r="C43" s="31"/>
      <c r="D43" s="27"/>
      <c r="E43" s="27"/>
      <c r="F43" s="27"/>
      <c r="G43" s="16"/>
      <c r="H43" s="15"/>
    </row>
    <row r="44" spans="1:8" s="22" customFormat="1" x14ac:dyDescent="0.2">
      <c r="A44" s="17" t="s">
        <v>83</v>
      </c>
      <c r="B44" s="10"/>
      <c r="C44" s="31"/>
      <c r="D44" s="27" t="s">
        <v>77</v>
      </c>
      <c r="E44" s="27" t="s">
        <v>77</v>
      </c>
      <c r="F44" s="27"/>
      <c r="G44" s="16"/>
      <c r="H44" s="15"/>
    </row>
    <row r="45" spans="1:8" s="22" customFormat="1" x14ac:dyDescent="0.2">
      <c r="A45" s="17"/>
      <c r="B45" s="10"/>
      <c r="C45" s="31"/>
      <c r="D45" s="27"/>
      <c r="E45" s="27"/>
      <c r="F45" s="27"/>
      <c r="G45" s="16"/>
      <c r="H45" s="15"/>
    </row>
    <row r="46" spans="1:8" s="22" customFormat="1" x14ac:dyDescent="0.2">
      <c r="A46" s="17" t="s">
        <v>84</v>
      </c>
      <c r="B46" s="10"/>
      <c r="C46" s="31"/>
      <c r="D46" s="27"/>
      <c r="E46" s="27"/>
      <c r="F46" s="28"/>
      <c r="G46" s="16"/>
      <c r="H46" s="15"/>
    </row>
    <row r="47" spans="1:8" s="22" customFormat="1" x14ac:dyDescent="0.2">
      <c r="A47" s="17"/>
      <c r="B47" s="33"/>
      <c r="C47" s="34"/>
      <c r="D47" s="30"/>
      <c r="E47" s="30"/>
      <c r="F47" s="35"/>
      <c r="G47" s="16"/>
      <c r="H47" s="15"/>
    </row>
    <row r="48" spans="1:8" s="22" customFormat="1" x14ac:dyDescent="0.2">
      <c r="A48" s="18" t="s">
        <v>85</v>
      </c>
      <c r="B48" s="19"/>
      <c r="C48" s="20">
        <v>0</v>
      </c>
      <c r="D48" s="21">
        <v>237.6403</v>
      </c>
      <c r="E48" s="21">
        <f>(+D48/$D$56*100)</f>
        <v>21.308970953295194</v>
      </c>
      <c r="F48" s="21" t="s">
        <v>86</v>
      </c>
      <c r="G48" s="16">
        <v>6.4866999999999999</v>
      </c>
      <c r="H48" s="15"/>
    </row>
    <row r="49" spans="1:8" s="22" customFormat="1" x14ac:dyDescent="0.2">
      <c r="A49" s="17" t="s">
        <v>75</v>
      </c>
      <c r="B49" s="10"/>
      <c r="C49" s="31"/>
      <c r="D49" s="27">
        <f>IF(ISERROR(SUM(D48:D48)),0,SUM(D48:D48))</f>
        <v>237.6403</v>
      </c>
      <c r="E49" s="27">
        <f>IF(ISERROR(SUM(E48:E48)),0,SUM(E48:E48))</f>
        <v>21.308970953295194</v>
      </c>
      <c r="F49" s="21"/>
      <c r="G49" s="16"/>
      <c r="H49" s="15"/>
    </row>
    <row r="50" spans="1:8" s="22" customFormat="1" x14ac:dyDescent="0.2">
      <c r="A50" s="17"/>
      <c r="B50" s="10"/>
      <c r="C50" s="31"/>
      <c r="D50" s="27"/>
      <c r="E50" s="27"/>
      <c r="F50" s="27"/>
      <c r="G50" s="16"/>
      <c r="H50" s="15"/>
    </row>
    <row r="51" spans="1:8" s="22" customFormat="1" x14ac:dyDescent="0.2">
      <c r="A51" s="17"/>
      <c r="B51" s="10"/>
      <c r="C51" s="31"/>
      <c r="D51" s="27"/>
      <c r="E51" s="27"/>
      <c r="F51" s="28"/>
      <c r="G51" s="16"/>
      <c r="H51" s="15"/>
    </row>
    <row r="52" spans="1:8" s="22" customFormat="1" x14ac:dyDescent="0.2">
      <c r="A52" s="17" t="s">
        <v>78</v>
      </c>
      <c r="B52" s="10"/>
      <c r="C52" s="31" t="s">
        <v>87</v>
      </c>
      <c r="D52" s="27">
        <f>+IF(ISERROR(#REF!),0,#REF!)+IF(ISERROR(D49),0,D49)+IF(ISERROR(D33),0,D33)+IF(ISERROR(#REF!),0,#REF!)+IF(ISERROR(#REF!),0,#REF!)+IF(ISERROR(#REF!),0,#REF!)+IF(ISERROR(#REF!),0,#REF!)+IF(ISERROR(#REF!),0,#REF!)+IF(ISERROR(#REF!),0,#REF!)</f>
        <v>1083.7722134999999</v>
      </c>
      <c r="E52" s="27">
        <f>+IF(ISERROR(#REF!),0,#REF!)+IF(ISERROR(E49),0,E49)+IF(ISERROR(E33),0,E33)+IF(ISERROR(#REF!),0,#REF!)+IF(ISERROR(#REF!),0,#REF!)+IF(ISERROR(#REF!),0,#REF!)+IF(ISERROR(#REF!),0,#REF!)+IF(ISERROR(#REF!),0,#REF!)+IF(ISERROR(#REF!),0,#REF!)</f>
        <v>97.180783804177736</v>
      </c>
      <c r="F52" s="27">
        <f>+IF(ISERROR(#REF!),0,#REF!)+IF(ISERROR(F49),0,F49)+IF(ISERROR(F33),0,F33)+IF(ISERROR(#REF!),0,#REF!)+IF(ISERROR(#REF!),0,#REF!)+IF(ISERROR(#REF!),0,#REF!)+IF(ISERROR(#REF!),0,#REF!)</f>
        <v>0</v>
      </c>
      <c r="G52" s="16"/>
      <c r="H52" s="15"/>
    </row>
    <row r="53" spans="1:8" s="22" customFormat="1" x14ac:dyDescent="0.2">
      <c r="A53" s="17"/>
      <c r="B53" s="10"/>
      <c r="C53" s="31"/>
      <c r="D53" s="27"/>
      <c r="E53" s="27"/>
      <c r="F53" s="28"/>
      <c r="G53" s="23"/>
      <c r="H53" s="15"/>
    </row>
    <row r="54" spans="1:8" s="22" customFormat="1" x14ac:dyDescent="0.2">
      <c r="A54" s="17" t="s">
        <v>88</v>
      </c>
      <c r="B54" s="10"/>
      <c r="C54" s="31"/>
      <c r="D54" s="27">
        <f>+D56-D52</f>
        <v>31.44025040010024</v>
      </c>
      <c r="E54" s="27">
        <f>D54/$D$56*100</f>
        <v>2.8192161958222726</v>
      </c>
      <c r="F54" s="28"/>
      <c r="G54" s="23"/>
      <c r="H54" s="15"/>
    </row>
    <row r="55" spans="1:8" s="22" customFormat="1" x14ac:dyDescent="0.2">
      <c r="A55" s="17"/>
      <c r="B55" s="10"/>
      <c r="C55" s="31"/>
      <c r="D55" s="30"/>
      <c r="E55" s="30"/>
      <c r="F55" s="28"/>
      <c r="G55" s="23"/>
      <c r="H55" s="15"/>
    </row>
    <row r="56" spans="1:8" s="22" customFormat="1" x14ac:dyDescent="0.2">
      <c r="A56" s="17" t="s">
        <v>89</v>
      </c>
      <c r="B56" s="10"/>
      <c r="C56" s="31"/>
      <c r="D56" s="27">
        <v>1115.2124639001001</v>
      </c>
      <c r="E56" s="27">
        <f>+E52+E54</f>
        <v>100.00000000000001</v>
      </c>
      <c r="F56" s="28"/>
      <c r="G56" s="23"/>
      <c r="H56" s="15"/>
    </row>
    <row r="57" spans="1:8" s="22" customFormat="1" x14ac:dyDescent="0.2">
      <c r="A57" s="37"/>
      <c r="B57" s="38"/>
      <c r="C57" s="39"/>
      <c r="D57" s="40"/>
      <c r="E57" s="40"/>
      <c r="F57" s="36"/>
      <c r="H57" s="1"/>
    </row>
    <row r="58" spans="1:8" s="22" customFormat="1" x14ac:dyDescent="0.2">
      <c r="A58" s="41"/>
      <c r="B58" s="38"/>
      <c r="C58" s="39"/>
      <c r="D58" s="40"/>
      <c r="E58" s="40"/>
      <c r="F58" s="42"/>
      <c r="H58" s="1"/>
    </row>
    <row r="59" spans="1:8" ht="15" x14ac:dyDescent="0.25">
      <c r="A59" s="62" t="s">
        <v>90</v>
      </c>
      <c r="B59" s="62"/>
      <c r="C59" s="62"/>
      <c r="D59" s="62"/>
      <c r="E59" s="62"/>
      <c r="F59" s="62"/>
      <c r="G59" s="43"/>
      <c r="H59" s="43"/>
    </row>
    <row r="60" spans="1:8" ht="15" x14ac:dyDescent="0.25">
      <c r="A60" s="44"/>
      <c r="B60" s="44"/>
      <c r="C60" s="44"/>
      <c r="D60" s="44"/>
      <c r="E60" s="44"/>
      <c r="F60" s="44"/>
      <c r="G60" s="43"/>
      <c r="H60" s="43"/>
    </row>
    <row r="61" spans="1:8" ht="30" customHeight="1" x14ac:dyDescent="0.2">
      <c r="A61" s="63" t="s">
        <v>91</v>
      </c>
      <c r="B61" s="63"/>
      <c r="C61" s="63"/>
      <c r="D61" s="63"/>
      <c r="E61" s="63"/>
      <c r="F61" s="63"/>
      <c r="G61" s="45"/>
      <c r="H61" s="45"/>
    </row>
    <row r="62" spans="1:8" ht="15" x14ac:dyDescent="0.2">
      <c r="A62" s="46"/>
      <c r="B62" s="46"/>
      <c r="C62" s="46"/>
      <c r="D62" s="46"/>
      <c r="E62" s="46"/>
      <c r="F62" s="46"/>
      <c r="G62" s="46"/>
      <c r="H62" s="46"/>
    </row>
    <row r="63" spans="1:8" ht="15" x14ac:dyDescent="0.2">
      <c r="A63" s="47" t="s">
        <v>92</v>
      </c>
      <c r="B63" s="47"/>
      <c r="C63" s="47"/>
      <c r="D63" s="47"/>
      <c r="E63" s="47"/>
      <c r="F63" s="47"/>
      <c r="G63" s="48"/>
      <c r="H63" s="48"/>
    </row>
    <row r="64" spans="1:8" ht="87.75" customHeight="1" x14ac:dyDescent="0.2">
      <c r="A64" s="64" t="s">
        <v>93</v>
      </c>
      <c r="B64" s="64"/>
      <c r="C64" s="64"/>
      <c r="D64" s="64"/>
      <c r="E64" s="64"/>
      <c r="F64" s="64"/>
      <c r="G64" s="48"/>
      <c r="H64" s="48"/>
    </row>
    <row r="65" spans="1:8" x14ac:dyDescent="0.2">
      <c r="A65" s="41"/>
      <c r="B65" s="49"/>
      <c r="C65" s="50"/>
      <c r="D65" s="51"/>
      <c r="E65" s="36"/>
      <c r="G65" s="48"/>
      <c r="H65" s="48"/>
    </row>
    <row r="66" spans="1:8" ht="15" x14ac:dyDescent="0.25">
      <c r="A66" s="52" t="s">
        <v>94</v>
      </c>
      <c r="B66" s="53"/>
      <c r="C66" s="53"/>
      <c r="D66" s="53"/>
    </row>
    <row r="67" spans="1:8" ht="15" x14ac:dyDescent="0.25">
      <c r="A67" s="54" t="s">
        <v>95</v>
      </c>
      <c r="B67" s="53"/>
      <c r="C67" s="53"/>
    </row>
    <row r="68" spans="1:8" ht="30" customHeight="1" x14ac:dyDescent="0.25">
      <c r="A68" s="65" t="s">
        <v>96</v>
      </c>
      <c r="B68" s="65"/>
      <c r="C68" s="65"/>
      <c r="D68" s="53"/>
      <c r="F68" s="55"/>
    </row>
    <row r="69" spans="1:8" ht="15" x14ac:dyDescent="0.25">
      <c r="A69" s="54" t="s">
        <v>97</v>
      </c>
      <c r="B69" s="53"/>
      <c r="C69" s="53"/>
      <c r="D69" s="53"/>
    </row>
    <row r="70" spans="1:8" ht="15" x14ac:dyDescent="0.25">
      <c r="A70" s="54"/>
      <c r="B70" s="53"/>
      <c r="C70" s="53"/>
    </row>
    <row r="71" spans="1:8" ht="14.25" x14ac:dyDescent="0.2">
      <c r="A71" s="56" t="s">
        <v>98</v>
      </c>
      <c r="B71" s="53"/>
      <c r="C71" s="53"/>
      <c r="D71" s="57" t="s">
        <v>99</v>
      </c>
    </row>
  </sheetData>
  <mergeCells count="5">
    <mergeCell ref="A1:H1"/>
    <mergeCell ref="A59:F59"/>
    <mergeCell ref="A61:F61"/>
    <mergeCell ref="A68:C68"/>
    <mergeCell ref="A64:F64"/>
  </mergeCells>
  <pageMargins left="0.75" right="0.25" top="1" bottom="1" header="0.5" footer="0.5"/>
  <pageSetup paperSize="9" scale="7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2023-01-05T07:04:44Z</dcterms:created>
  <dcterms:modified xsi:type="dcterms:W3CDTF">2023-01-05T10:56:04Z</dcterms:modified>
</cp:coreProperties>
</file>