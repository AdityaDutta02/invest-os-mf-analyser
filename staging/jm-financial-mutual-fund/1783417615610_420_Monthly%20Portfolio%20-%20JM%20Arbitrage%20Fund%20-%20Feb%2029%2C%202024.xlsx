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240" yWindow="60" windowWidth="19980" windowHeight="7815"/>
  </bookViews>
  <sheets>
    <sheet name="JM Arbitrage Fund" sheetId="1" r:id="rId1"/>
  </sheets>
  <definedNames>
    <definedName name="_xlnm._FilterDatabase" localSheetId="0" hidden="1">'JM Arbitrage Fund'!$A$1:$H$212</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Arbitrage Fund'!$A$1:$E$74</definedName>
  </definedNames>
  <calcPr calcId="125725"/>
</workbook>
</file>

<file path=xl/calcChain.xml><?xml version="1.0" encoding="utf-8"?>
<calcChain xmlns="http://schemas.openxmlformats.org/spreadsheetml/2006/main">
  <c r="D91" i="1"/>
  <c r="E90"/>
  <c r="E91" s="1"/>
  <c r="D88"/>
  <c r="E87"/>
  <c r="E88" s="1"/>
  <c r="D86"/>
  <c r="E85"/>
  <c r="E84"/>
  <c r="E83"/>
  <c r="E82"/>
  <c r="E81"/>
  <c r="E80"/>
  <c r="E79"/>
  <c r="E78"/>
  <c r="E77"/>
  <c r="E76"/>
  <c r="E86" s="1"/>
  <c r="D57"/>
  <c r="D61" s="1"/>
  <c r="E56"/>
  <c r="E55"/>
  <c r="E54"/>
  <c r="E53"/>
  <c r="E52"/>
  <c r="E51"/>
  <c r="E50"/>
  <c r="E49"/>
  <c r="E48"/>
  <c r="E47"/>
  <c r="E46"/>
  <c r="E45"/>
  <c r="E44"/>
  <c r="E43"/>
  <c r="E42"/>
  <c r="E41"/>
  <c r="E40"/>
  <c r="E39"/>
  <c r="E38"/>
  <c r="E37"/>
  <c r="E36"/>
  <c r="E35"/>
  <c r="E34"/>
  <c r="E33"/>
  <c r="E32"/>
  <c r="E31"/>
  <c r="E30"/>
  <c r="E29"/>
  <c r="E28"/>
  <c r="E27"/>
  <c r="E26"/>
  <c r="E25"/>
  <c r="E24"/>
  <c r="E23"/>
  <c r="E22"/>
  <c r="E21"/>
  <c r="E20"/>
  <c r="E19"/>
  <c r="E18"/>
  <c r="E17"/>
  <c r="E16"/>
  <c r="E15"/>
  <c r="E14"/>
  <c r="E13"/>
  <c r="E12"/>
  <c r="E11"/>
  <c r="E10"/>
  <c r="E9"/>
  <c r="E8"/>
  <c r="E7"/>
  <c r="E57" l="1"/>
  <c r="E61" s="1"/>
  <c r="E93"/>
  <c r="D93"/>
  <c r="D95" s="1"/>
  <c r="E95" s="1"/>
  <c r="E97" l="1"/>
</calcChain>
</file>

<file path=xl/sharedStrings.xml><?xml version="1.0" encoding="utf-8"?>
<sst xmlns="http://schemas.openxmlformats.org/spreadsheetml/2006/main" count="370" uniqueCount="262">
  <si>
    <t>JM Financial Mutual Fund</t>
  </si>
  <si>
    <t>JM Arbitrage Fund (An open ended scheme investing in arbitrage opportunities)</t>
  </si>
  <si>
    <t>Monthly Portfolio Statement for the period ended 29.02.2024</t>
  </si>
  <si>
    <t>Name of the Instruments</t>
  </si>
  <si>
    <t>Industry/Rating</t>
  </si>
  <si>
    <t>Quantity</t>
  </si>
  <si>
    <t>Market Value (Rs. In Lakhs)</t>
  </si>
  <si>
    <t>% age to NAV</t>
  </si>
  <si>
    <t>ISIN</t>
  </si>
  <si>
    <t>Yield %</t>
  </si>
  <si>
    <t>^YTC (AT1/Tier 2 bonds)</t>
  </si>
  <si>
    <t>EQUITY &amp; EQUITY RELATED</t>
  </si>
  <si>
    <t>a) Listed/Awaiting Listing On  Stock Exchange</t>
  </si>
  <si>
    <t>HDFC Bank Ltd.</t>
  </si>
  <si>
    <t>Banks</t>
  </si>
  <si>
    <t>INE040A01034</t>
  </si>
  <si>
    <t>Bajaj Finance Ltd.</t>
  </si>
  <si>
    <t>Finance</t>
  </si>
  <si>
    <t>INE296A01024</t>
  </si>
  <si>
    <t>Glenmark Pharmaceuticals Ltd.</t>
  </si>
  <si>
    <t>Pharmaceuticals &amp; Biotechnology</t>
  </si>
  <si>
    <t>INE935A01035</t>
  </si>
  <si>
    <t>Vedanta Ltd.</t>
  </si>
  <si>
    <t>Diversified Metals</t>
  </si>
  <si>
    <t>INE205A01025</t>
  </si>
  <si>
    <t>Reliance Industries Ltd.</t>
  </si>
  <si>
    <t>Petroleum Products</t>
  </si>
  <si>
    <t>INE002A01018</t>
  </si>
  <si>
    <t>Bandhan Bank Ltd.</t>
  </si>
  <si>
    <t>INE545U01014</t>
  </si>
  <si>
    <t>IndusInd Bank Ltd.</t>
  </si>
  <si>
    <t>INE095A01012</t>
  </si>
  <si>
    <t>Hindustan Petroleum Corporation Ltd.</t>
  </si>
  <si>
    <t>INE094A01015</t>
  </si>
  <si>
    <t>Bank of Baroda</t>
  </si>
  <si>
    <t>INE028A01039</t>
  </si>
  <si>
    <t>Petronet LNG Ltd.</t>
  </si>
  <si>
    <t>Gas</t>
  </si>
  <si>
    <t>INE347G01014</t>
  </si>
  <si>
    <t>Tata Consultancy Services Ltd.</t>
  </si>
  <si>
    <t>IT - Software</t>
  </si>
  <si>
    <t>INE467B01029</t>
  </si>
  <si>
    <t>Larsen &amp; Toubro Ltd.</t>
  </si>
  <si>
    <t>Construction</t>
  </si>
  <si>
    <t>INE018A01030</t>
  </si>
  <si>
    <t>Tata Communications Ltd.</t>
  </si>
  <si>
    <t>Telecom - Services</t>
  </si>
  <si>
    <t>INE151A01013</t>
  </si>
  <si>
    <t>State Bank of India</t>
  </si>
  <si>
    <t>INE062A01020</t>
  </si>
  <si>
    <t>Escorts Kubota Ltd.</t>
  </si>
  <si>
    <t>Agricultural, Commercial &amp; Construction Vehicles</t>
  </si>
  <si>
    <t>INE042A01014</t>
  </si>
  <si>
    <t>Hindustan Copper Ltd.</t>
  </si>
  <si>
    <t>Non - Ferrous Metals</t>
  </si>
  <si>
    <t>INE531E01026</t>
  </si>
  <si>
    <t>Tata Steel Ltd.</t>
  </si>
  <si>
    <t>Ferrous Metals</t>
  </si>
  <si>
    <t>INE081A01020</t>
  </si>
  <si>
    <t>Aditya Birla Fashion and Retail Ltd.</t>
  </si>
  <si>
    <t>Retailing</t>
  </si>
  <si>
    <t>INE647O01011</t>
  </si>
  <si>
    <t>Dixon Technologies (India) Ltd.</t>
  </si>
  <si>
    <t>Consumer Durables</t>
  </si>
  <si>
    <t>INE935N01020</t>
  </si>
  <si>
    <t>LIC Housing Finance Ltd.</t>
  </si>
  <si>
    <t>INE115A01026</t>
  </si>
  <si>
    <t>Divi's Laboratories Ltd.</t>
  </si>
  <si>
    <t>INE361B01024</t>
  </si>
  <si>
    <t>ITC Ltd.</t>
  </si>
  <si>
    <t>Diversified FMCG</t>
  </si>
  <si>
    <t>INE154A01025</t>
  </si>
  <si>
    <t>Vodafone Idea Ltd.</t>
  </si>
  <si>
    <t>INE669E01016</t>
  </si>
  <si>
    <t>Container Corporation of India Ltd.</t>
  </si>
  <si>
    <t>Transport Services</t>
  </si>
  <si>
    <t>INE111A01025</t>
  </si>
  <si>
    <t>Titan Company Ltd.</t>
  </si>
  <si>
    <t>INE280A01028</t>
  </si>
  <si>
    <t>United Spirits Ltd.</t>
  </si>
  <si>
    <t>Beverages</t>
  </si>
  <si>
    <t>INE854D01024</t>
  </si>
  <si>
    <t>Godrej Properties Ltd.</t>
  </si>
  <si>
    <t>Realty</t>
  </si>
  <si>
    <t>INE484J01027</t>
  </si>
  <si>
    <t>Power Grid Corporation of India Ltd.</t>
  </si>
  <si>
    <t>Power</t>
  </si>
  <si>
    <t>INE752E01010</t>
  </si>
  <si>
    <t>Multi Commodity Exchange of India Ltd.</t>
  </si>
  <si>
    <t>Capital Markets</t>
  </si>
  <si>
    <t>INE745G01035</t>
  </si>
  <si>
    <t>HDFC Life Insurance Company Ltd.</t>
  </si>
  <si>
    <t>Insurance</t>
  </si>
  <si>
    <t>INE795G01014</t>
  </si>
  <si>
    <t>Tata Motors Ltd</t>
  </si>
  <si>
    <t>Automobiles</t>
  </si>
  <si>
    <t>INE155A01022</t>
  </si>
  <si>
    <t>Granules India Ltd.</t>
  </si>
  <si>
    <t>INE101D01020</t>
  </si>
  <si>
    <t>Info Edge (India) Ltd.</t>
  </si>
  <si>
    <t>INE663F01024</t>
  </si>
  <si>
    <t>ABB India Ltd.</t>
  </si>
  <si>
    <t>Electrical Equipment</t>
  </si>
  <si>
    <t>INE117A01022</t>
  </si>
  <si>
    <t>Bosch Ltd.</t>
  </si>
  <si>
    <t>Auto Components</t>
  </si>
  <si>
    <t>INE323A01026</t>
  </si>
  <si>
    <t>Kotak Mahindra Bank Ltd.</t>
  </si>
  <si>
    <t>INE237A01028</t>
  </si>
  <si>
    <t>Hindalco Industries Ltd.</t>
  </si>
  <si>
    <t>INE038A01020</t>
  </si>
  <si>
    <t>Bharti Airtel Ltd.</t>
  </si>
  <si>
    <t>INE397D01024</t>
  </si>
  <si>
    <t>City Union Bank Ltd.</t>
  </si>
  <si>
    <t>INE491A01021</t>
  </si>
  <si>
    <t>JSW Steel Ltd.</t>
  </si>
  <si>
    <t>INE019A01038</t>
  </si>
  <si>
    <t>Bharat Heavy Electricals Ltd.</t>
  </si>
  <si>
    <t>INE257A01026</t>
  </si>
  <si>
    <t>ACC Ltd.</t>
  </si>
  <si>
    <t>Cement &amp; Cement Products</t>
  </si>
  <si>
    <t>INE012A01025</t>
  </si>
  <si>
    <t>Asian Paints Ltd.</t>
  </si>
  <si>
    <t>INE021A01026</t>
  </si>
  <si>
    <t>Indian Oil Corporation Ltd.</t>
  </si>
  <si>
    <t>INE242A01010</t>
  </si>
  <si>
    <t>Abbott India Ltd.</t>
  </si>
  <si>
    <t>INE358A01014</t>
  </si>
  <si>
    <t>Crompton Greaves Consumer Electricals Ltd.</t>
  </si>
  <si>
    <t>INE299U01018</t>
  </si>
  <si>
    <t>Hindustan Aeronautics Ltd.</t>
  </si>
  <si>
    <t>Aerospace &amp; Defense</t>
  </si>
  <si>
    <t>INE066F01020</t>
  </si>
  <si>
    <t>Indus Towers Ltd.</t>
  </si>
  <si>
    <t>INE121J01017</t>
  </si>
  <si>
    <t>Marico Ltd.</t>
  </si>
  <si>
    <t>Agricultural Food &amp; other Products</t>
  </si>
  <si>
    <t>INE196A01026</t>
  </si>
  <si>
    <t>Maruti Suzuki India Ltd.</t>
  </si>
  <si>
    <t>INE585B01010</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</si>
  <si>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</si>
  <si>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</si>
  <si>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</si>
  <si>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</si>
  <si>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</si>
  <si>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</si>
  <si>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</si>
  <si>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</si>
  <si>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</si>
  <si>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</si>
  <si>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Treasury Bills</t>
  </si>
  <si>
    <t>182 Days Treasury-Bill 23/05/2024</t>
  </si>
  <si>
    <t>Sovereign</t>
  </si>
  <si>
    <t>IN002023Y359</t>
  </si>
  <si>
    <t>182 Days Treasury-Bill 07/03/2024</t>
  </si>
  <si>
    <t>IN002023Y243</t>
  </si>
  <si>
    <t>182 Days Treasury-Bill 04/07/2024</t>
  </si>
  <si>
    <t>IN002023Y417</t>
  </si>
  <si>
    <t>364 Days Treasury-Bill 07/03/2024</t>
  </si>
  <si>
    <t>IN002022Z499</t>
  </si>
  <si>
    <t>91 Days Treasury-Bill 14/03/2024</t>
  </si>
  <si>
    <t>IN002023X385</t>
  </si>
  <si>
    <t>182 Days Treasury-Bill 21/03/2024</t>
  </si>
  <si>
    <t>IN002023Y268</t>
  </si>
  <si>
    <t>364 Days Treasury-Bill 18/04/2024</t>
  </si>
  <si>
    <t>IN002023Z042</t>
  </si>
  <si>
    <t>91 Days Treasury-Bill 25/04/2024</t>
  </si>
  <si>
    <t>IN002023X443</t>
  </si>
  <si>
    <t>182 Days Treasury-Bill 30/05/2024</t>
  </si>
  <si>
    <t>IN002023Y367</t>
  </si>
  <si>
    <t>182 Days Treasury-Bill 13/06/2024</t>
  </si>
  <si>
    <t>IN002023Y383</t>
  </si>
  <si>
    <t>TREPS-Triparty Repo</t>
  </si>
  <si>
    <t/>
  </si>
  <si>
    <t>Mutual Fund Units</t>
  </si>
  <si>
    <t>JM Liquid Fund - Direct Growth</t>
  </si>
  <si>
    <t>NA</t>
  </si>
  <si>
    <t>INF192K01CM6</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</si>
  <si>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</si>
  <si>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</si>
  <si>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</si>
  <si>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</si>
  <si>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</si>
  <si>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</si>
  <si>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</si>
  <si>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Hedging Positions through futures as on February 29, 2024:</t>
  </si>
  <si>
    <t>Underlying</t>
  </si>
  <si>
    <t>Long / Short</t>
  </si>
  <si>
    <t>Futures price when purchased (Rs.)</t>
  </si>
  <si>
    <t>Current  price of the Contract (Rs.)</t>
  </si>
  <si>
    <t>Total Margin maintained in   (Rs. In Lakhs)</t>
  </si>
  <si>
    <t>ABB India Ltd.Mar-2024</t>
  </si>
  <si>
    <t>Short</t>
  </si>
  <si>
    <t>Abbott India Ltd.Mar-2024</t>
  </si>
  <si>
    <t>Aditya Birla Fashion and Retail Ltd.Mar-2024</t>
  </si>
  <si>
    <t>ACC Ltd.Mar-2024</t>
  </si>
  <si>
    <t>Asian Paints Ltd.Mar-2024</t>
  </si>
  <si>
    <t>Bajaj Finance Ltd.Mar-2024</t>
  </si>
  <si>
    <t>Bandhan Bank Ltd.Mar-2024</t>
  </si>
  <si>
    <t>Bank of BarodaMar-2024</t>
  </si>
  <si>
    <t>Bharti Airtel Ltd.Mar-2024</t>
  </si>
  <si>
    <t>Bharat Heavy Electricals Ltd.Mar-2024</t>
  </si>
  <si>
    <t>Bosch Ltd.Mar-2024</t>
  </si>
  <si>
    <t>Container Corporation of India Ltd.Mar-2024</t>
  </si>
  <si>
    <t>Crompton Greaves Consumer Electricals Ltd.Mar-2024</t>
  </si>
  <si>
    <t>City Union Bank Ltd.Mar-2024</t>
  </si>
  <si>
    <t>Divi's Laboratories Ltd.Mar-2024</t>
  </si>
  <si>
    <t>Dixon Technologies (India) Ltd.Mar-2024</t>
  </si>
  <si>
    <t>Escorts Kubota Ltd.Mar-2024</t>
  </si>
  <si>
    <t>Glenmark Pharmaceuticals Ltd.Mar-2024</t>
  </si>
  <si>
    <t>Godrej Properties Ltd.Mar-2024</t>
  </si>
  <si>
    <t>Granules India Ltd.Mar-2024</t>
  </si>
  <si>
    <t>Hindustan Aeronautics Ltd.Mar-2024</t>
  </si>
  <si>
    <t>HDFC Bank Ltd.Mar-2024</t>
  </si>
  <si>
    <t>HDFC Life Insurance Company Ltd.Mar-2024</t>
  </si>
  <si>
    <t>Hindalco Industries Ltd.Mar-2024</t>
  </si>
  <si>
    <t>Hindustan Copper Ltd.Mar-2024</t>
  </si>
  <si>
    <t>Hindustan Petroleum Corporation Ltd.Apr-2024</t>
  </si>
  <si>
    <t>Vodafone Idea Ltd.Mar-2024</t>
  </si>
  <si>
    <t>IndusInd Bank Ltd.Apr-2024</t>
  </si>
  <si>
    <t>IndusInd Bank Ltd.Mar-2024</t>
  </si>
  <si>
    <t>Indus Towers Ltd.Mar-2024</t>
  </si>
  <si>
    <t>Indian Oil Corporation Ltd.Mar-2024</t>
  </si>
  <si>
    <t>ITC Ltd.Mar-2024</t>
  </si>
  <si>
    <t>JSW Steel Ltd.Mar-2024</t>
  </si>
  <si>
    <t>Kotak Mahindra Bank Ltd.Mar-2024</t>
  </si>
  <si>
    <t>LIC Housing Finance Ltd.Mar-2024</t>
  </si>
  <si>
    <t>Larsen &amp; Toubro Ltd.Mar-2024</t>
  </si>
  <si>
    <t>Marico Ltd.Mar-2024</t>
  </si>
  <si>
    <t>Maruti Suzuki India Ltd.Mar-2024</t>
  </si>
  <si>
    <t>United Spirits Ltd.Mar-2024</t>
  </si>
  <si>
    <t>Multi Commodity Exchange of India Ltd.Mar-2024</t>
  </si>
  <si>
    <t>Info Edge (India) Ltd.Mar-2024</t>
  </si>
  <si>
    <t>Petronet LNG Ltd.Apr-2024</t>
  </si>
  <si>
    <t>Petronet LNG Ltd.Mar-2024</t>
  </si>
  <si>
    <t>Power Grid Corporation of India Ltd.Apr-2024</t>
  </si>
  <si>
    <t>Reliance Industries Ltd.Apr-2024</t>
  </si>
  <si>
    <t>Reliance Industries Ltd.Mar-2024</t>
  </si>
  <si>
    <t>State Bank of IndiaMar-2024</t>
  </si>
  <si>
    <t>Tata Communications Ltd.Mar-2024</t>
  </si>
  <si>
    <t>Tata Motors LtdMar-2024</t>
  </si>
  <si>
    <t>Tata Steel Ltd.Mar-2024</t>
  </si>
  <si>
    <t>Tata Consultancy Services Ltd.Mar-2024</t>
  </si>
  <si>
    <t>Titan Company Ltd.Mar-2024</t>
  </si>
  <si>
    <t>Vedanta Ltd.Mar-2024</t>
  </si>
  <si>
    <t>Total outstanding exposure in derivative instruments at the end of the period - Short -(Rs in Lakhs) : (7,836.32)</t>
  </si>
  <si>
    <t>For the period ended February 29, 2024, following are the hedging transactions through futures which have been squared off / expired :</t>
  </si>
  <si>
    <t>Total number of contracts where futures were bought</t>
  </si>
  <si>
    <t>Total number of contracts where futures were sold</t>
  </si>
  <si>
    <t>Gross notional value of contracts where futures were bought (Rs. In Lakhs)</t>
  </si>
  <si>
    <t>Gross notional value of contracts where futures were sold (Rs. In Lakhs)</t>
  </si>
  <si>
    <t>Net Profit /(Loss) on all contracts combined (Rs.in Lakhs)</t>
  </si>
  <si>
    <t>Total exposure due to futures (non hedging positions) was 0% of net assets as on 29/02/2024</t>
  </si>
  <si>
    <t>For the period ended February 29, 2024, following are the non-hedging transactions through futures which have been squared off / expired :</t>
  </si>
  <si>
    <t>-</t>
  </si>
  <si>
    <t>This Product is suitable for investors who are seeking*</t>
  </si>
  <si>
    <t>• Regular Income over Medium Term</t>
  </si>
  <si>
    <t>• Income through arbitrage by investment predominantly in Equity Stocks and taking offsetting positions in Equity Futures and Options.</t>
  </si>
  <si>
    <t>*Investors should consult their financial advisers if in doubt about whether the product is suitable for them.</t>
  </si>
  <si>
    <t xml:space="preserve">         Riskometer of the scheme </t>
  </si>
  <si>
    <t>Benchmark of the scheme - Nifty 50 Arbitrage Index</t>
  </si>
  <si>
    <t>Total 71.51% of existing assets hedged through futures as on 29/02/2024</t>
  </si>
</sst>
</file>

<file path=xl/styles.xml><?xml version="1.0" encoding="utf-8"?>
<styleSheet xmlns="http://schemas.openxmlformats.org/spreadsheetml/2006/main">
  <numFmts count="4">
    <numFmt numFmtId="43" formatCode="_(* #,##0.00_);_(* \(#,##0.00\);_(* &quot;-&quot;??_);_(@_)"/>
    <numFmt numFmtId="164" formatCode="_(* #,##0_);_(* \(#,##0\);_(* &quot;-&quot;??_);_(@_)"/>
    <numFmt numFmtId="165" formatCode="0.0000"/>
    <numFmt numFmtId="166" formatCode="_([$€-2]* #,##0.00_);_([$€-2]* \(#,##0.00\);_([$€-2]* &quot;-&quot;??_)"/>
  </numFmts>
  <fonts count="12">
    <font>
      <sz val="10"/>
      <name val="Arial"/>
    </font>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5">
    <fill>
      <patternFill patternType="none"/>
    </fill>
    <fill>
      <patternFill patternType="gray125"/>
    </fill>
    <fill>
      <patternFill patternType="solid">
        <fgColor indexed="8"/>
        <bgColor indexed="64"/>
      </patternFill>
    </fill>
    <fill>
      <patternFill patternType="solid">
        <fgColor indexed="22"/>
        <bgColor indexed="64"/>
      </patternFill>
    </fill>
    <fill>
      <patternFill patternType="solid">
        <fgColor indexed="23"/>
        <bgColor indexed="64"/>
      </patternFill>
    </fill>
  </fills>
  <borders count="7">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s>
  <cellStyleXfs count="21">
    <xf numFmtId="0" fontId="0" fillId="0" borderId="0"/>
    <xf numFmtId="43" fontId="2" fillId="0" borderId="0" applyFont="0" applyFill="0" applyBorder="0" applyAlignment="0" applyProtection="0"/>
    <xf numFmtId="0" fontId="2" fillId="0" borderId="0"/>
    <xf numFmtId="0" fontId="2" fillId="0" borderId="0"/>
    <xf numFmtId="0" fontId="7" fillId="0" borderId="0"/>
    <xf numFmtId="43" fontId="7" fillId="0" borderId="0" applyFont="0" applyFill="0" applyBorder="0" applyAlignment="0" applyProtection="0"/>
    <xf numFmtId="43" fontId="2" fillId="0" borderId="0" applyFont="0" applyFill="0" applyBorder="0" applyAlignment="0" applyProtection="0"/>
    <xf numFmtId="0" fontId="7" fillId="0" borderId="0"/>
    <xf numFmtId="0" fontId="7" fillId="0" borderId="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166"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2" fillId="0" borderId="0"/>
  </cellStyleXfs>
  <cellXfs count="98">
    <xf numFmtId="0" fontId="0" fillId="0" borderId="0" xfId="0"/>
    <xf numFmtId="0" fontId="4" fillId="0" borderId="0" xfId="0" applyFont="1"/>
    <xf numFmtId="0" fontId="5" fillId="0" borderId="3" xfId="0" applyFont="1" applyFill="1" applyBorder="1" applyAlignment="1">
      <alignment horizontal="center" vertical="center" wrapText="1"/>
    </xf>
    <xf numFmtId="164" fontId="5" fillId="0" borderId="3" xfId="1" applyNumberFormat="1" applyFont="1" applyFill="1" applyBorder="1" applyAlignment="1">
      <alignment horizontal="center" vertical="center"/>
    </xf>
    <xf numFmtId="0" fontId="4" fillId="0" borderId="0" xfId="0" applyFont="1" applyAlignment="1">
      <alignment horizontal="center"/>
    </xf>
    <xf numFmtId="0" fontId="5" fillId="0" borderId="3" xfId="0" applyFont="1" applyFill="1" applyBorder="1" applyAlignment="1">
      <alignment horizontal="left" wrapText="1"/>
    </xf>
    <xf numFmtId="0" fontId="6" fillId="0" borderId="3" xfId="0" applyFont="1" applyFill="1" applyBorder="1" applyAlignment="1">
      <alignment horizontal="center" wrapText="1"/>
    </xf>
    <xf numFmtId="164" fontId="6" fillId="0" borderId="3" xfId="1" applyNumberFormat="1" applyFont="1" applyFill="1" applyBorder="1" applyAlignment="1">
      <alignment horizontal="center"/>
    </xf>
    <xf numFmtId="0" fontId="5" fillId="0" borderId="3" xfId="0" applyFont="1" applyFill="1" applyBorder="1" applyAlignment="1">
      <alignment horizontal="center" wrapText="1"/>
    </xf>
    <xf numFmtId="0" fontId="6" fillId="0" borderId="3" xfId="0" applyFont="1" applyFill="1" applyBorder="1" applyAlignment="1">
      <alignment horizontal="center"/>
    </xf>
    <xf numFmtId="0" fontId="6" fillId="0" borderId="3" xfId="0" applyFont="1" applyBorder="1"/>
    <xf numFmtId="165" fontId="6" fillId="0" borderId="3" xfId="0" applyNumberFormat="1" applyFont="1" applyFill="1" applyBorder="1"/>
    <xf numFmtId="0" fontId="5" fillId="0" borderId="3" xfId="0" applyFont="1" applyFill="1" applyBorder="1" applyAlignment="1">
      <alignment wrapText="1"/>
    </xf>
    <xf numFmtId="4" fontId="6" fillId="0" borderId="3" xfId="0" applyNumberFormat="1" applyFont="1" applyFill="1" applyBorder="1" applyAlignment="1">
      <alignment wrapText="1"/>
    </xf>
    <xf numFmtId="0" fontId="6" fillId="0" borderId="3" xfId="0" applyFont="1" applyFill="1" applyBorder="1" applyAlignment="1">
      <alignment wrapText="1"/>
    </xf>
    <xf numFmtId="164" fontId="6" fillId="0" borderId="3" xfId="1" applyNumberFormat="1" applyFont="1" applyFill="1" applyBorder="1"/>
    <xf numFmtId="43" fontId="6" fillId="0" borderId="3" xfId="1" applyFont="1" applyFill="1" applyBorder="1"/>
    <xf numFmtId="0" fontId="4" fillId="0" borderId="0" xfId="0" applyFont="1" applyFill="1"/>
    <xf numFmtId="0" fontId="6" fillId="0" borderId="3" xfId="0" applyFont="1" applyFill="1" applyBorder="1"/>
    <xf numFmtId="43" fontId="5" fillId="0" borderId="3" xfId="1" applyFont="1" applyFill="1" applyBorder="1"/>
    <xf numFmtId="164" fontId="5" fillId="0" borderId="3" xfId="1" applyNumberFormat="1" applyFont="1" applyFill="1" applyBorder="1"/>
    <xf numFmtId="43" fontId="6" fillId="0" borderId="3" xfId="1" applyFont="1" applyFill="1" applyBorder="1" applyAlignment="1">
      <alignment horizontal="center"/>
    </xf>
    <xf numFmtId="43" fontId="5" fillId="0" borderId="3" xfId="1" applyFont="1" applyFill="1" applyBorder="1" applyAlignment="1">
      <alignment horizontal="right"/>
    </xf>
    <xf numFmtId="0" fontId="6" fillId="0" borderId="3" xfId="0" applyFont="1" applyFill="1" applyBorder="1" applyAlignment="1">
      <alignment horizontal="right"/>
    </xf>
    <xf numFmtId="4" fontId="5" fillId="0" borderId="3" xfId="1" applyNumberFormat="1" applyFont="1" applyFill="1" applyBorder="1"/>
    <xf numFmtId="43" fontId="6" fillId="0" borderId="3" xfId="1" applyFont="1" applyFill="1" applyBorder="1" applyAlignment="1">
      <alignment horizontal="right"/>
    </xf>
    <xf numFmtId="164" fontId="5" fillId="0" borderId="3" xfId="1" applyNumberFormat="1" applyFont="1" applyFill="1" applyBorder="1" applyAlignment="1">
      <alignment horizontal="right"/>
    </xf>
    <xf numFmtId="43" fontId="6" fillId="0" borderId="4" xfId="1" applyFont="1" applyFill="1" applyBorder="1"/>
    <xf numFmtId="2" fontId="6" fillId="0" borderId="3" xfId="0" applyNumberFormat="1" applyFont="1" applyFill="1" applyBorder="1" applyAlignment="1">
      <alignment horizontal="right"/>
    </xf>
    <xf numFmtId="0" fontId="6" fillId="0" borderId="3" xfId="0" applyFont="1" applyFill="1" applyBorder="1" applyAlignment="1">
      <alignment horizontal="left" wrapText="1"/>
    </xf>
    <xf numFmtId="164" fontId="6" fillId="0" borderId="3" xfId="1" applyNumberFormat="1" applyFont="1" applyFill="1" applyBorder="1" applyAlignment="1">
      <alignment horizontal="right"/>
    </xf>
    <xf numFmtId="4" fontId="5" fillId="0" borderId="3" xfId="0" applyNumberFormat="1" applyFont="1" applyFill="1" applyBorder="1" applyAlignment="1">
      <alignment horizontal="right"/>
    </xf>
    <xf numFmtId="4" fontId="5" fillId="0" borderId="3" xfId="1" applyNumberFormat="1" applyFont="1" applyFill="1" applyBorder="1" applyAlignment="1">
      <alignment horizontal="right"/>
    </xf>
    <xf numFmtId="0" fontId="6" fillId="0" borderId="0" xfId="0" applyFont="1" applyFill="1" applyBorder="1" applyAlignment="1">
      <alignment horizontal="right"/>
    </xf>
    <xf numFmtId="0" fontId="6" fillId="0" borderId="0" xfId="0" applyFont="1" applyFill="1"/>
    <xf numFmtId="0" fontId="6" fillId="0" borderId="0" xfId="0" applyFont="1"/>
    <xf numFmtId="0" fontId="5" fillId="0" borderId="0" xfId="0" applyFont="1" applyFill="1" applyBorder="1" applyAlignment="1">
      <alignment wrapText="1"/>
    </xf>
    <xf numFmtId="0" fontId="5" fillId="0" borderId="0" xfId="0" applyFont="1" applyFill="1" applyBorder="1" applyAlignment="1">
      <alignment horizontal="left" wrapText="1"/>
    </xf>
    <xf numFmtId="164" fontId="5" fillId="0" borderId="0" xfId="1" applyNumberFormat="1" applyFont="1" applyFill="1" applyBorder="1" applyAlignment="1">
      <alignment horizontal="right"/>
    </xf>
    <xf numFmtId="43" fontId="5" fillId="0" borderId="0" xfId="1" applyFont="1" applyFill="1" applyBorder="1" applyAlignment="1">
      <alignment horizontal="right"/>
    </xf>
    <xf numFmtId="0" fontId="5" fillId="0" borderId="0" xfId="3" applyFont="1" applyFill="1" applyAlignment="1"/>
    <xf numFmtId="0" fontId="6" fillId="0" borderId="0" xfId="2" applyFont="1" applyFill="1" applyAlignment="1">
      <alignment horizontal="left" wrapText="1"/>
    </xf>
    <xf numFmtId="164" fontId="6" fillId="0" borderId="0" xfId="1" applyNumberFormat="1" applyFont="1" applyFill="1"/>
    <xf numFmtId="43" fontId="6" fillId="0" borderId="0" xfId="1" applyFont="1" applyFill="1" applyAlignment="1">
      <alignment horizontal="right"/>
    </xf>
    <xf numFmtId="0" fontId="6" fillId="0" borderId="0" xfId="2" applyFont="1" applyFill="1" applyAlignment="1">
      <alignment horizontal="right"/>
    </xf>
    <xf numFmtId="0" fontId="5" fillId="3" borderId="3" xfId="3" applyFont="1" applyFill="1" applyBorder="1" applyAlignment="1">
      <alignment horizontal="left" vertical="top" wrapText="1"/>
    </xf>
    <xf numFmtId="0" fontId="5" fillId="3" borderId="3" xfId="2" applyFont="1" applyFill="1" applyBorder="1" applyAlignment="1">
      <alignment horizontal="left" vertical="top" wrapText="1"/>
    </xf>
    <xf numFmtId="164" fontId="5" fillId="3" borderId="3" xfId="5" applyNumberFormat="1" applyFont="1" applyFill="1" applyBorder="1" applyAlignment="1">
      <alignment horizontal="left" vertical="top"/>
    </xf>
    <xf numFmtId="43" fontId="4" fillId="0" borderId="3" xfId="1" applyFont="1" applyFill="1" applyBorder="1" applyAlignment="1">
      <alignment wrapText="1"/>
    </xf>
    <xf numFmtId="43" fontId="6" fillId="0" borderId="3" xfId="1" applyFont="1" applyFill="1" applyBorder="1" applyAlignment="1">
      <alignment wrapText="1"/>
    </xf>
    <xf numFmtId="4" fontId="6" fillId="0" borderId="0" xfId="0" applyNumberFormat="1" applyFont="1" applyFill="1"/>
    <xf numFmtId="4" fontId="6" fillId="0" borderId="0" xfId="0" applyNumberFormat="1" applyFont="1"/>
    <xf numFmtId="0" fontId="6" fillId="0" borderId="0" xfId="0" applyFont="1" applyAlignment="1">
      <alignment wrapText="1"/>
    </xf>
    <xf numFmtId="0" fontId="6" fillId="0" borderId="0" xfId="0" applyFont="1" applyAlignment="1">
      <alignment horizontal="left" wrapText="1"/>
    </xf>
    <xf numFmtId="164" fontId="6" fillId="0" borderId="0" xfId="1" applyNumberFormat="1" applyFont="1"/>
    <xf numFmtId="43" fontId="6" fillId="0" borderId="0" xfId="1" applyFont="1" applyFill="1" applyBorder="1"/>
    <xf numFmtId="0" fontId="6" fillId="0" borderId="0" xfId="3" applyFont="1" applyFill="1" applyBorder="1" applyAlignment="1"/>
    <xf numFmtId="0" fontId="6" fillId="0" borderId="0" xfId="2" applyFont="1" applyAlignment="1">
      <alignment horizontal="left" wrapText="1"/>
    </xf>
    <xf numFmtId="164" fontId="6" fillId="0" borderId="0" xfId="6" applyNumberFormat="1" applyFont="1"/>
    <xf numFmtId="0" fontId="6" fillId="0" borderId="0" xfId="2" applyFont="1"/>
    <xf numFmtId="0" fontId="4" fillId="0" borderId="0" xfId="2" applyFont="1"/>
    <xf numFmtId="0" fontId="6" fillId="0" borderId="0" xfId="2" applyFont="1" applyFill="1" applyAlignment="1">
      <alignment wrapText="1"/>
    </xf>
    <xf numFmtId="164" fontId="6" fillId="0" borderId="0" xfId="6" applyNumberFormat="1" applyFont="1" applyFill="1"/>
    <xf numFmtId="43" fontId="6" fillId="0" borderId="0" xfId="2" applyNumberFormat="1" applyFont="1"/>
    <xf numFmtId="164" fontId="6" fillId="0" borderId="3" xfId="1" applyNumberFormat="1" applyFont="1" applyBorder="1"/>
    <xf numFmtId="43" fontId="6" fillId="0" borderId="3" xfId="1" applyNumberFormat="1" applyFont="1" applyBorder="1"/>
    <xf numFmtId="0" fontId="5" fillId="0" borderId="0" xfId="2" applyFont="1"/>
    <xf numFmtId="0" fontId="6" fillId="0" borderId="3" xfId="2" applyFont="1" applyBorder="1" applyAlignment="1">
      <alignment horizontal="center" vertical="top"/>
    </xf>
    <xf numFmtId="4" fontId="6" fillId="0" borderId="3" xfId="2" applyNumberFormat="1" applyFont="1" applyBorder="1" applyAlignment="1">
      <alignment horizontal="center" vertical="top"/>
    </xf>
    <xf numFmtId="0" fontId="6" fillId="0" borderId="0" xfId="2" applyFont="1" applyAlignment="1">
      <alignment wrapText="1"/>
    </xf>
    <xf numFmtId="0" fontId="10" fillId="0" borderId="0" xfId="7" applyFont="1"/>
    <xf numFmtId="0" fontId="11" fillId="0" borderId="0" xfId="2" applyFont="1" applyFill="1" applyBorder="1" applyAlignment="1">
      <alignment horizontal="left" wrapText="1"/>
    </xf>
    <xf numFmtId="0" fontId="8" fillId="0" borderId="0" xfId="7" applyFont="1" applyBorder="1"/>
    <xf numFmtId="0" fontId="10" fillId="0" borderId="0" xfId="8" applyFont="1" applyAlignment="1">
      <alignment horizontal="center"/>
    </xf>
    <xf numFmtId="0" fontId="5" fillId="0" borderId="0" xfId="2" applyFont="1" applyFill="1" applyBorder="1" applyAlignment="1">
      <alignment horizontal="left"/>
    </xf>
    <xf numFmtId="0" fontId="4" fillId="0" borderId="0" xfId="0" applyFont="1" applyAlignment="1">
      <alignment wrapText="1"/>
    </xf>
    <xf numFmtId="0" fontId="4" fillId="0" borderId="0" xfId="0" applyFont="1" applyAlignment="1">
      <alignment horizontal="left" wrapText="1"/>
    </xf>
    <xf numFmtId="164" fontId="4" fillId="0" borderId="0" xfId="1" applyNumberFormat="1" applyFont="1"/>
    <xf numFmtId="43" fontId="6" fillId="0" borderId="4" xfId="1" applyFont="1" applyBorder="1"/>
    <xf numFmtId="4" fontId="4" fillId="0" borderId="6" xfId="2" applyNumberFormat="1" applyFont="1" applyBorder="1"/>
    <xf numFmtId="0" fontId="4" fillId="0" borderId="6" xfId="2" applyFont="1" applyBorder="1"/>
    <xf numFmtId="4" fontId="4" fillId="0" borderId="0" xfId="0" applyNumberFormat="1" applyFont="1" applyFill="1"/>
    <xf numFmtId="0" fontId="6" fillId="0" borderId="3" xfId="2" applyFont="1" applyFill="1" applyBorder="1" applyAlignment="1">
      <alignment horizontal="left"/>
    </xf>
    <xf numFmtId="0" fontId="6" fillId="0" borderId="4" xfId="2" applyFont="1" applyFill="1" applyBorder="1" applyAlignment="1">
      <alignment horizontal="left"/>
    </xf>
    <xf numFmtId="0" fontId="5" fillId="4" borderId="4" xfId="2" applyFont="1" applyFill="1" applyBorder="1" applyAlignment="1">
      <alignment horizontal="left" vertical="top" wrapText="1"/>
    </xf>
    <xf numFmtId="0" fontId="2" fillId="0" borderId="2" xfId="2" applyBorder="1" applyAlignment="1">
      <alignment horizontal="left" vertical="top" wrapText="1"/>
    </xf>
    <xf numFmtId="0" fontId="2" fillId="0" borderId="5" xfId="2" applyBorder="1" applyAlignment="1">
      <alignment horizontal="left" vertical="top" wrapText="1"/>
    </xf>
    <xf numFmtId="0" fontId="6" fillId="0" borderId="2" xfId="2" applyFont="1" applyFill="1" applyBorder="1" applyAlignment="1">
      <alignment horizontal="left"/>
    </xf>
    <xf numFmtId="0" fontId="6" fillId="0" borderId="5" xfId="2" applyFont="1" applyFill="1" applyBorder="1" applyAlignment="1">
      <alignment horizontal="left"/>
    </xf>
    <xf numFmtId="0" fontId="3" fillId="2" borderId="1" xfId="2" applyFont="1" applyFill="1" applyBorder="1" applyAlignment="1">
      <alignment horizontal="center" vertical="center"/>
    </xf>
    <xf numFmtId="0" fontId="3" fillId="2" borderId="2" xfId="2" applyFont="1" applyFill="1" applyBorder="1" applyAlignment="1">
      <alignment horizontal="center" vertical="center" wrapText="1"/>
    </xf>
    <xf numFmtId="0" fontId="6" fillId="0" borderId="0" xfId="3" applyFont="1" applyAlignment="1">
      <alignment horizontal="left" vertical="top" wrapText="1"/>
    </xf>
    <xf numFmtId="0" fontId="6" fillId="0" borderId="0" xfId="2" applyFont="1" applyAlignment="1">
      <alignment horizontal="left" vertical="top" wrapText="1"/>
    </xf>
    <xf numFmtId="0" fontId="8" fillId="0" borderId="0" xfId="4" applyFont="1" applyBorder="1" applyAlignment="1">
      <alignment horizontal="left" vertical="top" wrapText="1"/>
    </xf>
    <xf numFmtId="0" fontId="9" fillId="0" borderId="0" xfId="4" applyFont="1" applyBorder="1" applyAlignment="1">
      <alignment horizontal="left" vertical="top" wrapText="1"/>
    </xf>
    <xf numFmtId="0" fontId="5" fillId="0" borderId="1" xfId="2" applyFont="1" applyFill="1" applyBorder="1" applyAlignment="1">
      <alignment horizontal="left"/>
    </xf>
    <xf numFmtId="0" fontId="5" fillId="4" borderId="2" xfId="2" applyFont="1" applyFill="1" applyBorder="1" applyAlignment="1">
      <alignment horizontal="left" vertical="top" wrapText="1"/>
    </xf>
    <xf numFmtId="0" fontId="5" fillId="4" borderId="5" xfId="2" applyFont="1" applyFill="1" applyBorder="1" applyAlignment="1">
      <alignment horizontal="left" vertical="top" wrapText="1"/>
    </xf>
  </cellXfs>
  <cellStyles count="21">
    <cellStyle name="Comma" xfId="1" builtinId="3"/>
    <cellStyle name="Comma 2" xfId="5"/>
    <cellStyle name="Comma 3" xfId="9"/>
    <cellStyle name="Comma 4" xfId="6"/>
    <cellStyle name="Comma 4 2" xfId="10"/>
    <cellStyle name="Comma 5" xfId="11"/>
    <cellStyle name="Euro" xfId="12"/>
    <cellStyle name="Normal" xfId="0" builtinId="0"/>
    <cellStyle name="Normal 2" xfId="13"/>
    <cellStyle name="Normal 2 2" xfId="14"/>
    <cellStyle name="Normal 2 2 2" xfId="2"/>
    <cellStyle name="Normal 2 2_Scheme Names" xfId="15"/>
    <cellStyle name="Normal 2 3" xfId="16"/>
    <cellStyle name="Normal 2 3 2" xfId="3"/>
    <cellStyle name="Normal 2 3_ON" xfId="17"/>
    <cellStyle name="Normal 3" xfId="18"/>
    <cellStyle name="Normal 4" xfId="19"/>
    <cellStyle name="Normal 4_AA" xfId="7"/>
    <cellStyle name="Normal 4_IF" xfId="8"/>
    <cellStyle name="Normal 4_LD" xfId="4"/>
    <cellStyle name="Normal 5" xfId="2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504825</xdr:colOff>
      <xdr:row>182</xdr:row>
      <xdr:rowOff>161925</xdr:rowOff>
    </xdr:from>
    <xdr:to>
      <xdr:col>0</xdr:col>
      <xdr:colOff>2695575</xdr:colOff>
      <xdr:row>189</xdr:row>
      <xdr:rowOff>104775</xdr:rowOff>
    </xdr:to>
    <xdr:pic>
      <xdr:nvPicPr>
        <xdr:cNvPr id="2" name="Picture 13"/>
        <xdr:cNvPicPr>
          <a:picLocks noChangeAspect="1" noChangeArrowheads="1"/>
        </xdr:cNvPicPr>
      </xdr:nvPicPr>
      <xdr:blipFill>
        <a:blip xmlns:r="http://schemas.openxmlformats.org/officeDocument/2006/relationships" r:embed="rId1" cstate="print"/>
        <a:srcRect/>
        <a:stretch>
          <a:fillRect/>
        </a:stretch>
      </xdr:blipFill>
      <xdr:spPr bwMode="auto">
        <a:xfrm>
          <a:off x="504825" y="34375725"/>
          <a:ext cx="2190750" cy="1209675"/>
        </a:xfrm>
        <a:prstGeom prst="rect">
          <a:avLst/>
        </a:prstGeom>
        <a:noFill/>
        <a:ln w="9525">
          <a:noFill/>
          <a:miter lim="800000"/>
          <a:headEnd/>
          <a:tailEnd/>
        </a:ln>
      </xdr:spPr>
    </xdr:pic>
    <xdr:clientData/>
  </xdr:twoCellAnchor>
  <xdr:twoCellAnchor editAs="oneCell">
    <xdr:from>
      <xdr:col>1</xdr:col>
      <xdr:colOff>552450</xdr:colOff>
      <xdr:row>182</xdr:row>
      <xdr:rowOff>123825</xdr:rowOff>
    </xdr:from>
    <xdr:to>
      <xdr:col>2</xdr:col>
      <xdr:colOff>95250</xdr:colOff>
      <xdr:row>189</xdr:row>
      <xdr:rowOff>47625</xdr:rowOff>
    </xdr:to>
    <xdr:pic>
      <xdr:nvPicPr>
        <xdr:cNvPr id="3" name="Picture 14"/>
        <xdr:cNvPicPr>
          <a:picLocks noChangeAspect="1" noChangeArrowheads="1"/>
        </xdr:cNvPicPr>
      </xdr:nvPicPr>
      <xdr:blipFill>
        <a:blip xmlns:r="http://schemas.openxmlformats.org/officeDocument/2006/relationships" r:embed="rId2" cstate="print"/>
        <a:srcRect/>
        <a:stretch>
          <a:fillRect/>
        </a:stretch>
      </xdr:blipFill>
      <xdr:spPr bwMode="auto">
        <a:xfrm>
          <a:off x="3543300" y="34337625"/>
          <a:ext cx="2143125" cy="119062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tabColor indexed="11"/>
    <pageSetUpPr fitToPage="1"/>
  </sheetPr>
  <dimension ref="A1:J212"/>
  <sheetViews>
    <sheetView tabSelected="1" topLeftCell="A45" zoomScaleNormal="85" workbookViewId="0">
      <selection activeCell="D61" sqref="D61"/>
    </sheetView>
  </sheetViews>
  <sheetFormatPr defaultRowHeight="12.75"/>
  <cols>
    <col min="1" max="1" width="44.85546875" style="75" customWidth="1"/>
    <col min="2" max="2" width="39" style="76" customWidth="1"/>
    <col min="3" max="3" width="13.42578125" style="77" customWidth="1"/>
    <col min="4" max="4" width="13" style="1" customWidth="1"/>
    <col min="5" max="5" width="10.5703125" style="1" customWidth="1"/>
    <col min="6" max="6" width="14" style="1" customWidth="1"/>
    <col min="7" max="7" width="11.7109375" style="1" bestFit="1" customWidth="1"/>
    <col min="8" max="8" width="12.28515625" style="1" customWidth="1"/>
    <col min="9" max="9" width="9.140625" style="1"/>
    <col min="10" max="10" width="13.140625" style="1" bestFit="1" customWidth="1"/>
    <col min="11" max="16384" width="9.140625" style="1"/>
  </cols>
  <sheetData>
    <row r="1" spans="1:8">
      <c r="A1" s="89" t="s">
        <v>0</v>
      </c>
      <c r="B1" s="89"/>
      <c r="C1" s="89"/>
      <c r="D1" s="89"/>
      <c r="E1" s="89"/>
      <c r="F1" s="89"/>
      <c r="G1" s="89"/>
      <c r="H1" s="89"/>
    </row>
    <row r="2" spans="1:8">
      <c r="A2" s="89" t="s">
        <v>1</v>
      </c>
      <c r="B2" s="89"/>
      <c r="C2" s="89"/>
      <c r="D2" s="89"/>
      <c r="E2" s="89"/>
      <c r="F2" s="89"/>
      <c r="G2" s="89"/>
      <c r="H2" s="89"/>
    </row>
    <row r="3" spans="1:8">
      <c r="A3" s="90" t="s">
        <v>2</v>
      </c>
      <c r="B3" s="90"/>
      <c r="C3" s="90"/>
      <c r="D3" s="90"/>
      <c r="E3" s="90"/>
      <c r="F3" s="90"/>
      <c r="G3" s="90"/>
      <c r="H3" s="90"/>
    </row>
    <row r="4" spans="1:8" s="4" customFormat="1" ht="25.5">
      <c r="A4" s="2" t="s">
        <v>3</v>
      </c>
      <c r="B4" s="2" t="s">
        <v>4</v>
      </c>
      <c r="C4" s="3" t="s">
        <v>5</v>
      </c>
      <c r="D4" s="2" t="s">
        <v>6</v>
      </c>
      <c r="E4" s="2" t="s">
        <v>7</v>
      </c>
      <c r="F4" s="2" t="s">
        <v>8</v>
      </c>
      <c r="G4" s="2" t="s">
        <v>9</v>
      </c>
      <c r="H4" s="2" t="s">
        <v>10</v>
      </c>
    </row>
    <row r="5" spans="1:8" ht="14.25">
      <c r="A5" s="5" t="s">
        <v>11</v>
      </c>
      <c r="B5" s="6"/>
      <c r="C5" s="7"/>
      <c r="D5" s="8"/>
      <c r="E5" s="8"/>
      <c r="F5" s="9"/>
      <c r="G5" s="10"/>
      <c r="H5" s="11"/>
    </row>
    <row r="6" spans="1:8" ht="14.25">
      <c r="A6" s="12" t="s">
        <v>12</v>
      </c>
      <c r="B6" s="6"/>
      <c r="C6" s="7"/>
      <c r="D6" s="8"/>
      <c r="E6" s="8"/>
      <c r="F6" s="9"/>
      <c r="G6" s="10"/>
      <c r="H6" s="11"/>
    </row>
    <row r="7" spans="1:8" s="17" customFormat="1" ht="14.25">
      <c r="A7" s="13" t="s">
        <v>13</v>
      </c>
      <c r="B7" s="14" t="s">
        <v>14</v>
      </c>
      <c r="C7" s="15">
        <v>54450</v>
      </c>
      <c r="D7" s="16">
        <v>764.15129999999999</v>
      </c>
      <c r="E7" s="16">
        <f t="shared" ref="E7:E56" si="0">(+D7/$D$97*100)</f>
        <v>6.973568474150464</v>
      </c>
      <c r="F7" s="16" t="s">
        <v>15</v>
      </c>
      <c r="G7" s="11"/>
      <c r="H7" s="11"/>
    </row>
    <row r="8" spans="1:8" s="17" customFormat="1" ht="14.25">
      <c r="A8" s="13" t="s">
        <v>16</v>
      </c>
      <c r="B8" s="14" t="s">
        <v>17</v>
      </c>
      <c r="C8" s="15">
        <v>7750</v>
      </c>
      <c r="D8" s="16">
        <v>503.38962500000002</v>
      </c>
      <c r="E8" s="16">
        <f t="shared" si="0"/>
        <v>4.59388346144857</v>
      </c>
      <c r="F8" s="16" t="s">
        <v>18</v>
      </c>
      <c r="G8" s="11"/>
      <c r="H8" s="11"/>
    </row>
    <row r="9" spans="1:8" s="17" customFormat="1" ht="14.25">
      <c r="A9" s="13" t="s">
        <v>19</v>
      </c>
      <c r="B9" s="14" t="s">
        <v>20</v>
      </c>
      <c r="C9" s="15">
        <v>53650</v>
      </c>
      <c r="D9" s="16">
        <v>496.31614999999999</v>
      </c>
      <c r="E9" s="16">
        <f t="shared" si="0"/>
        <v>4.5293316347845423</v>
      </c>
      <c r="F9" s="16" t="s">
        <v>21</v>
      </c>
      <c r="G9" s="11"/>
      <c r="H9" s="11"/>
    </row>
    <row r="10" spans="1:8" s="17" customFormat="1" ht="14.25">
      <c r="A10" s="13" t="s">
        <v>22</v>
      </c>
      <c r="B10" s="14" t="s">
        <v>23</v>
      </c>
      <c r="C10" s="15">
        <v>158700</v>
      </c>
      <c r="D10" s="16">
        <v>425.39535000000001</v>
      </c>
      <c r="E10" s="16">
        <f t="shared" si="0"/>
        <v>3.8821154944187133</v>
      </c>
      <c r="F10" s="16" t="s">
        <v>24</v>
      </c>
      <c r="G10" s="11"/>
      <c r="H10" s="10"/>
    </row>
    <row r="11" spans="1:8" s="17" customFormat="1" ht="14.25">
      <c r="A11" s="13" t="s">
        <v>25</v>
      </c>
      <c r="B11" s="14" t="s">
        <v>26</v>
      </c>
      <c r="C11" s="15">
        <v>14000</v>
      </c>
      <c r="D11" s="16">
        <v>409.024</v>
      </c>
      <c r="E11" s="16">
        <f t="shared" si="0"/>
        <v>3.732712188765392</v>
      </c>
      <c r="F11" s="16" t="s">
        <v>27</v>
      </c>
      <c r="G11" s="11"/>
      <c r="H11" s="10"/>
    </row>
    <row r="12" spans="1:8" s="17" customFormat="1" ht="14.25">
      <c r="A12" s="13" t="s">
        <v>28</v>
      </c>
      <c r="B12" s="14" t="s">
        <v>14</v>
      </c>
      <c r="C12" s="15">
        <v>170000</v>
      </c>
      <c r="D12" s="16">
        <v>332.52</v>
      </c>
      <c r="E12" s="16">
        <f t="shared" si="0"/>
        <v>3.034544322602752</v>
      </c>
      <c r="F12" s="16" t="s">
        <v>29</v>
      </c>
      <c r="G12" s="11"/>
      <c r="H12" s="11"/>
    </row>
    <row r="13" spans="1:8" s="17" customFormat="1" ht="14.25">
      <c r="A13" s="13" t="s">
        <v>30</v>
      </c>
      <c r="B13" s="14" t="s">
        <v>14</v>
      </c>
      <c r="C13" s="15">
        <v>21500</v>
      </c>
      <c r="D13" s="16">
        <v>317.1035</v>
      </c>
      <c r="E13" s="16">
        <f t="shared" si="0"/>
        <v>2.8938548827212252</v>
      </c>
      <c r="F13" s="16" t="s">
        <v>31</v>
      </c>
      <c r="G13" s="11"/>
      <c r="H13" s="11"/>
    </row>
    <row r="14" spans="1:8" s="17" customFormat="1" ht="14.25">
      <c r="A14" s="13" t="s">
        <v>32</v>
      </c>
      <c r="B14" s="14" t="s">
        <v>26</v>
      </c>
      <c r="C14" s="15">
        <v>59400</v>
      </c>
      <c r="D14" s="16">
        <v>302.58359999999999</v>
      </c>
      <c r="E14" s="16">
        <f t="shared" si="0"/>
        <v>2.761347724926928</v>
      </c>
      <c r="F14" s="16" t="s">
        <v>33</v>
      </c>
      <c r="G14" s="11"/>
      <c r="H14" s="11"/>
    </row>
    <row r="15" spans="1:8" s="17" customFormat="1" ht="14.25">
      <c r="A15" s="13" t="s">
        <v>34</v>
      </c>
      <c r="B15" s="14" t="s">
        <v>14</v>
      </c>
      <c r="C15" s="15">
        <v>93600</v>
      </c>
      <c r="D15" s="16">
        <v>248.46119999999999</v>
      </c>
      <c r="E15" s="16">
        <f t="shared" si="0"/>
        <v>2.2674321058795468</v>
      </c>
      <c r="F15" s="16" t="s">
        <v>35</v>
      </c>
      <c r="G15" s="11"/>
      <c r="H15" s="11"/>
    </row>
    <row r="16" spans="1:8" s="17" customFormat="1" ht="14.25">
      <c r="A16" s="13" t="s">
        <v>36</v>
      </c>
      <c r="B16" s="14" t="s">
        <v>37</v>
      </c>
      <c r="C16" s="15">
        <v>87000</v>
      </c>
      <c r="D16" s="16">
        <v>237.9015</v>
      </c>
      <c r="E16" s="16">
        <f t="shared" si="0"/>
        <v>2.1710653379155498</v>
      </c>
      <c r="F16" s="16" t="s">
        <v>38</v>
      </c>
      <c r="G16" s="11"/>
      <c r="H16" s="10"/>
    </row>
    <row r="17" spans="1:8" s="17" customFormat="1" ht="14.25">
      <c r="A17" s="13" t="s">
        <v>39</v>
      </c>
      <c r="B17" s="14" t="s">
        <v>40</v>
      </c>
      <c r="C17" s="15">
        <v>5775</v>
      </c>
      <c r="D17" s="16">
        <v>236.49202500000001</v>
      </c>
      <c r="E17" s="16">
        <f t="shared" si="0"/>
        <v>2.1582026097816018</v>
      </c>
      <c r="F17" s="16" t="s">
        <v>41</v>
      </c>
      <c r="G17" s="11"/>
      <c r="H17" s="10"/>
    </row>
    <row r="18" spans="1:8" s="17" customFormat="1" ht="14.25">
      <c r="A18" s="13" t="s">
        <v>42</v>
      </c>
      <c r="B18" s="14" t="s">
        <v>43</v>
      </c>
      <c r="C18" s="15">
        <v>6000</v>
      </c>
      <c r="D18" s="16">
        <v>208.65299999999999</v>
      </c>
      <c r="E18" s="16">
        <f t="shared" si="0"/>
        <v>1.904146446962685</v>
      </c>
      <c r="F18" s="16" t="s">
        <v>44</v>
      </c>
      <c r="G18" s="11"/>
      <c r="H18" s="18"/>
    </row>
    <row r="19" spans="1:8" s="17" customFormat="1" ht="14.25">
      <c r="A19" s="13" t="s">
        <v>45</v>
      </c>
      <c r="B19" s="14" t="s">
        <v>46</v>
      </c>
      <c r="C19" s="15">
        <v>10000</v>
      </c>
      <c r="D19" s="16">
        <v>192.32</v>
      </c>
      <c r="E19" s="16">
        <f t="shared" si="0"/>
        <v>1.7550931195806605</v>
      </c>
      <c r="F19" s="16" t="s">
        <v>47</v>
      </c>
      <c r="G19" s="11"/>
      <c r="H19" s="10"/>
    </row>
    <row r="20" spans="1:8" s="17" customFormat="1" ht="14.25">
      <c r="A20" s="13" t="s">
        <v>48</v>
      </c>
      <c r="B20" s="14" t="s">
        <v>14</v>
      </c>
      <c r="C20" s="15">
        <v>25500</v>
      </c>
      <c r="D20" s="16">
        <v>190.7655</v>
      </c>
      <c r="E20" s="16">
        <f t="shared" si="0"/>
        <v>1.740906907775398</v>
      </c>
      <c r="F20" s="16" t="s">
        <v>49</v>
      </c>
      <c r="G20" s="11"/>
      <c r="H20" s="10"/>
    </row>
    <row r="21" spans="1:8" s="17" customFormat="1" ht="14.25">
      <c r="A21" s="13" t="s">
        <v>50</v>
      </c>
      <c r="B21" s="14" t="s">
        <v>51</v>
      </c>
      <c r="C21" s="15">
        <v>6600</v>
      </c>
      <c r="D21" s="16">
        <v>188.5257</v>
      </c>
      <c r="E21" s="16">
        <f t="shared" si="0"/>
        <v>1.7204667165876029</v>
      </c>
      <c r="F21" s="16" t="s">
        <v>52</v>
      </c>
      <c r="G21" s="11"/>
      <c r="H21" s="11"/>
    </row>
    <row r="22" spans="1:8" s="17" customFormat="1" ht="14.25">
      <c r="A22" s="13" t="s">
        <v>53</v>
      </c>
      <c r="B22" s="14" t="s">
        <v>54</v>
      </c>
      <c r="C22" s="15">
        <v>68900</v>
      </c>
      <c r="D22" s="16">
        <v>185.8922</v>
      </c>
      <c r="E22" s="16">
        <f t="shared" si="0"/>
        <v>1.6964336585051587</v>
      </c>
      <c r="F22" s="16" t="s">
        <v>55</v>
      </c>
      <c r="G22" s="11"/>
      <c r="H22" s="11"/>
    </row>
    <row r="23" spans="1:8" s="17" customFormat="1" ht="14.25">
      <c r="A23" s="13" t="s">
        <v>56</v>
      </c>
      <c r="B23" s="14" t="s">
        <v>57</v>
      </c>
      <c r="C23" s="15">
        <v>126500</v>
      </c>
      <c r="D23" s="16">
        <v>178.17525000000001</v>
      </c>
      <c r="E23" s="16">
        <f t="shared" si="0"/>
        <v>1.6260095432329666</v>
      </c>
      <c r="F23" s="16" t="s">
        <v>58</v>
      </c>
      <c r="G23" s="11"/>
      <c r="H23" s="10"/>
    </row>
    <row r="24" spans="1:8" s="17" customFormat="1" ht="14.25">
      <c r="A24" s="13" t="s">
        <v>59</v>
      </c>
      <c r="B24" s="14" t="s">
        <v>60</v>
      </c>
      <c r="C24" s="15">
        <v>72800</v>
      </c>
      <c r="D24" s="16">
        <v>163.94560000000001</v>
      </c>
      <c r="E24" s="16">
        <f t="shared" si="0"/>
        <v>1.4961511779613312</v>
      </c>
      <c r="F24" s="16" t="s">
        <v>61</v>
      </c>
      <c r="G24" s="11"/>
      <c r="H24" s="11"/>
    </row>
    <row r="25" spans="1:8" s="17" customFormat="1" ht="14.25">
      <c r="A25" s="13" t="s">
        <v>62</v>
      </c>
      <c r="B25" s="14" t="s">
        <v>63</v>
      </c>
      <c r="C25" s="15">
        <v>2400</v>
      </c>
      <c r="D25" s="16">
        <v>160.41239999999999</v>
      </c>
      <c r="E25" s="16">
        <f t="shared" si="0"/>
        <v>1.463907547501148</v>
      </c>
      <c r="F25" s="16" t="s">
        <v>64</v>
      </c>
      <c r="G25" s="11"/>
      <c r="H25" s="11"/>
    </row>
    <row r="26" spans="1:8" s="17" customFormat="1" ht="14.25">
      <c r="A26" s="13" t="s">
        <v>65</v>
      </c>
      <c r="B26" s="14" t="s">
        <v>17</v>
      </c>
      <c r="C26" s="15">
        <v>22000</v>
      </c>
      <c r="D26" s="16">
        <v>142.54900000000001</v>
      </c>
      <c r="E26" s="16">
        <f t="shared" si="0"/>
        <v>1.3008879425078184</v>
      </c>
      <c r="F26" s="16" t="s">
        <v>66</v>
      </c>
      <c r="G26" s="11"/>
      <c r="H26" s="18"/>
    </row>
    <row r="27" spans="1:8" s="17" customFormat="1" ht="14.25">
      <c r="A27" s="13" t="s">
        <v>67</v>
      </c>
      <c r="B27" s="14" t="s">
        <v>20</v>
      </c>
      <c r="C27" s="15">
        <v>4000</v>
      </c>
      <c r="D27" s="16">
        <v>139.55199999999999</v>
      </c>
      <c r="E27" s="16">
        <f t="shared" si="0"/>
        <v>1.273537619715684</v>
      </c>
      <c r="F27" s="16" t="s">
        <v>68</v>
      </c>
      <c r="G27" s="11"/>
      <c r="H27" s="11"/>
    </row>
    <row r="28" spans="1:8" s="17" customFormat="1" ht="14.25">
      <c r="A28" s="13" t="s">
        <v>69</v>
      </c>
      <c r="B28" s="14" t="s">
        <v>70</v>
      </c>
      <c r="C28" s="15">
        <v>33600</v>
      </c>
      <c r="D28" s="16">
        <v>136.51679999999999</v>
      </c>
      <c r="E28" s="16">
        <f t="shared" si="0"/>
        <v>1.2458386875372771</v>
      </c>
      <c r="F28" s="16" t="s">
        <v>71</v>
      </c>
      <c r="G28" s="11"/>
      <c r="H28" s="11"/>
    </row>
    <row r="29" spans="1:8" s="17" customFormat="1" ht="14.25">
      <c r="A29" s="13" t="s">
        <v>72</v>
      </c>
      <c r="B29" s="14" t="s">
        <v>46</v>
      </c>
      <c r="C29" s="15">
        <v>960000</v>
      </c>
      <c r="D29" s="16">
        <v>131.04</v>
      </c>
      <c r="E29" s="16">
        <f t="shared" si="0"/>
        <v>1.1958579575179378</v>
      </c>
      <c r="F29" s="16" t="s">
        <v>73</v>
      </c>
      <c r="G29" s="11"/>
      <c r="H29" s="11"/>
    </row>
    <row r="30" spans="1:8" s="17" customFormat="1" ht="14.25">
      <c r="A30" s="13" t="s">
        <v>74</v>
      </c>
      <c r="B30" s="14" t="s">
        <v>75</v>
      </c>
      <c r="C30" s="15">
        <v>13000</v>
      </c>
      <c r="D30" s="16">
        <v>127.062</v>
      </c>
      <c r="E30" s="16">
        <f t="shared" si="0"/>
        <v>1.1595551266647146</v>
      </c>
      <c r="F30" s="16" t="s">
        <v>76</v>
      </c>
      <c r="G30" s="11"/>
      <c r="H30" s="11"/>
    </row>
    <row r="31" spans="1:8" s="17" customFormat="1" ht="14.25">
      <c r="A31" s="13" t="s">
        <v>77</v>
      </c>
      <c r="B31" s="14" t="s">
        <v>63</v>
      </c>
      <c r="C31" s="15">
        <v>3500</v>
      </c>
      <c r="D31" s="16">
        <v>126.854</v>
      </c>
      <c r="E31" s="16">
        <f t="shared" si="0"/>
        <v>1.1576569394305591</v>
      </c>
      <c r="F31" s="16" t="s">
        <v>78</v>
      </c>
      <c r="G31" s="11"/>
      <c r="H31" s="10"/>
    </row>
    <row r="32" spans="1:8" s="17" customFormat="1" ht="14.25">
      <c r="A32" s="13" t="s">
        <v>79</v>
      </c>
      <c r="B32" s="14" t="s">
        <v>80</v>
      </c>
      <c r="C32" s="15">
        <v>10500</v>
      </c>
      <c r="D32" s="16">
        <v>122.41425</v>
      </c>
      <c r="E32" s="16">
        <f t="shared" si="0"/>
        <v>1.1171402241765125</v>
      </c>
      <c r="F32" s="16" t="s">
        <v>81</v>
      </c>
      <c r="G32" s="11"/>
      <c r="H32" s="10"/>
    </row>
    <row r="33" spans="1:8" s="17" customFormat="1" ht="14.25">
      <c r="A33" s="13" t="s">
        <v>82</v>
      </c>
      <c r="B33" s="14" t="s">
        <v>83</v>
      </c>
      <c r="C33" s="15">
        <v>4750</v>
      </c>
      <c r="D33" s="16">
        <v>113.907375</v>
      </c>
      <c r="E33" s="16">
        <f t="shared" si="0"/>
        <v>1.0395073322171078</v>
      </c>
      <c r="F33" s="16" t="s">
        <v>84</v>
      </c>
      <c r="G33" s="11"/>
      <c r="H33" s="11"/>
    </row>
    <row r="34" spans="1:8" s="17" customFormat="1" ht="14.25">
      <c r="A34" s="13" t="s">
        <v>85</v>
      </c>
      <c r="B34" s="14" t="s">
        <v>86</v>
      </c>
      <c r="C34" s="15">
        <v>39600</v>
      </c>
      <c r="D34" s="16">
        <v>112.0086</v>
      </c>
      <c r="E34" s="16">
        <f t="shared" si="0"/>
        <v>1.022179301132812</v>
      </c>
      <c r="F34" s="16" t="s">
        <v>87</v>
      </c>
      <c r="G34" s="11"/>
      <c r="H34" s="10"/>
    </row>
    <row r="35" spans="1:8" s="17" customFormat="1" ht="14.25">
      <c r="A35" s="13" t="s">
        <v>88</v>
      </c>
      <c r="B35" s="14" t="s">
        <v>89</v>
      </c>
      <c r="C35" s="15">
        <v>2800</v>
      </c>
      <c r="D35" s="16">
        <v>105.38639999999999</v>
      </c>
      <c r="E35" s="16">
        <f t="shared" si="0"/>
        <v>0.96174576506538756</v>
      </c>
      <c r="F35" s="16" t="s">
        <v>90</v>
      </c>
      <c r="G35" s="11"/>
      <c r="H35" s="10"/>
    </row>
    <row r="36" spans="1:8" s="17" customFormat="1" ht="14.25">
      <c r="A36" s="13" t="s">
        <v>91</v>
      </c>
      <c r="B36" s="14" t="s">
        <v>92</v>
      </c>
      <c r="C36" s="15">
        <v>16500</v>
      </c>
      <c r="D36" s="16">
        <v>96.03</v>
      </c>
      <c r="E36" s="16">
        <f t="shared" si="0"/>
        <v>0.87636019276898325</v>
      </c>
      <c r="F36" s="16" t="s">
        <v>93</v>
      </c>
      <c r="G36" s="11"/>
      <c r="H36" s="11"/>
    </row>
    <row r="37" spans="1:8" s="17" customFormat="1" ht="14.25">
      <c r="A37" s="13" t="s">
        <v>94</v>
      </c>
      <c r="B37" s="14" t="s">
        <v>95</v>
      </c>
      <c r="C37" s="15">
        <v>9975</v>
      </c>
      <c r="D37" s="16">
        <v>94.782449999999997</v>
      </c>
      <c r="E37" s="16">
        <f t="shared" si="0"/>
        <v>0.86497517601912444</v>
      </c>
      <c r="F37" s="16" t="s">
        <v>96</v>
      </c>
      <c r="G37" s="11"/>
      <c r="H37" s="10"/>
    </row>
    <row r="38" spans="1:8" s="17" customFormat="1" ht="14.25">
      <c r="A38" s="13" t="s">
        <v>97</v>
      </c>
      <c r="B38" s="14" t="s">
        <v>20</v>
      </c>
      <c r="C38" s="15">
        <v>20000</v>
      </c>
      <c r="D38" s="16">
        <v>93</v>
      </c>
      <c r="E38" s="16">
        <f t="shared" si="0"/>
        <v>0.84870871527143021</v>
      </c>
      <c r="F38" s="16" t="s">
        <v>98</v>
      </c>
      <c r="G38" s="11"/>
      <c r="H38" s="11"/>
    </row>
    <row r="39" spans="1:8" s="17" customFormat="1" ht="14.25">
      <c r="A39" s="13" t="s">
        <v>99</v>
      </c>
      <c r="B39" s="14" t="s">
        <v>60</v>
      </c>
      <c r="C39" s="15">
        <v>1500</v>
      </c>
      <c r="D39" s="16">
        <v>79.016249999999999</v>
      </c>
      <c r="E39" s="16">
        <f t="shared" si="0"/>
        <v>0.72109440885017362</v>
      </c>
      <c r="F39" s="16" t="s">
        <v>100</v>
      </c>
      <c r="G39" s="11"/>
      <c r="H39" s="10"/>
    </row>
    <row r="40" spans="1:8" s="17" customFormat="1" ht="14.25">
      <c r="A40" s="13" t="s">
        <v>101</v>
      </c>
      <c r="B40" s="14" t="s">
        <v>102</v>
      </c>
      <c r="C40" s="15">
        <v>1375</v>
      </c>
      <c r="D40" s="16">
        <v>74.868062499999994</v>
      </c>
      <c r="E40" s="16">
        <f t="shared" si="0"/>
        <v>0.68323846386275411</v>
      </c>
      <c r="F40" s="16" t="s">
        <v>103</v>
      </c>
      <c r="G40" s="11"/>
      <c r="H40" s="11"/>
    </row>
    <row r="41" spans="1:8" s="17" customFormat="1" ht="14.25">
      <c r="A41" s="13" t="s">
        <v>104</v>
      </c>
      <c r="B41" s="14" t="s">
        <v>105</v>
      </c>
      <c r="C41" s="15">
        <v>150</v>
      </c>
      <c r="D41" s="16">
        <v>42.886274999999998</v>
      </c>
      <c r="E41" s="16">
        <f t="shared" si="0"/>
        <v>0.39137586406480918</v>
      </c>
      <c r="F41" s="16" t="s">
        <v>106</v>
      </c>
      <c r="G41" s="11"/>
      <c r="H41" s="11"/>
    </row>
    <row r="42" spans="1:8" s="17" customFormat="1" ht="14.25">
      <c r="A42" s="13" t="s">
        <v>107</v>
      </c>
      <c r="B42" s="14" t="s">
        <v>14</v>
      </c>
      <c r="C42" s="15">
        <v>2400</v>
      </c>
      <c r="D42" s="16">
        <v>40.546799999999998</v>
      </c>
      <c r="E42" s="16">
        <f t="shared" si="0"/>
        <v>0.37002604877814649</v>
      </c>
      <c r="F42" s="16" t="s">
        <v>108</v>
      </c>
      <c r="G42" s="11"/>
      <c r="H42" s="11"/>
    </row>
    <row r="43" spans="1:8" s="17" customFormat="1" ht="14.25">
      <c r="A43" s="13" t="s">
        <v>109</v>
      </c>
      <c r="B43" s="14" t="s">
        <v>54</v>
      </c>
      <c r="C43" s="15">
        <v>7000</v>
      </c>
      <c r="D43" s="16">
        <v>35.269500000000001</v>
      </c>
      <c r="E43" s="16">
        <f t="shared" si="0"/>
        <v>0.32186593584156675</v>
      </c>
      <c r="F43" s="16" t="s">
        <v>110</v>
      </c>
      <c r="G43" s="11"/>
      <c r="H43" s="11"/>
    </row>
    <row r="44" spans="1:8" s="17" customFormat="1" ht="14.25">
      <c r="A44" s="13" t="s">
        <v>111</v>
      </c>
      <c r="B44" s="14" t="s">
        <v>46</v>
      </c>
      <c r="C44" s="15">
        <v>2850</v>
      </c>
      <c r="D44" s="16">
        <v>32.015475000000002</v>
      </c>
      <c r="E44" s="16">
        <f t="shared" si="0"/>
        <v>0.29217002855972679</v>
      </c>
      <c r="F44" s="16" t="s">
        <v>112</v>
      </c>
      <c r="G44" s="11"/>
      <c r="H44" s="11"/>
    </row>
    <row r="45" spans="1:8" s="17" customFormat="1" ht="14.25">
      <c r="A45" s="13" t="s">
        <v>113</v>
      </c>
      <c r="B45" s="14" t="s">
        <v>14</v>
      </c>
      <c r="C45" s="15">
        <v>20000</v>
      </c>
      <c r="D45" s="16">
        <v>27.03</v>
      </c>
      <c r="E45" s="16">
        <f t="shared" si="0"/>
        <v>0.24667308143856728</v>
      </c>
      <c r="F45" s="16" t="s">
        <v>114</v>
      </c>
      <c r="G45" s="11"/>
      <c r="H45" s="11"/>
    </row>
    <row r="46" spans="1:8" s="17" customFormat="1" ht="14.25">
      <c r="A46" s="13" t="s">
        <v>115</v>
      </c>
      <c r="B46" s="14" t="s">
        <v>57</v>
      </c>
      <c r="C46" s="15">
        <v>3375</v>
      </c>
      <c r="D46" s="16">
        <v>27.003374999999998</v>
      </c>
      <c r="E46" s="16">
        <f t="shared" si="0"/>
        <v>0.24643010434669521</v>
      </c>
      <c r="F46" s="16" t="s">
        <v>116</v>
      </c>
      <c r="G46" s="11"/>
      <c r="H46" s="11"/>
    </row>
    <row r="47" spans="1:8" s="17" customFormat="1" ht="14.25">
      <c r="A47" s="13" t="s">
        <v>117</v>
      </c>
      <c r="B47" s="14" t="s">
        <v>102</v>
      </c>
      <c r="C47" s="15">
        <v>10500</v>
      </c>
      <c r="D47" s="16">
        <v>23.892749999999999</v>
      </c>
      <c r="E47" s="16">
        <f t="shared" si="0"/>
        <v>0.21804285114840283</v>
      </c>
      <c r="F47" s="16" t="s">
        <v>118</v>
      </c>
      <c r="G47" s="11"/>
      <c r="H47" s="11"/>
    </row>
    <row r="48" spans="1:8" s="17" customFormat="1" ht="14.25">
      <c r="A48" s="13" t="s">
        <v>119</v>
      </c>
      <c r="B48" s="14" t="s">
        <v>120</v>
      </c>
      <c r="C48" s="15">
        <v>900</v>
      </c>
      <c r="D48" s="16">
        <v>23.663699999999999</v>
      </c>
      <c r="E48" s="16">
        <f t="shared" si="0"/>
        <v>0.21595256371579075</v>
      </c>
      <c r="F48" s="16" t="s">
        <v>121</v>
      </c>
      <c r="G48" s="11"/>
      <c r="H48" s="11"/>
    </row>
    <row r="49" spans="1:8" s="17" customFormat="1" ht="14.25">
      <c r="A49" s="13" t="s">
        <v>122</v>
      </c>
      <c r="B49" s="14" t="s">
        <v>63</v>
      </c>
      <c r="C49" s="15">
        <v>800</v>
      </c>
      <c r="D49" s="16">
        <v>22.575199999999999</v>
      </c>
      <c r="E49" s="16">
        <f t="shared" si="0"/>
        <v>0.20601902138704933</v>
      </c>
      <c r="F49" s="16" t="s">
        <v>123</v>
      </c>
      <c r="G49" s="11"/>
      <c r="H49" s="11"/>
    </row>
    <row r="50" spans="1:8" s="17" customFormat="1" ht="14.25">
      <c r="A50" s="13" t="s">
        <v>124</v>
      </c>
      <c r="B50" s="14" t="s">
        <v>26</v>
      </c>
      <c r="C50" s="15">
        <v>9750</v>
      </c>
      <c r="D50" s="16">
        <v>16.141124999999999</v>
      </c>
      <c r="E50" s="16">
        <f t="shared" si="0"/>
        <v>0.1473022952880168</v>
      </c>
      <c r="F50" s="16" t="s">
        <v>125</v>
      </c>
      <c r="G50" s="11"/>
      <c r="H50" s="11"/>
    </row>
    <row r="51" spans="1:8" s="17" customFormat="1" ht="14.25">
      <c r="A51" s="13" t="s">
        <v>126</v>
      </c>
      <c r="B51" s="14" t="s">
        <v>20</v>
      </c>
      <c r="C51" s="15">
        <v>40</v>
      </c>
      <c r="D51" s="16">
        <v>11.37368</v>
      </c>
      <c r="E51" s="16">
        <f t="shared" si="0"/>
        <v>0.10379506817965979</v>
      </c>
      <c r="F51" s="16" t="s">
        <v>127</v>
      </c>
      <c r="G51" s="11"/>
      <c r="H51" s="11"/>
    </row>
    <row r="52" spans="1:8" s="17" customFormat="1" ht="14.25">
      <c r="A52" s="13" t="s">
        <v>128</v>
      </c>
      <c r="B52" s="14" t="s">
        <v>63</v>
      </c>
      <c r="C52" s="15">
        <v>3600</v>
      </c>
      <c r="D52" s="16">
        <v>10.476000000000001</v>
      </c>
      <c r="E52" s="16">
        <f t="shared" si="0"/>
        <v>9.5602930120252713E-2</v>
      </c>
      <c r="F52" s="16" t="s">
        <v>129</v>
      </c>
      <c r="G52" s="11"/>
      <c r="H52" s="11"/>
    </row>
    <row r="53" spans="1:8" s="17" customFormat="1" ht="14.25">
      <c r="A53" s="13" t="s">
        <v>130</v>
      </c>
      <c r="B53" s="14" t="s">
        <v>131</v>
      </c>
      <c r="C53" s="15">
        <v>300</v>
      </c>
      <c r="D53" s="16">
        <v>9.2521500000000003</v>
      </c>
      <c r="E53" s="16">
        <f t="shared" si="0"/>
        <v>8.4434197204285619E-2</v>
      </c>
      <c r="F53" s="16" t="s">
        <v>132</v>
      </c>
      <c r="G53" s="11"/>
      <c r="H53" s="11"/>
    </row>
    <row r="54" spans="1:8" s="17" customFormat="1" ht="14.25">
      <c r="A54" s="13" t="s">
        <v>133</v>
      </c>
      <c r="B54" s="14" t="s">
        <v>46</v>
      </c>
      <c r="C54" s="15">
        <v>3400</v>
      </c>
      <c r="D54" s="16">
        <v>8.5952000000000002</v>
      </c>
      <c r="E54" s="16">
        <f t="shared" si="0"/>
        <v>7.8438937091408562E-2</v>
      </c>
      <c r="F54" s="16" t="s">
        <v>134</v>
      </c>
      <c r="G54" s="11"/>
      <c r="H54" s="11"/>
    </row>
    <row r="55" spans="1:8" s="17" customFormat="1" ht="14.25">
      <c r="A55" s="13" t="s">
        <v>135</v>
      </c>
      <c r="B55" s="14" t="s">
        <v>136</v>
      </c>
      <c r="C55" s="15">
        <v>1200</v>
      </c>
      <c r="D55" s="16">
        <v>6.2712000000000003</v>
      </c>
      <c r="E55" s="16">
        <f t="shared" si="0"/>
        <v>5.7230345109787022E-2</v>
      </c>
      <c r="F55" s="16" t="s">
        <v>137</v>
      </c>
      <c r="G55" s="11"/>
      <c r="H55" s="18"/>
    </row>
    <row r="56" spans="1:8" s="17" customFormat="1" ht="14.25">
      <c r="A56" s="13" t="s">
        <v>138</v>
      </c>
      <c r="B56" s="14" t="s">
        <v>95</v>
      </c>
      <c r="C56" s="15">
        <v>50</v>
      </c>
      <c r="D56" s="16">
        <v>5.6441749999999997</v>
      </c>
      <c r="E56" s="16">
        <f t="shared" si="0"/>
        <v>5.1508177559323916E-2</v>
      </c>
      <c r="F56" s="16" t="s">
        <v>139</v>
      </c>
      <c r="G56" s="11"/>
      <c r="H56" s="18"/>
    </row>
    <row r="57" spans="1:8" s="17" customFormat="1" ht="14.25">
      <c r="A57" s="12" t="s">
        <v>140</v>
      </c>
      <c r="B57" s="14"/>
      <c r="C57" s="15"/>
      <c r="D57" s="19">
        <f>IF(ISERROR(SUM(D7:D56)),0,SUM(D7:D56))</f>
        <v>7779.6516925000005</v>
      </c>
      <c r="E57" s="19">
        <f>IF(ISERROR(SUM(E7:E56)),0,SUM(E7:E56))</f>
        <v>70.996324658074002</v>
      </c>
      <c r="F57" s="19"/>
      <c r="G57" s="11"/>
      <c r="H57" s="10"/>
    </row>
    <row r="58" spans="1:8" s="17" customFormat="1" ht="14.25">
      <c r="A58" s="12"/>
      <c r="B58" s="12"/>
      <c r="C58" s="20"/>
      <c r="D58" s="21"/>
      <c r="E58" s="21"/>
      <c r="F58" s="21"/>
      <c r="G58" s="11"/>
      <c r="H58" s="10"/>
    </row>
    <row r="59" spans="1:8" s="17" customFormat="1" ht="14.25">
      <c r="A59" s="12" t="s">
        <v>141</v>
      </c>
      <c r="B59" s="12"/>
      <c r="C59" s="20"/>
      <c r="D59" s="22" t="s">
        <v>142</v>
      </c>
      <c r="E59" s="22" t="s">
        <v>142</v>
      </c>
      <c r="F59" s="22"/>
      <c r="G59" s="11"/>
      <c r="H59" s="10"/>
    </row>
    <row r="60" spans="1:8" s="17" customFormat="1" ht="14.25">
      <c r="A60" s="12"/>
      <c r="B60" s="5"/>
      <c r="C60" s="20"/>
      <c r="D60" s="22"/>
      <c r="E60" s="22"/>
      <c r="F60" s="23"/>
      <c r="G60" s="11"/>
      <c r="H60" s="10"/>
    </row>
    <row r="61" spans="1:8" s="17" customFormat="1" ht="14.25">
      <c r="A61" s="12" t="s">
        <v>143</v>
      </c>
      <c r="B61" s="12"/>
      <c r="C61" s="20"/>
      <c r="D61" s="19">
        <f>IF(ISERROR(+D57),0,D57)+IF(ISERROR(+#REF!),0,#REF!)</f>
        <v>7779.6516925000005</v>
      </c>
      <c r="E61" s="19">
        <f>IF(ISERROR(+E57),0,E57)+IF(ISERROR(+#REF!),0,#REF!)</f>
        <v>70.996324658074002</v>
      </c>
      <c r="F61" s="24"/>
      <c r="G61" s="11"/>
      <c r="H61" s="10"/>
    </row>
    <row r="62" spans="1:8" s="17" customFormat="1" ht="14.25">
      <c r="A62" s="12"/>
      <c r="B62" s="5"/>
      <c r="C62" s="20"/>
      <c r="D62" s="22"/>
      <c r="E62" s="22"/>
      <c r="F62" s="23"/>
      <c r="G62" s="11"/>
      <c r="H62" s="10"/>
    </row>
    <row r="63" spans="1:8" s="17" customFormat="1" ht="14.25">
      <c r="A63" s="12" t="s">
        <v>144</v>
      </c>
      <c r="B63" s="5"/>
      <c r="C63" s="20"/>
      <c r="D63" s="22"/>
      <c r="E63" s="22"/>
      <c r="F63" s="23"/>
      <c r="G63" s="11"/>
      <c r="H63" s="10"/>
    </row>
    <row r="64" spans="1:8" s="17" customFormat="1" ht="14.25">
      <c r="A64" s="12" t="s">
        <v>12</v>
      </c>
      <c r="B64" s="5"/>
      <c r="C64" s="20"/>
      <c r="D64" s="22" t="s">
        <v>142</v>
      </c>
      <c r="E64" s="22" t="s">
        <v>142</v>
      </c>
      <c r="F64" s="25"/>
      <c r="G64" s="11"/>
      <c r="H64" s="10"/>
    </row>
    <row r="65" spans="1:8" s="17" customFormat="1" ht="14.25">
      <c r="A65" s="12"/>
      <c r="B65" s="5"/>
      <c r="C65" s="26"/>
      <c r="D65" s="25"/>
      <c r="E65" s="25"/>
      <c r="F65" s="25"/>
      <c r="G65" s="11"/>
      <c r="H65" s="10"/>
    </row>
    <row r="66" spans="1:8" s="17" customFormat="1" ht="14.25">
      <c r="A66" s="12" t="s">
        <v>145</v>
      </c>
      <c r="B66" s="5"/>
      <c r="C66" s="26"/>
      <c r="D66" s="22" t="s">
        <v>142</v>
      </c>
      <c r="E66" s="22" t="s">
        <v>142</v>
      </c>
      <c r="F66" s="23"/>
      <c r="G66" s="11"/>
      <c r="H66" s="10"/>
    </row>
    <row r="67" spans="1:8" s="17" customFormat="1" ht="14.25">
      <c r="A67" s="12"/>
      <c r="B67" s="5"/>
      <c r="C67" s="26"/>
      <c r="D67" s="22"/>
      <c r="E67" s="22"/>
      <c r="F67" s="22"/>
      <c r="G67" s="11"/>
      <c r="H67" s="10"/>
    </row>
    <row r="68" spans="1:8" s="17" customFormat="1" ht="14.25">
      <c r="A68" s="12" t="s">
        <v>146</v>
      </c>
      <c r="B68" s="5"/>
      <c r="C68" s="26"/>
      <c r="D68" s="22"/>
      <c r="E68" s="22"/>
      <c r="F68" s="22"/>
      <c r="G68" s="11"/>
      <c r="H68" s="10"/>
    </row>
    <row r="69" spans="1:8" s="17" customFormat="1" ht="14.25">
      <c r="A69" s="12"/>
      <c r="B69" s="5"/>
      <c r="C69" s="26"/>
      <c r="D69" s="16"/>
      <c r="E69" s="16"/>
      <c r="F69" s="27"/>
      <c r="G69" s="11"/>
      <c r="H69" s="10"/>
    </row>
    <row r="70" spans="1:8" s="17" customFormat="1" ht="14.25">
      <c r="A70" s="12" t="s">
        <v>147</v>
      </c>
      <c r="B70" s="5"/>
      <c r="C70" s="26"/>
      <c r="D70" s="22" t="s">
        <v>142</v>
      </c>
      <c r="E70" s="22" t="s">
        <v>142</v>
      </c>
      <c r="F70" s="22"/>
      <c r="G70" s="11"/>
      <c r="H70" s="10"/>
    </row>
    <row r="71" spans="1:8" s="17" customFormat="1" ht="14.25">
      <c r="A71" s="12"/>
      <c r="B71" s="5"/>
      <c r="C71" s="26"/>
      <c r="D71" s="22"/>
      <c r="E71" s="22"/>
      <c r="F71" s="22"/>
      <c r="G71" s="11"/>
      <c r="H71" s="10"/>
    </row>
    <row r="72" spans="1:8" s="17" customFormat="1" ht="14.25">
      <c r="A72" s="12" t="s">
        <v>148</v>
      </c>
      <c r="B72" s="5"/>
      <c r="C72" s="26"/>
      <c r="D72" s="22" t="s">
        <v>142</v>
      </c>
      <c r="E72" s="22" t="s">
        <v>142</v>
      </c>
      <c r="F72" s="22"/>
      <c r="G72" s="11"/>
      <c r="H72" s="10"/>
    </row>
    <row r="73" spans="1:8" s="17" customFormat="1" ht="14.25">
      <c r="A73" s="12"/>
      <c r="B73" s="5"/>
      <c r="C73" s="26"/>
      <c r="D73" s="22"/>
      <c r="E73" s="22"/>
      <c r="F73" s="22"/>
      <c r="G73" s="11"/>
      <c r="H73" s="10"/>
    </row>
    <row r="74" spans="1:8" s="17" customFormat="1" ht="14.25">
      <c r="A74" s="12" t="s">
        <v>149</v>
      </c>
      <c r="B74" s="5"/>
      <c r="C74" s="26"/>
      <c r="D74" s="22"/>
      <c r="E74" s="22"/>
      <c r="F74" s="23"/>
      <c r="G74" s="11"/>
      <c r="H74" s="10"/>
    </row>
    <row r="75" spans="1:8" s="17" customFormat="1" ht="14.25">
      <c r="A75" s="12" t="s">
        <v>150</v>
      </c>
      <c r="B75" s="14"/>
      <c r="C75" s="15"/>
      <c r="D75" s="16"/>
      <c r="E75" s="25"/>
      <c r="F75" s="28"/>
      <c r="G75" s="11"/>
      <c r="H75" s="10"/>
    </row>
    <row r="76" spans="1:8" s="17" customFormat="1" ht="14.25">
      <c r="A76" s="13" t="s">
        <v>151</v>
      </c>
      <c r="B76" s="14" t="s">
        <v>152</v>
      </c>
      <c r="C76" s="15">
        <v>300000</v>
      </c>
      <c r="D76" s="16">
        <v>295.40190000000001</v>
      </c>
      <c r="E76" s="16">
        <f t="shared" ref="E76:E85" si="1">(+D76/$D$97*100)</f>
        <v>2.6958082477176291</v>
      </c>
      <c r="F76" s="16" t="s">
        <v>153</v>
      </c>
      <c r="G76" s="11">
        <v>6.8451000000000004</v>
      </c>
      <c r="H76" s="10"/>
    </row>
    <row r="77" spans="1:8" s="17" customFormat="1" ht="14.25">
      <c r="A77" s="13" t="s">
        <v>154</v>
      </c>
      <c r="B77" s="14" t="s">
        <v>152</v>
      </c>
      <c r="C77" s="15">
        <v>210000</v>
      </c>
      <c r="D77" s="16">
        <v>209.77446</v>
      </c>
      <c r="E77" s="16">
        <f t="shared" si="1"/>
        <v>1.9143807789608387</v>
      </c>
      <c r="F77" s="16" t="s">
        <v>155</v>
      </c>
      <c r="G77" s="11">
        <v>6.5404999999999998</v>
      </c>
      <c r="H77" s="10"/>
    </row>
    <row r="78" spans="1:8" s="17" customFormat="1" ht="14.25">
      <c r="A78" s="13" t="s">
        <v>156</v>
      </c>
      <c r="B78" s="14" t="s">
        <v>152</v>
      </c>
      <c r="C78" s="15">
        <v>205000</v>
      </c>
      <c r="D78" s="16">
        <v>200.14703499999999</v>
      </c>
      <c r="E78" s="16">
        <f t="shared" si="1"/>
        <v>1.8265218595724295</v>
      </c>
      <c r="F78" s="16" t="s">
        <v>157</v>
      </c>
      <c r="G78" s="11">
        <v>7.0800999999999998</v>
      </c>
      <c r="H78" s="10"/>
    </row>
    <row r="79" spans="1:8" s="17" customFormat="1" ht="14.25">
      <c r="A79" s="13" t="s">
        <v>158</v>
      </c>
      <c r="B79" s="14" t="s">
        <v>152</v>
      </c>
      <c r="C79" s="15">
        <v>200000</v>
      </c>
      <c r="D79" s="16">
        <v>199.786</v>
      </c>
      <c r="E79" s="16">
        <f t="shared" si="1"/>
        <v>1.8232270902066445</v>
      </c>
      <c r="F79" s="16" t="s">
        <v>159</v>
      </c>
      <c r="G79" s="11">
        <v>6.5191999999999997</v>
      </c>
      <c r="H79" s="10"/>
    </row>
    <row r="80" spans="1:8" s="17" customFormat="1" ht="14.25">
      <c r="A80" s="13" t="s">
        <v>160</v>
      </c>
      <c r="B80" s="14" t="s">
        <v>152</v>
      </c>
      <c r="C80" s="15">
        <v>200000</v>
      </c>
      <c r="D80" s="16">
        <v>199.53460000000001</v>
      </c>
      <c r="E80" s="16">
        <f t="shared" si="1"/>
        <v>1.8209328389053627</v>
      </c>
      <c r="F80" s="16" t="s">
        <v>161</v>
      </c>
      <c r="G80" s="11">
        <v>6.5487000000000002</v>
      </c>
      <c r="H80" s="10"/>
    </row>
    <row r="81" spans="1:8" s="17" customFormat="1" ht="14.25">
      <c r="A81" s="13" t="s">
        <v>162</v>
      </c>
      <c r="B81" s="14" t="s">
        <v>152</v>
      </c>
      <c r="C81" s="15">
        <v>200000</v>
      </c>
      <c r="D81" s="16">
        <v>199.2732</v>
      </c>
      <c r="E81" s="16">
        <f t="shared" si="1"/>
        <v>1.8185473286024383</v>
      </c>
      <c r="F81" s="16" t="s">
        <v>163</v>
      </c>
      <c r="G81" s="11">
        <v>6.6571999999999996</v>
      </c>
      <c r="H81" s="10"/>
    </row>
    <row r="82" spans="1:8" s="17" customFormat="1" ht="14.25">
      <c r="A82" s="13" t="s">
        <v>164</v>
      </c>
      <c r="B82" s="14" t="s">
        <v>152</v>
      </c>
      <c r="C82" s="15">
        <v>200000</v>
      </c>
      <c r="D82" s="16">
        <v>198.20920000000001</v>
      </c>
      <c r="E82" s="16">
        <f t="shared" si="1"/>
        <v>1.8088373708277199</v>
      </c>
      <c r="F82" s="16" t="s">
        <v>165</v>
      </c>
      <c r="G82" s="11">
        <v>6.8703000000000003</v>
      </c>
      <c r="H82" s="10"/>
    </row>
    <row r="83" spans="1:8" s="17" customFormat="1" ht="14.25">
      <c r="A83" s="13" t="s">
        <v>166</v>
      </c>
      <c r="B83" s="14" t="s">
        <v>152</v>
      </c>
      <c r="C83" s="15">
        <v>200000</v>
      </c>
      <c r="D83" s="16">
        <v>197.94200000000001</v>
      </c>
      <c r="E83" s="16">
        <f t="shared" si="1"/>
        <v>1.8063989303038435</v>
      </c>
      <c r="F83" s="16" t="s">
        <v>167</v>
      </c>
      <c r="G83" s="11">
        <v>6.8997999999999999</v>
      </c>
      <c r="H83" s="10"/>
    </row>
    <row r="84" spans="1:8" s="17" customFormat="1" ht="14.25">
      <c r="A84" s="13" t="s">
        <v>168</v>
      </c>
      <c r="B84" s="14" t="s">
        <v>152</v>
      </c>
      <c r="C84" s="15">
        <v>200000</v>
      </c>
      <c r="D84" s="16">
        <v>196.6764</v>
      </c>
      <c r="E84" s="16">
        <f t="shared" si="1"/>
        <v>1.7948491910560205</v>
      </c>
      <c r="F84" s="16" t="s">
        <v>169</v>
      </c>
      <c r="G84" s="11">
        <v>6.8533999999999997</v>
      </c>
      <c r="H84" s="10"/>
    </row>
    <row r="85" spans="1:8" s="17" customFormat="1" ht="14.25">
      <c r="A85" s="13" t="s">
        <v>170</v>
      </c>
      <c r="B85" s="14" t="s">
        <v>152</v>
      </c>
      <c r="C85" s="15">
        <v>200000</v>
      </c>
      <c r="D85" s="16">
        <v>196.09180000000001</v>
      </c>
      <c r="E85" s="16">
        <f t="shared" si="1"/>
        <v>1.789514189820024</v>
      </c>
      <c r="F85" s="16" t="s">
        <v>171</v>
      </c>
      <c r="G85" s="11">
        <v>6.9947999999999997</v>
      </c>
      <c r="H85" s="10"/>
    </row>
    <row r="86" spans="1:8" s="17" customFormat="1" ht="14.25">
      <c r="A86" s="12" t="s">
        <v>140</v>
      </c>
      <c r="B86" s="29"/>
      <c r="C86" s="30"/>
      <c r="D86" s="22">
        <f>IF(ISERROR(SUM(D76:D85)),0,SUM(D76:D85))</f>
        <v>2092.8365950000002</v>
      </c>
      <c r="E86" s="22">
        <f>IF(ISERROR(SUM(E76:E85)),0,SUM(E76:E85))</f>
        <v>19.09901782597295</v>
      </c>
      <c r="F86" s="31"/>
      <c r="G86" s="11"/>
      <c r="H86" s="10"/>
    </row>
    <row r="87" spans="1:8" s="17" customFormat="1" ht="14.25">
      <c r="A87" s="13" t="s">
        <v>172</v>
      </c>
      <c r="B87" s="14"/>
      <c r="C87" s="15">
        <v>0</v>
      </c>
      <c r="D87" s="16">
        <v>1055.3357283</v>
      </c>
      <c r="E87" s="16">
        <f>(+D87/$D$97*100)</f>
        <v>9.6308884961885166</v>
      </c>
      <c r="F87" s="16" t="s">
        <v>173</v>
      </c>
      <c r="G87" s="11">
        <v>6.5922999999999998</v>
      </c>
      <c r="H87" s="10"/>
    </row>
    <row r="88" spans="1:8" s="17" customFormat="1" ht="14.25">
      <c r="A88" s="12" t="s">
        <v>140</v>
      </c>
      <c r="B88" s="5"/>
      <c r="C88" s="26"/>
      <c r="D88" s="22">
        <f>IF(ISERROR(SUM(D87:D87)),0,SUM(D87:D87))</f>
        <v>1055.3357283</v>
      </c>
      <c r="E88" s="22">
        <f>IF(ISERROR(SUM(E87:E87)),0,SUM(E87:E87))</f>
        <v>9.6308884961885166</v>
      </c>
      <c r="F88" s="16"/>
      <c r="G88" s="11"/>
      <c r="H88" s="10"/>
    </row>
    <row r="89" spans="1:8" s="17" customFormat="1" ht="14.25">
      <c r="A89" s="12" t="s">
        <v>174</v>
      </c>
      <c r="B89" s="5"/>
      <c r="C89" s="26"/>
      <c r="D89" s="22"/>
      <c r="E89" s="22"/>
      <c r="F89" s="22"/>
      <c r="G89" s="11"/>
      <c r="H89" s="10"/>
    </row>
    <row r="90" spans="1:8" s="17" customFormat="1" ht="14.25">
      <c r="A90" s="13" t="s">
        <v>175</v>
      </c>
      <c r="B90" s="14" t="s">
        <v>176</v>
      </c>
      <c r="C90" s="15">
        <v>628186.89399999997</v>
      </c>
      <c r="D90" s="16">
        <v>412.02401465323595</v>
      </c>
      <c r="E90" s="16">
        <f>(+D90/$D$97*100)</f>
        <v>3.7600900229819869</v>
      </c>
      <c r="F90" s="16" t="s">
        <v>177</v>
      </c>
      <c r="G90" s="11"/>
      <c r="H90" s="10"/>
    </row>
    <row r="91" spans="1:8" s="17" customFormat="1" ht="14.25">
      <c r="A91" s="12" t="s">
        <v>140</v>
      </c>
      <c r="B91" s="5"/>
      <c r="C91" s="26"/>
      <c r="D91" s="22">
        <f>IF(ISERROR(SUM(D90:D90)),0,SUM(D90:D90))</f>
        <v>412.02401465323595</v>
      </c>
      <c r="E91" s="22">
        <f>IF(ISERROR(SUM(E90:E90)),0,SUM(E90:E90))</f>
        <v>3.7600900229819869</v>
      </c>
      <c r="F91" s="32"/>
      <c r="G91" s="11"/>
      <c r="H91" s="10"/>
    </row>
    <row r="92" spans="1:8" s="17" customFormat="1" ht="14.25">
      <c r="A92" s="12"/>
      <c r="B92" s="5"/>
      <c r="C92" s="26"/>
      <c r="D92" s="22"/>
      <c r="E92" s="22"/>
      <c r="F92" s="23"/>
      <c r="G92" s="11"/>
      <c r="H92" s="10"/>
    </row>
    <row r="93" spans="1:8" s="17" customFormat="1" ht="14.25">
      <c r="A93" s="12" t="s">
        <v>143</v>
      </c>
      <c r="B93" s="5"/>
      <c r="C93" s="26" t="s">
        <v>178</v>
      </c>
      <c r="D93" s="22">
        <f>+IF(ISERROR(#REF!),0,#REF!)+IF(ISERROR(D88),0,D88)+IF(ISERROR(D61),0,D61)+IF(ISERROR(#REF!),0,#REF!)+IF(ISERROR(#REF!),0,#REF!)+IF(ISERROR(D86),0,D86)+IF(ISERROR(D91),0,D91)+IF(ISERROR(#REF!),0,#REF!)+IF(ISERROR(#REF!),0,#REF!)+IF(ISERROR(#REF!),0,#REF!)+IF(ISERROR(#REF!),0,#REF!)</f>
        <v>11339.848030453237</v>
      </c>
      <c r="E93" s="22">
        <f>+IF(ISERROR(#REF!),0,#REF!)+IF(ISERROR(E88),0,E88)+IF(ISERROR(E61),0,E61)+IF(ISERROR(#REF!),0,#REF!)+IF(ISERROR(#REF!),0,#REF!)+IF(ISERROR(E86),0,E86)+IF(ISERROR(E91),0,E91)+IF(ISERROR(#REF!),0,#REF!)+IF(ISERROR(#REF!),0,#REF!)+IF(ISERROR(#REF!),0,#REF!)+IF(ISERROR(#REF!),0,#REF!)</f>
        <v>103.48632100321745</v>
      </c>
      <c r="F93" s="22"/>
      <c r="G93" s="11"/>
      <c r="H93" s="10"/>
    </row>
    <row r="94" spans="1:8" s="17" customFormat="1" ht="14.25">
      <c r="A94" s="12"/>
      <c r="B94" s="5"/>
      <c r="C94" s="26"/>
      <c r="D94" s="22"/>
      <c r="E94" s="22"/>
      <c r="F94" s="33"/>
      <c r="G94" s="34"/>
      <c r="H94" s="35"/>
    </row>
    <row r="95" spans="1:8" s="17" customFormat="1" ht="14.25">
      <c r="A95" s="12" t="s">
        <v>179</v>
      </c>
      <c r="B95" s="5"/>
      <c r="C95" s="26"/>
      <c r="D95" s="22">
        <f>+D97-D93</f>
        <v>-382.02488965313751</v>
      </c>
      <c r="E95" s="22">
        <f>D95/$D$97*100</f>
        <v>-3.4863210032174643</v>
      </c>
      <c r="F95" s="33"/>
      <c r="G95" s="34"/>
      <c r="H95" s="35"/>
    </row>
    <row r="96" spans="1:8" s="17" customFormat="1" ht="14.25">
      <c r="A96" s="12"/>
      <c r="B96" s="5"/>
      <c r="C96" s="26"/>
      <c r="D96" s="25"/>
      <c r="E96" s="25"/>
      <c r="F96" s="33"/>
      <c r="G96" s="34"/>
      <c r="H96" s="35"/>
    </row>
    <row r="97" spans="1:10" s="17" customFormat="1" ht="14.25">
      <c r="A97" s="12" t="s">
        <v>180</v>
      </c>
      <c r="B97" s="5"/>
      <c r="C97" s="26"/>
      <c r="D97" s="22">
        <v>10957.823140800099</v>
      </c>
      <c r="E97" s="22">
        <f>+E93+E95</f>
        <v>99.999999999999986</v>
      </c>
      <c r="F97" s="33"/>
      <c r="G97" s="34"/>
      <c r="H97" s="35"/>
    </row>
    <row r="98" spans="1:10" s="17" customFormat="1" ht="14.25">
      <c r="A98" s="36"/>
      <c r="B98" s="37"/>
      <c r="C98" s="38"/>
      <c r="D98" s="39"/>
      <c r="E98" s="39"/>
      <c r="F98" s="33"/>
      <c r="G98" s="34"/>
      <c r="H98" s="35"/>
      <c r="J98" s="81"/>
    </row>
    <row r="99" spans="1:10" s="17" customFormat="1" ht="13.5">
      <c r="A99" s="91" t="s">
        <v>181</v>
      </c>
      <c r="B99" s="91"/>
      <c r="C99" s="91"/>
      <c r="D99" s="91"/>
      <c r="E99" s="91"/>
      <c r="F99" s="91"/>
      <c r="G99" s="91"/>
      <c r="H99" s="91"/>
      <c r="J99" s="81"/>
    </row>
    <row r="100" spans="1:10" s="17" customFormat="1" ht="13.5">
      <c r="A100" s="91" t="s">
        <v>182</v>
      </c>
      <c r="B100" s="91"/>
      <c r="C100" s="91"/>
      <c r="D100" s="91"/>
      <c r="E100" s="91"/>
      <c r="F100" s="91"/>
      <c r="G100" s="91"/>
      <c r="H100" s="92"/>
    </row>
    <row r="101" spans="1:10" s="17" customFormat="1" ht="13.5">
      <c r="A101" s="93" t="s">
        <v>183</v>
      </c>
      <c r="B101" s="93"/>
      <c r="C101" s="93"/>
      <c r="D101" s="93"/>
      <c r="E101" s="93"/>
      <c r="F101" s="93"/>
      <c r="G101" s="93"/>
      <c r="H101" s="92"/>
    </row>
    <row r="102" spans="1:10" s="17" customFormat="1" ht="59.25" customHeight="1">
      <c r="A102" s="94" t="s">
        <v>184</v>
      </c>
      <c r="B102" s="94"/>
      <c r="C102" s="94"/>
      <c r="D102" s="94"/>
      <c r="E102" s="94"/>
      <c r="F102" s="94"/>
      <c r="G102" s="94"/>
      <c r="H102" s="92"/>
    </row>
    <row r="103" spans="1:10" s="17" customFormat="1" ht="14.25">
      <c r="A103" s="40" t="s">
        <v>185</v>
      </c>
      <c r="B103" s="41"/>
      <c r="C103" s="42"/>
      <c r="D103" s="43"/>
      <c r="E103" s="43"/>
      <c r="F103" s="44"/>
      <c r="G103" s="34"/>
      <c r="H103" s="35"/>
    </row>
    <row r="104" spans="1:10" s="17" customFormat="1" ht="51">
      <c r="A104" s="45" t="s">
        <v>186</v>
      </c>
      <c r="B104" s="46" t="s">
        <v>187</v>
      </c>
      <c r="C104" s="47" t="s">
        <v>5</v>
      </c>
      <c r="D104" s="45" t="s">
        <v>188</v>
      </c>
      <c r="E104" s="45" t="s">
        <v>189</v>
      </c>
      <c r="F104" s="45" t="s">
        <v>190</v>
      </c>
      <c r="G104" s="34"/>
      <c r="H104" s="35"/>
    </row>
    <row r="105" spans="1:10" s="17" customFormat="1" ht="14.25">
      <c r="A105" s="48" t="s">
        <v>191</v>
      </c>
      <c r="B105" s="49" t="s">
        <v>192</v>
      </c>
      <c r="C105" s="15">
        <v>1375</v>
      </c>
      <c r="D105" s="16">
        <v>5230.03179636</v>
      </c>
      <c r="E105" s="16">
        <v>5489.95</v>
      </c>
      <c r="F105" s="16">
        <v>15.4058438</v>
      </c>
      <c r="G105" s="50"/>
      <c r="H105" s="51"/>
    </row>
    <row r="106" spans="1:10" s="17" customFormat="1" ht="14.25">
      <c r="A106" s="48" t="s">
        <v>193</v>
      </c>
      <c r="B106" s="49" t="s">
        <v>192</v>
      </c>
      <c r="C106" s="15">
        <v>40</v>
      </c>
      <c r="D106" s="16">
        <v>28911.8</v>
      </c>
      <c r="E106" s="16">
        <v>28574.7</v>
      </c>
      <c r="F106" s="16">
        <v>2.0187596999999999</v>
      </c>
      <c r="G106" s="50"/>
      <c r="H106" s="51"/>
    </row>
    <row r="107" spans="1:10" s="17" customFormat="1" ht="14.25">
      <c r="A107" s="48" t="s">
        <v>194</v>
      </c>
      <c r="B107" s="49" t="s">
        <v>192</v>
      </c>
      <c r="C107" s="15">
        <v>72800</v>
      </c>
      <c r="D107" s="16">
        <v>228.55</v>
      </c>
      <c r="E107" s="16">
        <v>227.1</v>
      </c>
      <c r="F107" s="16">
        <v>43.464784999999999</v>
      </c>
      <c r="G107" s="50"/>
      <c r="H107" s="51"/>
    </row>
    <row r="108" spans="1:10" s="17" customFormat="1" ht="14.25">
      <c r="A108" s="48" t="s">
        <v>195</v>
      </c>
      <c r="B108" s="49" t="s">
        <v>192</v>
      </c>
      <c r="C108" s="15">
        <v>900</v>
      </c>
      <c r="D108" s="16">
        <v>2702.0333000000001</v>
      </c>
      <c r="E108" s="16">
        <v>2652.95</v>
      </c>
      <c r="F108" s="16">
        <v>4.7498243000000002</v>
      </c>
      <c r="G108" s="50"/>
      <c r="H108" s="51"/>
    </row>
    <row r="109" spans="1:10" s="17" customFormat="1" ht="14.25">
      <c r="A109" s="48" t="s">
        <v>196</v>
      </c>
      <c r="B109" s="49" t="s">
        <v>192</v>
      </c>
      <c r="C109" s="15">
        <v>800</v>
      </c>
      <c r="D109" s="16">
        <v>3340.875</v>
      </c>
      <c r="E109" s="16">
        <v>2842.1</v>
      </c>
      <c r="F109" s="16">
        <v>4.0113599999999998</v>
      </c>
      <c r="G109" s="50"/>
      <c r="H109" s="51"/>
    </row>
    <row r="110" spans="1:10" s="17" customFormat="1" ht="14.25">
      <c r="A110" s="48" t="s">
        <v>197</v>
      </c>
      <c r="B110" s="49" t="s">
        <v>192</v>
      </c>
      <c r="C110" s="15">
        <v>7750</v>
      </c>
      <c r="D110" s="16">
        <v>6756.8443316100002</v>
      </c>
      <c r="E110" s="16">
        <v>6529.85</v>
      </c>
      <c r="F110" s="16">
        <v>89.419499999999999</v>
      </c>
      <c r="G110" s="50"/>
      <c r="H110" s="51"/>
    </row>
    <row r="111" spans="1:10" s="17" customFormat="1" ht="14.25">
      <c r="A111" s="48" t="s">
        <v>198</v>
      </c>
      <c r="B111" s="49" t="s">
        <v>192</v>
      </c>
      <c r="C111" s="15">
        <v>170000</v>
      </c>
      <c r="D111" s="16">
        <v>200.32125735</v>
      </c>
      <c r="E111" s="16">
        <v>197.25</v>
      </c>
      <c r="F111" s="16">
        <v>94.816225000000003</v>
      </c>
      <c r="G111" s="50"/>
      <c r="H111" s="51"/>
    </row>
    <row r="112" spans="1:10" s="17" customFormat="1" ht="14.25">
      <c r="A112" s="48" t="s">
        <v>199</v>
      </c>
      <c r="B112" s="49" t="s">
        <v>192</v>
      </c>
      <c r="C112" s="15">
        <v>93600</v>
      </c>
      <c r="D112" s="16">
        <v>258.79059999999998</v>
      </c>
      <c r="E112" s="16">
        <v>267.14999999999998</v>
      </c>
      <c r="F112" s="16">
        <v>52.905995999999995</v>
      </c>
      <c r="G112" s="50"/>
      <c r="H112" s="51"/>
    </row>
    <row r="113" spans="1:8" s="17" customFormat="1" ht="14.25">
      <c r="A113" s="48" t="s">
        <v>200</v>
      </c>
      <c r="B113" s="49" t="s">
        <v>192</v>
      </c>
      <c r="C113" s="15">
        <v>2850</v>
      </c>
      <c r="D113" s="16">
        <v>1130.2166</v>
      </c>
      <c r="E113" s="16">
        <v>1130.9000000000001</v>
      </c>
      <c r="F113" s="16">
        <v>5.6865194999999993</v>
      </c>
      <c r="G113" s="50"/>
      <c r="H113" s="51"/>
    </row>
    <row r="114" spans="1:8" s="17" customFormat="1" ht="14.25">
      <c r="A114" s="48" t="s">
        <v>201</v>
      </c>
      <c r="B114" s="49" t="s">
        <v>192</v>
      </c>
      <c r="C114" s="15">
        <v>10500</v>
      </c>
      <c r="D114" s="16">
        <v>206.72499999999999</v>
      </c>
      <c r="E114" s="16">
        <v>228.35</v>
      </c>
      <c r="F114" s="16">
        <v>7.6559438000000002</v>
      </c>
      <c r="G114" s="50"/>
      <c r="H114" s="51"/>
    </row>
    <row r="115" spans="1:8" s="17" customFormat="1" ht="14.25">
      <c r="A115" s="48" t="s">
        <v>202</v>
      </c>
      <c r="B115" s="49" t="s">
        <v>192</v>
      </c>
      <c r="C115" s="15">
        <v>150</v>
      </c>
      <c r="D115" s="16">
        <v>28645.733333330001</v>
      </c>
      <c r="E115" s="16">
        <v>28846.6</v>
      </c>
      <c r="F115" s="16">
        <v>7.6249856000000005</v>
      </c>
      <c r="G115" s="50"/>
      <c r="H115" s="51"/>
    </row>
    <row r="116" spans="1:8" s="17" customFormat="1" ht="14.25">
      <c r="A116" s="48" t="s">
        <v>203</v>
      </c>
      <c r="B116" s="49" t="s">
        <v>192</v>
      </c>
      <c r="C116" s="15">
        <v>13000</v>
      </c>
      <c r="D116" s="16">
        <v>985.88076923000006</v>
      </c>
      <c r="E116" s="16">
        <v>986.35</v>
      </c>
      <c r="F116" s="16">
        <v>23.784085000000001</v>
      </c>
      <c r="G116" s="50"/>
      <c r="H116" s="51"/>
    </row>
    <row r="117" spans="1:8" s="17" customFormat="1" ht="14.25">
      <c r="A117" s="48" t="s">
        <v>204</v>
      </c>
      <c r="B117" s="49" t="s">
        <v>192</v>
      </c>
      <c r="C117" s="15">
        <v>3600</v>
      </c>
      <c r="D117" s="16">
        <v>293.95</v>
      </c>
      <c r="E117" s="16">
        <v>293.25</v>
      </c>
      <c r="F117" s="16">
        <v>1.8611820000000001</v>
      </c>
      <c r="G117" s="50"/>
      <c r="H117" s="51"/>
    </row>
    <row r="118" spans="1:8" s="17" customFormat="1" ht="14.25">
      <c r="A118" s="48" t="s">
        <v>205</v>
      </c>
      <c r="B118" s="49" t="s">
        <v>192</v>
      </c>
      <c r="C118" s="15">
        <v>20000</v>
      </c>
      <c r="D118" s="16">
        <v>135.01247499999999</v>
      </c>
      <c r="E118" s="16">
        <v>136.15</v>
      </c>
      <c r="F118" s="16">
        <v>5.6298500000000002</v>
      </c>
      <c r="G118" s="50"/>
      <c r="H118" s="51"/>
    </row>
    <row r="119" spans="1:8" s="17" customFormat="1" ht="14.25">
      <c r="A119" s="48" t="s">
        <v>206</v>
      </c>
      <c r="B119" s="49" t="s">
        <v>192</v>
      </c>
      <c r="C119" s="15">
        <v>4000</v>
      </c>
      <c r="D119" s="16">
        <v>3504.7474999999999</v>
      </c>
      <c r="E119" s="16">
        <v>3513.35</v>
      </c>
      <c r="F119" s="16">
        <v>24.78773</v>
      </c>
      <c r="G119" s="50"/>
      <c r="H119" s="51"/>
    </row>
    <row r="120" spans="1:8" s="17" customFormat="1" ht="14.25">
      <c r="A120" s="48" t="s">
        <v>207</v>
      </c>
      <c r="B120" s="49" t="s">
        <v>192</v>
      </c>
      <c r="C120" s="15">
        <v>2400</v>
      </c>
      <c r="D120" s="16">
        <v>6827.8020749999996</v>
      </c>
      <c r="E120" s="16">
        <v>6733.6</v>
      </c>
      <c r="F120" s="16">
        <v>35.164121999999999</v>
      </c>
      <c r="G120" s="50"/>
      <c r="H120" s="51"/>
    </row>
    <row r="121" spans="1:8" s="17" customFormat="1" ht="14.25">
      <c r="A121" s="48" t="s">
        <v>208</v>
      </c>
      <c r="B121" s="49" t="s">
        <v>192</v>
      </c>
      <c r="C121" s="15">
        <v>6600</v>
      </c>
      <c r="D121" s="16">
        <v>2876.3665999999998</v>
      </c>
      <c r="E121" s="16">
        <v>2877.2</v>
      </c>
      <c r="F121" s="16">
        <v>35.380125</v>
      </c>
      <c r="G121" s="50"/>
      <c r="H121" s="51"/>
    </row>
    <row r="122" spans="1:8" s="17" customFormat="1" ht="14.25">
      <c r="A122" s="48" t="s">
        <v>209</v>
      </c>
      <c r="B122" s="49" t="s">
        <v>192</v>
      </c>
      <c r="C122" s="15">
        <v>53650</v>
      </c>
      <c r="D122" s="16">
        <v>906.25874053999996</v>
      </c>
      <c r="E122" s="16">
        <v>929.2</v>
      </c>
      <c r="F122" s="16">
        <v>123.73889650000001</v>
      </c>
      <c r="G122" s="50"/>
      <c r="H122" s="51"/>
    </row>
    <row r="123" spans="1:8" s="17" customFormat="1" ht="14.25">
      <c r="A123" s="48" t="s">
        <v>210</v>
      </c>
      <c r="B123" s="49" t="s">
        <v>192</v>
      </c>
      <c r="C123" s="15">
        <v>4750</v>
      </c>
      <c r="D123" s="16">
        <v>2404.1999999999998</v>
      </c>
      <c r="E123" s="16">
        <v>2414.8000000000002</v>
      </c>
      <c r="F123" s="16">
        <v>24.7187625</v>
      </c>
      <c r="G123" s="50"/>
      <c r="H123" s="51"/>
    </row>
    <row r="124" spans="1:8" s="17" customFormat="1" ht="14.25">
      <c r="A124" s="48" t="s">
        <v>211</v>
      </c>
      <c r="B124" s="49" t="s">
        <v>192</v>
      </c>
      <c r="C124" s="15">
        <v>20000</v>
      </c>
      <c r="D124" s="16">
        <v>469.13997999999998</v>
      </c>
      <c r="E124" s="16">
        <v>466.5</v>
      </c>
      <c r="F124" s="16">
        <v>21.7987</v>
      </c>
      <c r="G124" s="50"/>
      <c r="H124" s="51"/>
    </row>
    <row r="125" spans="1:8" s="17" customFormat="1" ht="14.25">
      <c r="A125" s="48" t="s">
        <v>212</v>
      </c>
      <c r="B125" s="49" t="s">
        <v>192</v>
      </c>
      <c r="C125" s="15">
        <v>300</v>
      </c>
      <c r="D125" s="16">
        <v>3064.6</v>
      </c>
      <c r="E125" s="16">
        <v>3103.35</v>
      </c>
      <c r="F125" s="16">
        <v>1.8647805</v>
      </c>
      <c r="G125" s="50"/>
      <c r="H125" s="51"/>
    </row>
    <row r="126" spans="1:8" s="17" customFormat="1" ht="14.25">
      <c r="A126" s="48" t="s">
        <v>213</v>
      </c>
      <c r="B126" s="49" t="s">
        <v>192</v>
      </c>
      <c r="C126" s="15">
        <v>54450</v>
      </c>
      <c r="D126" s="16">
        <v>1514.71311423</v>
      </c>
      <c r="E126" s="16">
        <v>1413.65</v>
      </c>
      <c r="F126" s="16">
        <v>135.76236299999999</v>
      </c>
      <c r="G126" s="50"/>
      <c r="H126" s="51"/>
    </row>
    <row r="127" spans="1:8" s="17" customFormat="1" ht="14.25">
      <c r="A127" s="48" t="s">
        <v>214</v>
      </c>
      <c r="B127" s="49" t="s">
        <v>192</v>
      </c>
      <c r="C127" s="15">
        <v>16500</v>
      </c>
      <c r="D127" s="16">
        <v>580.9067</v>
      </c>
      <c r="E127" s="16">
        <v>586.04999999999995</v>
      </c>
      <c r="F127" s="16">
        <v>17.062278799999998</v>
      </c>
      <c r="G127" s="50"/>
      <c r="H127" s="51"/>
    </row>
    <row r="128" spans="1:8" s="17" customFormat="1" ht="14.25">
      <c r="A128" s="48" t="s">
        <v>215</v>
      </c>
      <c r="B128" s="49" t="s">
        <v>192</v>
      </c>
      <c r="C128" s="15">
        <v>7000</v>
      </c>
      <c r="D128" s="16">
        <v>561.15998000000002</v>
      </c>
      <c r="E128" s="16">
        <v>506.85</v>
      </c>
      <c r="F128" s="16">
        <v>7.5342750000000001</v>
      </c>
      <c r="G128" s="50"/>
      <c r="H128" s="51"/>
    </row>
    <row r="129" spans="1:8" s="17" customFormat="1" ht="14.25">
      <c r="A129" s="48" t="s">
        <v>216</v>
      </c>
      <c r="B129" s="49" t="s">
        <v>192</v>
      </c>
      <c r="C129" s="15">
        <v>68900</v>
      </c>
      <c r="D129" s="16">
        <v>254.26920000000001</v>
      </c>
      <c r="E129" s="16">
        <v>270.89999999999998</v>
      </c>
      <c r="F129" s="16">
        <v>65.190596299999996</v>
      </c>
      <c r="G129" s="50"/>
      <c r="H129" s="51"/>
    </row>
    <row r="130" spans="1:8" s="17" customFormat="1" ht="14.25">
      <c r="A130" s="48" t="s">
        <v>217</v>
      </c>
      <c r="B130" s="49" t="s">
        <v>192</v>
      </c>
      <c r="C130" s="15">
        <v>59400</v>
      </c>
      <c r="D130" s="16">
        <v>517.92272727</v>
      </c>
      <c r="E130" s="16">
        <v>517</v>
      </c>
      <c r="F130" s="16">
        <v>85.710339000000005</v>
      </c>
      <c r="G130" s="50"/>
      <c r="H130" s="51"/>
    </row>
    <row r="131" spans="1:8" s="17" customFormat="1" ht="14.25">
      <c r="A131" s="48" t="s">
        <v>218</v>
      </c>
      <c r="B131" s="49" t="s">
        <v>192</v>
      </c>
      <c r="C131" s="15">
        <v>960000</v>
      </c>
      <c r="D131" s="16">
        <v>17.95</v>
      </c>
      <c r="E131" s="16">
        <v>13.75</v>
      </c>
      <c r="F131" s="16">
        <v>60.019199999999998</v>
      </c>
      <c r="G131" s="50"/>
      <c r="H131" s="51"/>
    </row>
    <row r="132" spans="1:8" s="17" customFormat="1" ht="14.25">
      <c r="A132" s="48" t="s">
        <v>219</v>
      </c>
      <c r="B132" s="49" t="s">
        <v>192</v>
      </c>
      <c r="C132" s="15">
        <v>3000</v>
      </c>
      <c r="D132" s="16">
        <v>1468.5582999999999</v>
      </c>
      <c r="E132" s="16">
        <v>1493.8</v>
      </c>
      <c r="F132" s="16">
        <v>8.3818493023255822</v>
      </c>
      <c r="G132" s="50"/>
      <c r="H132" s="51"/>
    </row>
    <row r="133" spans="1:8" s="17" customFormat="1" ht="14.25">
      <c r="A133" s="48" t="s">
        <v>220</v>
      </c>
      <c r="B133" s="49" t="s">
        <v>192</v>
      </c>
      <c r="C133" s="15">
        <v>18500</v>
      </c>
      <c r="D133" s="16">
        <v>1483.2418648600001</v>
      </c>
      <c r="E133" s="16">
        <v>1482.3</v>
      </c>
      <c r="F133" s="16">
        <v>51.688070697674419</v>
      </c>
      <c r="G133" s="50"/>
      <c r="H133" s="51"/>
    </row>
    <row r="134" spans="1:8" s="17" customFormat="1" ht="14.25">
      <c r="A134" s="48" t="s">
        <v>221</v>
      </c>
      <c r="B134" s="49" t="s">
        <v>192</v>
      </c>
      <c r="C134" s="15">
        <v>3400</v>
      </c>
      <c r="D134" s="16">
        <v>253.55</v>
      </c>
      <c r="E134" s="16">
        <v>254.1</v>
      </c>
      <c r="F134" s="16">
        <v>2.9973719999999999</v>
      </c>
      <c r="G134" s="50"/>
      <c r="H134" s="51"/>
    </row>
    <row r="135" spans="1:8" s="17" customFormat="1" ht="14.25">
      <c r="A135" s="48" t="s">
        <v>222</v>
      </c>
      <c r="B135" s="49" t="s">
        <v>192</v>
      </c>
      <c r="C135" s="15">
        <v>9750</v>
      </c>
      <c r="D135" s="16">
        <v>166.8</v>
      </c>
      <c r="E135" s="16">
        <v>166.9</v>
      </c>
      <c r="F135" s="16">
        <v>3.2339530999999999</v>
      </c>
      <c r="G135" s="50"/>
      <c r="H135" s="51"/>
    </row>
    <row r="136" spans="1:8" s="17" customFormat="1" ht="14.25">
      <c r="A136" s="48" t="s">
        <v>223</v>
      </c>
      <c r="B136" s="49" t="s">
        <v>192</v>
      </c>
      <c r="C136" s="15">
        <v>33600</v>
      </c>
      <c r="D136" s="16">
        <v>414.11186190000001</v>
      </c>
      <c r="E136" s="16">
        <v>409.1</v>
      </c>
      <c r="F136" s="16">
        <v>24.251892000000002</v>
      </c>
      <c r="G136" s="50"/>
      <c r="H136" s="51"/>
    </row>
    <row r="137" spans="1:8" s="17" customFormat="1" ht="14.25">
      <c r="A137" s="48" t="s">
        <v>224</v>
      </c>
      <c r="B137" s="49" t="s">
        <v>192</v>
      </c>
      <c r="C137" s="15">
        <v>3375</v>
      </c>
      <c r="D137" s="16">
        <v>806.93</v>
      </c>
      <c r="E137" s="16">
        <v>806.4</v>
      </c>
      <c r="F137" s="16">
        <v>4.7980013000000001</v>
      </c>
      <c r="G137" s="50"/>
      <c r="H137" s="51"/>
    </row>
    <row r="138" spans="1:8" s="17" customFormat="1" ht="14.25">
      <c r="A138" s="48" t="s">
        <v>225</v>
      </c>
      <c r="B138" s="49" t="s">
        <v>192</v>
      </c>
      <c r="C138" s="15">
        <v>2400</v>
      </c>
      <c r="D138" s="16">
        <v>1751.9749999999999</v>
      </c>
      <c r="E138" s="16">
        <v>1700.1</v>
      </c>
      <c r="F138" s="16">
        <v>7.2024180000000007</v>
      </c>
      <c r="G138" s="50"/>
      <c r="H138" s="51"/>
    </row>
    <row r="139" spans="1:8" s="17" customFormat="1" ht="14.25">
      <c r="A139" s="48" t="s">
        <v>226</v>
      </c>
      <c r="B139" s="49" t="s">
        <v>192</v>
      </c>
      <c r="C139" s="15">
        <v>22000</v>
      </c>
      <c r="D139" s="16">
        <v>652.19089091000001</v>
      </c>
      <c r="E139" s="16">
        <v>651.75</v>
      </c>
      <c r="F139" s="16">
        <v>27.633154999999999</v>
      </c>
      <c r="G139" s="50"/>
      <c r="H139" s="51"/>
    </row>
    <row r="140" spans="1:8" s="17" customFormat="1" ht="14.25">
      <c r="A140" s="48" t="s">
        <v>227</v>
      </c>
      <c r="B140" s="49" t="s">
        <v>192</v>
      </c>
      <c r="C140" s="15">
        <v>6000</v>
      </c>
      <c r="D140" s="16">
        <v>3483.3550150000001</v>
      </c>
      <c r="E140" s="16">
        <v>3501.1</v>
      </c>
      <c r="F140" s="16">
        <v>37.060499999999998</v>
      </c>
      <c r="G140" s="50"/>
      <c r="H140" s="51"/>
    </row>
    <row r="141" spans="1:8" s="17" customFormat="1" ht="14.25">
      <c r="A141" s="48" t="s">
        <v>228</v>
      </c>
      <c r="B141" s="49" t="s">
        <v>192</v>
      </c>
      <c r="C141" s="15">
        <v>1200</v>
      </c>
      <c r="D141" s="16">
        <v>520.6</v>
      </c>
      <c r="E141" s="16">
        <v>519.25</v>
      </c>
      <c r="F141" s="16">
        <v>1.111164</v>
      </c>
      <c r="G141" s="50"/>
      <c r="H141" s="51"/>
    </row>
    <row r="142" spans="1:8" s="17" customFormat="1" ht="14.25">
      <c r="A142" s="48" t="s">
        <v>229</v>
      </c>
      <c r="B142" s="49" t="s">
        <v>192</v>
      </c>
      <c r="C142" s="15">
        <v>50</v>
      </c>
      <c r="D142" s="16">
        <v>11639.65</v>
      </c>
      <c r="E142" s="16">
        <v>11358</v>
      </c>
      <c r="F142" s="16">
        <v>1.0021742999999999</v>
      </c>
      <c r="G142" s="50"/>
      <c r="H142" s="51"/>
    </row>
    <row r="143" spans="1:8" s="17" customFormat="1" ht="14.25">
      <c r="A143" s="48" t="s">
        <v>230</v>
      </c>
      <c r="B143" s="49" t="s">
        <v>192</v>
      </c>
      <c r="C143" s="15">
        <v>10500</v>
      </c>
      <c r="D143" s="16">
        <v>1160.3699999999999</v>
      </c>
      <c r="E143" s="16">
        <v>1172</v>
      </c>
      <c r="F143" s="16">
        <v>21.7408538</v>
      </c>
      <c r="G143" s="50"/>
      <c r="H143" s="51"/>
    </row>
    <row r="144" spans="1:8" s="17" customFormat="1" ht="14.25">
      <c r="A144" s="48" t="s">
        <v>231</v>
      </c>
      <c r="B144" s="49" t="s">
        <v>192</v>
      </c>
      <c r="C144" s="15">
        <v>2800</v>
      </c>
      <c r="D144" s="16">
        <v>3703.9785000000002</v>
      </c>
      <c r="E144" s="16">
        <v>3791.85</v>
      </c>
      <c r="F144" s="16">
        <v>25.840107999999997</v>
      </c>
      <c r="G144" s="50"/>
      <c r="H144" s="51"/>
    </row>
    <row r="145" spans="1:8" s="17" customFormat="1" ht="14.25">
      <c r="A145" s="48" t="s">
        <v>232</v>
      </c>
      <c r="B145" s="49" t="s">
        <v>192</v>
      </c>
      <c r="C145" s="15">
        <v>1500</v>
      </c>
      <c r="D145" s="16">
        <v>5264.82</v>
      </c>
      <c r="E145" s="16">
        <v>5305.25</v>
      </c>
      <c r="F145" s="16">
        <v>15.990873799999999</v>
      </c>
      <c r="G145" s="50"/>
      <c r="H145" s="51"/>
    </row>
    <row r="146" spans="1:8" s="17" customFormat="1" ht="14.25">
      <c r="A146" s="48" t="s">
        <v>233</v>
      </c>
      <c r="B146" s="49" t="s">
        <v>192</v>
      </c>
      <c r="C146" s="15">
        <v>36000</v>
      </c>
      <c r="D146" s="16">
        <v>277.45</v>
      </c>
      <c r="E146" s="16">
        <v>277.8</v>
      </c>
      <c r="F146" s="16">
        <v>17.706060000000001</v>
      </c>
      <c r="G146" s="50"/>
      <c r="H146" s="51"/>
    </row>
    <row r="147" spans="1:8" s="17" customFormat="1" ht="14.25">
      <c r="A147" s="48" t="s">
        <v>234</v>
      </c>
      <c r="B147" s="49" t="s">
        <v>192</v>
      </c>
      <c r="C147" s="15">
        <v>51000</v>
      </c>
      <c r="D147" s="16">
        <v>280.07058824000001</v>
      </c>
      <c r="E147" s="16">
        <v>275.64999999999998</v>
      </c>
      <c r="F147" s="16">
        <v>25.083584999999999</v>
      </c>
      <c r="G147" s="50"/>
      <c r="H147" s="51"/>
    </row>
    <row r="148" spans="1:8" s="17" customFormat="1" ht="14.25">
      <c r="A148" s="48" t="s">
        <v>235</v>
      </c>
      <c r="B148" s="49" t="s">
        <v>192</v>
      </c>
      <c r="C148" s="15">
        <v>39600</v>
      </c>
      <c r="D148" s="16">
        <v>279.30900000000003</v>
      </c>
      <c r="E148" s="16">
        <v>286.35000000000002</v>
      </c>
      <c r="F148" s="16">
        <v>20.007701999999998</v>
      </c>
      <c r="G148" s="50"/>
      <c r="H148" s="51"/>
    </row>
    <row r="149" spans="1:8" s="17" customFormat="1" ht="14.25">
      <c r="A149" s="48" t="s">
        <v>236</v>
      </c>
      <c r="B149" s="49" t="s">
        <v>192</v>
      </c>
      <c r="C149" s="15">
        <v>1500</v>
      </c>
      <c r="D149" s="16">
        <v>2966.4749999999999</v>
      </c>
      <c r="E149" s="16">
        <v>2965.6</v>
      </c>
      <c r="F149" s="16">
        <v>7.7908064785714286</v>
      </c>
      <c r="G149" s="50"/>
      <c r="H149" s="51"/>
    </row>
    <row r="150" spans="1:8" s="17" customFormat="1" ht="14.25">
      <c r="A150" s="48" t="s">
        <v>237</v>
      </c>
      <c r="B150" s="49" t="s">
        <v>192</v>
      </c>
      <c r="C150" s="15">
        <v>12500</v>
      </c>
      <c r="D150" s="16">
        <v>2974.1609600000002</v>
      </c>
      <c r="E150" s="16">
        <v>2944.25</v>
      </c>
      <c r="F150" s="16">
        <v>64.923387321428578</v>
      </c>
      <c r="G150" s="50"/>
      <c r="H150" s="51"/>
    </row>
    <row r="151" spans="1:8" s="17" customFormat="1" ht="14.25">
      <c r="A151" s="48" t="s">
        <v>238</v>
      </c>
      <c r="B151" s="49" t="s">
        <v>192</v>
      </c>
      <c r="C151" s="15">
        <v>25500</v>
      </c>
      <c r="D151" s="16">
        <v>755.79998235000005</v>
      </c>
      <c r="E151" s="16">
        <v>754.25</v>
      </c>
      <c r="F151" s="16">
        <v>33.913533799999996</v>
      </c>
      <c r="G151" s="50"/>
      <c r="H151" s="51"/>
    </row>
    <row r="152" spans="1:8" s="17" customFormat="1" ht="14.25">
      <c r="A152" s="48" t="s">
        <v>239</v>
      </c>
      <c r="B152" s="49" t="s">
        <v>192</v>
      </c>
      <c r="C152" s="15">
        <v>10000</v>
      </c>
      <c r="D152" s="16">
        <v>1925.51749</v>
      </c>
      <c r="E152" s="16">
        <v>1934.45</v>
      </c>
      <c r="F152" s="16">
        <v>37.297499999999999</v>
      </c>
      <c r="G152" s="50"/>
      <c r="H152" s="51"/>
    </row>
    <row r="153" spans="1:8" s="17" customFormat="1" ht="14.25">
      <c r="A153" s="48" t="s">
        <v>240</v>
      </c>
      <c r="B153" s="49" t="s">
        <v>192</v>
      </c>
      <c r="C153" s="15">
        <v>9975</v>
      </c>
      <c r="D153" s="16">
        <v>934.71420049999995</v>
      </c>
      <c r="E153" s="16">
        <v>957.45</v>
      </c>
      <c r="F153" s="16">
        <v>17.7390413</v>
      </c>
      <c r="G153" s="50"/>
      <c r="H153" s="51"/>
    </row>
    <row r="154" spans="1:8" s="17" customFormat="1" ht="14.25">
      <c r="A154" s="48" t="s">
        <v>241</v>
      </c>
      <c r="B154" s="49" t="s">
        <v>192</v>
      </c>
      <c r="C154" s="15">
        <v>126500</v>
      </c>
      <c r="D154" s="16">
        <v>143.20646522000001</v>
      </c>
      <c r="E154" s="16">
        <v>141.85</v>
      </c>
      <c r="F154" s="16">
        <v>32.808723799999996</v>
      </c>
      <c r="G154" s="50"/>
      <c r="H154" s="51"/>
    </row>
    <row r="155" spans="1:8" s="17" customFormat="1" ht="14.25">
      <c r="A155" s="48" t="s">
        <v>242</v>
      </c>
      <c r="B155" s="49" t="s">
        <v>192</v>
      </c>
      <c r="C155" s="15">
        <v>5775</v>
      </c>
      <c r="D155" s="16">
        <v>4079.6939393900002</v>
      </c>
      <c r="E155" s="16">
        <v>4125.25</v>
      </c>
      <c r="F155" s="16">
        <v>42.0411626</v>
      </c>
      <c r="G155" s="50"/>
      <c r="H155" s="51"/>
    </row>
    <row r="156" spans="1:8" s="17" customFormat="1" ht="14.25">
      <c r="A156" s="48" t="s">
        <v>243</v>
      </c>
      <c r="B156" s="49" t="s">
        <v>192</v>
      </c>
      <c r="C156" s="15">
        <v>3500</v>
      </c>
      <c r="D156" s="16">
        <v>3658.6674499999999</v>
      </c>
      <c r="E156" s="16">
        <v>3650.8</v>
      </c>
      <c r="F156" s="16">
        <v>22.541347500000001</v>
      </c>
      <c r="G156" s="50"/>
      <c r="H156" s="51"/>
    </row>
    <row r="157" spans="1:8" s="17" customFormat="1" ht="14.25">
      <c r="A157" s="48" t="s">
        <v>244</v>
      </c>
      <c r="B157" s="49" t="s">
        <v>192</v>
      </c>
      <c r="C157" s="15">
        <v>158700</v>
      </c>
      <c r="D157" s="16">
        <v>270.26231159000002</v>
      </c>
      <c r="E157" s="16">
        <v>269.8</v>
      </c>
      <c r="F157" s="16">
        <v>114.970215</v>
      </c>
      <c r="G157" s="50"/>
      <c r="H157" s="51"/>
    </row>
    <row r="158" spans="1:8" ht="14.25">
      <c r="A158" s="52"/>
      <c r="B158" s="53"/>
      <c r="C158" s="54"/>
      <c r="D158" s="35"/>
      <c r="E158" s="55"/>
      <c r="F158" s="35"/>
      <c r="G158" s="51"/>
      <c r="H158" s="35"/>
    </row>
    <row r="159" spans="1:8" ht="14.25">
      <c r="A159" s="56" t="s">
        <v>245</v>
      </c>
      <c r="B159" s="57"/>
      <c r="C159" s="58"/>
      <c r="D159" s="59"/>
      <c r="E159" s="60"/>
      <c r="F159" s="51"/>
      <c r="G159" s="35"/>
      <c r="H159" s="51"/>
    </row>
    <row r="160" spans="1:8" ht="14.25">
      <c r="A160" s="61"/>
      <c r="B160" s="41"/>
      <c r="C160" s="62"/>
      <c r="D160" s="59"/>
      <c r="E160" s="60"/>
      <c r="F160" s="35"/>
      <c r="G160" s="35"/>
      <c r="H160" s="35"/>
    </row>
    <row r="161" spans="1:8" ht="14.25">
      <c r="A161" s="95" t="s">
        <v>261</v>
      </c>
      <c r="B161" s="95"/>
      <c r="C161" s="95"/>
      <c r="D161" s="63"/>
      <c r="E161" s="60"/>
      <c r="F161" s="35"/>
      <c r="G161" s="35"/>
      <c r="H161" s="35"/>
    </row>
    <row r="162" spans="1:8" ht="14.25">
      <c r="A162" s="84" t="s">
        <v>246</v>
      </c>
      <c r="B162" s="96"/>
      <c r="C162" s="96"/>
      <c r="D162" s="97"/>
      <c r="E162" s="60"/>
      <c r="F162" s="35"/>
      <c r="G162" s="35"/>
      <c r="H162" s="35"/>
    </row>
    <row r="163" spans="1:8" ht="14.25">
      <c r="A163" s="83" t="s">
        <v>247</v>
      </c>
      <c r="B163" s="87"/>
      <c r="C163" s="88"/>
      <c r="D163" s="64">
        <v>1230</v>
      </c>
      <c r="E163" s="60"/>
      <c r="F163" s="35"/>
      <c r="G163" s="35"/>
      <c r="H163" s="35"/>
    </row>
    <row r="164" spans="1:8" ht="14.25">
      <c r="A164" s="83" t="s">
        <v>248</v>
      </c>
      <c r="B164" s="87"/>
      <c r="C164" s="88"/>
      <c r="D164" s="64">
        <v>1326</v>
      </c>
      <c r="E164" s="60"/>
      <c r="F164" s="35"/>
      <c r="G164" s="35"/>
      <c r="H164" s="35"/>
    </row>
    <row r="165" spans="1:8" ht="14.25">
      <c r="A165" s="83" t="s">
        <v>249</v>
      </c>
      <c r="B165" s="87"/>
      <c r="C165" s="88"/>
      <c r="D165" s="65">
        <v>10103.370000000001</v>
      </c>
      <c r="E165" s="79"/>
      <c r="F165" s="35"/>
      <c r="G165" s="35"/>
      <c r="H165" s="35"/>
    </row>
    <row r="166" spans="1:8" ht="14.25">
      <c r="A166" s="82" t="s">
        <v>250</v>
      </c>
      <c r="B166" s="82"/>
      <c r="C166" s="82"/>
      <c r="D166" s="65">
        <v>10408.35</v>
      </c>
      <c r="E166" s="80"/>
      <c r="F166" s="35"/>
      <c r="G166" s="51"/>
      <c r="H166" s="35"/>
    </row>
    <row r="167" spans="1:8" ht="14.25">
      <c r="A167" s="82" t="s">
        <v>251</v>
      </c>
      <c r="B167" s="82"/>
      <c r="C167" s="82"/>
      <c r="D167" s="78">
        <v>-366.07</v>
      </c>
      <c r="E167" s="80"/>
      <c r="F167" s="35"/>
      <c r="G167" s="51"/>
      <c r="H167" s="35"/>
    </row>
    <row r="168" spans="1:8" ht="14.25">
      <c r="A168" s="61"/>
      <c r="B168" s="41"/>
      <c r="C168" s="59"/>
      <c r="D168" s="59"/>
      <c r="E168" s="60"/>
      <c r="F168" s="35"/>
      <c r="G168" s="51"/>
      <c r="H168" s="35"/>
    </row>
    <row r="169" spans="1:8" ht="14.25">
      <c r="A169" s="66" t="s">
        <v>252</v>
      </c>
      <c r="B169" s="66"/>
      <c r="C169" s="66"/>
      <c r="D169" s="59"/>
      <c r="E169" s="60"/>
      <c r="F169" s="35"/>
      <c r="G169" s="51"/>
      <c r="H169" s="35"/>
    </row>
    <row r="170" spans="1:8" ht="14.25">
      <c r="A170" s="84" t="s">
        <v>253</v>
      </c>
      <c r="B170" s="85"/>
      <c r="C170" s="85"/>
      <c r="D170" s="86"/>
      <c r="E170" s="60"/>
      <c r="F170" s="35"/>
      <c r="G170" s="35"/>
      <c r="H170" s="35"/>
    </row>
    <row r="171" spans="1:8" ht="14.25">
      <c r="A171" s="82" t="s">
        <v>247</v>
      </c>
      <c r="B171" s="82"/>
      <c r="C171" s="83"/>
      <c r="D171" s="67" t="s">
        <v>254</v>
      </c>
      <c r="E171" s="60"/>
      <c r="F171" s="35"/>
      <c r="G171" s="35"/>
      <c r="H171" s="35"/>
    </row>
    <row r="172" spans="1:8" ht="14.25">
      <c r="A172" s="82" t="s">
        <v>248</v>
      </c>
      <c r="B172" s="82"/>
      <c r="C172" s="83"/>
      <c r="D172" s="67" t="s">
        <v>254</v>
      </c>
      <c r="E172" s="60"/>
      <c r="F172" s="35"/>
      <c r="G172" s="35"/>
      <c r="H172" s="35"/>
    </row>
    <row r="173" spans="1:8" ht="14.25">
      <c r="A173" s="82" t="s">
        <v>249</v>
      </c>
      <c r="B173" s="82"/>
      <c r="C173" s="83"/>
      <c r="D173" s="68" t="s">
        <v>254</v>
      </c>
      <c r="E173" s="60"/>
      <c r="F173" s="35"/>
      <c r="G173" s="35"/>
      <c r="H173" s="35"/>
    </row>
    <row r="174" spans="1:8" ht="14.25">
      <c r="A174" s="82" t="s">
        <v>250</v>
      </c>
      <c r="B174" s="82"/>
      <c r="C174" s="83"/>
      <c r="D174" s="68" t="s">
        <v>254</v>
      </c>
      <c r="E174" s="60"/>
      <c r="F174" s="35"/>
      <c r="G174" s="35"/>
      <c r="H174" s="35"/>
    </row>
    <row r="175" spans="1:8" ht="14.25">
      <c r="A175" s="82" t="s">
        <v>251</v>
      </c>
      <c r="B175" s="82"/>
      <c r="C175" s="83"/>
      <c r="D175" s="68" t="s">
        <v>254</v>
      </c>
      <c r="E175" s="60"/>
      <c r="F175" s="35"/>
      <c r="G175" s="35"/>
      <c r="H175" s="35"/>
    </row>
    <row r="176" spans="1:8" ht="14.25">
      <c r="A176" s="69"/>
      <c r="B176" s="57"/>
      <c r="C176" s="54"/>
      <c r="D176" s="59"/>
      <c r="E176" s="60"/>
      <c r="F176" s="35"/>
      <c r="G176" s="35"/>
      <c r="H176" s="35"/>
    </row>
    <row r="177" spans="1:8" ht="14.25">
      <c r="A177" s="70" t="s">
        <v>255</v>
      </c>
      <c r="B177" s="71"/>
      <c r="C177" s="71"/>
      <c r="D177" s="59"/>
      <c r="E177" s="60"/>
      <c r="F177" s="35"/>
      <c r="G177" s="35"/>
      <c r="H177" s="35"/>
    </row>
    <row r="178" spans="1:8" ht="14.25">
      <c r="A178" s="72" t="s">
        <v>256</v>
      </c>
      <c r="B178" s="71"/>
      <c r="C178" s="71"/>
      <c r="D178" s="59"/>
      <c r="E178" s="60"/>
      <c r="F178" s="35"/>
      <c r="G178" s="35"/>
      <c r="H178" s="35"/>
    </row>
    <row r="179" spans="1:8" ht="14.25">
      <c r="A179" s="72" t="s">
        <v>257</v>
      </c>
      <c r="B179" s="72"/>
      <c r="C179" s="72"/>
      <c r="D179" s="59"/>
      <c r="E179" s="60"/>
      <c r="F179" s="35"/>
      <c r="G179" s="35"/>
      <c r="H179" s="35"/>
    </row>
    <row r="180" spans="1:8" ht="14.25">
      <c r="A180" s="72" t="s">
        <v>258</v>
      </c>
      <c r="B180" s="72"/>
      <c r="C180" s="72"/>
      <c r="D180" s="59"/>
      <c r="E180" s="60"/>
      <c r="F180" s="35"/>
      <c r="G180" s="35"/>
      <c r="H180" s="35"/>
    </row>
    <row r="181" spans="1:8" ht="14.25">
      <c r="A181" s="72"/>
      <c r="B181" s="71"/>
      <c r="C181" s="71"/>
      <c r="D181" s="59"/>
      <c r="E181" s="60"/>
      <c r="F181" s="35"/>
      <c r="G181" s="35"/>
      <c r="H181" s="35"/>
    </row>
    <row r="182" spans="1:8" ht="14.25">
      <c r="A182" s="73" t="s">
        <v>259</v>
      </c>
      <c r="B182" s="74" t="s">
        <v>260</v>
      </c>
      <c r="C182" s="1"/>
      <c r="D182" s="59"/>
      <c r="E182" s="60"/>
      <c r="F182" s="35"/>
      <c r="G182" s="35"/>
      <c r="H182" s="35"/>
    </row>
    <row r="183" spans="1:8" ht="14.25">
      <c r="A183" s="71"/>
      <c r="B183" s="71"/>
      <c r="C183" s="71"/>
      <c r="D183" s="59"/>
      <c r="E183" s="60"/>
      <c r="F183" s="35"/>
      <c r="G183" s="35"/>
      <c r="H183" s="35"/>
    </row>
    <row r="184" spans="1:8" ht="14.25">
      <c r="A184" s="71"/>
      <c r="B184" s="71"/>
      <c r="C184" s="71"/>
      <c r="D184" s="59"/>
      <c r="E184" s="60"/>
      <c r="F184" s="35"/>
      <c r="G184" s="35"/>
      <c r="H184" s="35"/>
    </row>
    <row r="185" spans="1:8" ht="14.25">
      <c r="A185" s="71"/>
      <c r="B185" s="71"/>
      <c r="C185" s="71"/>
      <c r="D185" s="59"/>
      <c r="E185" s="60"/>
      <c r="F185" s="35"/>
      <c r="G185" s="35"/>
      <c r="H185" s="35"/>
    </row>
    <row r="186" spans="1:8" ht="14.25">
      <c r="A186" s="71"/>
      <c r="B186" s="71"/>
      <c r="C186" s="71"/>
      <c r="D186" s="59"/>
      <c r="E186" s="60"/>
      <c r="F186" s="35"/>
      <c r="G186" s="35"/>
      <c r="H186" s="35"/>
    </row>
    <row r="187" spans="1:8" ht="14.25">
      <c r="A187" s="71"/>
      <c r="B187" s="71"/>
      <c r="C187" s="71"/>
      <c r="D187" s="59"/>
      <c r="E187" s="60"/>
      <c r="F187" s="35"/>
      <c r="G187" s="35"/>
      <c r="H187" s="35"/>
    </row>
    <row r="188" spans="1:8" ht="14.25">
      <c r="A188" s="71"/>
      <c r="B188" s="71"/>
      <c r="C188" s="71"/>
      <c r="D188" s="59"/>
      <c r="E188" s="60"/>
      <c r="F188" s="35"/>
      <c r="G188" s="35"/>
      <c r="H188" s="35"/>
    </row>
    <row r="189" spans="1:8" ht="14.25">
      <c r="A189" s="71"/>
      <c r="B189" s="71"/>
      <c r="C189" s="71"/>
      <c r="D189" s="59"/>
      <c r="E189" s="60"/>
      <c r="F189" s="35"/>
      <c r="G189" s="35"/>
      <c r="H189" s="35"/>
    </row>
    <row r="190" spans="1:8" ht="14.25">
      <c r="F190" s="35"/>
      <c r="G190" s="35"/>
      <c r="H190" s="35"/>
    </row>
    <row r="191" spans="1:8" ht="14.25">
      <c r="A191" s="52"/>
      <c r="B191" s="53"/>
      <c r="C191" s="54"/>
      <c r="D191" s="35"/>
      <c r="E191" s="35"/>
      <c r="F191" s="35"/>
      <c r="G191" s="35"/>
      <c r="H191" s="35"/>
    </row>
    <row r="192" spans="1:8" ht="14.25">
      <c r="A192" s="52"/>
      <c r="B192" s="53"/>
      <c r="C192" s="54"/>
      <c r="D192" s="35"/>
      <c r="E192" s="35"/>
      <c r="F192" s="35"/>
      <c r="G192" s="35"/>
      <c r="H192" s="35"/>
    </row>
    <row r="193" spans="1:8" ht="14.25">
      <c r="A193" s="52"/>
      <c r="B193" s="53"/>
      <c r="C193" s="54"/>
      <c r="D193" s="35"/>
      <c r="E193" s="35"/>
      <c r="F193" s="35"/>
      <c r="G193" s="35"/>
      <c r="H193" s="35"/>
    </row>
    <row r="194" spans="1:8" ht="14.25">
      <c r="A194" s="52"/>
      <c r="B194" s="53"/>
      <c r="C194" s="54"/>
      <c r="D194" s="35"/>
      <c r="E194" s="35"/>
      <c r="F194" s="35"/>
      <c r="G194" s="35"/>
      <c r="H194" s="35"/>
    </row>
    <row r="195" spans="1:8" ht="14.25">
      <c r="A195" s="52"/>
      <c r="B195" s="53"/>
      <c r="C195" s="54"/>
      <c r="D195" s="35"/>
      <c r="E195" s="35"/>
      <c r="F195" s="35"/>
      <c r="G195" s="35"/>
      <c r="H195" s="35"/>
    </row>
    <row r="196" spans="1:8" ht="14.25">
      <c r="A196" s="52"/>
      <c r="B196" s="53"/>
      <c r="C196" s="54"/>
      <c r="D196" s="35"/>
      <c r="E196" s="35"/>
      <c r="F196" s="35"/>
      <c r="G196" s="35"/>
      <c r="H196" s="35"/>
    </row>
    <row r="197" spans="1:8" ht="14.25">
      <c r="A197" s="52"/>
      <c r="B197" s="53"/>
      <c r="C197" s="54"/>
      <c r="D197" s="35"/>
      <c r="E197" s="35"/>
      <c r="F197" s="35"/>
      <c r="G197" s="35"/>
      <c r="H197" s="35"/>
    </row>
    <row r="198" spans="1:8" ht="14.25">
      <c r="A198" s="52"/>
      <c r="B198" s="53"/>
      <c r="C198" s="54"/>
      <c r="D198" s="35"/>
      <c r="E198" s="35"/>
      <c r="F198" s="35"/>
      <c r="G198" s="35"/>
      <c r="H198" s="35"/>
    </row>
    <row r="199" spans="1:8" ht="14.25">
      <c r="A199" s="52"/>
      <c r="B199" s="53"/>
      <c r="C199" s="54"/>
      <c r="D199" s="35"/>
      <c r="E199" s="35"/>
      <c r="F199" s="35"/>
      <c r="G199" s="35"/>
      <c r="H199" s="35"/>
    </row>
    <row r="200" spans="1:8" ht="14.25">
      <c r="A200" s="52"/>
      <c r="B200" s="53"/>
      <c r="C200" s="54"/>
      <c r="D200" s="35"/>
      <c r="E200" s="35"/>
      <c r="F200" s="35"/>
      <c r="G200" s="35"/>
      <c r="H200" s="35"/>
    </row>
    <row r="201" spans="1:8" ht="14.25">
      <c r="A201" s="52"/>
      <c r="B201" s="53"/>
      <c r="C201" s="54"/>
      <c r="D201" s="35"/>
      <c r="E201" s="35"/>
      <c r="F201" s="35"/>
      <c r="G201" s="35"/>
      <c r="H201" s="35"/>
    </row>
    <row r="202" spans="1:8" ht="14.25">
      <c r="A202" s="52"/>
      <c r="B202" s="53"/>
      <c r="C202" s="54"/>
      <c r="D202" s="35"/>
      <c r="E202" s="35"/>
      <c r="F202" s="35"/>
      <c r="G202" s="35"/>
      <c r="H202" s="35"/>
    </row>
    <row r="203" spans="1:8" ht="14.25">
      <c r="A203" s="52"/>
      <c r="B203" s="53"/>
      <c r="C203" s="54"/>
      <c r="D203" s="35"/>
      <c r="E203" s="35"/>
      <c r="F203" s="35"/>
      <c r="G203" s="35"/>
      <c r="H203" s="35"/>
    </row>
    <row r="204" spans="1:8" ht="14.25">
      <c r="A204" s="52"/>
      <c r="B204" s="53"/>
      <c r="C204" s="54"/>
      <c r="D204" s="35"/>
      <c r="E204" s="35"/>
      <c r="F204" s="35"/>
      <c r="G204" s="35"/>
      <c r="H204" s="35"/>
    </row>
    <row r="205" spans="1:8" ht="14.25">
      <c r="A205" s="52"/>
      <c r="B205" s="53"/>
      <c r="C205" s="54"/>
      <c r="D205" s="35"/>
      <c r="E205" s="35"/>
      <c r="F205" s="35"/>
      <c r="G205" s="35"/>
      <c r="H205" s="35"/>
    </row>
    <row r="206" spans="1:8" ht="14.25">
      <c r="A206" s="52"/>
      <c r="B206" s="53"/>
      <c r="C206" s="54"/>
      <c r="D206" s="35"/>
      <c r="E206" s="35"/>
      <c r="F206" s="35"/>
      <c r="G206" s="35"/>
      <c r="H206" s="35"/>
    </row>
    <row r="207" spans="1:8" ht="14.25">
      <c r="A207" s="52"/>
      <c r="B207" s="53"/>
      <c r="C207" s="54"/>
      <c r="D207" s="35"/>
      <c r="E207" s="35"/>
      <c r="F207" s="35"/>
      <c r="G207" s="35"/>
      <c r="H207" s="35"/>
    </row>
    <row r="208" spans="1:8" ht="14.25">
      <c r="A208" s="52"/>
      <c r="B208" s="53"/>
      <c r="C208" s="54"/>
      <c r="D208" s="35"/>
      <c r="E208" s="35"/>
      <c r="F208" s="35"/>
      <c r="G208" s="35"/>
      <c r="H208" s="35"/>
    </row>
    <row r="209" spans="1:8" ht="14.25">
      <c r="A209" s="52"/>
      <c r="B209" s="53"/>
      <c r="C209" s="54"/>
      <c r="D209" s="35"/>
      <c r="E209" s="35"/>
      <c r="F209" s="35"/>
      <c r="G209" s="35"/>
      <c r="H209" s="35"/>
    </row>
    <row r="210" spans="1:8" ht="14.25">
      <c r="A210" s="52"/>
      <c r="B210" s="53"/>
      <c r="C210" s="54"/>
      <c r="D210" s="35"/>
      <c r="E210" s="35"/>
      <c r="F210" s="35"/>
      <c r="G210" s="35"/>
      <c r="H210" s="35"/>
    </row>
    <row r="211" spans="1:8" ht="14.25">
      <c r="A211" s="52"/>
      <c r="B211" s="53"/>
      <c r="C211" s="54"/>
      <c r="D211" s="35"/>
      <c r="E211" s="35"/>
      <c r="F211" s="35"/>
      <c r="G211" s="35"/>
      <c r="H211" s="35"/>
    </row>
    <row r="212" spans="1:8" ht="14.25">
      <c r="A212" s="52"/>
      <c r="B212" s="53"/>
      <c r="C212" s="54"/>
      <c r="D212" s="35"/>
      <c r="E212" s="35"/>
      <c r="F212" s="35"/>
      <c r="G212" s="35"/>
      <c r="H212" s="35"/>
    </row>
  </sheetData>
  <mergeCells count="20">
    <mergeCell ref="A165:C165"/>
    <mergeCell ref="A1:H1"/>
    <mergeCell ref="A2:H2"/>
    <mergeCell ref="A3:H3"/>
    <mergeCell ref="A99:H99"/>
    <mergeCell ref="A100:H100"/>
    <mergeCell ref="A101:H101"/>
    <mergeCell ref="A102:H102"/>
    <mergeCell ref="A161:C161"/>
    <mergeCell ref="A162:D162"/>
    <mergeCell ref="A163:C163"/>
    <mergeCell ref="A164:C164"/>
    <mergeCell ref="A174:C174"/>
    <mergeCell ref="A175:C175"/>
    <mergeCell ref="A166:C166"/>
    <mergeCell ref="A167:C167"/>
    <mergeCell ref="A170:D170"/>
    <mergeCell ref="A171:C171"/>
    <mergeCell ref="A172:C172"/>
    <mergeCell ref="A173:C173"/>
  </mergeCells>
  <pageMargins left="0.75" right="0.25" top="1" bottom="1" header="0.5" footer="0.5"/>
  <pageSetup paperSize="9" scale="67"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Arbitrage Fund</vt:lpstr>
      <vt:lpstr>'JM Arbitrage Fund'!Print_Area</vt:lpstr>
    </vt:vector>
  </TitlesOfParts>
  <Company>JM Financial Asset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Shashidhar</dc:creator>
  <cp:lastModifiedBy>Shashidhar</cp:lastModifiedBy>
  <cp:lastPrinted>2024-03-04T11:13:07Z</cp:lastPrinted>
  <dcterms:created xsi:type="dcterms:W3CDTF">2024-03-04T11:08:58Z</dcterms:created>
  <dcterms:modified xsi:type="dcterms:W3CDTF">2024-03-04T12:35:08Z</dcterms:modified>
</cp:coreProperties>
</file>