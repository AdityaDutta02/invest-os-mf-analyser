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February 2023\Monthly\For sent\"/>
    </mc:Choice>
  </mc:AlternateContent>
  <bookViews>
    <workbookView xWindow="0" yWindow="0" windowWidth="20490" windowHeight="7770"/>
  </bookViews>
  <sheets>
    <sheet name="AA" sheetId="1" r:id="rId1"/>
  </sheets>
  <externalReferences>
    <externalReference r:id="rId2"/>
  </externalReferences>
  <definedNames>
    <definedName name="_xlnm._FilterDatabase" localSheetId="0" hidden="1">AA!$A$1:$H$74</definedName>
    <definedName name="Afs">#REF!</definedName>
    <definedName name="_xlnm.Database">#REF!</definedName>
    <definedName name="EBLDB">#REF!</definedName>
    <definedName name="fl">#REF!</definedName>
    <definedName name="_xlnm.Print_Area" localSheetId="0">AA!$A$1:$E$51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63" i="1" l="1"/>
  <c r="D60" i="1"/>
  <c r="E59" i="1"/>
  <c r="E60" i="1" s="1"/>
  <c r="D57" i="1"/>
  <c r="E56" i="1"/>
  <c r="E55" i="1"/>
  <c r="E54" i="1"/>
  <c r="E53" i="1"/>
  <c r="D34" i="1"/>
  <c r="D38" i="1" s="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7" i="1" l="1"/>
  <c r="E63" i="1" s="1"/>
  <c r="E34" i="1"/>
  <c r="E38" i="1" s="1"/>
  <c r="D63" i="1"/>
  <c r="D65" i="1" s="1"/>
  <c r="E65" i="1" s="1"/>
  <c r="E67" i="1" l="1"/>
</calcChain>
</file>

<file path=xl/sharedStrings.xml><?xml version="1.0" encoding="utf-8"?>
<sst xmlns="http://schemas.openxmlformats.org/spreadsheetml/2006/main" count="256" uniqueCount="178">
  <si>
    <t>JM Arbitrage Fund (An open ended scheme investing in arbitrage opportunities).</t>
  </si>
  <si>
    <t>Portfolio as on 28.02.2023</t>
  </si>
  <si>
    <t>Name of the Instruments</t>
  </si>
  <si>
    <t>Industry/Rating</t>
  </si>
  <si>
    <t>Quantity</t>
  </si>
  <si>
    <t>Market Value (Rs. In Lakhs)</t>
  </si>
  <si>
    <t>% age to NAV</t>
  </si>
  <si>
    <t>ISIN</t>
  </si>
  <si>
    <t>Yield %</t>
  </si>
  <si>
    <t>^YTC (AT1/Tier 2 bonds)</t>
  </si>
  <si>
    <t>EQUITY &amp; EQUITY RELATED</t>
  </si>
  <si>
    <t>a) Listed/Awaiting Listing On  Stock Exchange</t>
  </si>
  <si>
    <t>Kotak Mahindra Bank Ltd.</t>
  </si>
  <si>
    <t>Banks</t>
  </si>
  <si>
    <t>INE237A01028</t>
  </si>
  <si>
    <t>Reliance Industries Ltd.</t>
  </si>
  <si>
    <t>Petroleum Products</t>
  </si>
  <si>
    <t>INE002A01018</t>
  </si>
  <si>
    <t>ICICI Bank Ltd.</t>
  </si>
  <si>
    <t>INE090A01021</t>
  </si>
  <si>
    <t>Tata Consultancy Services Ltd.</t>
  </si>
  <si>
    <t>IT - Software</t>
  </si>
  <si>
    <t>INE467B01029</t>
  </si>
  <si>
    <t>Aditya Birla Fashion and Retail Ltd.</t>
  </si>
  <si>
    <t>Retailing</t>
  </si>
  <si>
    <t>INE647O01011</t>
  </si>
  <si>
    <t>Tata Steel Ltd.</t>
  </si>
  <si>
    <t>Ferrous Metals</t>
  </si>
  <si>
    <t>INE081A01020</t>
  </si>
  <si>
    <t>Bajaj Finserv Ltd.</t>
  </si>
  <si>
    <t>Finance</t>
  </si>
  <si>
    <t>INE918I01026</t>
  </si>
  <si>
    <t>Housing Development Finance Corporation Ltd.</t>
  </si>
  <si>
    <t>INE001A01036</t>
  </si>
  <si>
    <t>Tata Power Company Ltd.</t>
  </si>
  <si>
    <t>Power</t>
  </si>
  <si>
    <t>INE245A01021</t>
  </si>
  <si>
    <t>Laurus Labs Ltd.</t>
  </si>
  <si>
    <t>Pharmaceuticals &amp; Biotechnology</t>
  </si>
  <si>
    <t>INE947Q01028</t>
  </si>
  <si>
    <t>Titan Company Ltd.</t>
  </si>
  <si>
    <t>Consumer Durables</t>
  </si>
  <si>
    <t>INE280A01028</t>
  </si>
  <si>
    <t>DLF Ltd.</t>
  </si>
  <si>
    <t>Realty</t>
  </si>
  <si>
    <t>INE271C01023</t>
  </si>
  <si>
    <t>Axis Bank Ltd.</t>
  </si>
  <si>
    <t>INE238A01034</t>
  </si>
  <si>
    <t>Asian Paints Ltd.</t>
  </si>
  <si>
    <t>INE021A01026</t>
  </si>
  <si>
    <t>IndusInd Bank Ltd.</t>
  </si>
  <si>
    <t>INE095A01012</t>
  </si>
  <si>
    <t>Granules India Ltd.</t>
  </si>
  <si>
    <t>INE101D01020</t>
  </si>
  <si>
    <t>Tata Communications Ltd.</t>
  </si>
  <si>
    <t>Telecom - Services</t>
  </si>
  <si>
    <t>INE151A01013</t>
  </si>
  <si>
    <t>Ashok Leyland Ltd.</t>
  </si>
  <si>
    <t>Agricultural, Commercial &amp; Construction Vehicles</t>
  </si>
  <si>
    <t>INE208A01029</t>
  </si>
  <si>
    <t>United Spirits Ltd.</t>
  </si>
  <si>
    <t>Beverages</t>
  </si>
  <si>
    <t>INE854D01024</t>
  </si>
  <si>
    <t>State Bank of India</t>
  </si>
  <si>
    <t>INE062A01020</t>
  </si>
  <si>
    <t>Bata India Ltd.</t>
  </si>
  <si>
    <t>INE176A01028</t>
  </si>
  <si>
    <t>HDFC Life Insurance Company Ltd.</t>
  </si>
  <si>
    <t>Insurance</t>
  </si>
  <si>
    <t>INE795G01014</t>
  </si>
  <si>
    <t>Hindustan Unilever Ltd.</t>
  </si>
  <si>
    <t>Diversified FMCG</t>
  </si>
  <si>
    <t>INE030A01027</t>
  </si>
  <si>
    <t>Aurobindo Pharma Ltd.</t>
  </si>
  <si>
    <t>INE406A01037</t>
  </si>
  <si>
    <t>L&amp;T Finance Holdings Ltd.</t>
  </si>
  <si>
    <t>INE498L01015</t>
  </si>
  <si>
    <t>Bharti Airtel Ltd.</t>
  </si>
  <si>
    <t>INE397D01024</t>
  </si>
  <si>
    <t>Tata Chemicals Ltd.</t>
  </si>
  <si>
    <t>Chemicals &amp; Petrochemicals</t>
  </si>
  <si>
    <t>INE092A01019</t>
  </si>
  <si>
    <t>Piramal Enterprises Ltd.</t>
  </si>
  <si>
    <t>INE140A01024</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</si>
  <si>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</si>
  <si>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</si>
  <si>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</si>
  <si>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</si>
  <si>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</si>
  <si>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</si>
  <si>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</si>
  <si>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</si>
  <si>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</si>
  <si>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</si>
  <si>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Treasury Bills</t>
  </si>
  <si>
    <t>364 Days Treasury-Bill 29/06/2023</t>
  </si>
  <si>
    <t>IN002022Z135</t>
  </si>
  <si>
    <t>182 Days Treasury-Bill 10/08/2023</t>
  </si>
  <si>
    <t>IN002022Y468</t>
  </si>
  <si>
    <t>364 Days Treasury-Bill 16/03/2023</t>
  </si>
  <si>
    <t>IN002021Z525</t>
  </si>
  <si>
    <t>364 Days Treasury-Bill 23/03/2023</t>
  </si>
  <si>
    <t>IN002021Z533</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</si>
  <si>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</si>
  <si>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</si>
  <si>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</si>
  <si>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</si>
  <si>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</si>
  <si>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</si>
  <si>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</si>
  <si>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</si>
  <si>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</si>
  <si>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Hedging Positions through futures as on February 28, 2023:</t>
  </si>
  <si>
    <t>Underlying</t>
  </si>
  <si>
    <t>Long / Short</t>
  </si>
  <si>
    <t>Futures price when purchased (Rs.)</t>
  </si>
  <si>
    <t>Current  price of the Contract (Rs.)</t>
  </si>
  <si>
    <t>Total Margin maintained in(Rs. In Lakhs)</t>
  </si>
  <si>
    <t>Aditya Birla Fashion and Retail Ltd.Apr-2023</t>
  </si>
  <si>
    <t>Short</t>
  </si>
  <si>
    <t>Aditya Birla Fashion and Retail Ltd.Mar-2023</t>
  </si>
  <si>
    <t>Ashok Leyland Ltd.Apr-2023</t>
  </si>
  <si>
    <t>Asian Paints Ltd.Apr-2023</t>
  </si>
  <si>
    <t>Asian Paints Ltd.Mar-2023</t>
  </si>
  <si>
    <t>Asian Paints Ltd.May-2023</t>
  </si>
  <si>
    <t>Aurobindo Pharma Ltd.Mar-2023</t>
  </si>
  <si>
    <t>Axis Bank Ltd.Apr-2023</t>
  </si>
  <si>
    <t>Bajaj Finserv Ltd.Apr-2023</t>
  </si>
  <si>
    <t>Bata India Ltd.Apr-2023</t>
  </si>
  <si>
    <t>Bharti Airtel Ltd.Mar-2023</t>
  </si>
  <si>
    <t>DLF Ltd.Apr-2023</t>
  </si>
  <si>
    <t>DLF Ltd.Mar-2023</t>
  </si>
  <si>
    <t>Granules India Ltd.Mar-2023</t>
  </si>
  <si>
    <t>HDFC Life Insurance Company Ltd.Apr-2023</t>
  </si>
  <si>
    <t>HDFC Life Insurance Company Ltd.May-2023</t>
  </si>
  <si>
    <t>Housing Development Finance Corporation Ltd.Mar-2023</t>
  </si>
  <si>
    <t>Hindustan Unilever Ltd.Apr-2023</t>
  </si>
  <si>
    <t>ICICI Bank Ltd.Mar-2023</t>
  </si>
  <si>
    <t>ICICI Bank Ltd.May-2023</t>
  </si>
  <si>
    <t>IndusInd Bank Ltd.Apr-2023</t>
  </si>
  <si>
    <t>IndusInd Bank Ltd.Mar-2023</t>
  </si>
  <si>
    <t>Kotak Mahindra Bank Ltd.Apr-2023</t>
  </si>
  <si>
    <t>Kotak Mahindra Bank Ltd.Mar-2023</t>
  </si>
  <si>
    <t>L&amp;T Finance Holdings Ltd.Mar-2023</t>
  </si>
  <si>
    <t>Laurus Labs Ltd.Apr-2023</t>
  </si>
  <si>
    <t>United Spirits Ltd.Apr-2023</t>
  </si>
  <si>
    <t>United Spirits Ltd.Mar-2023</t>
  </si>
  <si>
    <t>Piramal Enterprises Ltd.Apr-2023</t>
  </si>
  <si>
    <t>Reliance Industries Ltd.Apr-2023</t>
  </si>
  <si>
    <t>Reliance Industries Ltd.Mar-2023</t>
  </si>
  <si>
    <t>State Bank of IndiaApr-2023</t>
  </si>
  <si>
    <t>Tata Chemicals Ltd.Mar-2023</t>
  </si>
  <si>
    <t>Tata Communications Ltd.Mar-2023</t>
  </si>
  <si>
    <t>Tata Power Company Ltd.Apr-2023</t>
  </si>
  <si>
    <t>Tata Power Company Ltd.May-2023</t>
  </si>
  <si>
    <t>Tata Steel Ltd.Apr-2023</t>
  </si>
  <si>
    <t>Tata Steel Ltd.May-2023</t>
  </si>
  <si>
    <t>Tata Consultancy Services Ltd.Apr-2023</t>
  </si>
  <si>
    <t>Titan Company Ltd.Apr-2023</t>
  </si>
  <si>
    <t>Titan Company Ltd.Mar-2023</t>
  </si>
  <si>
    <t>Total outstanding exposure in derivative instruments at the end of the period - Short -(Rs in Lakhs) : (4,507.09)</t>
  </si>
  <si>
    <t>Total 74.85% of existing assets hedged through futures as on 28/02/2023</t>
  </si>
  <si>
    <t>For the period ended February 28, 2023, following are the hedging transactions through futures which have been squared off / expired :</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</si>
  <si>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</si>
  <si>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</si>
  <si>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</si>
  <si>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</si>
  <si>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</si>
  <si>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28/02/2023</t>
  </si>
  <si>
    <t>For the period ended February 28, 2023, following are the non-hedging transactions through futures which have been squared off / expired :</t>
  </si>
  <si>
    <t>-</t>
  </si>
  <si>
    <t>This Product is suitable for investors who are seeking*</t>
  </si>
  <si>
    <t>• Regular Income over Medium Term</t>
  </si>
  <si>
    <t>• Income through arbitrage by investment predominantly in Equity Stocks and taking offsetting positions in Equity Futures and Options.</t>
  </si>
  <si>
    <t>*Investors should consult their financial advisers if in doubt about whether the product is suitable for them.</t>
  </si>
  <si>
    <t xml:space="preserve">         Riskometer of the scheme </t>
  </si>
  <si>
    <t>Benchmark of the scheme - Nifty 50 Arbitrage Index</t>
  </si>
  <si>
    <t>Sovereign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</si>
</sst>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0"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b/>
      <sz val="11"/>
      <color indexed="8"/>
      <name val="Times New Roman"/>
      <family val="1"/>
    </font>
  </fonts>
  <fills count="4">
    <fill>
      <patternFill patternType="none"/>
    </fill>
    <fill>
      <patternFill patternType="gray125"/>
    </fill>
    <fill>
      <patternFill patternType="solid">
        <fgColor indexed="8"/>
        <bgColor indexed="64"/>
      </patternFill>
    </fill>
    <fill>
      <patternFill patternType="solid">
        <fgColor indexed="22"/>
        <bgColor indexed="64"/>
      </patternFill>
    </fill>
  </fills>
  <borders count="6">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6" fillId="0" borderId="0"/>
    <xf numFmtId="164" fontId="6" fillId="0" borderId="0" applyFont="0" applyFill="0" applyBorder="0" applyAlignment="0" applyProtection="0"/>
    <xf numFmtId="164" fontId="1" fillId="0" borderId="0" applyFont="0" applyFill="0" applyBorder="0" applyAlignment="0" applyProtection="0"/>
    <xf numFmtId="0" fontId="6" fillId="0" borderId="0"/>
    <xf numFmtId="0" fontId="6" fillId="0" borderId="0"/>
  </cellStyleXfs>
  <cellXfs count="80">
    <xf numFmtId="0" fontId="0" fillId="0" borderId="0" xfId="0"/>
    <xf numFmtId="0" fontId="2" fillId="2" borderId="1" xfId="0" applyFont="1" applyFill="1" applyBorder="1" applyAlignment="1">
      <alignment horizontal="left"/>
    </xf>
    <xf numFmtId="0" fontId="3" fillId="0" borderId="0" xfId="0" applyFont="1"/>
    <xf numFmtId="0" fontId="2" fillId="2" borderId="2" xfId="0" applyFont="1" applyFill="1" applyBorder="1" applyAlignment="1">
      <alignment horizontal="left" wrapText="1"/>
    </xf>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4" fillId="0" borderId="3" xfId="0" applyFont="1" applyBorder="1" applyAlignment="1">
      <alignment horizontal="center"/>
    </xf>
    <xf numFmtId="0" fontId="4" fillId="0" borderId="3" xfId="0" applyFont="1" applyBorder="1" applyAlignment="1">
      <alignment horizontal="center" wrapText="1"/>
    </xf>
    <xf numFmtId="0" fontId="3" fillId="0" borderId="0" xfId="0" applyFont="1" applyAlignment="1">
      <alignment horizontal="center"/>
    </xf>
    <xf numFmtId="0" fontId="4" fillId="0" borderId="3" xfId="0" applyFont="1" applyFill="1" applyBorder="1" applyAlignment="1">
      <alignment horizontal="left" wrapText="1"/>
    </xf>
    <xf numFmtId="0" fontId="3" fillId="0" borderId="3" xfId="0" applyFont="1" applyFill="1" applyBorder="1" applyAlignment="1">
      <alignment horizontal="center" wrapText="1"/>
    </xf>
    <xf numFmtId="165" fontId="3" fillId="0" borderId="3" xfId="1" applyNumberFormat="1" applyFont="1" applyFill="1" applyBorder="1" applyAlignment="1">
      <alignment horizontal="center"/>
    </xf>
    <xf numFmtId="0" fontId="4" fillId="0" borderId="3" xfId="0" applyFont="1" applyFill="1" applyBorder="1" applyAlignment="1">
      <alignment horizontal="center" wrapText="1"/>
    </xf>
    <xf numFmtId="0" fontId="3" fillId="0" borderId="3" xfId="0" applyFont="1" applyFill="1" applyBorder="1" applyAlignment="1">
      <alignment horizontal="center"/>
    </xf>
    <xf numFmtId="0" fontId="3" fillId="0" borderId="3" xfId="0" applyFont="1" applyBorder="1"/>
    <xf numFmtId="166" fontId="3" fillId="0" borderId="3" xfId="0" applyNumberFormat="1" applyFont="1" applyFill="1" applyBorder="1"/>
    <xf numFmtId="0" fontId="4" fillId="0" borderId="3" xfId="0" applyFont="1" applyFill="1" applyBorder="1" applyAlignment="1">
      <alignment wrapText="1"/>
    </xf>
    <xf numFmtId="4" fontId="3" fillId="0" borderId="3" xfId="0" applyNumberFormat="1" applyFont="1" applyFill="1" applyBorder="1" applyAlignment="1">
      <alignment wrapText="1"/>
    </xf>
    <xf numFmtId="0" fontId="3" fillId="0" borderId="3" xfId="0" applyFont="1" applyFill="1" applyBorder="1" applyAlignment="1">
      <alignment wrapText="1"/>
    </xf>
    <xf numFmtId="165" fontId="3" fillId="0" borderId="3" xfId="1" applyNumberFormat="1" applyFont="1" applyFill="1" applyBorder="1"/>
    <xf numFmtId="164" fontId="3" fillId="0" borderId="3" xfId="1" applyFont="1" applyFill="1" applyBorder="1"/>
    <xf numFmtId="0" fontId="3" fillId="0" borderId="3" xfId="0" applyFont="1" applyFill="1" applyBorder="1"/>
    <xf numFmtId="0" fontId="3" fillId="0" borderId="0" xfId="0" applyFont="1" applyFill="1"/>
    <xf numFmtId="164" fontId="4" fillId="0" borderId="3" xfId="1" applyFont="1" applyFill="1" applyBorder="1"/>
    <xf numFmtId="165" fontId="4" fillId="0" borderId="3" xfId="1" applyNumberFormat="1" applyFont="1" applyFill="1" applyBorder="1"/>
    <xf numFmtId="164" fontId="3" fillId="0" borderId="3" xfId="1" applyFont="1" applyFill="1" applyBorder="1" applyAlignment="1">
      <alignment horizontal="center"/>
    </xf>
    <xf numFmtId="164" fontId="4" fillId="0" borderId="3" xfId="1" applyFont="1" applyFill="1" applyBorder="1" applyAlignment="1">
      <alignment horizontal="right"/>
    </xf>
    <xf numFmtId="0" fontId="3" fillId="0" borderId="3" xfId="0" applyFont="1" applyFill="1" applyBorder="1" applyAlignment="1">
      <alignment horizontal="right"/>
    </xf>
    <xf numFmtId="4" fontId="4" fillId="0" borderId="3" xfId="1" applyNumberFormat="1" applyFont="1" applyFill="1" applyBorder="1"/>
    <xf numFmtId="164" fontId="3" fillId="0" borderId="3" xfId="1" applyFont="1" applyFill="1" applyBorder="1" applyAlignment="1">
      <alignment horizontal="right"/>
    </xf>
    <xf numFmtId="165" fontId="4" fillId="0" borderId="3" xfId="1" applyNumberFormat="1" applyFont="1" applyFill="1" applyBorder="1" applyAlignment="1">
      <alignment horizontal="right"/>
    </xf>
    <xf numFmtId="164" fontId="3" fillId="0" borderId="4" xfId="1" applyFont="1" applyFill="1" applyBorder="1"/>
    <xf numFmtId="2" fontId="3" fillId="0" borderId="3" xfId="0" applyNumberFormat="1" applyFont="1" applyFill="1" applyBorder="1" applyAlignment="1">
      <alignment horizontal="right"/>
    </xf>
    <xf numFmtId="0" fontId="3" fillId="0" borderId="3" xfId="0" applyFont="1" applyFill="1" applyBorder="1" applyAlignment="1">
      <alignment horizontal="left" wrapText="1"/>
    </xf>
    <xf numFmtId="165" fontId="3" fillId="0" borderId="3" xfId="1" applyNumberFormat="1" applyFont="1" applyFill="1" applyBorder="1" applyAlignment="1">
      <alignment horizontal="right"/>
    </xf>
    <xf numFmtId="4" fontId="4" fillId="0" borderId="3"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5" fillId="0" borderId="0" xfId="2" applyFont="1" applyAlignment="1">
      <alignment horizontal="left" wrapText="1"/>
    </xf>
    <xf numFmtId="0" fontId="5" fillId="0" borderId="0" xfId="2" applyFont="1" applyAlignment="1">
      <alignment horizontal="left" vertical="top" wrapText="1"/>
    </xf>
    <xf numFmtId="0" fontId="6" fillId="0" borderId="0" xfId="3" applyBorder="1" applyAlignment="1">
      <alignment horizontal="left" vertical="center"/>
    </xf>
    <xf numFmtId="0" fontId="7" fillId="0" borderId="0" xfId="3" applyFont="1" applyBorder="1" applyAlignment="1">
      <alignment horizontal="left" vertical="center" wrapText="1"/>
    </xf>
    <xf numFmtId="0" fontId="3" fillId="0" borderId="0" xfId="0" applyFont="1" applyFill="1" applyAlignment="1">
      <alignment wrapText="1"/>
    </xf>
    <xf numFmtId="0" fontId="3" fillId="0" borderId="0" xfId="0" applyFont="1" applyFill="1" applyAlignment="1">
      <alignment horizontal="left" wrapText="1"/>
    </xf>
    <xf numFmtId="165" fontId="3" fillId="0" borderId="0" xfId="1" applyNumberFormat="1" applyFont="1" applyFill="1"/>
    <xf numFmtId="164" fontId="3" fillId="0" borderId="0" xfId="1" applyFont="1" applyFill="1" applyAlignment="1">
      <alignment horizontal="right"/>
    </xf>
    <xf numFmtId="0" fontId="4" fillId="0" borderId="0" xfId="2" applyFont="1" applyFill="1" applyAlignment="1"/>
    <xf numFmtId="0" fontId="4" fillId="3" borderId="3" xfId="2" applyFont="1" applyFill="1" applyBorder="1" applyAlignment="1">
      <alignment wrapText="1"/>
    </xf>
    <xf numFmtId="0" fontId="4" fillId="3" borderId="3" xfId="0" applyFont="1" applyFill="1" applyBorder="1" applyAlignment="1">
      <alignment horizontal="left" wrapText="1"/>
    </xf>
    <xf numFmtId="165" fontId="4" fillId="3" borderId="3" xfId="4" applyNumberFormat="1" applyFont="1" applyFill="1" applyBorder="1"/>
    <xf numFmtId="0" fontId="3" fillId="0" borderId="3" xfId="0" applyFont="1" applyBorder="1" applyAlignment="1">
      <alignment wrapText="1"/>
    </xf>
    <xf numFmtId="3" fontId="3" fillId="0" borderId="3" xfId="1" applyNumberFormat="1" applyFont="1" applyBorder="1"/>
    <xf numFmtId="4" fontId="3" fillId="0" borderId="3" xfId="0" applyNumberFormat="1" applyFont="1" applyBorder="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4" fontId="3" fillId="0" borderId="0" xfId="0" applyNumberFormat="1" applyFont="1"/>
    <xf numFmtId="0" fontId="3" fillId="0" borderId="0" xfId="2" applyFont="1" applyFill="1" applyBorder="1" applyAlignment="1"/>
    <xf numFmtId="165" fontId="3" fillId="0" borderId="0" xfId="5" applyNumberFormat="1" applyFont="1"/>
    <xf numFmtId="165" fontId="3" fillId="0" borderId="0" xfId="5" applyNumberFormat="1" applyFont="1" applyFill="1"/>
    <xf numFmtId="0" fontId="4" fillId="0" borderId="0" xfId="0" applyFont="1" applyFill="1" applyBorder="1" applyAlignment="1">
      <alignment horizontal="left"/>
    </xf>
    <xf numFmtId="164" fontId="3" fillId="0" borderId="0" xfId="0" applyNumberFormat="1" applyFont="1"/>
    <xf numFmtId="0" fontId="4" fillId="3" borderId="4" xfId="0" applyFont="1" applyFill="1" applyBorder="1" applyAlignment="1">
      <alignment horizontal="left" wrapText="1"/>
    </xf>
    <xf numFmtId="0" fontId="4" fillId="3" borderId="2" xfId="0" applyFont="1" applyFill="1" applyBorder="1" applyAlignment="1">
      <alignment horizontal="left" wrapText="1"/>
    </xf>
    <xf numFmtId="0" fontId="4" fillId="3" borderId="5" xfId="0" applyFont="1" applyFill="1" applyBorder="1" applyAlignment="1">
      <alignment horizontal="left" wrapText="1"/>
    </xf>
    <xf numFmtId="0" fontId="3" fillId="0" borderId="3" xfId="0" applyFont="1" applyFill="1" applyBorder="1" applyAlignment="1">
      <alignment horizontal="left"/>
    </xf>
    <xf numFmtId="164" fontId="3" fillId="0" borderId="3" xfId="5" applyFont="1" applyFill="1" applyBorder="1" applyAlignment="1">
      <alignment horizontal="right"/>
    </xf>
    <xf numFmtId="4" fontId="3" fillId="0" borderId="3" xfId="0" applyNumberFormat="1" applyFont="1" applyFill="1" applyBorder="1" applyAlignment="1">
      <alignment horizontal="right"/>
    </xf>
    <xf numFmtId="0" fontId="8" fillId="0" borderId="0" xfId="6" applyFont="1"/>
    <xf numFmtId="0" fontId="2" fillId="0" borderId="0" xfId="0" applyFont="1" applyFill="1" applyBorder="1" applyAlignment="1">
      <alignment horizontal="left" wrapText="1"/>
    </xf>
    <xf numFmtId="0" fontId="6" fillId="0" borderId="0" xfId="6" applyBorder="1"/>
    <xf numFmtId="0" fontId="6" fillId="0" borderId="0" xfId="6" applyBorder="1" applyAlignment="1">
      <alignment horizontal="left" wrapText="1"/>
    </xf>
    <xf numFmtId="0" fontId="9" fillId="0" borderId="0" xfId="7" applyFont="1"/>
    <xf numFmtId="0" fontId="4" fillId="0" borderId="0" xfId="0" applyFont="1" applyFill="1" applyBorder="1" applyAlignment="1">
      <alignment horizontal="left"/>
    </xf>
  </cellXfs>
  <cellStyles count="8">
    <cellStyle name="Comma" xfId="1" builtinId="3"/>
    <cellStyle name="Comma 2" xfId="4"/>
    <cellStyle name="Comma 4" xfId="5"/>
    <cellStyle name="Normal" xfId="0" builtinId="0"/>
    <cellStyle name="Normal 2 3 2" xfId="2"/>
    <cellStyle name="Normal 4_AA" xfId="6"/>
    <cellStyle name="Normal 4_IF" xfId="7"/>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144</xdr:row>
      <xdr:rowOff>123825</xdr:rowOff>
    </xdr:from>
    <xdr:to>
      <xdr:col>0</xdr:col>
      <xdr:colOff>3609975</xdr:colOff>
      <xdr:row>159</xdr:row>
      <xdr:rowOff>104775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26936700"/>
          <a:ext cx="3609975" cy="2409825"/>
        </a:xfrm>
        <a:prstGeom prst="rect">
          <a:avLst/>
        </a:prstGeom>
        <a:noFill/>
        <a:ln w="9525">
          <a:noFill/>
          <a:miter lim="800000"/>
          <a:headEnd/>
          <a:tailEnd/>
        </a:ln>
      </xdr:spPr>
    </xdr:pic>
    <xdr:clientData/>
  </xdr:twoCellAnchor>
  <xdr:twoCellAnchor editAs="oneCell">
    <xdr:from>
      <xdr:col>1</xdr:col>
      <xdr:colOff>2524124</xdr:colOff>
      <xdr:row>144</xdr:row>
      <xdr:rowOff>28575</xdr:rowOff>
    </xdr:from>
    <xdr:to>
      <xdr:col>5</xdr:col>
      <xdr:colOff>1047749</xdr:colOff>
      <xdr:row>159</xdr:row>
      <xdr:rowOff>9525</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6267449" y="24593550"/>
          <a:ext cx="3895725" cy="240982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February%202023/Monthly/Template%20Portfolio%20Disclosure%20-28th%20Feb%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D"/>
      <sheetName val="SD"/>
      <sheetName val="TG"/>
      <sheetName val="MS"/>
      <sheetName val="EF"/>
      <sheetName val="BF"/>
      <sheetName val="AA"/>
      <sheetName val="CR"/>
      <sheetName val="BA"/>
      <sheetName val="LD"/>
      <sheetName val="FF"/>
      <sheetName val="IF"/>
      <sheetName val="ON"/>
      <sheetName val="LF"/>
      <sheetName val="Index"/>
      <sheetName val="Final (2)"/>
      <sheetName val="Final (203)"/>
      <sheetName val="ISIN"/>
      <sheetName val="Scheme Names"/>
      <sheetName val="SH 28.02.2023"/>
      <sheetName val="GHS 280223"/>
      <sheetName val="Sheet1 (2)"/>
      <sheetName val="NAV"/>
      <sheetName val="Long Name"/>
      <sheetName val="Sheet1"/>
      <sheetName val="checklist"/>
      <sheetName val="FORTIS- PROV 31.10.17"/>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57"/>
  <sheetViews>
    <sheetView tabSelected="1" zoomScaleNormal="100" workbookViewId="0">
      <pane xSplit="1" ySplit="3" topLeftCell="B4" activePane="bottomRight" state="frozen"/>
      <selection activeCell="A2" sqref="A2"/>
      <selection pane="topRight" activeCell="A2" sqref="A2"/>
      <selection pane="bottomLeft" activeCell="A2" sqref="A2"/>
      <selection pane="bottomRight" activeCell="G76" sqref="G76"/>
    </sheetView>
  </sheetViews>
  <sheetFormatPr defaultRowHeight="12.75" x14ac:dyDescent="0.2"/>
  <cols>
    <col min="1" max="1" width="56.140625" style="59" customWidth="1"/>
    <col min="2" max="2" width="39.85546875" style="60" bestFit="1" customWidth="1"/>
    <col min="3" max="3" width="12.140625" style="61" customWidth="1"/>
    <col min="4" max="5" width="14.28515625" style="2" customWidth="1"/>
    <col min="6" max="6" width="16.28515625" style="2" customWidth="1"/>
    <col min="7" max="7" width="14.5703125" style="2" bestFit="1" customWidth="1"/>
    <col min="8" max="8" width="15" style="2" customWidth="1"/>
    <col min="9" max="16384" width="9.140625" style="2"/>
  </cols>
  <sheetData>
    <row r="1" spans="1:8" x14ac:dyDescent="0.2">
      <c r="A1" s="1" t="s">
        <v>0</v>
      </c>
      <c r="B1" s="1"/>
      <c r="C1" s="1"/>
      <c r="D1" s="1"/>
      <c r="E1" s="1"/>
      <c r="F1" s="1"/>
      <c r="G1" s="1"/>
      <c r="H1" s="1"/>
    </row>
    <row r="2" spans="1:8" x14ac:dyDescent="0.2">
      <c r="A2" s="3" t="s">
        <v>1</v>
      </c>
      <c r="B2" s="3"/>
      <c r="C2" s="3"/>
      <c r="D2" s="3"/>
      <c r="E2" s="3"/>
      <c r="F2" s="3"/>
      <c r="G2" s="3"/>
      <c r="H2" s="3"/>
    </row>
    <row r="3" spans="1:8" s="9" customFormat="1" ht="25.5" x14ac:dyDescent="0.2">
      <c r="A3" s="4" t="s">
        <v>2</v>
      </c>
      <c r="B3" s="5" t="s">
        <v>3</v>
      </c>
      <c r="C3" s="6" t="s">
        <v>4</v>
      </c>
      <c r="D3" s="4" t="s">
        <v>5</v>
      </c>
      <c r="E3" s="4" t="s">
        <v>6</v>
      </c>
      <c r="F3" s="4" t="s">
        <v>7</v>
      </c>
      <c r="G3" s="7" t="s">
        <v>8</v>
      </c>
      <c r="H3" s="8" t="s">
        <v>9</v>
      </c>
    </row>
    <row r="4" spans="1:8" x14ac:dyDescent="0.2">
      <c r="A4" s="10" t="s">
        <v>10</v>
      </c>
      <c r="B4" s="11"/>
      <c r="C4" s="12"/>
      <c r="D4" s="13"/>
      <c r="E4" s="13"/>
      <c r="F4" s="14"/>
      <c r="G4" s="15"/>
      <c r="H4" s="16"/>
    </row>
    <row r="5" spans="1:8" x14ac:dyDescent="0.2">
      <c r="A5" s="17" t="s">
        <v>11</v>
      </c>
      <c r="B5" s="11"/>
      <c r="C5" s="12"/>
      <c r="D5" s="13"/>
      <c r="E5" s="13"/>
      <c r="F5" s="14"/>
      <c r="G5" s="15"/>
      <c r="H5" s="16"/>
    </row>
    <row r="6" spans="1:8" s="23" customFormat="1" x14ac:dyDescent="0.2">
      <c r="A6" s="18" t="s">
        <v>12</v>
      </c>
      <c r="B6" s="19" t="s">
        <v>13</v>
      </c>
      <c r="C6" s="20">
        <v>32000</v>
      </c>
      <c r="D6" s="21">
        <v>553.36</v>
      </c>
      <c r="E6" s="21">
        <f t="shared" ref="E6:E33" si="0">(+D6/$D$67*100)</f>
        <v>9.1901500486623497</v>
      </c>
      <c r="F6" s="21" t="s">
        <v>14</v>
      </c>
      <c r="G6" s="16"/>
      <c r="H6" s="22"/>
    </row>
    <row r="7" spans="1:8" s="23" customFormat="1" x14ac:dyDescent="0.2">
      <c r="A7" s="18" t="s">
        <v>15</v>
      </c>
      <c r="B7" s="19" t="s">
        <v>16</v>
      </c>
      <c r="C7" s="20">
        <v>22250</v>
      </c>
      <c r="D7" s="21">
        <v>516.76737500000002</v>
      </c>
      <c r="E7" s="21">
        <f t="shared" si="0"/>
        <v>8.5824232262963793</v>
      </c>
      <c r="F7" s="21" t="s">
        <v>17</v>
      </c>
      <c r="G7" s="16"/>
      <c r="H7" s="15"/>
    </row>
    <row r="8" spans="1:8" s="23" customFormat="1" x14ac:dyDescent="0.2">
      <c r="A8" s="18" t="s">
        <v>18</v>
      </c>
      <c r="B8" s="19" t="s">
        <v>13</v>
      </c>
      <c r="C8" s="20">
        <v>56000</v>
      </c>
      <c r="D8" s="21">
        <v>478.71600000000001</v>
      </c>
      <c r="E8" s="21">
        <f t="shared" si="0"/>
        <v>7.9504696232026983</v>
      </c>
      <c r="F8" s="21" t="s">
        <v>19</v>
      </c>
      <c r="G8" s="16"/>
      <c r="H8" s="16"/>
    </row>
    <row r="9" spans="1:8" s="23" customFormat="1" x14ac:dyDescent="0.2">
      <c r="A9" s="18" t="s">
        <v>20</v>
      </c>
      <c r="B9" s="19" t="s">
        <v>21</v>
      </c>
      <c r="C9" s="20">
        <v>8925</v>
      </c>
      <c r="D9" s="21">
        <v>295.67186249999997</v>
      </c>
      <c r="E9" s="21">
        <f t="shared" si="0"/>
        <v>4.9104900635074129</v>
      </c>
      <c r="F9" s="21" t="s">
        <v>22</v>
      </c>
      <c r="G9" s="16"/>
      <c r="H9" s="15"/>
    </row>
    <row r="10" spans="1:8" s="23" customFormat="1" x14ac:dyDescent="0.2">
      <c r="A10" s="18" t="s">
        <v>23</v>
      </c>
      <c r="B10" s="19" t="s">
        <v>24</v>
      </c>
      <c r="C10" s="20">
        <v>117000</v>
      </c>
      <c r="D10" s="21">
        <v>268.74900000000002</v>
      </c>
      <c r="E10" s="21">
        <f t="shared" si="0"/>
        <v>4.4633577335332468</v>
      </c>
      <c r="F10" s="21" t="s">
        <v>25</v>
      </c>
      <c r="G10" s="16"/>
      <c r="H10" s="16"/>
    </row>
    <row r="11" spans="1:8" s="23" customFormat="1" x14ac:dyDescent="0.2">
      <c r="A11" s="18" t="s">
        <v>26</v>
      </c>
      <c r="B11" s="19" t="s">
        <v>27</v>
      </c>
      <c r="C11" s="20">
        <v>253000</v>
      </c>
      <c r="D11" s="21">
        <v>262.99349999999998</v>
      </c>
      <c r="E11" s="21">
        <f t="shared" si="0"/>
        <v>4.3677709390322415</v>
      </c>
      <c r="F11" s="21" t="s">
        <v>28</v>
      </c>
      <c r="G11" s="16"/>
      <c r="H11" s="15"/>
    </row>
    <row r="12" spans="1:8" s="23" customFormat="1" x14ac:dyDescent="0.2">
      <c r="A12" s="18" t="s">
        <v>29</v>
      </c>
      <c r="B12" s="19" t="s">
        <v>30</v>
      </c>
      <c r="C12" s="20">
        <v>18500</v>
      </c>
      <c r="D12" s="21">
        <v>246.95650000000001</v>
      </c>
      <c r="E12" s="21">
        <f t="shared" si="0"/>
        <v>4.1014299741442874</v>
      </c>
      <c r="F12" s="21" t="s">
        <v>31</v>
      </c>
      <c r="G12" s="16"/>
      <c r="H12" s="16"/>
    </row>
    <row r="13" spans="1:8" s="23" customFormat="1" x14ac:dyDescent="0.2">
      <c r="A13" s="18" t="s">
        <v>32</v>
      </c>
      <c r="B13" s="19" t="s">
        <v>30</v>
      </c>
      <c r="C13" s="20">
        <v>8700</v>
      </c>
      <c r="D13" s="21">
        <v>227.02215000000001</v>
      </c>
      <c r="E13" s="21">
        <f t="shared" si="0"/>
        <v>3.7703621925508366</v>
      </c>
      <c r="F13" s="21" t="s">
        <v>33</v>
      </c>
      <c r="G13" s="16"/>
      <c r="H13" s="16"/>
    </row>
    <row r="14" spans="1:8" s="23" customFormat="1" x14ac:dyDescent="0.2">
      <c r="A14" s="18" t="s">
        <v>34</v>
      </c>
      <c r="B14" s="19" t="s">
        <v>35</v>
      </c>
      <c r="C14" s="20">
        <v>111375</v>
      </c>
      <c r="D14" s="21">
        <v>225.59006249999999</v>
      </c>
      <c r="E14" s="21">
        <f t="shared" si="0"/>
        <v>3.7465782200775575</v>
      </c>
      <c r="F14" s="21" t="s">
        <v>36</v>
      </c>
      <c r="G14" s="16"/>
      <c r="H14" s="15"/>
    </row>
    <row r="15" spans="1:8" s="23" customFormat="1" x14ac:dyDescent="0.2">
      <c r="A15" s="18" t="s">
        <v>37</v>
      </c>
      <c r="B15" s="19" t="s">
        <v>38</v>
      </c>
      <c r="C15" s="20">
        <v>62700</v>
      </c>
      <c r="D15" s="21">
        <v>197.09745000000001</v>
      </c>
      <c r="E15" s="21">
        <f t="shared" si="0"/>
        <v>3.2733756319732632</v>
      </c>
      <c r="F15" s="21" t="s">
        <v>39</v>
      </c>
      <c r="G15" s="16"/>
      <c r="H15" s="22"/>
    </row>
    <row r="16" spans="1:8" s="23" customFormat="1" x14ac:dyDescent="0.2">
      <c r="A16" s="18" t="s">
        <v>40</v>
      </c>
      <c r="B16" s="19" t="s">
        <v>41</v>
      </c>
      <c r="C16" s="20">
        <v>7500</v>
      </c>
      <c r="D16" s="21">
        <v>177.96</v>
      </c>
      <c r="E16" s="21">
        <f t="shared" si="0"/>
        <v>2.955542689496804</v>
      </c>
      <c r="F16" s="21" t="s">
        <v>42</v>
      </c>
      <c r="G16" s="16"/>
      <c r="H16" s="15"/>
    </row>
    <row r="17" spans="1:8" s="23" customFormat="1" x14ac:dyDescent="0.2">
      <c r="A17" s="18" t="s">
        <v>43</v>
      </c>
      <c r="B17" s="19" t="s">
        <v>44</v>
      </c>
      <c r="C17" s="20">
        <v>33000</v>
      </c>
      <c r="D17" s="21">
        <v>116.0445</v>
      </c>
      <c r="E17" s="21">
        <f t="shared" si="0"/>
        <v>1.9272559767999093</v>
      </c>
      <c r="F17" s="21" t="s">
        <v>45</v>
      </c>
      <c r="G17" s="16"/>
      <c r="H17" s="16"/>
    </row>
    <row r="18" spans="1:8" s="23" customFormat="1" x14ac:dyDescent="0.2">
      <c r="A18" s="18" t="s">
        <v>46</v>
      </c>
      <c r="B18" s="19" t="s">
        <v>13</v>
      </c>
      <c r="C18" s="20">
        <v>13200</v>
      </c>
      <c r="D18" s="21">
        <v>111.4212</v>
      </c>
      <c r="E18" s="21">
        <f t="shared" si="0"/>
        <v>1.8504726518035586</v>
      </c>
      <c r="F18" s="21" t="s">
        <v>47</v>
      </c>
      <c r="G18" s="16"/>
      <c r="H18" s="16"/>
    </row>
    <row r="19" spans="1:8" s="23" customFormat="1" x14ac:dyDescent="0.2">
      <c r="A19" s="18" t="s">
        <v>48</v>
      </c>
      <c r="B19" s="19" t="s">
        <v>41</v>
      </c>
      <c r="C19" s="20">
        <v>3800</v>
      </c>
      <c r="D19" s="21">
        <v>107.4944</v>
      </c>
      <c r="E19" s="21">
        <f t="shared" si="0"/>
        <v>1.7852567323097621</v>
      </c>
      <c r="F19" s="21" t="s">
        <v>49</v>
      </c>
      <c r="G19" s="16"/>
      <c r="H19" s="16"/>
    </row>
    <row r="20" spans="1:8" s="23" customFormat="1" x14ac:dyDescent="0.2">
      <c r="A20" s="18" t="s">
        <v>50</v>
      </c>
      <c r="B20" s="19" t="s">
        <v>13</v>
      </c>
      <c r="C20" s="20">
        <v>9450</v>
      </c>
      <c r="D20" s="21">
        <v>101.84265000000001</v>
      </c>
      <c r="E20" s="21">
        <f t="shared" si="0"/>
        <v>1.6913930079033586</v>
      </c>
      <c r="F20" s="21" t="s">
        <v>51</v>
      </c>
      <c r="G20" s="16"/>
      <c r="H20" s="16"/>
    </row>
    <row r="21" spans="1:8" s="23" customFormat="1" x14ac:dyDescent="0.2">
      <c r="A21" s="18" t="s">
        <v>52</v>
      </c>
      <c r="B21" s="19" t="s">
        <v>38</v>
      </c>
      <c r="C21" s="20">
        <v>36000</v>
      </c>
      <c r="D21" s="21">
        <v>100.836</v>
      </c>
      <c r="E21" s="21">
        <f t="shared" si="0"/>
        <v>1.6746746608119787</v>
      </c>
      <c r="F21" s="21" t="s">
        <v>53</v>
      </c>
      <c r="G21" s="16"/>
      <c r="H21" s="16"/>
    </row>
    <row r="22" spans="1:8" s="23" customFormat="1" x14ac:dyDescent="0.2">
      <c r="A22" s="18" t="s">
        <v>54</v>
      </c>
      <c r="B22" s="19" t="s">
        <v>55</v>
      </c>
      <c r="C22" s="20">
        <v>8000</v>
      </c>
      <c r="D22" s="21">
        <v>96.683999999999997</v>
      </c>
      <c r="E22" s="21">
        <f t="shared" si="0"/>
        <v>1.6057186412188638</v>
      </c>
      <c r="F22" s="21" t="s">
        <v>56</v>
      </c>
      <c r="G22" s="16"/>
      <c r="H22" s="15"/>
    </row>
    <row r="23" spans="1:8" s="23" customFormat="1" x14ac:dyDescent="0.2">
      <c r="A23" s="18" t="s">
        <v>57</v>
      </c>
      <c r="B23" s="19" t="s">
        <v>58</v>
      </c>
      <c r="C23" s="20">
        <v>60000</v>
      </c>
      <c r="D23" s="21">
        <v>87.3</v>
      </c>
      <c r="E23" s="21">
        <f t="shared" si="0"/>
        <v>1.4498700651442515</v>
      </c>
      <c r="F23" s="21" t="s">
        <v>59</v>
      </c>
      <c r="G23" s="16"/>
      <c r="H23" s="16"/>
    </row>
    <row r="24" spans="1:8" s="23" customFormat="1" x14ac:dyDescent="0.2">
      <c r="A24" s="18" t="s">
        <v>60</v>
      </c>
      <c r="B24" s="19" t="s">
        <v>61</v>
      </c>
      <c r="C24" s="20">
        <v>10625</v>
      </c>
      <c r="D24" s="21">
        <v>78.688749999999999</v>
      </c>
      <c r="E24" s="21">
        <f t="shared" si="0"/>
        <v>1.3068552472923221</v>
      </c>
      <c r="F24" s="21" t="s">
        <v>62</v>
      </c>
      <c r="G24" s="16"/>
      <c r="H24" s="15"/>
    </row>
    <row r="25" spans="1:8" s="23" customFormat="1" x14ac:dyDescent="0.2">
      <c r="A25" s="18" t="s">
        <v>63</v>
      </c>
      <c r="B25" s="19" t="s">
        <v>13</v>
      </c>
      <c r="C25" s="20">
        <v>10500</v>
      </c>
      <c r="D25" s="21">
        <v>54.893999999999998</v>
      </c>
      <c r="E25" s="21">
        <f t="shared" si="0"/>
        <v>0.91167431106561891</v>
      </c>
      <c r="F25" s="21" t="s">
        <v>64</v>
      </c>
      <c r="G25" s="16"/>
      <c r="H25" s="15"/>
    </row>
    <row r="26" spans="1:8" s="23" customFormat="1" x14ac:dyDescent="0.2">
      <c r="A26" s="18" t="s">
        <v>65</v>
      </c>
      <c r="B26" s="19" t="s">
        <v>41</v>
      </c>
      <c r="C26" s="20">
        <v>3575</v>
      </c>
      <c r="D26" s="21">
        <v>50.448612500000003</v>
      </c>
      <c r="E26" s="21">
        <f t="shared" si="0"/>
        <v>0.83784573988330024</v>
      </c>
      <c r="F26" s="21" t="s">
        <v>66</v>
      </c>
      <c r="G26" s="16"/>
      <c r="H26" s="16"/>
    </row>
    <row r="27" spans="1:8" s="23" customFormat="1" x14ac:dyDescent="0.2">
      <c r="A27" s="18" t="s">
        <v>67</v>
      </c>
      <c r="B27" s="19" t="s">
        <v>68</v>
      </c>
      <c r="C27" s="20">
        <v>7700</v>
      </c>
      <c r="D27" s="21">
        <v>37.637599999999999</v>
      </c>
      <c r="E27" s="21">
        <f t="shared" si="0"/>
        <v>0.62508166739831927</v>
      </c>
      <c r="F27" s="21" t="s">
        <v>69</v>
      </c>
      <c r="G27" s="16"/>
      <c r="H27" s="16"/>
    </row>
    <row r="28" spans="1:8" s="23" customFormat="1" x14ac:dyDescent="0.2">
      <c r="A28" s="18" t="s">
        <v>70</v>
      </c>
      <c r="B28" s="19" t="s">
        <v>71</v>
      </c>
      <c r="C28" s="20">
        <v>1500</v>
      </c>
      <c r="D28" s="21">
        <v>36.909750000000003</v>
      </c>
      <c r="E28" s="21">
        <f t="shared" si="0"/>
        <v>0.61299360408886638</v>
      </c>
      <c r="F28" s="21" t="s">
        <v>72</v>
      </c>
      <c r="G28" s="16"/>
      <c r="H28" s="16"/>
    </row>
    <row r="29" spans="1:8" s="23" customFormat="1" x14ac:dyDescent="0.2">
      <c r="A29" s="18" t="s">
        <v>73</v>
      </c>
      <c r="B29" s="19" t="s">
        <v>38</v>
      </c>
      <c r="C29" s="20">
        <v>2000</v>
      </c>
      <c r="D29" s="21">
        <v>9.2550000000000008</v>
      </c>
      <c r="E29" s="21">
        <f t="shared" si="0"/>
        <v>0.15370615639072222</v>
      </c>
      <c r="F29" s="21" t="s">
        <v>74</v>
      </c>
      <c r="G29" s="16"/>
      <c r="H29" s="16"/>
    </row>
    <row r="30" spans="1:8" s="23" customFormat="1" x14ac:dyDescent="0.2">
      <c r="A30" s="18" t="s">
        <v>75</v>
      </c>
      <c r="B30" s="19" t="s">
        <v>30</v>
      </c>
      <c r="C30" s="20">
        <v>8924</v>
      </c>
      <c r="D30" s="21">
        <v>7.7951139999999999</v>
      </c>
      <c r="E30" s="21">
        <f t="shared" si="0"/>
        <v>0.12946050908346926</v>
      </c>
      <c r="F30" s="21" t="s">
        <v>76</v>
      </c>
      <c r="G30" s="16"/>
      <c r="H30" s="22"/>
    </row>
    <row r="31" spans="1:8" s="23" customFormat="1" x14ac:dyDescent="0.2">
      <c r="A31" s="18" t="s">
        <v>77</v>
      </c>
      <c r="B31" s="19" t="s">
        <v>55</v>
      </c>
      <c r="C31" s="20">
        <v>950</v>
      </c>
      <c r="D31" s="21">
        <v>7.0513750000000002</v>
      </c>
      <c r="E31" s="21">
        <f t="shared" si="0"/>
        <v>0.11710856277899824</v>
      </c>
      <c r="F31" s="21" t="s">
        <v>78</v>
      </c>
      <c r="G31" s="16"/>
      <c r="H31" s="16"/>
    </row>
    <row r="32" spans="1:8" s="23" customFormat="1" x14ac:dyDescent="0.2">
      <c r="A32" s="18" t="s">
        <v>79</v>
      </c>
      <c r="B32" s="19" t="s">
        <v>80</v>
      </c>
      <c r="C32" s="20">
        <v>500</v>
      </c>
      <c r="D32" s="21">
        <v>4.875</v>
      </c>
      <c r="E32" s="21">
        <f t="shared" si="0"/>
        <v>8.0963534565615419E-2</v>
      </c>
      <c r="F32" s="21" t="s">
        <v>81</v>
      </c>
      <c r="G32" s="16"/>
      <c r="H32" s="15"/>
    </row>
    <row r="33" spans="1:8" s="23" customFormat="1" x14ac:dyDescent="0.2">
      <c r="A33" s="18" t="s">
        <v>82</v>
      </c>
      <c r="B33" s="19" t="s">
        <v>30</v>
      </c>
      <c r="C33" s="20">
        <v>550</v>
      </c>
      <c r="D33" s="21">
        <v>4.238575</v>
      </c>
      <c r="E33" s="21">
        <f t="shared" si="0"/>
        <v>7.0393848927477617E-2</v>
      </c>
      <c r="F33" s="21" t="s">
        <v>83</v>
      </c>
      <c r="G33" s="16"/>
      <c r="H33" s="15"/>
    </row>
    <row r="34" spans="1:8" s="23" customFormat="1" x14ac:dyDescent="0.2">
      <c r="A34" s="17" t="s">
        <v>84</v>
      </c>
      <c r="B34" s="19"/>
      <c r="C34" s="20"/>
      <c r="D34" s="24">
        <f>IF(ISERROR(SUM(D6:D33)),0,SUM(D6:D33))</f>
        <v>4464.3004265</v>
      </c>
      <c r="E34" s="24">
        <f>IF(ISERROR(SUM(E6:E33)),0,SUM(E6:E33))</f>
        <v>74.142675259943488</v>
      </c>
      <c r="F34" s="24"/>
      <c r="G34" s="16"/>
      <c r="H34" s="15"/>
    </row>
    <row r="35" spans="1:8" s="23" customFormat="1" x14ac:dyDescent="0.2">
      <c r="A35" s="17"/>
      <c r="B35" s="17"/>
      <c r="C35" s="25"/>
      <c r="D35" s="26"/>
      <c r="E35" s="26"/>
      <c r="F35" s="26"/>
      <c r="G35" s="16"/>
      <c r="H35" s="15"/>
    </row>
    <row r="36" spans="1:8" s="23" customFormat="1" x14ac:dyDescent="0.2">
      <c r="A36" s="17" t="s">
        <v>85</v>
      </c>
      <c r="B36" s="17"/>
      <c r="C36" s="25"/>
      <c r="D36" s="27" t="s">
        <v>86</v>
      </c>
      <c r="E36" s="27" t="s">
        <v>86</v>
      </c>
      <c r="F36" s="27"/>
      <c r="G36" s="16"/>
      <c r="H36" s="15"/>
    </row>
    <row r="37" spans="1:8" s="23" customFormat="1" x14ac:dyDescent="0.2">
      <c r="A37" s="17"/>
      <c r="B37" s="10"/>
      <c r="C37" s="25"/>
      <c r="D37" s="27"/>
      <c r="E37" s="27"/>
      <c r="F37" s="28"/>
      <c r="G37" s="16"/>
      <c r="H37" s="15"/>
    </row>
    <row r="38" spans="1:8" s="23" customFormat="1" x14ac:dyDescent="0.2">
      <c r="A38" s="17" t="s">
        <v>87</v>
      </c>
      <c r="B38" s="17"/>
      <c r="C38" s="25"/>
      <c r="D38" s="24">
        <f>IF(ISERROR(+D34),0,D34)+IF(ISERROR(+#REF!),0,#REF!)</f>
        <v>4464.3004265</v>
      </c>
      <c r="E38" s="24">
        <f>IF(ISERROR(+E34),0,E34)+IF(ISERROR(+#REF!),0,#REF!)</f>
        <v>74.142675259943488</v>
      </c>
      <c r="F38" s="29"/>
      <c r="G38" s="16"/>
      <c r="H38" s="15"/>
    </row>
    <row r="39" spans="1:8" s="23" customFormat="1" x14ac:dyDescent="0.2">
      <c r="A39" s="17"/>
      <c r="B39" s="10"/>
      <c r="C39" s="25"/>
      <c r="D39" s="27"/>
      <c r="E39" s="27"/>
      <c r="F39" s="28"/>
      <c r="G39" s="16"/>
      <c r="H39" s="15"/>
    </row>
    <row r="40" spans="1:8" s="23" customFormat="1" x14ac:dyDescent="0.2">
      <c r="A40" s="17" t="s">
        <v>88</v>
      </c>
      <c r="B40" s="10"/>
      <c r="C40" s="25"/>
      <c r="D40" s="27"/>
      <c r="E40" s="27"/>
      <c r="F40" s="28"/>
      <c r="G40" s="16"/>
      <c r="H40" s="15"/>
    </row>
    <row r="41" spans="1:8" s="23" customFormat="1" x14ac:dyDescent="0.2">
      <c r="A41" s="17" t="s">
        <v>11</v>
      </c>
      <c r="B41" s="10"/>
      <c r="C41" s="25"/>
      <c r="D41" s="27" t="s">
        <v>86</v>
      </c>
      <c r="E41" s="27" t="s">
        <v>86</v>
      </c>
      <c r="F41" s="30"/>
      <c r="G41" s="16"/>
      <c r="H41" s="15"/>
    </row>
    <row r="42" spans="1:8" s="23" customFormat="1" x14ac:dyDescent="0.2">
      <c r="A42" s="17"/>
      <c r="B42" s="10"/>
      <c r="C42" s="31"/>
      <c r="D42" s="30"/>
      <c r="E42" s="30"/>
      <c r="F42" s="30"/>
      <c r="G42" s="16"/>
      <c r="H42" s="15"/>
    </row>
    <row r="43" spans="1:8" s="23" customFormat="1" x14ac:dyDescent="0.2">
      <c r="A43" s="17" t="s">
        <v>89</v>
      </c>
      <c r="B43" s="10"/>
      <c r="C43" s="31"/>
      <c r="D43" s="27" t="s">
        <v>86</v>
      </c>
      <c r="E43" s="27" t="s">
        <v>86</v>
      </c>
      <c r="F43" s="28"/>
      <c r="G43" s="16"/>
      <c r="H43" s="15"/>
    </row>
    <row r="44" spans="1:8" s="23" customFormat="1" x14ac:dyDescent="0.2">
      <c r="A44" s="17"/>
      <c r="B44" s="10"/>
      <c r="C44" s="31"/>
      <c r="D44" s="27"/>
      <c r="E44" s="27"/>
      <c r="F44" s="27"/>
      <c r="G44" s="16"/>
      <c r="H44" s="15"/>
    </row>
    <row r="45" spans="1:8" s="23" customFormat="1" x14ac:dyDescent="0.2">
      <c r="A45" s="17" t="s">
        <v>90</v>
      </c>
      <c r="B45" s="10"/>
      <c r="C45" s="31"/>
      <c r="D45" s="27"/>
      <c r="E45" s="27"/>
      <c r="F45" s="27"/>
      <c r="G45" s="16"/>
      <c r="H45" s="15"/>
    </row>
    <row r="46" spans="1:8" s="23" customFormat="1" x14ac:dyDescent="0.2">
      <c r="A46" s="17"/>
      <c r="B46" s="10"/>
      <c r="C46" s="31"/>
      <c r="D46" s="21"/>
      <c r="E46" s="21"/>
      <c r="F46" s="32"/>
      <c r="G46" s="16"/>
      <c r="H46" s="15"/>
    </row>
    <row r="47" spans="1:8" s="23" customFormat="1" x14ac:dyDescent="0.2">
      <c r="A47" s="17" t="s">
        <v>91</v>
      </c>
      <c r="B47" s="10"/>
      <c r="C47" s="31"/>
      <c r="D47" s="27" t="s">
        <v>86</v>
      </c>
      <c r="E47" s="27" t="s">
        <v>86</v>
      </c>
      <c r="F47" s="27"/>
      <c r="G47" s="16"/>
      <c r="H47" s="15"/>
    </row>
    <row r="48" spans="1:8" s="23" customFormat="1" x14ac:dyDescent="0.2">
      <c r="A48" s="17"/>
      <c r="B48" s="10"/>
      <c r="C48" s="31"/>
      <c r="D48" s="27"/>
      <c r="E48" s="27"/>
      <c r="F48" s="27"/>
      <c r="G48" s="16"/>
      <c r="H48" s="15"/>
    </row>
    <row r="49" spans="1:8" s="23" customFormat="1" x14ac:dyDescent="0.2">
      <c r="A49" s="17" t="s">
        <v>92</v>
      </c>
      <c r="B49" s="10"/>
      <c r="C49" s="31"/>
      <c r="D49" s="27" t="s">
        <v>86</v>
      </c>
      <c r="E49" s="27" t="s">
        <v>86</v>
      </c>
      <c r="F49" s="27"/>
      <c r="G49" s="16"/>
      <c r="H49" s="15"/>
    </row>
    <row r="50" spans="1:8" s="23" customFormat="1" x14ac:dyDescent="0.2">
      <c r="A50" s="17"/>
      <c r="B50" s="10"/>
      <c r="C50" s="31"/>
      <c r="D50" s="27"/>
      <c r="E50" s="27"/>
      <c r="F50" s="27"/>
      <c r="G50" s="16"/>
      <c r="H50" s="15"/>
    </row>
    <row r="51" spans="1:8" s="23" customFormat="1" x14ac:dyDescent="0.2">
      <c r="A51" s="17" t="s">
        <v>93</v>
      </c>
      <c r="B51" s="10"/>
      <c r="C51" s="31"/>
      <c r="D51" s="27"/>
      <c r="E51" s="27"/>
      <c r="F51" s="28"/>
      <c r="G51" s="16"/>
      <c r="H51" s="15"/>
    </row>
    <row r="52" spans="1:8" s="23" customFormat="1" x14ac:dyDescent="0.2">
      <c r="A52" s="17" t="s">
        <v>94</v>
      </c>
      <c r="B52" s="19"/>
      <c r="C52" s="20"/>
      <c r="D52" s="21"/>
      <c r="E52" s="30"/>
      <c r="F52" s="33"/>
      <c r="G52" s="16"/>
      <c r="H52" s="15"/>
    </row>
    <row r="53" spans="1:8" s="23" customFormat="1" x14ac:dyDescent="0.2">
      <c r="A53" s="18" t="s">
        <v>95</v>
      </c>
      <c r="B53" s="19" t="s">
        <v>177</v>
      </c>
      <c r="C53" s="20">
        <v>500000</v>
      </c>
      <c r="D53" s="21">
        <v>488.8365</v>
      </c>
      <c r="E53" s="21">
        <f>(+D53/$D$67*100)</f>
        <v>8.1185499209609144</v>
      </c>
      <c r="F53" s="21" t="s">
        <v>96</v>
      </c>
      <c r="G53" s="16">
        <v>6.9463999999999997</v>
      </c>
      <c r="H53" s="15"/>
    </row>
    <row r="54" spans="1:8" s="23" customFormat="1" x14ac:dyDescent="0.2">
      <c r="A54" s="18" t="s">
        <v>97</v>
      </c>
      <c r="B54" s="19" t="s">
        <v>177</v>
      </c>
      <c r="C54" s="20">
        <v>500000</v>
      </c>
      <c r="D54" s="21">
        <v>484.44650000000001</v>
      </c>
      <c r="E54" s="21">
        <f>(+D54/$D$67*100)</f>
        <v>8.0456412200905447</v>
      </c>
      <c r="F54" s="21" t="s">
        <v>98</v>
      </c>
      <c r="G54" s="16">
        <v>7.2337999999999996</v>
      </c>
      <c r="H54" s="15"/>
    </row>
    <row r="55" spans="1:8" s="23" customFormat="1" x14ac:dyDescent="0.2">
      <c r="A55" s="18" t="s">
        <v>99</v>
      </c>
      <c r="B55" s="19" t="s">
        <v>177</v>
      </c>
      <c r="C55" s="20">
        <v>100000</v>
      </c>
      <c r="D55" s="21">
        <v>99.734300000000005</v>
      </c>
      <c r="E55" s="21">
        <f>(+D55/$D$67*100)</f>
        <v>1.6563777323953761</v>
      </c>
      <c r="F55" s="21" t="s">
        <v>100</v>
      </c>
      <c r="G55" s="16">
        <v>6.4825999999999997</v>
      </c>
      <c r="H55" s="15"/>
    </row>
    <row r="56" spans="1:8" s="23" customFormat="1" x14ac:dyDescent="0.2">
      <c r="A56" s="18" t="s">
        <v>101</v>
      </c>
      <c r="B56" s="19" t="s">
        <v>177</v>
      </c>
      <c r="C56" s="20">
        <v>10000</v>
      </c>
      <c r="D56" s="21">
        <v>9.9610800000000008</v>
      </c>
      <c r="E56" s="21">
        <f>(+D56/$D$67*100)</f>
        <v>0.16543266561863804</v>
      </c>
      <c r="F56" s="21" t="s">
        <v>102</v>
      </c>
      <c r="G56" s="16">
        <v>6.4824000000000002</v>
      </c>
      <c r="H56" s="15"/>
    </row>
    <row r="57" spans="1:8" s="23" customFormat="1" x14ac:dyDescent="0.2">
      <c r="A57" s="17" t="s">
        <v>84</v>
      </c>
      <c r="B57" s="34"/>
      <c r="C57" s="35"/>
      <c r="D57" s="27">
        <f>IF(ISERROR(SUM(D52:D56)),0,SUM(D52:D56))</f>
        <v>1082.97838</v>
      </c>
      <c r="E57" s="27">
        <f>IF(ISERROR(SUM(E52:E56)),0,SUM(E52:E56))</f>
        <v>17.986001539065477</v>
      </c>
      <c r="F57" s="36"/>
      <c r="G57" s="16"/>
      <c r="H57" s="15"/>
    </row>
    <row r="58" spans="1:8" s="23" customFormat="1" x14ac:dyDescent="0.2">
      <c r="A58" s="17"/>
      <c r="B58" s="34"/>
      <c r="C58" s="35"/>
      <c r="D58" s="30"/>
      <c r="E58" s="30"/>
      <c r="F58" s="33"/>
      <c r="G58" s="16"/>
      <c r="H58" s="15"/>
    </row>
    <row r="59" spans="1:8" s="23" customFormat="1" x14ac:dyDescent="0.2">
      <c r="A59" s="18" t="s">
        <v>103</v>
      </c>
      <c r="B59" s="19"/>
      <c r="C59" s="20">
        <v>0</v>
      </c>
      <c r="D59" s="21">
        <v>300.72812800000003</v>
      </c>
      <c r="E59" s="21">
        <f>(+D59/$D$67*100)</f>
        <v>4.9944640381909373</v>
      </c>
      <c r="F59" s="21" t="s">
        <v>104</v>
      </c>
      <c r="G59" s="16">
        <v>6.5233999999999996</v>
      </c>
      <c r="H59" s="15"/>
    </row>
    <row r="60" spans="1:8" s="23" customFormat="1" x14ac:dyDescent="0.2">
      <c r="A60" s="17" t="s">
        <v>84</v>
      </c>
      <c r="B60" s="10"/>
      <c r="C60" s="31"/>
      <c r="D60" s="27">
        <f>IF(ISERROR(SUM(D59:D59)),0,SUM(D59:D59))</f>
        <v>300.72812800000003</v>
      </c>
      <c r="E60" s="27">
        <f>IF(ISERROR(SUM(E59:E59)),0,SUM(E59:E59))</f>
        <v>4.9944640381909373</v>
      </c>
      <c r="F60" s="21"/>
      <c r="G60" s="16"/>
      <c r="H60" s="15"/>
    </row>
    <row r="61" spans="1:8" s="23" customFormat="1" x14ac:dyDescent="0.2">
      <c r="A61" s="17"/>
      <c r="B61" s="10"/>
      <c r="C61" s="31"/>
      <c r="D61" s="27"/>
      <c r="E61" s="27"/>
      <c r="F61" s="27"/>
      <c r="G61" s="16"/>
      <c r="H61" s="15"/>
    </row>
    <row r="62" spans="1:8" s="23" customFormat="1" x14ac:dyDescent="0.2">
      <c r="A62" s="17"/>
      <c r="B62" s="10"/>
      <c r="C62" s="31"/>
      <c r="D62" s="27"/>
      <c r="E62" s="27"/>
      <c r="F62" s="28"/>
      <c r="G62" s="16"/>
      <c r="H62" s="15"/>
    </row>
    <row r="63" spans="1:8" s="23" customFormat="1" x14ac:dyDescent="0.2">
      <c r="A63" s="17" t="s">
        <v>87</v>
      </c>
      <c r="B63" s="10"/>
      <c r="C63" s="31" t="s">
        <v>105</v>
      </c>
      <c r="D63" s="27">
        <f>+IF(ISERROR(#REF!),0,#REF!)+IF(ISERROR(D60),0,D60)+IF(ISERROR(D38),0,D38)+IF(ISERROR(#REF!),0,#REF!)+IF(ISERROR(#REF!),0,#REF!)+IF(ISERROR(D57),0,D57)+IF(ISERROR(#REF!),0,#REF!)+IF(ISERROR(#REF!),0,#REF!)+IF(ISERROR(#REF!),0,#REF!)</f>
        <v>5848.0069344999993</v>
      </c>
      <c r="E63" s="27">
        <f>+IF(ISERROR(#REF!),0,#REF!)+IF(ISERROR(E60),0,E60)+IF(ISERROR(E38),0,E38)+IF(ISERROR(#REF!),0,#REF!)+IF(ISERROR(#REF!),0,#REF!)+IF(ISERROR(E57),0,E57)+IF(ISERROR(#REF!),0,#REF!)+IF(ISERROR(#REF!),0,#REF!)+IF(ISERROR(#REF!),0,#REF!)</f>
        <v>97.123140837199912</v>
      </c>
      <c r="F63" s="27">
        <f>+IF(ISERROR(#REF!),0,#REF!)+IF(ISERROR(F60),0,F60)+IF(ISERROR(F38),0,F38)+IF(ISERROR(#REF!),0,#REF!)+IF(ISERROR(#REF!),0,#REF!)+IF(ISERROR(F57),0,F57)+IF(ISERROR(#REF!),0,#REF!)</f>
        <v>0</v>
      </c>
      <c r="G63" s="16"/>
      <c r="H63" s="15"/>
    </row>
    <row r="64" spans="1:8" s="23" customFormat="1" x14ac:dyDescent="0.2">
      <c r="A64" s="17"/>
      <c r="B64" s="10"/>
      <c r="C64" s="31"/>
      <c r="D64" s="27"/>
      <c r="E64" s="27"/>
      <c r="F64" s="37"/>
      <c r="H64" s="2"/>
    </row>
    <row r="65" spans="1:8" s="23" customFormat="1" x14ac:dyDescent="0.2">
      <c r="A65" s="17" t="s">
        <v>106</v>
      </c>
      <c r="B65" s="10"/>
      <c r="C65" s="31"/>
      <c r="D65" s="27">
        <f>+D67-D63</f>
        <v>173.22228450000057</v>
      </c>
      <c r="E65" s="27">
        <f>D65/$D$67*100</f>
        <v>2.8768591628001361</v>
      </c>
      <c r="F65" s="37"/>
      <c r="H65" s="2"/>
    </row>
    <row r="66" spans="1:8" s="23" customFormat="1" x14ac:dyDescent="0.2">
      <c r="A66" s="17"/>
      <c r="B66" s="10"/>
      <c r="C66" s="31"/>
      <c r="D66" s="30"/>
      <c r="E66" s="30"/>
      <c r="F66" s="37"/>
      <c r="H66" s="2"/>
    </row>
    <row r="67" spans="1:8" s="23" customFormat="1" x14ac:dyDescent="0.2">
      <c r="A67" s="17" t="s">
        <v>107</v>
      </c>
      <c r="B67" s="10"/>
      <c r="C67" s="31"/>
      <c r="D67" s="27">
        <v>6021.2292189999998</v>
      </c>
      <c r="E67" s="27">
        <f>+E63+E65</f>
        <v>100.00000000000004</v>
      </c>
      <c r="F67" s="37"/>
      <c r="H67" s="2"/>
    </row>
    <row r="68" spans="1:8" s="23" customFormat="1" x14ac:dyDescent="0.2">
      <c r="A68" s="38"/>
      <c r="B68" s="39"/>
      <c r="C68" s="40"/>
      <c r="D68" s="41"/>
      <c r="E68" s="41"/>
      <c r="F68" s="37"/>
      <c r="H68" s="2"/>
    </row>
    <row r="69" spans="1:8" s="23" customFormat="1" x14ac:dyDescent="0.2">
      <c r="A69" s="42"/>
      <c r="B69" s="39"/>
      <c r="C69" s="40"/>
      <c r="D69" s="41"/>
      <c r="E69" s="41"/>
      <c r="F69" s="43"/>
      <c r="H69" s="2"/>
    </row>
    <row r="70" spans="1:8" s="23" customFormat="1" ht="15" x14ac:dyDescent="0.25">
      <c r="A70" s="44" t="s">
        <v>108</v>
      </c>
      <c r="B70" s="44"/>
      <c r="C70" s="44"/>
      <c r="D70" s="44"/>
      <c r="E70" s="44"/>
      <c r="F70" s="44"/>
      <c r="G70" s="44"/>
      <c r="H70" s="2"/>
    </row>
    <row r="71" spans="1:8" s="23" customFormat="1" ht="33" customHeight="1" x14ac:dyDescent="0.2">
      <c r="A71" s="45" t="s">
        <v>109</v>
      </c>
      <c r="B71" s="45"/>
      <c r="C71" s="45"/>
      <c r="D71" s="45"/>
      <c r="E71" s="45"/>
      <c r="F71" s="45"/>
      <c r="G71" s="45"/>
      <c r="H71" s="2"/>
    </row>
    <row r="72" spans="1:8" s="23" customFormat="1" ht="15" x14ac:dyDescent="0.2">
      <c r="A72" s="46" t="s">
        <v>110</v>
      </c>
      <c r="B72" s="46"/>
      <c r="C72" s="46"/>
      <c r="D72" s="46"/>
      <c r="E72" s="46"/>
      <c r="F72" s="46"/>
      <c r="G72" s="46"/>
      <c r="H72" s="2"/>
    </row>
    <row r="73" spans="1:8" s="23" customFormat="1" ht="66.75" customHeight="1" x14ac:dyDescent="0.2">
      <c r="A73" s="47" t="s">
        <v>111</v>
      </c>
      <c r="B73" s="47"/>
      <c r="C73" s="47"/>
      <c r="D73" s="47"/>
      <c r="E73" s="47"/>
      <c r="F73" s="47"/>
      <c r="G73" s="47"/>
      <c r="H73" s="2"/>
    </row>
    <row r="74" spans="1:8" s="23" customFormat="1" x14ac:dyDescent="0.2">
      <c r="A74" s="48"/>
      <c r="B74" s="49"/>
      <c r="C74" s="50"/>
      <c r="D74" s="51"/>
      <c r="E74" s="51"/>
      <c r="F74" s="43"/>
      <c r="H74" s="2"/>
    </row>
    <row r="75" spans="1:8" x14ac:dyDescent="0.2">
      <c r="A75" s="52" t="s">
        <v>112</v>
      </c>
      <c r="B75" s="49"/>
      <c r="C75" s="50"/>
      <c r="D75" s="51"/>
      <c r="E75" s="51"/>
      <c r="F75" s="43"/>
    </row>
    <row r="76" spans="1:8" ht="38.25" x14ac:dyDescent="0.2">
      <c r="A76" s="53" t="s">
        <v>113</v>
      </c>
      <c r="B76" s="54" t="s">
        <v>114</v>
      </c>
      <c r="C76" s="55" t="s">
        <v>4</v>
      </c>
      <c r="D76" s="53" t="s">
        <v>115</v>
      </c>
      <c r="E76" s="53" t="s">
        <v>116</v>
      </c>
      <c r="F76" s="53" t="s">
        <v>117</v>
      </c>
    </row>
    <row r="77" spans="1:8" x14ac:dyDescent="0.2">
      <c r="A77" s="56" t="s">
        <v>118</v>
      </c>
      <c r="B77" s="19" t="s">
        <v>119</v>
      </c>
      <c r="C77" s="57">
        <v>70200</v>
      </c>
      <c r="D77" s="58">
        <v>234.0716812</v>
      </c>
      <c r="E77" s="58">
        <v>233.4</v>
      </c>
      <c r="F77" s="58">
        <v>35.401684500000002</v>
      </c>
    </row>
    <row r="78" spans="1:8" x14ac:dyDescent="0.2">
      <c r="A78" s="56" t="s">
        <v>120</v>
      </c>
      <c r="B78" s="19" t="s">
        <v>119</v>
      </c>
      <c r="C78" s="57">
        <v>46800</v>
      </c>
      <c r="D78" s="58">
        <v>250.15549145</v>
      </c>
      <c r="E78" s="58">
        <v>231.5</v>
      </c>
      <c r="F78" s="58">
        <v>23.601122999999998</v>
      </c>
    </row>
    <row r="79" spans="1:8" x14ac:dyDescent="0.2">
      <c r="A79" s="56" t="s">
        <v>121</v>
      </c>
      <c r="B79" s="19" t="s">
        <v>119</v>
      </c>
      <c r="C79" s="57">
        <v>60000</v>
      </c>
      <c r="D79" s="58">
        <v>142.42155</v>
      </c>
      <c r="E79" s="58">
        <v>147.05000000000001</v>
      </c>
      <c r="F79" s="58">
        <v>19.168050000000001</v>
      </c>
    </row>
    <row r="80" spans="1:8" x14ac:dyDescent="0.2">
      <c r="A80" s="56" t="s">
        <v>124</v>
      </c>
      <c r="B80" s="19" t="s">
        <v>119</v>
      </c>
      <c r="C80" s="57">
        <v>200</v>
      </c>
      <c r="D80" s="58">
        <v>2788.1912000000002</v>
      </c>
      <c r="E80" s="58">
        <v>2889.7</v>
      </c>
      <c r="F80" s="58">
        <v>1.0017906315789473</v>
      </c>
    </row>
    <row r="81" spans="1:6" x14ac:dyDescent="0.2">
      <c r="A81" s="56" t="s">
        <v>122</v>
      </c>
      <c r="B81" s="19" t="s">
        <v>119</v>
      </c>
      <c r="C81" s="57">
        <v>1200</v>
      </c>
      <c r="D81" s="58">
        <v>2817.7698</v>
      </c>
      <c r="E81" s="58">
        <v>2867.55</v>
      </c>
      <c r="F81" s="58">
        <v>6.0107437894736844</v>
      </c>
    </row>
    <row r="82" spans="1:6" x14ac:dyDescent="0.2">
      <c r="A82" s="56" t="s">
        <v>123</v>
      </c>
      <c r="B82" s="19" t="s">
        <v>119</v>
      </c>
      <c r="C82" s="57">
        <v>2400</v>
      </c>
      <c r="D82" s="58">
        <v>2801.9226333299998</v>
      </c>
      <c r="E82" s="58">
        <v>2849.2</v>
      </c>
      <c r="F82" s="58">
        <v>12.021487578947369</v>
      </c>
    </row>
    <row r="83" spans="1:6" x14ac:dyDescent="0.2">
      <c r="A83" s="56" t="s">
        <v>125</v>
      </c>
      <c r="B83" s="19" t="s">
        <v>119</v>
      </c>
      <c r="C83" s="57">
        <v>2000</v>
      </c>
      <c r="D83" s="58">
        <v>468.30615999999998</v>
      </c>
      <c r="E83" s="58">
        <v>465.4</v>
      </c>
      <c r="F83" s="58">
        <v>1.98611</v>
      </c>
    </row>
    <row r="84" spans="1:6" x14ac:dyDescent="0.2">
      <c r="A84" s="56" t="s">
        <v>126</v>
      </c>
      <c r="B84" s="19" t="s">
        <v>119</v>
      </c>
      <c r="C84" s="57">
        <v>13200</v>
      </c>
      <c r="D84" s="58">
        <v>856.11061212000004</v>
      </c>
      <c r="E84" s="58">
        <v>855.35</v>
      </c>
      <c r="F84" s="58">
        <v>21.345818999999999</v>
      </c>
    </row>
    <row r="85" spans="1:6" x14ac:dyDescent="0.2">
      <c r="A85" s="56" t="s">
        <v>127</v>
      </c>
      <c r="B85" s="19" t="s">
        <v>119</v>
      </c>
      <c r="C85" s="57">
        <v>18500</v>
      </c>
      <c r="D85" s="58">
        <v>1376.88955405</v>
      </c>
      <c r="E85" s="58">
        <v>1353.1</v>
      </c>
      <c r="F85" s="58">
        <v>52.977247499999997</v>
      </c>
    </row>
    <row r="86" spans="1:6" x14ac:dyDescent="0.2">
      <c r="A86" s="56" t="s">
        <v>128</v>
      </c>
      <c r="B86" s="19" t="s">
        <v>119</v>
      </c>
      <c r="C86" s="57">
        <v>3575</v>
      </c>
      <c r="D86" s="58">
        <v>1437.7009230799999</v>
      </c>
      <c r="E86" s="58">
        <v>1429.75</v>
      </c>
      <c r="F86" s="58">
        <v>8.9899144999999994</v>
      </c>
    </row>
    <row r="87" spans="1:6" x14ac:dyDescent="0.2">
      <c r="A87" s="56" t="s">
        <v>129</v>
      </c>
      <c r="B87" s="19" t="s">
        <v>119</v>
      </c>
      <c r="C87" s="57">
        <v>950</v>
      </c>
      <c r="D87" s="58">
        <v>780.49404211000001</v>
      </c>
      <c r="E87" s="58">
        <v>747.25</v>
      </c>
      <c r="F87" s="58">
        <v>1.2552566000000001</v>
      </c>
    </row>
    <row r="88" spans="1:6" x14ac:dyDescent="0.2">
      <c r="A88" s="56" t="s">
        <v>130</v>
      </c>
      <c r="B88" s="19" t="s">
        <v>119</v>
      </c>
      <c r="C88" s="57">
        <v>18150</v>
      </c>
      <c r="D88" s="58">
        <v>348.73485785000003</v>
      </c>
      <c r="E88" s="58">
        <v>355.4</v>
      </c>
      <c r="F88" s="58">
        <v>14.504552590000001</v>
      </c>
    </row>
    <row r="89" spans="1:6" x14ac:dyDescent="0.2">
      <c r="A89" s="56" t="s">
        <v>131</v>
      </c>
      <c r="B89" s="19" t="s">
        <v>119</v>
      </c>
      <c r="C89" s="57">
        <v>14850</v>
      </c>
      <c r="D89" s="58">
        <v>355.41778450999999</v>
      </c>
      <c r="E89" s="58">
        <v>353.05</v>
      </c>
      <c r="F89" s="58">
        <v>11.86736121</v>
      </c>
    </row>
    <row r="90" spans="1:6" x14ac:dyDescent="0.2">
      <c r="A90" s="56" t="s">
        <v>132</v>
      </c>
      <c r="B90" s="19" t="s">
        <v>119</v>
      </c>
      <c r="C90" s="57">
        <v>36000</v>
      </c>
      <c r="D90" s="58">
        <v>286.37882861000003</v>
      </c>
      <c r="E90" s="58">
        <v>281.75</v>
      </c>
      <c r="F90" s="58">
        <v>22.77711</v>
      </c>
    </row>
    <row r="91" spans="1:6" x14ac:dyDescent="0.2">
      <c r="A91" s="56" t="s">
        <v>134</v>
      </c>
      <c r="B91" s="19" t="s">
        <v>119</v>
      </c>
      <c r="C91" s="57">
        <v>4400</v>
      </c>
      <c r="D91" s="58">
        <v>492.65148182000001</v>
      </c>
      <c r="E91" s="58">
        <v>497.25</v>
      </c>
      <c r="F91" s="58">
        <v>4.2105564571428573</v>
      </c>
    </row>
    <row r="92" spans="1:6" x14ac:dyDescent="0.2">
      <c r="A92" s="56" t="s">
        <v>133</v>
      </c>
      <c r="B92" s="19" t="s">
        <v>119</v>
      </c>
      <c r="C92" s="57">
        <v>3300</v>
      </c>
      <c r="D92" s="58">
        <v>489.20231211999999</v>
      </c>
      <c r="E92" s="58">
        <v>494.55</v>
      </c>
      <c r="F92" s="58">
        <v>3.157917342857143</v>
      </c>
    </row>
    <row r="93" spans="1:6" x14ac:dyDescent="0.2">
      <c r="A93" s="56" t="s">
        <v>135</v>
      </c>
      <c r="B93" s="19" t="s">
        <v>119</v>
      </c>
      <c r="C93" s="57">
        <v>8700</v>
      </c>
      <c r="D93" s="58">
        <v>2598.14241494</v>
      </c>
      <c r="E93" s="58">
        <v>2621.35</v>
      </c>
      <c r="F93" s="58">
        <v>40.257336000000002</v>
      </c>
    </row>
    <row r="94" spans="1:6" x14ac:dyDescent="0.2">
      <c r="A94" s="56" t="s">
        <v>136</v>
      </c>
      <c r="B94" s="19" t="s">
        <v>119</v>
      </c>
      <c r="C94" s="57">
        <v>1500</v>
      </c>
      <c r="D94" s="58">
        <v>2556.3784000000001</v>
      </c>
      <c r="E94" s="58">
        <v>2489.4499999999998</v>
      </c>
      <c r="F94" s="58">
        <v>6.5989725000000004</v>
      </c>
    </row>
    <row r="95" spans="1:6" x14ac:dyDescent="0.2">
      <c r="A95" s="56" t="s">
        <v>138</v>
      </c>
      <c r="B95" s="19" t="s">
        <v>119</v>
      </c>
      <c r="C95" s="57">
        <v>2800</v>
      </c>
      <c r="D95" s="58">
        <v>855.74128571000006</v>
      </c>
      <c r="E95" s="58">
        <v>870</v>
      </c>
      <c r="F95" s="58">
        <v>4.2535961999999996</v>
      </c>
    </row>
    <row r="96" spans="1:6" x14ac:dyDescent="0.2">
      <c r="A96" s="56" t="s">
        <v>137</v>
      </c>
      <c r="B96" s="19" t="s">
        <v>119</v>
      </c>
      <c r="C96" s="57">
        <v>53200</v>
      </c>
      <c r="D96" s="58">
        <v>860.90740018999998</v>
      </c>
      <c r="E96" s="58">
        <v>858.55</v>
      </c>
      <c r="F96" s="58">
        <v>80.818327800000006</v>
      </c>
    </row>
    <row r="97" spans="1:6" x14ac:dyDescent="0.2">
      <c r="A97" s="56" t="s">
        <v>139</v>
      </c>
      <c r="B97" s="19" t="s">
        <v>119</v>
      </c>
      <c r="C97" s="57">
        <v>3150</v>
      </c>
      <c r="D97" s="58">
        <v>1095.0238190499999</v>
      </c>
      <c r="E97" s="58">
        <v>1091.45</v>
      </c>
      <c r="F97" s="58">
        <v>7.9903556333333334</v>
      </c>
    </row>
    <row r="98" spans="1:6" x14ac:dyDescent="0.2">
      <c r="A98" s="56" t="s">
        <v>140</v>
      </c>
      <c r="B98" s="19" t="s">
        <v>119</v>
      </c>
      <c r="C98" s="57">
        <v>6300</v>
      </c>
      <c r="D98" s="58">
        <v>1110.78850317</v>
      </c>
      <c r="E98" s="58">
        <v>1085</v>
      </c>
      <c r="F98" s="58">
        <v>15.980711266666667</v>
      </c>
    </row>
    <row r="99" spans="1:6" x14ac:dyDescent="0.2">
      <c r="A99" s="56" t="s">
        <v>141</v>
      </c>
      <c r="B99" s="19" t="s">
        <v>119</v>
      </c>
      <c r="C99" s="57">
        <v>11600</v>
      </c>
      <c r="D99" s="58">
        <v>1768.6755172400001</v>
      </c>
      <c r="E99" s="58">
        <v>1748.8</v>
      </c>
      <c r="F99" s="58">
        <v>35.684743962500008</v>
      </c>
    </row>
    <row r="100" spans="1:6" x14ac:dyDescent="0.2">
      <c r="A100" s="56" t="s">
        <v>142</v>
      </c>
      <c r="B100" s="19" t="s">
        <v>119</v>
      </c>
      <c r="C100" s="57">
        <v>20400</v>
      </c>
      <c r="D100" s="58">
        <v>1766.8288544100001</v>
      </c>
      <c r="E100" s="58">
        <v>1737.55</v>
      </c>
      <c r="F100" s="58">
        <v>62.755929037499996</v>
      </c>
    </row>
    <row r="101" spans="1:6" x14ac:dyDescent="0.2">
      <c r="A101" s="56" t="s">
        <v>143</v>
      </c>
      <c r="B101" s="19" t="s">
        <v>119</v>
      </c>
      <c r="C101" s="57">
        <v>8924</v>
      </c>
      <c r="D101" s="58">
        <v>92.581438820000002</v>
      </c>
      <c r="E101" s="58">
        <v>87.9</v>
      </c>
      <c r="F101" s="58">
        <v>1.8766722</v>
      </c>
    </row>
    <row r="102" spans="1:6" x14ac:dyDescent="0.2">
      <c r="A102" s="56" t="s">
        <v>144</v>
      </c>
      <c r="B102" s="19" t="s">
        <v>119</v>
      </c>
      <c r="C102" s="57">
        <v>62700</v>
      </c>
      <c r="D102" s="58">
        <v>327.38013716</v>
      </c>
      <c r="E102" s="58">
        <v>318.5</v>
      </c>
      <c r="F102" s="58">
        <v>43.523048299999999</v>
      </c>
    </row>
    <row r="103" spans="1:6" x14ac:dyDescent="0.2">
      <c r="A103" s="56" t="s">
        <v>145</v>
      </c>
      <c r="B103" s="19" t="s">
        <v>119</v>
      </c>
      <c r="C103" s="57">
        <v>4375</v>
      </c>
      <c r="D103" s="58">
        <v>747.47192914000004</v>
      </c>
      <c r="E103" s="58">
        <v>750</v>
      </c>
      <c r="F103" s="58">
        <v>6.0761880117647058</v>
      </c>
    </row>
    <row r="104" spans="1:6" x14ac:dyDescent="0.2">
      <c r="A104" s="56" t="s">
        <v>146</v>
      </c>
      <c r="B104" s="19" t="s">
        <v>119</v>
      </c>
      <c r="C104" s="57">
        <v>6250</v>
      </c>
      <c r="D104" s="58">
        <v>748.16794446999995</v>
      </c>
      <c r="E104" s="58">
        <v>744.7</v>
      </c>
      <c r="F104" s="58">
        <v>8.680268588235295</v>
      </c>
    </row>
    <row r="105" spans="1:6" x14ac:dyDescent="0.2">
      <c r="A105" s="56" t="s">
        <v>147</v>
      </c>
      <c r="B105" s="19" t="s">
        <v>119</v>
      </c>
      <c r="C105" s="57">
        <v>550</v>
      </c>
      <c r="D105" s="58">
        <v>806.33939999999996</v>
      </c>
      <c r="E105" s="58">
        <v>779.95</v>
      </c>
      <c r="F105" s="58">
        <v>1.0802233999999999</v>
      </c>
    </row>
    <row r="106" spans="1:6" x14ac:dyDescent="0.2">
      <c r="A106" s="56" t="s">
        <v>148</v>
      </c>
      <c r="B106" s="19" t="s">
        <v>119</v>
      </c>
      <c r="C106" s="57">
        <v>3500</v>
      </c>
      <c r="D106" s="58">
        <v>2397.6096771399998</v>
      </c>
      <c r="E106" s="58">
        <v>2350.35</v>
      </c>
      <c r="F106" s="58">
        <v>14.497777566292134</v>
      </c>
    </row>
    <row r="107" spans="1:6" x14ac:dyDescent="0.2">
      <c r="A107" s="56" t="s">
        <v>149</v>
      </c>
      <c r="B107" s="19" t="s">
        <v>119</v>
      </c>
      <c r="C107" s="57">
        <v>18750</v>
      </c>
      <c r="D107" s="58">
        <v>2423.91972747</v>
      </c>
      <c r="E107" s="58">
        <v>2334.4499999999998</v>
      </c>
      <c r="F107" s="58">
        <v>77.666665533707871</v>
      </c>
    </row>
    <row r="108" spans="1:6" x14ac:dyDescent="0.2">
      <c r="A108" s="56" t="s">
        <v>150</v>
      </c>
      <c r="B108" s="19" t="s">
        <v>119</v>
      </c>
      <c r="C108" s="57">
        <v>10500</v>
      </c>
      <c r="D108" s="58">
        <v>540.24199999999996</v>
      </c>
      <c r="E108" s="58">
        <v>529.70000000000005</v>
      </c>
      <c r="F108" s="58">
        <v>10.2649838</v>
      </c>
    </row>
    <row r="109" spans="1:6" x14ac:dyDescent="0.2">
      <c r="A109" s="56" t="s">
        <v>151</v>
      </c>
      <c r="B109" s="19" t="s">
        <v>119</v>
      </c>
      <c r="C109" s="57">
        <v>500</v>
      </c>
      <c r="D109" s="58">
        <v>1022.6957</v>
      </c>
      <c r="E109" s="58">
        <v>982.05</v>
      </c>
      <c r="F109" s="58">
        <v>1.0702275000000001</v>
      </c>
    </row>
    <row r="110" spans="1:6" x14ac:dyDescent="0.2">
      <c r="A110" s="56" t="s">
        <v>152</v>
      </c>
      <c r="B110" s="19" t="s">
        <v>119</v>
      </c>
      <c r="C110" s="57">
        <v>8000</v>
      </c>
      <c r="D110" s="58">
        <v>1231.1255375000001</v>
      </c>
      <c r="E110" s="58">
        <v>1213.3</v>
      </c>
      <c r="F110" s="58">
        <v>21.06504</v>
      </c>
    </row>
    <row r="111" spans="1:6" x14ac:dyDescent="0.2">
      <c r="A111" s="56" t="s">
        <v>154</v>
      </c>
      <c r="B111" s="19" t="s">
        <v>119</v>
      </c>
      <c r="C111" s="57">
        <v>64125</v>
      </c>
      <c r="D111" s="58">
        <v>202.08588943000001</v>
      </c>
      <c r="E111" s="58">
        <v>206.05</v>
      </c>
      <c r="F111" s="58">
        <v>29.815004739393942</v>
      </c>
    </row>
    <row r="112" spans="1:6" x14ac:dyDescent="0.2">
      <c r="A112" s="56" t="s">
        <v>153</v>
      </c>
      <c r="B112" s="19" t="s">
        <v>119</v>
      </c>
      <c r="C112" s="57">
        <v>47250</v>
      </c>
      <c r="D112" s="58">
        <v>204.80902814999999</v>
      </c>
      <c r="E112" s="58">
        <v>204.8</v>
      </c>
      <c r="F112" s="58">
        <v>21.968950860606061</v>
      </c>
    </row>
    <row r="113" spans="1:7" x14ac:dyDescent="0.2">
      <c r="A113" s="56" t="s">
        <v>156</v>
      </c>
      <c r="B113" s="19" t="s">
        <v>119</v>
      </c>
      <c r="C113" s="57">
        <v>143000</v>
      </c>
      <c r="D113" s="58">
        <v>106.84791469</v>
      </c>
      <c r="E113" s="58">
        <v>106.05</v>
      </c>
      <c r="F113" s="58">
        <v>35.379117065217393</v>
      </c>
    </row>
    <row r="114" spans="1:7" x14ac:dyDescent="0.2">
      <c r="A114" s="56" t="s">
        <v>155</v>
      </c>
      <c r="B114" s="19" t="s">
        <v>119</v>
      </c>
      <c r="C114" s="57">
        <v>110000</v>
      </c>
      <c r="D114" s="58">
        <v>110.58040345000001</v>
      </c>
      <c r="E114" s="58">
        <v>105.4</v>
      </c>
      <c r="F114" s="58">
        <v>27.214705434782609</v>
      </c>
    </row>
    <row r="115" spans="1:7" x14ac:dyDescent="0.2">
      <c r="A115" s="56" t="s">
        <v>157</v>
      </c>
      <c r="B115" s="19" t="s">
        <v>119</v>
      </c>
      <c r="C115" s="57">
        <v>8925</v>
      </c>
      <c r="D115" s="58">
        <v>3474.95094006</v>
      </c>
      <c r="E115" s="58">
        <v>3355.4</v>
      </c>
      <c r="F115" s="58">
        <v>52.887298899999998</v>
      </c>
    </row>
    <row r="116" spans="1:7" x14ac:dyDescent="0.2">
      <c r="A116" s="56" t="s">
        <v>158</v>
      </c>
      <c r="B116" s="19" t="s">
        <v>119</v>
      </c>
      <c r="C116" s="57">
        <v>2250</v>
      </c>
      <c r="D116" s="58">
        <v>2448.2023688899999</v>
      </c>
      <c r="E116" s="58">
        <v>2405</v>
      </c>
      <c r="F116" s="58">
        <v>9.7398849300000006</v>
      </c>
    </row>
    <row r="117" spans="1:7" x14ac:dyDescent="0.2">
      <c r="A117" s="56" t="s">
        <v>159</v>
      </c>
      <c r="B117" s="19" t="s">
        <v>119</v>
      </c>
      <c r="C117" s="57">
        <v>5250</v>
      </c>
      <c r="D117" s="58">
        <v>2488.7021276199998</v>
      </c>
      <c r="E117" s="58">
        <v>2388.6</v>
      </c>
      <c r="F117" s="58">
        <v>22.72639817</v>
      </c>
    </row>
    <row r="119" spans="1:7" x14ac:dyDescent="0.2">
      <c r="A119" s="63" t="s">
        <v>160</v>
      </c>
      <c r="C119" s="64"/>
      <c r="E119" s="62"/>
    </row>
    <row r="120" spans="1:7" x14ac:dyDescent="0.2">
      <c r="A120" s="48"/>
      <c r="B120" s="49"/>
      <c r="C120" s="65"/>
      <c r="E120" s="62"/>
      <c r="G120" s="62"/>
    </row>
    <row r="121" spans="1:7" x14ac:dyDescent="0.2">
      <c r="A121" s="66" t="s">
        <v>161</v>
      </c>
      <c r="B121" s="66"/>
      <c r="C121" s="66"/>
      <c r="F121" s="67"/>
    </row>
    <row r="122" spans="1:7" x14ac:dyDescent="0.2">
      <c r="A122" s="68" t="s">
        <v>162</v>
      </c>
      <c r="B122" s="69"/>
      <c r="C122" s="69"/>
      <c r="D122" s="70"/>
    </row>
    <row r="123" spans="1:7" x14ac:dyDescent="0.2">
      <c r="A123" s="71" t="s">
        <v>163</v>
      </c>
      <c r="B123" s="71"/>
      <c r="C123" s="71"/>
      <c r="D123" s="28">
        <v>819</v>
      </c>
      <c r="F123" s="62"/>
    </row>
    <row r="124" spans="1:7" x14ac:dyDescent="0.2">
      <c r="A124" s="71" t="s">
        <v>164</v>
      </c>
      <c r="B124" s="71"/>
      <c r="C124" s="71"/>
      <c r="D124" s="15">
        <v>948</v>
      </c>
    </row>
    <row r="125" spans="1:7" x14ac:dyDescent="0.2">
      <c r="A125" s="71" t="s">
        <v>165</v>
      </c>
      <c r="B125" s="71"/>
      <c r="C125" s="71"/>
      <c r="D125" s="58">
        <v>5342.9182800999997</v>
      </c>
    </row>
    <row r="126" spans="1:7" x14ac:dyDescent="0.2">
      <c r="A126" s="71" t="s">
        <v>166</v>
      </c>
      <c r="B126" s="71"/>
      <c r="C126" s="71"/>
      <c r="D126" s="58">
        <v>5898.8522294000004</v>
      </c>
    </row>
    <row r="127" spans="1:7" x14ac:dyDescent="0.2">
      <c r="A127" s="71" t="s">
        <v>167</v>
      </c>
      <c r="B127" s="71"/>
      <c r="C127" s="71"/>
      <c r="D127" s="72">
        <v>191.06694049999996</v>
      </c>
      <c r="F127" s="62"/>
    </row>
    <row r="128" spans="1:7" x14ac:dyDescent="0.2">
      <c r="A128" s="48"/>
      <c r="B128" s="49"/>
      <c r="C128" s="65"/>
    </row>
    <row r="129" spans="1:7" x14ac:dyDescent="0.2">
      <c r="A129" s="66" t="s">
        <v>168</v>
      </c>
      <c r="B129" s="66"/>
      <c r="C129" s="66"/>
    </row>
    <row r="130" spans="1:7" x14ac:dyDescent="0.2">
      <c r="A130" s="68" t="s">
        <v>169</v>
      </c>
      <c r="B130" s="69"/>
      <c r="C130" s="69"/>
      <c r="D130" s="70"/>
    </row>
    <row r="131" spans="1:7" x14ac:dyDescent="0.2">
      <c r="A131" s="71" t="s">
        <v>163</v>
      </c>
      <c r="B131" s="71"/>
      <c r="C131" s="71"/>
      <c r="D131" s="28" t="s">
        <v>170</v>
      </c>
    </row>
    <row r="132" spans="1:7" x14ac:dyDescent="0.2">
      <c r="A132" s="71" t="s">
        <v>164</v>
      </c>
      <c r="B132" s="71"/>
      <c r="C132" s="71"/>
      <c r="D132" s="28" t="s">
        <v>170</v>
      </c>
      <c r="G132" s="62"/>
    </row>
    <row r="133" spans="1:7" x14ac:dyDescent="0.2">
      <c r="A133" s="71" t="s">
        <v>165</v>
      </c>
      <c r="B133" s="71"/>
      <c r="C133" s="71"/>
      <c r="D133" s="73" t="s">
        <v>170</v>
      </c>
      <c r="G133" s="62"/>
    </row>
    <row r="134" spans="1:7" x14ac:dyDescent="0.2">
      <c r="A134" s="71" t="s">
        <v>166</v>
      </c>
      <c r="B134" s="71"/>
      <c r="C134" s="71"/>
      <c r="D134" s="73" t="s">
        <v>170</v>
      </c>
      <c r="G134" s="62"/>
    </row>
    <row r="135" spans="1:7" x14ac:dyDescent="0.2">
      <c r="A135" s="71" t="s">
        <v>167</v>
      </c>
      <c r="B135" s="71"/>
      <c r="C135" s="71"/>
      <c r="D135" s="72" t="s">
        <v>170</v>
      </c>
      <c r="G135" s="62"/>
    </row>
    <row r="138" spans="1:7" ht="15" x14ac:dyDescent="0.25">
      <c r="A138" s="74" t="s">
        <v>171</v>
      </c>
      <c r="B138" s="75"/>
      <c r="C138" s="75"/>
    </row>
    <row r="139" spans="1:7" ht="15" x14ac:dyDescent="0.25">
      <c r="A139" s="76" t="s">
        <v>172</v>
      </c>
      <c r="B139" s="75"/>
      <c r="C139" s="75"/>
      <c r="D139" s="75"/>
    </row>
    <row r="140" spans="1:7" ht="15" x14ac:dyDescent="0.25">
      <c r="A140" s="77" t="s">
        <v>173</v>
      </c>
      <c r="B140" s="77"/>
      <c r="C140" s="77"/>
      <c r="D140" s="75"/>
    </row>
    <row r="141" spans="1:7" ht="15" x14ac:dyDescent="0.25">
      <c r="A141" s="76" t="s">
        <v>174</v>
      </c>
      <c r="B141" s="75"/>
      <c r="C141" s="75"/>
      <c r="D141" s="75"/>
    </row>
    <row r="142" spans="1:7" ht="15" x14ac:dyDescent="0.25">
      <c r="A142" s="76"/>
      <c r="B142" s="75"/>
      <c r="C142" s="75"/>
      <c r="D142" s="75"/>
    </row>
    <row r="143" spans="1:7" ht="14.25" x14ac:dyDescent="0.2">
      <c r="A143" s="78" t="s">
        <v>175</v>
      </c>
      <c r="B143" s="75"/>
      <c r="C143" s="79" t="s">
        <v>176</v>
      </c>
    </row>
    <row r="144" spans="1:7" x14ac:dyDescent="0.2">
      <c r="A144" s="75"/>
      <c r="B144" s="75"/>
      <c r="C144" s="75"/>
      <c r="D144" s="75"/>
    </row>
    <row r="145" spans="1:4" x14ac:dyDescent="0.2">
      <c r="A145" s="75"/>
      <c r="B145" s="75"/>
      <c r="C145" s="75"/>
      <c r="D145" s="75"/>
    </row>
    <row r="146" spans="1:4" x14ac:dyDescent="0.2">
      <c r="A146" s="75"/>
      <c r="B146" s="75"/>
      <c r="C146" s="75"/>
      <c r="D146" s="75"/>
    </row>
    <row r="147" spans="1:4" x14ac:dyDescent="0.2">
      <c r="A147" s="75"/>
      <c r="B147" s="75"/>
      <c r="C147" s="75"/>
      <c r="D147" s="75"/>
    </row>
    <row r="148" spans="1:4" x14ac:dyDescent="0.2">
      <c r="A148" s="75"/>
      <c r="B148" s="75"/>
      <c r="C148" s="75"/>
      <c r="D148" s="75"/>
    </row>
    <row r="149" spans="1:4" x14ac:dyDescent="0.2">
      <c r="A149" s="75"/>
      <c r="B149" s="75"/>
      <c r="C149" s="75"/>
      <c r="D149" s="75"/>
    </row>
    <row r="150" spans="1:4" x14ac:dyDescent="0.2">
      <c r="A150" s="75"/>
      <c r="B150" s="75"/>
      <c r="C150" s="75"/>
      <c r="D150" s="75"/>
    </row>
    <row r="151" spans="1:4" x14ac:dyDescent="0.2">
      <c r="A151" s="75"/>
      <c r="B151" s="75"/>
      <c r="C151" s="75"/>
      <c r="D151" s="75"/>
    </row>
    <row r="152" spans="1:4" x14ac:dyDescent="0.2">
      <c r="A152" s="75"/>
      <c r="B152" s="75"/>
      <c r="C152" s="75"/>
      <c r="D152" s="75"/>
    </row>
    <row r="153" spans="1:4" x14ac:dyDescent="0.2">
      <c r="A153" s="75"/>
      <c r="B153" s="75"/>
      <c r="C153" s="75"/>
      <c r="D153" s="75"/>
    </row>
    <row r="154" spans="1:4" x14ac:dyDescent="0.2">
      <c r="A154" s="75"/>
      <c r="B154" s="75"/>
      <c r="C154" s="75"/>
      <c r="D154" s="75"/>
    </row>
    <row r="155" spans="1:4" x14ac:dyDescent="0.2">
      <c r="A155" s="75"/>
      <c r="B155" s="75"/>
      <c r="C155" s="75"/>
      <c r="D155" s="75"/>
    </row>
    <row r="156" spans="1:4" x14ac:dyDescent="0.2">
      <c r="A156" s="75"/>
      <c r="B156" s="75"/>
      <c r="C156" s="75"/>
      <c r="D156" s="75"/>
    </row>
    <row r="157" spans="1:4" x14ac:dyDescent="0.2">
      <c r="A157" s="75"/>
      <c r="B157" s="75"/>
      <c r="C157" s="75"/>
      <c r="D157" s="75"/>
    </row>
  </sheetData>
  <mergeCells count="21">
    <mergeCell ref="A134:C134"/>
    <mergeCell ref="A135:C135"/>
    <mergeCell ref="A140:C140"/>
    <mergeCell ref="A127:C127"/>
    <mergeCell ref="A129:C129"/>
    <mergeCell ref="A130:D130"/>
    <mergeCell ref="A131:C131"/>
    <mergeCell ref="A132:C132"/>
    <mergeCell ref="A133:C133"/>
    <mergeCell ref="A121:C121"/>
    <mergeCell ref="A122:D122"/>
    <mergeCell ref="A123:C123"/>
    <mergeCell ref="A124:C124"/>
    <mergeCell ref="A125:C125"/>
    <mergeCell ref="A126:C126"/>
    <mergeCell ref="A1:H1"/>
    <mergeCell ref="A2:H2"/>
    <mergeCell ref="A70:G70"/>
    <mergeCell ref="A71:G71"/>
    <mergeCell ref="A72:G72"/>
    <mergeCell ref="A73:G73"/>
  </mergeCells>
  <pageMargins left="0.75" right="0.25" top="1" bottom="1" header="0.5" footer="0.5"/>
  <pageSetup paperSize="9" scale="75"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AA</vt:lpstr>
      <vt:lpstr>AA!Print_Area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2023-03-06T08:26:04Z</dcterms:created>
  <dcterms:modified xsi:type="dcterms:W3CDTF">2023-03-06T08:42:09Z</dcterms:modified>
</cp:coreProperties>
</file>