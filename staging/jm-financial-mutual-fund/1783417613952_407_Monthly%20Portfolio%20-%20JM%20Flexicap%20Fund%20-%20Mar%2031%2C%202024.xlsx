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4\Monthly\Monthly 31.03.2024\"/>
    </mc:Choice>
  </mc:AlternateContent>
  <bookViews>
    <workbookView xWindow="0" yWindow="0" windowWidth="20490" windowHeight="7770"/>
  </bookViews>
  <sheets>
    <sheet name="JM Flexicap Fund" sheetId="1" r:id="rId1"/>
  </sheets>
  <definedNames>
    <definedName name="_xlnm._FilterDatabase" localSheetId="0" hidden="1">'JM Flexicap Fund'!$A$1:$IQ$117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Fund'!$A$1:$E$80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2" i="1" l="1"/>
  <c r="E81" i="1"/>
  <c r="E82" i="1" s="1"/>
  <c r="D63" i="1"/>
  <c r="D67" i="1" s="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3" i="1" l="1"/>
  <c r="E67" i="1" s="1"/>
  <c r="E84" i="1" s="1"/>
  <c r="D84" i="1"/>
  <c r="D86" i="1" s="1"/>
  <c r="E86" i="1" s="1"/>
  <c r="E88" i="1" l="1"/>
</calcChain>
</file>

<file path=xl/sharedStrings.xml><?xml version="1.0" encoding="utf-8"?>
<sst xmlns="http://schemas.openxmlformats.org/spreadsheetml/2006/main" count="218" uniqueCount="176">
  <si>
    <t>JM Financial Mutual Fund</t>
  </si>
  <si>
    <t>JM Flexicap Fund (An open ended dynamic equity scheme investing across large cap, mid cap, small cap stocks).</t>
  </si>
  <si>
    <t>Monthly Portfolio Statement for the period ended 31.03.2024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</si>
  <si>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</si>
  <si>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</si>
  <si>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</si>
  <si>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</si>
  <si>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</si>
  <si>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</si>
  <si>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</si>
  <si>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</si>
  <si>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</si>
  <si>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</si>
  <si>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</si>
  <si>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</si>
  <si>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</si>
  <si>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</si>
  <si>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</si>
  <si>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Larsen &amp; Toubro Ltd.</t>
  </si>
  <si>
    <t>Construction</t>
  </si>
  <si>
    <t>INE018A01030</t>
  </si>
  <si>
    <t>Infosys Ltd.</t>
  </si>
  <si>
    <t>IT - Software</t>
  </si>
  <si>
    <t>INE009A01021</t>
  </si>
  <si>
    <t>State Bank of India</t>
  </si>
  <si>
    <t>INE062A01020</t>
  </si>
  <si>
    <t>Mahindra &amp; Mahindra Ltd.</t>
  </si>
  <si>
    <t>Automobiles</t>
  </si>
  <si>
    <t>INE101A01026</t>
  </si>
  <si>
    <t>ITC Ltd.</t>
  </si>
  <si>
    <t>Diversified FMCG</t>
  </si>
  <si>
    <t>INE154A01025</t>
  </si>
  <si>
    <t>Bank of Baroda</t>
  </si>
  <si>
    <t>INE028A01039</t>
  </si>
  <si>
    <t>Bharti Airtel Ltd.</t>
  </si>
  <si>
    <t>Telecom - Services</t>
  </si>
  <si>
    <t>INE397D01024</t>
  </si>
  <si>
    <t>Tata Consultancy Services Ltd.</t>
  </si>
  <si>
    <t>INE467B01029</t>
  </si>
  <si>
    <t>HEG Ltd.</t>
  </si>
  <si>
    <t>Industrial Products</t>
  </si>
  <si>
    <t>INE545A01016</t>
  </si>
  <si>
    <t>Housing &amp; Urban Development Corporation Ltd.</t>
  </si>
  <si>
    <t>Finance</t>
  </si>
  <si>
    <t>INE031A01017</t>
  </si>
  <si>
    <t>REC Ltd.</t>
  </si>
  <si>
    <t>INE020B01018</t>
  </si>
  <si>
    <t>Hero MotoCorp Ltd.</t>
  </si>
  <si>
    <t>INE158A01026</t>
  </si>
  <si>
    <t>Tata Motors Ltd.-DVR</t>
  </si>
  <si>
    <t>IN9155A01020</t>
  </si>
  <si>
    <t>Bajaj Finance Ltd.</t>
  </si>
  <si>
    <t>INE296A01024</t>
  </si>
  <si>
    <t>Sterling and Wilson Renewable Energy Ltd.</t>
  </si>
  <si>
    <t>INE00M201021</t>
  </si>
  <si>
    <t>Newgen Software Technologies Ltd.</t>
  </si>
  <si>
    <t>INE619B01017</t>
  </si>
  <si>
    <t>Kirloskar Oil Engines Ltd.</t>
  </si>
  <si>
    <t>INE146L01010</t>
  </si>
  <si>
    <t>Biocon Ltd.</t>
  </si>
  <si>
    <t>Pharmaceuticals &amp; Biotechnology</t>
  </si>
  <si>
    <t>INE376G01013</t>
  </si>
  <si>
    <t>Samhi Hotels Ltd.</t>
  </si>
  <si>
    <t>Leisure Services</t>
  </si>
  <si>
    <t>INE08U801020</t>
  </si>
  <si>
    <t>Bharat Forge Ltd.</t>
  </si>
  <si>
    <t>Auto Components</t>
  </si>
  <si>
    <t>INE465A01025</t>
  </si>
  <si>
    <t>JSW Energy Ltd.</t>
  </si>
  <si>
    <t>Power</t>
  </si>
  <si>
    <t>INE121E01018</t>
  </si>
  <si>
    <t>Schaeffler India Ltd.</t>
  </si>
  <si>
    <t>INE513A01022</t>
  </si>
  <si>
    <t>GE T&amp;D India Ltd.</t>
  </si>
  <si>
    <t>Electrical Equipment</t>
  </si>
  <si>
    <t>INE200A01026</t>
  </si>
  <si>
    <t>DLF Ltd.</t>
  </si>
  <si>
    <t>Realty</t>
  </si>
  <si>
    <t>INE271C01023</t>
  </si>
  <si>
    <t>Signatureglobal (India) Ltd.</t>
  </si>
  <si>
    <t>INE903U01023</t>
  </si>
  <si>
    <t>Maruti Suzuki India Ltd.</t>
  </si>
  <si>
    <t>INE585B01010</t>
  </si>
  <si>
    <t>Tata Steel Ltd.</t>
  </si>
  <si>
    <t>Ferrous Metals</t>
  </si>
  <si>
    <t>INE081A01020</t>
  </si>
  <si>
    <t>Thomas Cook  (India)  Ltd.</t>
  </si>
  <si>
    <t>INE332A01027</t>
  </si>
  <si>
    <t>Jyothy Labs Ltd.</t>
  </si>
  <si>
    <t>Household Products</t>
  </si>
  <si>
    <t>INE668F01031</t>
  </si>
  <si>
    <t>NTPC Ltd.</t>
  </si>
  <si>
    <t>INE733E01010</t>
  </si>
  <si>
    <t>Tata Power Company Ltd.</t>
  </si>
  <si>
    <t>INE245A01021</t>
  </si>
  <si>
    <t>Mrs. Bectors Food Specialities Ltd.</t>
  </si>
  <si>
    <t>Food Products</t>
  </si>
  <si>
    <t>INE495P01012</t>
  </si>
  <si>
    <t>Suven Pharmaceuticals Ltd.</t>
  </si>
  <si>
    <t>INE03QK01018</t>
  </si>
  <si>
    <t>Arvind Ltd.</t>
  </si>
  <si>
    <t>Textiles &amp; Apparels</t>
  </si>
  <si>
    <t>INE034A01011</t>
  </si>
  <si>
    <t>Bharat Heavy Electricals Ltd.</t>
  </si>
  <si>
    <t>INE257A01026</t>
  </si>
  <si>
    <t>Ahluwalia Contracts (India) Ltd.</t>
  </si>
  <si>
    <t>INE758C01029</t>
  </si>
  <si>
    <t>CESC Ltd.</t>
  </si>
  <si>
    <t>INE486A01021</t>
  </si>
  <si>
    <t>Zomato Ltd.</t>
  </si>
  <si>
    <t>Retailing</t>
  </si>
  <si>
    <t>INE758T01015</t>
  </si>
  <si>
    <t>Blue Star Ltd.</t>
  </si>
  <si>
    <t>Consumer Durables</t>
  </si>
  <si>
    <t>INE472A01039</t>
  </si>
  <si>
    <t>Dhanuka Agritech Ltd.</t>
  </si>
  <si>
    <t>Fertilizers &amp; Agrochemicals</t>
  </si>
  <si>
    <t>INE435G01025</t>
  </si>
  <si>
    <t>Global Health Ltd.</t>
  </si>
  <si>
    <t>Healthcare Services</t>
  </si>
  <si>
    <t>INE474Q01031</t>
  </si>
  <si>
    <t>Gulf Oil Lubricants India Ltd.</t>
  </si>
  <si>
    <t>Petroleum Products</t>
  </si>
  <si>
    <t>INE635Q01029</t>
  </si>
  <si>
    <t>Linde India Ltd.</t>
  </si>
  <si>
    <t>Chemicals &amp; Petrochemicals</t>
  </si>
  <si>
    <t>INE473A01011</t>
  </si>
  <si>
    <t>Glenmark Pharmaceuticals Ltd.</t>
  </si>
  <si>
    <t>INE935A01035</t>
  </si>
  <si>
    <t>Birlasoft Ltd.</t>
  </si>
  <si>
    <t>INE836A01035</t>
  </si>
  <si>
    <t>Thermax Ltd.</t>
  </si>
  <si>
    <t>INE152A01029</t>
  </si>
  <si>
    <t>Trent Ltd.</t>
  </si>
  <si>
    <t>INE849A01020</t>
  </si>
  <si>
    <t>Sun TV Network Ltd.</t>
  </si>
  <si>
    <t>Entertainment</t>
  </si>
  <si>
    <t>INE424H01027</t>
  </si>
  <si>
    <t>Exicom Tele-Systems Ltd.</t>
  </si>
  <si>
    <t>INE777F01014</t>
  </si>
  <si>
    <t>Tata Chemicals Limited</t>
  </si>
  <si>
    <t>INE092A01019</t>
  </si>
  <si>
    <t>ICICI Prudential Life Insurance Company Ltd.</t>
  </si>
  <si>
    <t>Insurance</t>
  </si>
  <si>
    <t>INE726G01019</t>
  </si>
  <si>
    <t>Orchid Pharma Ltd.</t>
  </si>
  <si>
    <t>INE191A01027</t>
  </si>
  <si>
    <t>Kalpataru Projects International Ltd.</t>
  </si>
  <si>
    <t>INE220B01022</t>
  </si>
  <si>
    <t>KEC International Ltd.</t>
  </si>
  <si>
    <t>INE389H01022</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</si>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</sst>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6" fillId="0" borderId="0"/>
    <xf numFmtId="0" fontId="6" fillId="0" borderId="0"/>
    <xf numFmtId="0" fontId="6" fillId="0" borderId="0"/>
  </cellStyleXfs>
  <cellXfs count="54">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5" applyFont="1" applyBorder="1" applyAlignment="1">
      <alignment horizontal="left" vertical="top" wrapText="1"/>
    </xf>
    <xf numFmtId="0" fontId="5" fillId="0" borderId="0" xfId="2" applyFont="1" applyAlignment="1">
      <alignment horizontal="left" vertical="top" wrapText="1"/>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8" fillId="0" borderId="0" xfId="5" applyFont="1" applyBorder="1" applyAlignment="1">
      <alignment horizontal="left" vertical="top" wrapText="1"/>
    </xf>
    <xf numFmtId="0" fontId="5" fillId="0" borderId="0" xfId="2" applyFont="1" applyAlignment="1">
      <alignment horizontal="lef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4" applyFont="1" applyAlignment="1">
      <alignment horizontal="left" vertical="top" wrapText="1"/>
    </xf>
    <xf numFmtId="0" fontId="7" fillId="0" borderId="0" xfId="5" applyFont="1" applyBorder="1" applyAlignment="1">
      <alignment horizontal="left" vertical="top" wrapText="1"/>
    </xf>
  </cellXfs>
  <cellStyles count="8">
    <cellStyle name="Comma" xfId="1" builtinId="3"/>
    <cellStyle name="Comma 4" xfId="3"/>
    <cellStyle name="Normal" xfId="0" builtinId="0"/>
    <cellStyle name="Normal 2 2 2" xfId="2"/>
    <cellStyle name="Normal 2 3 2" xfId="4"/>
    <cellStyle name="Normal 4_IF" xfId="7"/>
    <cellStyle name="Normal 4_LD" xfId="5"/>
    <cellStyle name="Normal 4_MS"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771525</xdr:colOff>
      <xdr:row>100</xdr:row>
      <xdr:rowOff>152400</xdr:rowOff>
    </xdr:from>
    <xdr:to>
      <xdr:col>0</xdr:col>
      <xdr:colOff>2571317</xdr:colOff>
      <xdr:row>106</xdr:row>
      <xdr:rowOff>93221</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771525" y="18945225"/>
          <a:ext cx="1799792" cy="1026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1304925</xdr:colOff>
      <xdr:row>100</xdr:row>
      <xdr:rowOff>114300</xdr:rowOff>
    </xdr:from>
    <xdr:to>
      <xdr:col>3</xdr:col>
      <xdr:colOff>320993</xdr:colOff>
      <xdr:row>106</xdr:row>
      <xdr:rowOff>96687</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4067175" y="18907125"/>
          <a:ext cx="1816418" cy="10682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7"/>
  <sheetViews>
    <sheetView tabSelected="1" zoomScaleNormal="100" workbookViewId="0">
      <selection sqref="A1:H1"/>
    </sheetView>
  </sheetViews>
  <sheetFormatPr defaultRowHeight="12.75" x14ac:dyDescent="0.2"/>
  <cols>
    <col min="1" max="1" width="41.42578125" style="33" customWidth="1"/>
    <col min="2" max="2" width="28.5703125" style="34" customWidth="1"/>
    <col min="3" max="3" width="13.42578125" style="35" customWidth="1"/>
    <col min="4" max="4" width="13.5703125" style="1" customWidth="1"/>
    <col min="5" max="5" width="10.28515625" style="1" customWidth="1"/>
    <col min="6" max="6" width="13.5703125" style="1" customWidth="1"/>
    <col min="7" max="7" width="9.5703125" style="1" bestFit="1" customWidth="1"/>
    <col min="8" max="8" width="12.28515625" style="1" customWidth="1"/>
    <col min="9" max="16384" width="9.140625" style="1"/>
  </cols>
  <sheetData>
    <row r="1" spans="1:8" x14ac:dyDescent="0.2">
      <c r="A1" s="50" t="s">
        <v>0</v>
      </c>
      <c r="B1" s="50"/>
      <c r="C1" s="50"/>
      <c r="D1" s="50"/>
      <c r="E1" s="50"/>
      <c r="F1" s="50"/>
      <c r="G1" s="50"/>
      <c r="H1" s="50"/>
    </row>
    <row r="2" spans="1:8" x14ac:dyDescent="0.2">
      <c r="A2" s="50" t="s">
        <v>1</v>
      </c>
      <c r="B2" s="50"/>
      <c r="C2" s="50"/>
      <c r="D2" s="50"/>
      <c r="E2" s="50"/>
      <c r="F2" s="50"/>
      <c r="G2" s="50"/>
      <c r="H2" s="50"/>
    </row>
    <row r="3" spans="1:8" x14ac:dyDescent="0.2">
      <c r="A3" s="51" t="s">
        <v>2</v>
      </c>
      <c r="B3" s="51"/>
      <c r="C3" s="51"/>
      <c r="D3" s="51"/>
      <c r="E3" s="51"/>
      <c r="F3" s="51"/>
      <c r="G3" s="51"/>
      <c r="H3" s="51"/>
    </row>
    <row r="4" spans="1:8" s="2" customFormat="1" ht="25.5" x14ac:dyDescent="0.2">
      <c r="A4" s="45" t="s">
        <v>3</v>
      </c>
      <c r="B4" s="45" t="s">
        <v>4</v>
      </c>
      <c r="C4" s="46" t="s">
        <v>5</v>
      </c>
      <c r="D4" s="45" t="s">
        <v>6</v>
      </c>
      <c r="E4" s="45" t="s">
        <v>7</v>
      </c>
      <c r="F4" s="45" t="s">
        <v>8</v>
      </c>
      <c r="G4" s="45" t="s">
        <v>9</v>
      </c>
      <c r="H4" s="45"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685500</v>
      </c>
      <c r="D7" s="14">
        <v>9925.3544999999995</v>
      </c>
      <c r="E7" s="14">
        <f t="shared" ref="E7:E62" si="0">(+D7/$D$88*100)</f>
        <v>5.5953192438994046</v>
      </c>
      <c r="F7" s="14" t="s">
        <v>15</v>
      </c>
      <c r="G7" s="9"/>
      <c r="H7" s="9"/>
    </row>
    <row r="8" spans="1:8" s="15" customFormat="1" ht="14.25" x14ac:dyDescent="0.3">
      <c r="A8" s="11" t="s">
        <v>16</v>
      </c>
      <c r="B8" s="12" t="s">
        <v>14</v>
      </c>
      <c r="C8" s="13">
        <v>725800</v>
      </c>
      <c r="D8" s="14">
        <v>7935.1714000000002</v>
      </c>
      <c r="E8" s="14">
        <f t="shared" si="0"/>
        <v>4.4733734435440251</v>
      </c>
      <c r="F8" s="14" t="s">
        <v>17</v>
      </c>
      <c r="G8" s="9"/>
      <c r="H8" s="9"/>
    </row>
    <row r="9" spans="1:8" s="15" customFormat="1" ht="14.25" x14ac:dyDescent="0.3">
      <c r="A9" s="11" t="s">
        <v>18</v>
      </c>
      <c r="B9" s="12" t="s">
        <v>19</v>
      </c>
      <c r="C9" s="13">
        <v>210731</v>
      </c>
      <c r="D9" s="14">
        <v>7931.7041089999993</v>
      </c>
      <c r="E9" s="14">
        <f t="shared" si="0"/>
        <v>4.471418792951293</v>
      </c>
      <c r="F9" s="14" t="s">
        <v>20</v>
      </c>
      <c r="G9" s="9"/>
      <c r="H9" s="16"/>
    </row>
    <row r="10" spans="1:8" s="15" customFormat="1" ht="14.25" x14ac:dyDescent="0.3">
      <c r="A10" s="11" t="s">
        <v>21</v>
      </c>
      <c r="B10" s="12" t="s">
        <v>22</v>
      </c>
      <c r="C10" s="13">
        <v>397750</v>
      </c>
      <c r="D10" s="14">
        <v>5958.4938750000001</v>
      </c>
      <c r="E10" s="14">
        <f t="shared" si="0"/>
        <v>3.3590412759004464</v>
      </c>
      <c r="F10" s="14" t="s">
        <v>23</v>
      </c>
      <c r="G10" s="9"/>
      <c r="H10" s="9"/>
    </row>
    <row r="11" spans="1:8" s="15" customFormat="1" ht="14.25" x14ac:dyDescent="0.3">
      <c r="A11" s="11" t="s">
        <v>24</v>
      </c>
      <c r="B11" s="12" t="s">
        <v>14</v>
      </c>
      <c r="C11" s="13">
        <v>788700</v>
      </c>
      <c r="D11" s="14">
        <v>5933.7844500000001</v>
      </c>
      <c r="E11" s="14">
        <f t="shared" si="0"/>
        <v>3.3451115849047053</v>
      </c>
      <c r="F11" s="14" t="s">
        <v>25</v>
      </c>
      <c r="G11" s="9"/>
      <c r="H11" s="8"/>
    </row>
    <row r="12" spans="1:8" s="15" customFormat="1" ht="14.25" x14ac:dyDescent="0.3">
      <c r="A12" s="11" t="s">
        <v>26</v>
      </c>
      <c r="B12" s="12" t="s">
        <v>27</v>
      </c>
      <c r="C12" s="13">
        <v>275000</v>
      </c>
      <c r="D12" s="14">
        <v>5283.7124999999996</v>
      </c>
      <c r="E12" s="14">
        <f t="shared" si="0"/>
        <v>2.9786400304877607</v>
      </c>
      <c r="F12" s="14" t="s">
        <v>28</v>
      </c>
      <c r="G12" s="9"/>
      <c r="H12" s="16"/>
    </row>
    <row r="13" spans="1:8" s="15" customFormat="1" ht="14.25" x14ac:dyDescent="0.3">
      <c r="A13" s="11" t="s">
        <v>29</v>
      </c>
      <c r="B13" s="12" t="s">
        <v>30</v>
      </c>
      <c r="C13" s="13">
        <v>1210000</v>
      </c>
      <c r="D13" s="14">
        <v>5183.0349999999999</v>
      </c>
      <c r="E13" s="14">
        <f t="shared" si="0"/>
        <v>2.9218840976716907</v>
      </c>
      <c r="F13" s="14" t="s">
        <v>31</v>
      </c>
      <c r="G13" s="9"/>
      <c r="H13" s="9"/>
    </row>
    <row r="14" spans="1:8" s="15" customFormat="1" ht="14.25" x14ac:dyDescent="0.3">
      <c r="A14" s="11" t="s">
        <v>32</v>
      </c>
      <c r="B14" s="12" t="s">
        <v>14</v>
      </c>
      <c r="C14" s="13">
        <v>1948947</v>
      </c>
      <c r="D14" s="14">
        <v>5146.1945535000004</v>
      </c>
      <c r="E14" s="14">
        <f t="shared" si="0"/>
        <v>2.9011156647401215</v>
      </c>
      <c r="F14" s="14" t="s">
        <v>33</v>
      </c>
      <c r="G14" s="9"/>
      <c r="H14" s="9"/>
    </row>
    <row r="15" spans="1:8" s="15" customFormat="1" ht="14.25" x14ac:dyDescent="0.3">
      <c r="A15" s="11" t="s">
        <v>34</v>
      </c>
      <c r="B15" s="12" t="s">
        <v>35</v>
      </c>
      <c r="C15" s="13">
        <v>385000</v>
      </c>
      <c r="D15" s="14">
        <v>4730.1099999999997</v>
      </c>
      <c r="E15" s="14">
        <f t="shared" si="0"/>
        <v>2.6665521628231024</v>
      </c>
      <c r="F15" s="14" t="s">
        <v>36</v>
      </c>
      <c r="G15" s="9"/>
      <c r="H15" s="9"/>
    </row>
    <row r="16" spans="1:8" s="15" customFormat="1" ht="14.25" x14ac:dyDescent="0.3">
      <c r="A16" s="11" t="s">
        <v>37</v>
      </c>
      <c r="B16" s="12" t="s">
        <v>22</v>
      </c>
      <c r="C16" s="13">
        <v>121000</v>
      </c>
      <c r="D16" s="14">
        <v>4690.3230000000003</v>
      </c>
      <c r="E16" s="14">
        <f t="shared" si="0"/>
        <v>2.6441226398517039</v>
      </c>
      <c r="F16" s="14" t="s">
        <v>38</v>
      </c>
      <c r="G16" s="9"/>
      <c r="H16" s="8"/>
    </row>
    <row r="17" spans="1:8" s="15" customFormat="1" ht="14.25" x14ac:dyDescent="0.3">
      <c r="A17" s="11" t="s">
        <v>39</v>
      </c>
      <c r="B17" s="12" t="s">
        <v>40</v>
      </c>
      <c r="C17" s="13">
        <v>202439</v>
      </c>
      <c r="D17" s="14">
        <v>3733.0763794999998</v>
      </c>
      <c r="E17" s="14">
        <f t="shared" si="0"/>
        <v>2.1044844398416869</v>
      </c>
      <c r="F17" s="14" t="s">
        <v>41</v>
      </c>
      <c r="G17" s="9"/>
      <c r="H17" s="9"/>
    </row>
    <row r="18" spans="1:8" s="15" customFormat="1" ht="14.25" x14ac:dyDescent="0.3">
      <c r="A18" s="11" t="s">
        <v>42</v>
      </c>
      <c r="B18" s="12" t="s">
        <v>43</v>
      </c>
      <c r="C18" s="13">
        <v>1948484</v>
      </c>
      <c r="D18" s="14">
        <v>3648.53629</v>
      </c>
      <c r="E18" s="14">
        <f t="shared" si="0"/>
        <v>2.0568258106551598</v>
      </c>
      <c r="F18" s="14" t="s">
        <v>44</v>
      </c>
      <c r="G18" s="9"/>
      <c r="H18" s="9"/>
    </row>
    <row r="19" spans="1:8" s="15" customFormat="1" ht="14.25" x14ac:dyDescent="0.3">
      <c r="A19" s="11" t="s">
        <v>45</v>
      </c>
      <c r="B19" s="12" t="s">
        <v>43</v>
      </c>
      <c r="C19" s="13">
        <v>758063</v>
      </c>
      <c r="D19" s="14">
        <v>3418.8641299999999</v>
      </c>
      <c r="E19" s="14">
        <f t="shared" si="0"/>
        <v>1.9273504295354282</v>
      </c>
      <c r="F19" s="14" t="s">
        <v>46</v>
      </c>
      <c r="G19" s="9"/>
      <c r="H19" s="8"/>
    </row>
    <row r="20" spans="1:8" s="15" customFormat="1" ht="14.25" x14ac:dyDescent="0.3">
      <c r="A20" s="11" t="s">
        <v>47</v>
      </c>
      <c r="B20" s="12" t="s">
        <v>27</v>
      </c>
      <c r="C20" s="13">
        <v>70000</v>
      </c>
      <c r="D20" s="14">
        <v>3305.61</v>
      </c>
      <c r="E20" s="14">
        <f t="shared" si="0"/>
        <v>1.8635045474523164</v>
      </c>
      <c r="F20" s="14" t="s">
        <v>48</v>
      </c>
      <c r="G20" s="9"/>
      <c r="H20" s="9"/>
    </row>
    <row r="21" spans="1:8" s="15" customFormat="1" ht="14.25" x14ac:dyDescent="0.3">
      <c r="A21" s="11" t="s">
        <v>49</v>
      </c>
      <c r="B21" s="12" t="s">
        <v>27</v>
      </c>
      <c r="C21" s="13">
        <v>498000</v>
      </c>
      <c r="D21" s="14">
        <v>3272.8560000000002</v>
      </c>
      <c r="E21" s="14">
        <f t="shared" si="0"/>
        <v>1.8450398078286907</v>
      </c>
      <c r="F21" s="14" t="s">
        <v>50</v>
      </c>
      <c r="G21" s="9"/>
      <c r="H21" s="8"/>
    </row>
    <row r="22" spans="1:8" s="15" customFormat="1" ht="14.25" x14ac:dyDescent="0.3">
      <c r="A22" s="11" t="s">
        <v>51</v>
      </c>
      <c r="B22" s="12" t="s">
        <v>43</v>
      </c>
      <c r="C22" s="13">
        <v>45000</v>
      </c>
      <c r="D22" s="14">
        <v>3260.3625000000002</v>
      </c>
      <c r="E22" s="14">
        <f t="shared" si="0"/>
        <v>1.8379967222669955</v>
      </c>
      <c r="F22" s="14" t="s">
        <v>52</v>
      </c>
      <c r="G22" s="9"/>
      <c r="H22" s="9"/>
    </row>
    <row r="23" spans="1:8" s="15" customFormat="1" ht="14.25" x14ac:dyDescent="0.3">
      <c r="A23" s="11" t="s">
        <v>53</v>
      </c>
      <c r="B23" s="12" t="s">
        <v>19</v>
      </c>
      <c r="C23" s="13">
        <v>611000</v>
      </c>
      <c r="D23" s="14">
        <v>3197.0574999999999</v>
      </c>
      <c r="E23" s="14">
        <f t="shared" si="0"/>
        <v>1.8023091622171199</v>
      </c>
      <c r="F23" s="14" t="s">
        <v>54</v>
      </c>
      <c r="G23" s="9"/>
      <c r="H23" s="8"/>
    </row>
    <row r="24" spans="1:8" s="15" customFormat="1" ht="14.25" x14ac:dyDescent="0.3">
      <c r="A24" s="11" t="s">
        <v>55</v>
      </c>
      <c r="B24" s="12" t="s">
        <v>22</v>
      </c>
      <c r="C24" s="13">
        <v>384877</v>
      </c>
      <c r="D24" s="14">
        <v>3060.5419039999997</v>
      </c>
      <c r="E24" s="14">
        <f t="shared" si="0"/>
        <v>1.7253498615300566</v>
      </c>
      <c r="F24" s="14" t="s">
        <v>56</v>
      </c>
      <c r="G24" s="9"/>
      <c r="H24" s="8"/>
    </row>
    <row r="25" spans="1:8" s="15" customFormat="1" ht="14.25" x14ac:dyDescent="0.3">
      <c r="A25" s="11" t="s">
        <v>57</v>
      </c>
      <c r="B25" s="12" t="s">
        <v>40</v>
      </c>
      <c r="C25" s="13">
        <v>350822</v>
      </c>
      <c r="D25" s="14">
        <v>3015.1396789999999</v>
      </c>
      <c r="E25" s="14">
        <f t="shared" si="0"/>
        <v>1.6997548116748247</v>
      </c>
      <c r="F25" s="14" t="s">
        <v>58</v>
      </c>
      <c r="G25" s="9"/>
      <c r="H25" s="9"/>
    </row>
    <row r="26" spans="1:8" s="15" customFormat="1" ht="14.25" x14ac:dyDescent="0.3">
      <c r="A26" s="11" t="s">
        <v>59</v>
      </c>
      <c r="B26" s="12" t="s">
        <v>60</v>
      </c>
      <c r="C26" s="13">
        <v>1080000</v>
      </c>
      <c r="D26" s="14">
        <v>2852.82</v>
      </c>
      <c r="E26" s="14">
        <f t="shared" si="0"/>
        <v>1.6082487175023423</v>
      </c>
      <c r="F26" s="14" t="s">
        <v>61</v>
      </c>
      <c r="G26" s="9"/>
      <c r="H26" s="9"/>
    </row>
    <row r="27" spans="1:8" s="15" customFormat="1" ht="14.25" x14ac:dyDescent="0.3">
      <c r="A27" s="11" t="s">
        <v>62</v>
      </c>
      <c r="B27" s="12" t="s">
        <v>63</v>
      </c>
      <c r="C27" s="13">
        <v>1338338</v>
      </c>
      <c r="D27" s="14">
        <v>2829.2465319999997</v>
      </c>
      <c r="E27" s="14">
        <f t="shared" si="0"/>
        <v>1.594959410894115</v>
      </c>
      <c r="F27" s="14" t="s">
        <v>64</v>
      </c>
      <c r="G27" s="9"/>
      <c r="H27" s="8"/>
    </row>
    <row r="28" spans="1:8" s="15" customFormat="1" ht="14.25" x14ac:dyDescent="0.3">
      <c r="A28" s="11" t="s">
        <v>65</v>
      </c>
      <c r="B28" s="12" t="s">
        <v>66</v>
      </c>
      <c r="C28" s="13">
        <v>250000</v>
      </c>
      <c r="D28" s="14">
        <v>2824</v>
      </c>
      <c r="E28" s="14">
        <f t="shared" si="0"/>
        <v>1.5920017309983154</v>
      </c>
      <c r="F28" s="14" t="s">
        <v>67</v>
      </c>
      <c r="G28" s="9"/>
      <c r="H28" s="9"/>
    </row>
    <row r="29" spans="1:8" s="15" customFormat="1" ht="14.25" x14ac:dyDescent="0.3">
      <c r="A29" s="11" t="s">
        <v>68</v>
      </c>
      <c r="B29" s="12" t="s">
        <v>69</v>
      </c>
      <c r="C29" s="13">
        <v>530000</v>
      </c>
      <c r="D29" s="14">
        <v>2803.17</v>
      </c>
      <c r="E29" s="14">
        <f t="shared" si="0"/>
        <v>1.5802590270122336</v>
      </c>
      <c r="F29" s="14" t="s">
        <v>70</v>
      </c>
      <c r="G29" s="9"/>
      <c r="H29" s="9"/>
    </row>
    <row r="30" spans="1:8" s="15" customFormat="1" ht="14.25" x14ac:dyDescent="0.3">
      <c r="A30" s="11" t="s">
        <v>71</v>
      </c>
      <c r="B30" s="12" t="s">
        <v>66</v>
      </c>
      <c r="C30" s="13">
        <v>98258</v>
      </c>
      <c r="D30" s="14">
        <v>2762.3762830000001</v>
      </c>
      <c r="E30" s="14">
        <f t="shared" si="0"/>
        <v>1.5572619774095937</v>
      </c>
      <c r="F30" s="14" t="s">
        <v>72</v>
      </c>
      <c r="G30" s="9"/>
      <c r="H30" s="8"/>
    </row>
    <row r="31" spans="1:8" s="15" customFormat="1" ht="14.25" x14ac:dyDescent="0.3">
      <c r="A31" s="11" t="s">
        <v>73</v>
      </c>
      <c r="B31" s="12" t="s">
        <v>74</v>
      </c>
      <c r="C31" s="13">
        <v>323577</v>
      </c>
      <c r="D31" s="14">
        <v>2744.7419024999999</v>
      </c>
      <c r="E31" s="14">
        <f t="shared" si="0"/>
        <v>1.5473207719276236</v>
      </c>
      <c r="F31" s="14" t="s">
        <v>75</v>
      </c>
      <c r="G31" s="9"/>
      <c r="H31" s="9"/>
    </row>
    <row r="32" spans="1:8" s="15" customFormat="1" ht="14.25" x14ac:dyDescent="0.3">
      <c r="A32" s="11" t="s">
        <v>76</v>
      </c>
      <c r="B32" s="12" t="s">
        <v>77</v>
      </c>
      <c r="C32" s="13">
        <v>305000</v>
      </c>
      <c r="D32" s="14">
        <v>2735.85</v>
      </c>
      <c r="E32" s="14">
        <f t="shared" si="0"/>
        <v>1.5423080509035911</v>
      </c>
      <c r="F32" s="14" t="s">
        <v>78</v>
      </c>
      <c r="G32" s="9"/>
      <c r="H32" s="9"/>
    </row>
    <row r="33" spans="1:8" s="15" customFormat="1" ht="14.25" x14ac:dyDescent="0.3">
      <c r="A33" s="11" t="s">
        <v>79</v>
      </c>
      <c r="B33" s="12" t="s">
        <v>77</v>
      </c>
      <c r="C33" s="13">
        <v>200000</v>
      </c>
      <c r="D33" s="14">
        <v>2718.4</v>
      </c>
      <c r="E33" s="14">
        <f t="shared" si="0"/>
        <v>1.5324707880827977</v>
      </c>
      <c r="F33" s="14" t="s">
        <v>80</v>
      </c>
      <c r="G33" s="9"/>
      <c r="H33" s="8"/>
    </row>
    <row r="34" spans="1:8" s="15" customFormat="1" ht="14.25" x14ac:dyDescent="0.3">
      <c r="A34" s="11" t="s">
        <v>81</v>
      </c>
      <c r="B34" s="12" t="s">
        <v>27</v>
      </c>
      <c r="C34" s="13">
        <v>21500</v>
      </c>
      <c r="D34" s="14">
        <v>2709.0752499999999</v>
      </c>
      <c r="E34" s="14">
        <f t="shared" si="0"/>
        <v>1.5272140536135601</v>
      </c>
      <c r="F34" s="14" t="s">
        <v>82</v>
      </c>
      <c r="G34" s="9"/>
      <c r="H34" s="16"/>
    </row>
    <row r="35" spans="1:8" s="15" customFormat="1" ht="14.25" x14ac:dyDescent="0.3">
      <c r="A35" s="11" t="s">
        <v>83</v>
      </c>
      <c r="B35" s="12" t="s">
        <v>84</v>
      </c>
      <c r="C35" s="13">
        <v>1720000</v>
      </c>
      <c r="D35" s="14">
        <v>2680.62</v>
      </c>
      <c r="E35" s="14">
        <f t="shared" si="0"/>
        <v>1.5111726912707875</v>
      </c>
      <c r="F35" s="14" t="s">
        <v>85</v>
      </c>
      <c r="G35" s="9"/>
      <c r="H35" s="8"/>
    </row>
    <row r="36" spans="1:8" s="15" customFormat="1" ht="14.25" x14ac:dyDescent="0.3">
      <c r="A36" s="11" t="s">
        <v>86</v>
      </c>
      <c r="B36" s="12" t="s">
        <v>63</v>
      </c>
      <c r="C36" s="13">
        <v>1599616</v>
      </c>
      <c r="D36" s="14">
        <v>2655.36256</v>
      </c>
      <c r="E36" s="14">
        <f t="shared" si="0"/>
        <v>1.4969340623045744</v>
      </c>
      <c r="F36" s="14" t="s">
        <v>87</v>
      </c>
      <c r="G36" s="9"/>
      <c r="H36" s="8"/>
    </row>
    <row r="37" spans="1:8" s="15" customFormat="1" ht="14.25" x14ac:dyDescent="0.3">
      <c r="A37" s="11" t="s">
        <v>88</v>
      </c>
      <c r="B37" s="12" t="s">
        <v>89</v>
      </c>
      <c r="C37" s="13">
        <v>594987</v>
      </c>
      <c r="D37" s="14">
        <v>2617.6453065000001</v>
      </c>
      <c r="E37" s="14">
        <f t="shared" si="0"/>
        <v>1.47567133820383</v>
      </c>
      <c r="F37" s="14" t="s">
        <v>90</v>
      </c>
      <c r="G37" s="9"/>
      <c r="H37" s="9"/>
    </row>
    <row r="38" spans="1:8" s="15" customFormat="1" ht="14.25" x14ac:dyDescent="0.3">
      <c r="A38" s="11" t="s">
        <v>91</v>
      </c>
      <c r="B38" s="12" t="s">
        <v>69</v>
      </c>
      <c r="C38" s="13">
        <v>770000</v>
      </c>
      <c r="D38" s="14">
        <v>2585.66</v>
      </c>
      <c r="E38" s="14">
        <f t="shared" si="0"/>
        <v>1.457639941846</v>
      </c>
      <c r="F38" s="14" t="s">
        <v>92</v>
      </c>
      <c r="G38" s="9"/>
      <c r="H38" s="8"/>
    </row>
    <row r="39" spans="1:8" s="15" customFormat="1" ht="14.25" x14ac:dyDescent="0.3">
      <c r="A39" s="11" t="s">
        <v>93</v>
      </c>
      <c r="B39" s="12" t="s">
        <v>69</v>
      </c>
      <c r="C39" s="13">
        <v>650000</v>
      </c>
      <c r="D39" s="14">
        <v>2562.3000000000002</v>
      </c>
      <c r="E39" s="14">
        <f t="shared" si="0"/>
        <v>1.4444709756859009</v>
      </c>
      <c r="F39" s="14" t="s">
        <v>94</v>
      </c>
      <c r="G39" s="9"/>
      <c r="H39" s="8"/>
    </row>
    <row r="40" spans="1:8" s="15" customFormat="1" ht="14.25" x14ac:dyDescent="0.3">
      <c r="A40" s="11" t="s">
        <v>95</v>
      </c>
      <c r="B40" s="12" t="s">
        <v>96</v>
      </c>
      <c r="C40" s="13">
        <v>228443</v>
      </c>
      <c r="D40" s="14">
        <v>2546.4541209999998</v>
      </c>
      <c r="E40" s="14">
        <f t="shared" si="0"/>
        <v>1.4355380200211734</v>
      </c>
      <c r="F40" s="14" t="s">
        <v>97</v>
      </c>
      <c r="G40" s="9"/>
      <c r="H40" s="9"/>
    </row>
    <row r="41" spans="1:8" s="15" customFormat="1" ht="14.25" x14ac:dyDescent="0.3">
      <c r="A41" s="11" t="s">
        <v>98</v>
      </c>
      <c r="B41" s="12" t="s">
        <v>60</v>
      </c>
      <c r="C41" s="13">
        <v>375225</v>
      </c>
      <c r="D41" s="14">
        <v>2540.648475</v>
      </c>
      <c r="E41" s="14">
        <f t="shared" si="0"/>
        <v>1.4322651452047559</v>
      </c>
      <c r="F41" s="14" t="s">
        <v>99</v>
      </c>
      <c r="G41" s="9"/>
      <c r="H41" s="8"/>
    </row>
    <row r="42" spans="1:8" s="15" customFormat="1" ht="14.25" x14ac:dyDescent="0.3">
      <c r="A42" s="11" t="s">
        <v>100</v>
      </c>
      <c r="B42" s="12" t="s">
        <v>101</v>
      </c>
      <c r="C42" s="13">
        <v>909814</v>
      </c>
      <c r="D42" s="14">
        <v>2460.5919630000003</v>
      </c>
      <c r="E42" s="14">
        <f t="shared" si="0"/>
        <v>1.3871340879520337</v>
      </c>
      <c r="F42" s="14" t="s">
        <v>102</v>
      </c>
      <c r="G42" s="9"/>
      <c r="H42" s="9"/>
    </row>
    <row r="43" spans="1:8" s="15" customFormat="1" ht="14.25" x14ac:dyDescent="0.3">
      <c r="A43" s="11" t="s">
        <v>103</v>
      </c>
      <c r="B43" s="12" t="s">
        <v>74</v>
      </c>
      <c r="C43" s="13">
        <v>992000</v>
      </c>
      <c r="D43" s="14">
        <v>2453.2159999999999</v>
      </c>
      <c r="E43" s="14">
        <f t="shared" si="0"/>
        <v>1.3829759626461626</v>
      </c>
      <c r="F43" s="14" t="s">
        <v>104</v>
      </c>
      <c r="G43" s="9"/>
      <c r="H43" s="9"/>
    </row>
    <row r="44" spans="1:8" s="15" customFormat="1" ht="14.25" x14ac:dyDescent="0.3">
      <c r="A44" s="11" t="s">
        <v>105</v>
      </c>
      <c r="B44" s="12" t="s">
        <v>19</v>
      </c>
      <c r="C44" s="13">
        <v>234229</v>
      </c>
      <c r="D44" s="14">
        <v>2392.4150059999997</v>
      </c>
      <c r="E44" s="14">
        <f t="shared" si="0"/>
        <v>1.3487000109130116</v>
      </c>
      <c r="F44" s="14" t="s">
        <v>106</v>
      </c>
      <c r="G44" s="9"/>
      <c r="H44" s="9"/>
    </row>
    <row r="45" spans="1:8" s="15" customFormat="1" ht="14.25" x14ac:dyDescent="0.3">
      <c r="A45" s="11" t="s">
        <v>107</v>
      </c>
      <c r="B45" s="12" t="s">
        <v>69</v>
      </c>
      <c r="C45" s="13">
        <v>1940000</v>
      </c>
      <c r="D45" s="14">
        <v>2360.0100000000002</v>
      </c>
      <c r="E45" s="14">
        <f t="shared" si="0"/>
        <v>1.3304320131633622</v>
      </c>
      <c r="F45" s="14" t="s">
        <v>108</v>
      </c>
      <c r="G45" s="9"/>
      <c r="H45" s="9"/>
    </row>
    <row r="46" spans="1:8" s="15" customFormat="1" ht="14.25" x14ac:dyDescent="0.3">
      <c r="A46" s="11" t="s">
        <v>109</v>
      </c>
      <c r="B46" s="12" t="s">
        <v>110</v>
      </c>
      <c r="C46" s="13">
        <v>1261000</v>
      </c>
      <c r="D46" s="14">
        <v>2296.2809999999999</v>
      </c>
      <c r="E46" s="14">
        <f t="shared" si="0"/>
        <v>1.2945054273578409</v>
      </c>
      <c r="F46" s="14" t="s">
        <v>111</v>
      </c>
      <c r="G46" s="9"/>
      <c r="H46" s="8"/>
    </row>
    <row r="47" spans="1:8" s="15" customFormat="1" ht="14.25" x14ac:dyDescent="0.3">
      <c r="A47" s="11" t="s">
        <v>112</v>
      </c>
      <c r="B47" s="12" t="s">
        <v>113</v>
      </c>
      <c r="C47" s="13">
        <v>171381</v>
      </c>
      <c r="D47" s="14">
        <v>2182.8797970000001</v>
      </c>
      <c r="E47" s="14">
        <f t="shared" si="0"/>
        <v>1.2305766343432194</v>
      </c>
      <c r="F47" s="14" t="s">
        <v>114</v>
      </c>
      <c r="G47" s="9"/>
      <c r="H47" s="9"/>
    </row>
    <row r="48" spans="1:8" s="15" customFormat="1" ht="14.25" x14ac:dyDescent="0.3">
      <c r="A48" s="11" t="s">
        <v>115</v>
      </c>
      <c r="B48" s="12" t="s">
        <v>116</v>
      </c>
      <c r="C48" s="13">
        <v>207500</v>
      </c>
      <c r="D48" s="14">
        <v>2128.6387500000001</v>
      </c>
      <c r="E48" s="14">
        <f t="shared" si="0"/>
        <v>1.1999987870644797</v>
      </c>
      <c r="F48" s="14" t="s">
        <v>117</v>
      </c>
      <c r="G48" s="9"/>
      <c r="H48" s="9"/>
    </row>
    <row r="49" spans="1:8" s="15" customFormat="1" ht="14.25" x14ac:dyDescent="0.3">
      <c r="A49" s="11" t="s">
        <v>118</v>
      </c>
      <c r="B49" s="12" t="s">
        <v>119</v>
      </c>
      <c r="C49" s="13">
        <v>160974</v>
      </c>
      <c r="D49" s="14">
        <v>2126.708001</v>
      </c>
      <c r="E49" s="14">
        <f t="shared" si="0"/>
        <v>1.1989103466430477</v>
      </c>
      <c r="F49" s="14" t="s">
        <v>120</v>
      </c>
      <c r="G49" s="9"/>
      <c r="H49" s="8"/>
    </row>
    <row r="50" spans="1:8" s="15" customFormat="1" ht="14.25" x14ac:dyDescent="0.3">
      <c r="A50" s="11" t="s">
        <v>121</v>
      </c>
      <c r="B50" s="12" t="s">
        <v>122</v>
      </c>
      <c r="C50" s="13">
        <v>219727</v>
      </c>
      <c r="D50" s="14">
        <v>2060.8195330000003</v>
      </c>
      <c r="E50" s="14">
        <f t="shared" si="0"/>
        <v>1.161766382369384</v>
      </c>
      <c r="F50" s="14" t="s">
        <v>123</v>
      </c>
      <c r="G50" s="9"/>
      <c r="H50" s="9"/>
    </row>
    <row r="51" spans="1:8" s="15" customFormat="1" ht="14.25" x14ac:dyDescent="0.3">
      <c r="A51" s="11" t="s">
        <v>124</v>
      </c>
      <c r="B51" s="12" t="s">
        <v>125</v>
      </c>
      <c r="C51" s="13">
        <v>30000</v>
      </c>
      <c r="D51" s="14">
        <v>1922.655</v>
      </c>
      <c r="E51" s="14">
        <f t="shared" si="0"/>
        <v>1.0838775099548745</v>
      </c>
      <c r="F51" s="14" t="s">
        <v>126</v>
      </c>
      <c r="G51" s="9"/>
      <c r="H51" s="16"/>
    </row>
    <row r="52" spans="1:8" s="15" customFormat="1" ht="14.25" x14ac:dyDescent="0.3">
      <c r="A52" s="11" t="s">
        <v>127</v>
      </c>
      <c r="B52" s="12" t="s">
        <v>60</v>
      </c>
      <c r="C52" s="13">
        <v>200000</v>
      </c>
      <c r="D52" s="14">
        <v>1916.9</v>
      </c>
      <c r="E52" s="14">
        <f t="shared" si="0"/>
        <v>1.0806331863139771</v>
      </c>
      <c r="F52" s="14" t="s">
        <v>128</v>
      </c>
      <c r="G52" s="9"/>
      <c r="H52" s="9"/>
    </row>
    <row r="53" spans="1:8" s="15" customFormat="1" ht="14.25" x14ac:dyDescent="0.3">
      <c r="A53" s="11" t="s">
        <v>129</v>
      </c>
      <c r="B53" s="12" t="s">
        <v>22</v>
      </c>
      <c r="C53" s="13">
        <v>255121</v>
      </c>
      <c r="D53" s="14">
        <v>1892.99782</v>
      </c>
      <c r="E53" s="14">
        <f t="shared" si="0"/>
        <v>1.0671585716062457</v>
      </c>
      <c r="F53" s="14" t="s">
        <v>130</v>
      </c>
      <c r="G53" s="9"/>
      <c r="H53" s="9"/>
    </row>
    <row r="54" spans="1:8" s="15" customFormat="1" ht="14.25" x14ac:dyDescent="0.3">
      <c r="A54" s="11" t="s">
        <v>131</v>
      </c>
      <c r="B54" s="12" t="s">
        <v>74</v>
      </c>
      <c r="C54" s="13">
        <v>45000</v>
      </c>
      <c r="D54" s="14">
        <v>1886.5574999999999</v>
      </c>
      <c r="E54" s="14">
        <f t="shared" si="0"/>
        <v>1.0635279056755857</v>
      </c>
      <c r="F54" s="14" t="s">
        <v>132</v>
      </c>
      <c r="G54" s="9"/>
      <c r="H54" s="8"/>
    </row>
    <row r="55" spans="1:8" s="15" customFormat="1" ht="14.25" x14ac:dyDescent="0.3">
      <c r="A55" s="11" t="s">
        <v>133</v>
      </c>
      <c r="B55" s="12" t="s">
        <v>110</v>
      </c>
      <c r="C55" s="13">
        <v>42700</v>
      </c>
      <c r="D55" s="14">
        <v>1685.796</v>
      </c>
      <c r="E55" s="14">
        <f t="shared" si="0"/>
        <v>0.95035061972735002</v>
      </c>
      <c r="F55" s="14" t="s">
        <v>134</v>
      </c>
      <c r="G55" s="9"/>
      <c r="H55" s="8"/>
    </row>
    <row r="56" spans="1:8" s="15" customFormat="1" ht="14.25" x14ac:dyDescent="0.3">
      <c r="A56" s="11" t="s">
        <v>135</v>
      </c>
      <c r="B56" s="12" t="s">
        <v>136</v>
      </c>
      <c r="C56" s="13">
        <v>280000</v>
      </c>
      <c r="D56" s="14">
        <v>1680.7</v>
      </c>
      <c r="E56" s="14">
        <f t="shared" si="0"/>
        <v>0.94747780073968446</v>
      </c>
      <c r="F56" s="14" t="s">
        <v>137</v>
      </c>
      <c r="G56" s="9"/>
      <c r="H56" s="8"/>
    </row>
    <row r="57" spans="1:8" s="15" customFormat="1" ht="14.25" x14ac:dyDescent="0.3">
      <c r="A57" s="11" t="s">
        <v>138</v>
      </c>
      <c r="B57" s="12" t="s">
        <v>74</v>
      </c>
      <c r="C57" s="13">
        <v>845000</v>
      </c>
      <c r="D57" s="14">
        <v>1667.6075000000001</v>
      </c>
      <c r="E57" s="14">
        <f t="shared" si="0"/>
        <v>0.94009703492414065</v>
      </c>
      <c r="F57" s="14" t="s">
        <v>139</v>
      </c>
      <c r="G57" s="9"/>
      <c r="H57" s="9"/>
    </row>
    <row r="58" spans="1:8" s="15" customFormat="1" ht="14.25" x14ac:dyDescent="0.3">
      <c r="A58" s="11" t="s">
        <v>140</v>
      </c>
      <c r="B58" s="12" t="s">
        <v>125</v>
      </c>
      <c r="C58" s="13">
        <v>150000</v>
      </c>
      <c r="D58" s="14">
        <v>1621.35</v>
      </c>
      <c r="E58" s="14">
        <f t="shared" si="0"/>
        <v>0.91401983234919215</v>
      </c>
      <c r="F58" s="14" t="s">
        <v>141</v>
      </c>
      <c r="G58" s="9"/>
      <c r="H58" s="8"/>
    </row>
    <row r="59" spans="1:8" s="15" customFormat="1" ht="14.25" x14ac:dyDescent="0.3">
      <c r="A59" s="11" t="s">
        <v>142</v>
      </c>
      <c r="B59" s="12" t="s">
        <v>143</v>
      </c>
      <c r="C59" s="13">
        <v>260000</v>
      </c>
      <c r="D59" s="14">
        <v>1582.49</v>
      </c>
      <c r="E59" s="14">
        <f t="shared" si="0"/>
        <v>0.89211289634827351</v>
      </c>
      <c r="F59" s="14" t="s">
        <v>144</v>
      </c>
      <c r="G59" s="9"/>
      <c r="H59" s="9"/>
    </row>
    <row r="60" spans="1:8" s="15" customFormat="1" ht="14.25" x14ac:dyDescent="0.3">
      <c r="A60" s="11" t="s">
        <v>145</v>
      </c>
      <c r="B60" s="12" t="s">
        <v>60</v>
      </c>
      <c r="C60" s="13">
        <v>101963</v>
      </c>
      <c r="D60" s="14">
        <v>1065.3604055000001</v>
      </c>
      <c r="E60" s="14">
        <f t="shared" si="0"/>
        <v>0.60058626405561877</v>
      </c>
      <c r="F60" s="14" t="s">
        <v>146</v>
      </c>
      <c r="G60" s="9"/>
      <c r="H60" s="8"/>
    </row>
    <row r="61" spans="1:8" s="15" customFormat="1" ht="14.25" x14ac:dyDescent="0.3">
      <c r="A61" s="11" t="s">
        <v>147</v>
      </c>
      <c r="B61" s="12" t="s">
        <v>19</v>
      </c>
      <c r="C61" s="13">
        <v>90000</v>
      </c>
      <c r="D61" s="14">
        <v>962.86500000000001</v>
      </c>
      <c r="E61" s="14">
        <f t="shared" si="0"/>
        <v>0.54280550521164761</v>
      </c>
      <c r="F61" s="14" t="s">
        <v>148</v>
      </c>
      <c r="G61" s="9"/>
      <c r="H61" s="9"/>
    </row>
    <row r="62" spans="1:8" s="15" customFormat="1" ht="14.25" x14ac:dyDescent="0.3">
      <c r="A62" s="11" t="s">
        <v>149</v>
      </c>
      <c r="B62" s="12" t="s">
        <v>19</v>
      </c>
      <c r="C62" s="13">
        <v>118501</v>
      </c>
      <c r="D62" s="14">
        <v>822.69319250000001</v>
      </c>
      <c r="E62" s="14">
        <f t="shared" si="0"/>
        <v>0.46378505189112262</v>
      </c>
      <c r="F62" s="14" t="s">
        <v>150</v>
      </c>
      <c r="G62" s="9"/>
      <c r="H62" s="9"/>
    </row>
    <row r="63" spans="1:8" s="15" customFormat="1" ht="14.25" x14ac:dyDescent="0.3">
      <c r="A63" s="10" t="s">
        <v>151</v>
      </c>
      <c r="B63" s="12"/>
      <c r="C63" s="13"/>
      <c r="D63" s="17">
        <f>IF(ISERROR(SUM(D7:D62)),0,SUM(D7:D62))</f>
        <v>174967.83066799998</v>
      </c>
      <c r="E63" s="17">
        <f>IF(ISERROR(SUM(E7:E62)),0,SUM(E7:E62))</f>
        <v>98.63636306390795</v>
      </c>
      <c r="F63" s="17"/>
      <c r="G63" s="9"/>
      <c r="H63" s="8"/>
    </row>
    <row r="64" spans="1:8" s="15" customFormat="1" ht="14.25" x14ac:dyDescent="0.3">
      <c r="A64" s="10"/>
      <c r="B64" s="10"/>
      <c r="C64" s="18"/>
      <c r="D64" s="19"/>
      <c r="E64" s="19"/>
      <c r="F64" s="19"/>
      <c r="G64" s="9"/>
      <c r="H64" s="8"/>
    </row>
    <row r="65" spans="1:8" s="15" customFormat="1" ht="14.25" x14ac:dyDescent="0.3">
      <c r="A65" s="10" t="s">
        <v>152</v>
      </c>
      <c r="B65" s="10"/>
      <c r="C65" s="18"/>
      <c r="D65" s="20" t="s">
        <v>153</v>
      </c>
      <c r="E65" s="20" t="s">
        <v>153</v>
      </c>
      <c r="F65" s="20"/>
      <c r="G65" s="9"/>
      <c r="H65" s="8"/>
    </row>
    <row r="66" spans="1:8" s="15" customFormat="1" ht="14.25" x14ac:dyDescent="0.3">
      <c r="A66" s="10"/>
      <c r="B66" s="3"/>
      <c r="C66" s="18"/>
      <c r="D66" s="20"/>
      <c r="E66" s="20"/>
      <c r="F66" s="21"/>
      <c r="G66" s="9"/>
      <c r="H66" s="8"/>
    </row>
    <row r="67" spans="1:8" s="15" customFormat="1" ht="14.25" x14ac:dyDescent="0.3">
      <c r="A67" s="10" t="s">
        <v>154</v>
      </c>
      <c r="B67" s="10"/>
      <c r="C67" s="18"/>
      <c r="D67" s="17">
        <f>IF(ISERROR(+D63),0,D63)+IF(ISERROR(+#REF!),0,#REF!)</f>
        <v>174967.83066799998</v>
      </c>
      <c r="E67" s="17">
        <f>IF(ISERROR(+E63),0,E63)+IF(ISERROR(+#REF!),0,#REF!)</f>
        <v>98.63636306390795</v>
      </c>
      <c r="F67" s="22"/>
      <c r="G67" s="9"/>
      <c r="H67" s="8"/>
    </row>
    <row r="68" spans="1:8" s="15" customFormat="1" ht="14.25" x14ac:dyDescent="0.3">
      <c r="A68" s="10"/>
      <c r="B68" s="3"/>
      <c r="C68" s="18"/>
      <c r="D68" s="20"/>
      <c r="E68" s="20"/>
      <c r="F68" s="21"/>
      <c r="G68" s="9"/>
      <c r="H68" s="8"/>
    </row>
    <row r="69" spans="1:8" s="15" customFormat="1" ht="14.25" x14ac:dyDescent="0.3">
      <c r="A69" s="10" t="s">
        <v>155</v>
      </c>
      <c r="B69" s="3"/>
      <c r="C69" s="18"/>
      <c r="D69" s="20"/>
      <c r="E69" s="20"/>
      <c r="F69" s="21"/>
      <c r="G69" s="9"/>
      <c r="H69" s="8"/>
    </row>
    <row r="70" spans="1:8" s="15" customFormat="1" ht="14.25" x14ac:dyDescent="0.3">
      <c r="A70" s="10" t="s">
        <v>12</v>
      </c>
      <c r="B70" s="3"/>
      <c r="C70" s="18"/>
      <c r="D70" s="20" t="s">
        <v>153</v>
      </c>
      <c r="E70" s="20" t="s">
        <v>153</v>
      </c>
      <c r="F70" s="23"/>
      <c r="G70" s="9"/>
      <c r="H70" s="8"/>
    </row>
    <row r="71" spans="1:8" s="15" customFormat="1" ht="14.25" x14ac:dyDescent="0.3">
      <c r="A71" s="10"/>
      <c r="B71" s="3"/>
      <c r="C71" s="24"/>
      <c r="D71" s="23"/>
      <c r="E71" s="23"/>
      <c r="F71" s="23"/>
      <c r="G71" s="9"/>
      <c r="H71" s="8"/>
    </row>
    <row r="72" spans="1:8" s="15" customFormat="1" ht="14.25" x14ac:dyDescent="0.3">
      <c r="A72" s="10" t="s">
        <v>156</v>
      </c>
      <c r="B72" s="3"/>
      <c r="C72" s="24"/>
      <c r="D72" s="20" t="s">
        <v>153</v>
      </c>
      <c r="E72" s="20" t="s">
        <v>153</v>
      </c>
      <c r="F72" s="21"/>
      <c r="G72" s="9"/>
      <c r="H72" s="8"/>
    </row>
    <row r="73" spans="1:8" s="15" customFormat="1" ht="14.25" x14ac:dyDescent="0.3">
      <c r="A73" s="10"/>
      <c r="B73" s="3"/>
      <c r="C73" s="24"/>
      <c r="D73" s="20"/>
      <c r="E73" s="20"/>
      <c r="F73" s="20"/>
      <c r="G73" s="9"/>
      <c r="H73" s="8"/>
    </row>
    <row r="74" spans="1:8" s="15" customFormat="1" ht="14.25" x14ac:dyDescent="0.3">
      <c r="A74" s="10" t="s">
        <v>157</v>
      </c>
      <c r="B74" s="3"/>
      <c r="C74" s="24"/>
      <c r="D74" s="20"/>
      <c r="E74" s="20"/>
      <c r="F74" s="20"/>
      <c r="G74" s="9"/>
      <c r="H74" s="8"/>
    </row>
    <row r="75" spans="1:8" s="15" customFormat="1" ht="14.25" x14ac:dyDescent="0.3">
      <c r="A75" s="10"/>
      <c r="B75" s="3"/>
      <c r="C75" s="24"/>
      <c r="D75" s="14"/>
      <c r="E75" s="14"/>
      <c r="F75" s="25"/>
      <c r="G75" s="9"/>
      <c r="H75" s="8"/>
    </row>
    <row r="76" spans="1:8" s="15" customFormat="1" ht="14.25" x14ac:dyDescent="0.3">
      <c r="A76" s="10" t="s">
        <v>158</v>
      </c>
      <c r="B76" s="3"/>
      <c r="C76" s="24"/>
      <c r="D76" s="20" t="s">
        <v>153</v>
      </c>
      <c r="E76" s="20" t="s">
        <v>153</v>
      </c>
      <c r="F76" s="20"/>
      <c r="G76" s="9"/>
      <c r="H76" s="8"/>
    </row>
    <row r="77" spans="1:8" s="15" customFormat="1" ht="14.25" x14ac:dyDescent="0.3">
      <c r="A77" s="10"/>
      <c r="B77" s="3"/>
      <c r="C77" s="24"/>
      <c r="D77" s="20"/>
      <c r="E77" s="20"/>
      <c r="F77" s="20"/>
      <c r="G77" s="9"/>
      <c r="H77" s="8"/>
    </row>
    <row r="78" spans="1:8" s="15" customFormat="1" ht="14.25" x14ac:dyDescent="0.3">
      <c r="A78" s="10" t="s">
        <v>159</v>
      </c>
      <c r="B78" s="3"/>
      <c r="C78" s="24"/>
      <c r="D78" s="20" t="s">
        <v>153</v>
      </c>
      <c r="E78" s="20" t="s">
        <v>153</v>
      </c>
      <c r="F78" s="20"/>
      <c r="G78" s="9"/>
      <c r="H78" s="8"/>
    </row>
    <row r="79" spans="1:8" s="15" customFormat="1" ht="14.25" x14ac:dyDescent="0.3">
      <c r="A79" s="10"/>
      <c r="B79" s="3"/>
      <c r="C79" s="24"/>
      <c r="D79" s="20"/>
      <c r="E79" s="20"/>
      <c r="F79" s="20"/>
      <c r="G79" s="9"/>
      <c r="H79" s="8"/>
    </row>
    <row r="80" spans="1:8" s="15" customFormat="1" ht="14.25" x14ac:dyDescent="0.3">
      <c r="A80" s="10" t="s">
        <v>160</v>
      </c>
      <c r="B80" s="3"/>
      <c r="C80" s="24"/>
      <c r="D80" s="20"/>
      <c r="E80" s="20"/>
      <c r="F80" s="21"/>
      <c r="G80" s="9"/>
      <c r="H80" s="8"/>
    </row>
    <row r="81" spans="1:8" s="15" customFormat="1" ht="14.25" x14ac:dyDescent="0.3">
      <c r="A81" s="11" t="s">
        <v>161</v>
      </c>
      <c r="B81" s="12"/>
      <c r="C81" s="13">
        <v>0</v>
      </c>
      <c r="D81" s="14">
        <v>3120.2394734</v>
      </c>
      <c r="E81" s="14">
        <f>(+D81/$D$88*100)</f>
        <v>1.7590037686905355</v>
      </c>
      <c r="F81" s="14" t="s">
        <v>162</v>
      </c>
      <c r="G81" s="9">
        <v>6.9439000000000002</v>
      </c>
      <c r="H81" s="8"/>
    </row>
    <row r="82" spans="1:8" s="15" customFormat="1" ht="14.25" x14ac:dyDescent="0.3">
      <c r="A82" s="10" t="s">
        <v>151</v>
      </c>
      <c r="B82" s="3"/>
      <c r="C82" s="24"/>
      <c r="D82" s="20">
        <f>IF(ISERROR(SUM(D81:D81)),0,SUM(D81:D81))</f>
        <v>3120.2394734</v>
      </c>
      <c r="E82" s="20">
        <f>IF(ISERROR(SUM(E81:E81)),0,SUM(E81:E81))</f>
        <v>1.7590037686905355</v>
      </c>
      <c r="F82" s="14"/>
      <c r="G82" s="9"/>
      <c r="H82" s="8"/>
    </row>
    <row r="83" spans="1:8" s="15" customFormat="1" ht="14.25" x14ac:dyDescent="0.3">
      <c r="A83" s="10"/>
      <c r="B83" s="3"/>
      <c r="C83" s="24"/>
      <c r="D83" s="20"/>
      <c r="E83" s="20"/>
      <c r="F83" s="21"/>
      <c r="G83" s="9"/>
      <c r="H83" s="8"/>
    </row>
    <row r="84" spans="1:8" s="15" customFormat="1" ht="14.25" x14ac:dyDescent="0.3">
      <c r="A84" s="10" t="s">
        <v>154</v>
      </c>
      <c r="B84" s="3"/>
      <c r="C84" s="24" t="s">
        <v>163</v>
      </c>
      <c r="D84" s="20">
        <f>+IF(ISERROR(#REF!),0,#REF!)+IF(ISERROR(D82),0,D82)+IF(ISERROR(D67),0,D67)+IF(ISERROR(#REF!),0,#REF!)+IF(ISERROR(#REF!),0,#REF!)+IF(ISERROR(#REF!),0,#REF!)+IF(ISERROR(#REF!),0,#REF!)+IF(ISERROR(#REF!),0,#REF!)+IF(ISERROR(#REF!),0,#REF!)+IF(ISERROR(#REF!),0,#REF!)+IF(ISERROR(#REF!),0,#REF!)</f>
        <v>178088.07014139998</v>
      </c>
      <c r="E84" s="20">
        <f>+IF(ISERROR(#REF!),0,#REF!)+IF(ISERROR(E82),0,E82)+IF(ISERROR(E67),0,E67)+IF(ISERROR(#REF!),0,#REF!)+IF(ISERROR(#REF!),0,#REF!)+IF(ISERROR(#REF!),0,#REF!)+IF(ISERROR(#REF!),0,#REF!)+IF(ISERROR(#REF!),0,#REF!)+IF(ISERROR(#REF!),0,#REF!)+IF(ISERROR(#REF!),0,#REF!)+IF(ISERROR(#REF!),0,#REF!)</f>
        <v>100.39536683259848</v>
      </c>
      <c r="F84" s="20"/>
      <c r="G84" s="9"/>
      <c r="H84" s="8"/>
    </row>
    <row r="85" spans="1:8" s="15" customFormat="1" ht="14.25" x14ac:dyDescent="0.3">
      <c r="A85" s="10"/>
      <c r="B85" s="3"/>
      <c r="C85" s="24"/>
      <c r="D85" s="20"/>
      <c r="E85" s="20"/>
      <c r="F85" s="26"/>
      <c r="G85" s="27"/>
      <c r="H85" s="28"/>
    </row>
    <row r="86" spans="1:8" s="15" customFormat="1" ht="14.25" x14ac:dyDescent="0.3">
      <c r="A86" s="10" t="s">
        <v>164</v>
      </c>
      <c r="B86" s="3"/>
      <c r="C86" s="24"/>
      <c r="D86" s="20">
        <f>+D88-D84</f>
        <v>-701.32834249999723</v>
      </c>
      <c r="E86" s="20">
        <f>D86/$D$88*100</f>
        <v>-0.39536683259850391</v>
      </c>
      <c r="F86" s="26"/>
      <c r="G86" s="27"/>
      <c r="H86" s="28"/>
    </row>
    <row r="87" spans="1:8" s="15" customFormat="1" ht="14.25" x14ac:dyDescent="0.3">
      <c r="A87" s="10"/>
      <c r="B87" s="3"/>
      <c r="C87" s="24"/>
      <c r="D87" s="23"/>
      <c r="E87" s="23"/>
      <c r="F87" s="26"/>
      <c r="G87" s="27"/>
      <c r="H87" s="28"/>
    </row>
    <row r="88" spans="1:8" s="15" customFormat="1" ht="14.25" x14ac:dyDescent="0.3">
      <c r="A88" s="10" t="s">
        <v>165</v>
      </c>
      <c r="B88" s="3"/>
      <c r="C88" s="24"/>
      <c r="D88" s="20">
        <v>177386.74179889998</v>
      </c>
      <c r="E88" s="20">
        <f>+E84+E86</f>
        <v>99.999999999999986</v>
      </c>
      <c r="F88" s="26"/>
      <c r="G88" s="27"/>
      <c r="H88" s="28"/>
    </row>
    <row r="89" spans="1:8" ht="14.25" x14ac:dyDescent="0.3">
      <c r="A89" s="29"/>
      <c r="B89" s="30"/>
      <c r="C89" s="31"/>
      <c r="D89" s="32"/>
      <c r="E89" s="32"/>
      <c r="F89" s="26"/>
      <c r="G89" s="27"/>
      <c r="H89" s="28"/>
    </row>
    <row r="90" spans="1:8" ht="13.5" x14ac:dyDescent="0.2">
      <c r="A90" s="52" t="s">
        <v>166</v>
      </c>
      <c r="B90" s="52"/>
      <c r="C90" s="52"/>
      <c r="D90" s="52"/>
      <c r="E90" s="52"/>
      <c r="F90" s="52"/>
      <c r="G90" s="52"/>
      <c r="H90" s="52"/>
    </row>
    <row r="91" spans="1:8" ht="25.5" customHeight="1" x14ac:dyDescent="0.2">
      <c r="A91" s="52" t="s">
        <v>167</v>
      </c>
      <c r="B91" s="52"/>
      <c r="C91" s="52"/>
      <c r="D91" s="52"/>
      <c r="E91" s="52"/>
      <c r="F91" s="48"/>
      <c r="G91" s="48"/>
      <c r="H91" s="48"/>
    </row>
    <row r="92" spans="1:8" ht="13.5" x14ac:dyDescent="0.2">
      <c r="A92" s="53" t="s">
        <v>168</v>
      </c>
      <c r="B92" s="53"/>
      <c r="C92" s="53"/>
      <c r="D92" s="53"/>
      <c r="E92" s="53"/>
      <c r="F92" s="48"/>
      <c r="G92" s="48"/>
      <c r="H92" s="48"/>
    </row>
    <row r="93" spans="1:8" ht="53.25" customHeight="1" x14ac:dyDescent="0.2">
      <c r="A93" s="47" t="s">
        <v>169</v>
      </c>
      <c r="B93" s="47"/>
      <c r="C93" s="47"/>
      <c r="D93" s="47"/>
      <c r="E93" s="47"/>
      <c r="F93" s="48"/>
      <c r="G93" s="48"/>
      <c r="H93" s="48"/>
    </row>
    <row r="94" spans="1:8" ht="13.5" x14ac:dyDescent="0.2">
      <c r="A94" s="36"/>
      <c r="B94" s="36"/>
      <c r="C94" s="36"/>
      <c r="D94" s="36"/>
      <c r="E94" s="36"/>
      <c r="F94" s="37"/>
      <c r="G94" s="37"/>
      <c r="H94" s="37"/>
    </row>
    <row r="95" spans="1:8" ht="14.25" x14ac:dyDescent="0.3">
      <c r="A95" s="38" t="s">
        <v>170</v>
      </c>
      <c r="B95" s="39"/>
      <c r="C95" s="39"/>
      <c r="D95" s="28"/>
      <c r="E95" s="28"/>
      <c r="F95" s="28"/>
      <c r="G95" s="28"/>
      <c r="H95" s="28"/>
    </row>
    <row r="96" spans="1:8" ht="14.25" x14ac:dyDescent="0.3">
      <c r="A96" s="40" t="s">
        <v>171</v>
      </c>
      <c r="B96" s="39"/>
      <c r="C96" s="39"/>
      <c r="D96" s="28"/>
      <c r="E96" s="28"/>
      <c r="F96" s="28"/>
      <c r="G96" s="28"/>
      <c r="H96" s="28"/>
    </row>
    <row r="97" spans="1:8" ht="14.25" x14ac:dyDescent="0.3">
      <c r="A97" s="40" t="s">
        <v>172</v>
      </c>
      <c r="B97" s="39"/>
      <c r="C97" s="39"/>
      <c r="D97" s="28"/>
      <c r="E97" s="28"/>
      <c r="F97" s="28"/>
      <c r="G97" s="28"/>
      <c r="H97" s="28"/>
    </row>
    <row r="98" spans="1:8" ht="14.25" x14ac:dyDescent="0.3">
      <c r="A98" s="40" t="s">
        <v>173</v>
      </c>
      <c r="B98" s="39"/>
      <c r="C98" s="39"/>
      <c r="D98" s="28"/>
      <c r="E98" s="28"/>
      <c r="F98" s="28"/>
      <c r="G98" s="28"/>
      <c r="H98" s="28"/>
    </row>
    <row r="99" spans="1:8" ht="14.25" x14ac:dyDescent="0.3">
      <c r="A99" s="40"/>
      <c r="B99" s="39"/>
      <c r="C99" s="39"/>
      <c r="D99" s="28"/>
      <c r="E99" s="28"/>
      <c r="F99" s="28"/>
      <c r="G99" s="28"/>
      <c r="H99" s="28"/>
    </row>
    <row r="100" spans="1:8" ht="14.25" x14ac:dyDescent="0.3">
      <c r="A100" s="41" t="s">
        <v>174</v>
      </c>
      <c r="B100" s="49" t="s">
        <v>175</v>
      </c>
      <c r="C100" s="49"/>
      <c r="D100" s="49"/>
      <c r="E100" s="49"/>
      <c r="F100" s="28"/>
      <c r="G100" s="28"/>
      <c r="H100" s="28"/>
    </row>
    <row r="101" spans="1:8" ht="14.25" x14ac:dyDescent="0.3">
      <c r="A101" s="39"/>
      <c r="B101" s="39"/>
      <c r="C101" s="39"/>
      <c r="D101" s="28"/>
      <c r="E101" s="28"/>
      <c r="F101" s="28"/>
      <c r="G101" s="28"/>
      <c r="H101" s="28"/>
    </row>
    <row r="102" spans="1:8" ht="14.25" x14ac:dyDescent="0.3">
      <c r="A102" s="39"/>
      <c r="B102" s="39"/>
      <c r="C102" s="39"/>
      <c r="D102" s="28"/>
      <c r="E102" s="28"/>
      <c r="F102" s="28"/>
      <c r="G102" s="28"/>
      <c r="H102" s="28"/>
    </row>
    <row r="103" spans="1:8" ht="14.25" x14ac:dyDescent="0.3">
      <c r="A103" s="39"/>
      <c r="B103" s="39"/>
      <c r="C103" s="39"/>
      <c r="D103" s="28"/>
      <c r="E103" s="28"/>
      <c r="F103" s="28"/>
      <c r="G103" s="28"/>
      <c r="H103" s="28"/>
    </row>
    <row r="104" spans="1:8" ht="14.25" x14ac:dyDescent="0.3">
      <c r="A104" s="39"/>
      <c r="B104" s="39"/>
      <c r="C104" s="39"/>
      <c r="D104" s="28"/>
      <c r="E104" s="28"/>
      <c r="F104" s="28"/>
      <c r="G104" s="28"/>
      <c r="H104" s="28"/>
    </row>
    <row r="105" spans="1:8" ht="14.25" x14ac:dyDescent="0.3">
      <c r="A105" s="39"/>
      <c r="B105" s="39"/>
      <c r="C105" s="39"/>
      <c r="D105" s="28"/>
      <c r="E105" s="28"/>
      <c r="F105" s="28"/>
      <c r="G105" s="28"/>
      <c r="H105" s="28"/>
    </row>
    <row r="106" spans="1:8" ht="14.25" x14ac:dyDescent="0.3">
      <c r="A106" s="39"/>
      <c r="B106" s="39"/>
      <c r="C106" s="39"/>
      <c r="D106" s="28"/>
      <c r="E106" s="28"/>
      <c r="F106" s="28"/>
      <c r="G106" s="28"/>
      <c r="H106" s="28"/>
    </row>
    <row r="107" spans="1:8" ht="14.25" x14ac:dyDescent="0.3">
      <c r="A107" s="39"/>
      <c r="B107" s="39"/>
      <c r="C107" s="39"/>
      <c r="D107" s="28"/>
      <c r="E107" s="28"/>
      <c r="F107" s="28"/>
      <c r="G107" s="28"/>
      <c r="H107" s="28"/>
    </row>
    <row r="108" spans="1:8" ht="14.25" x14ac:dyDescent="0.3">
      <c r="A108" s="42"/>
      <c r="B108" s="43"/>
      <c r="C108" s="44"/>
      <c r="D108" s="28"/>
      <c r="E108" s="28"/>
      <c r="F108" s="28"/>
      <c r="G108" s="28"/>
      <c r="H108" s="28"/>
    </row>
    <row r="109" spans="1:8" ht="14.25" x14ac:dyDescent="0.3">
      <c r="A109" s="42"/>
      <c r="B109" s="43"/>
      <c r="C109" s="44"/>
      <c r="D109" s="28"/>
      <c r="E109" s="28"/>
      <c r="F109" s="28"/>
      <c r="G109" s="28"/>
      <c r="H109" s="28"/>
    </row>
    <row r="110" spans="1:8" ht="14.25" x14ac:dyDescent="0.3">
      <c r="A110" s="42"/>
      <c r="B110" s="43"/>
      <c r="C110" s="44"/>
      <c r="D110" s="28"/>
      <c r="E110" s="28"/>
      <c r="F110" s="28"/>
      <c r="G110" s="28"/>
      <c r="H110" s="28"/>
    </row>
    <row r="111" spans="1:8" ht="14.25" x14ac:dyDescent="0.3">
      <c r="A111" s="42"/>
      <c r="B111" s="43"/>
      <c r="C111" s="44"/>
      <c r="D111" s="28"/>
      <c r="E111" s="28"/>
      <c r="F111" s="28"/>
      <c r="G111" s="28"/>
      <c r="H111" s="28"/>
    </row>
    <row r="112" spans="1:8" ht="14.25" x14ac:dyDescent="0.3">
      <c r="A112" s="42"/>
      <c r="B112" s="43"/>
      <c r="C112" s="44"/>
      <c r="D112" s="28"/>
      <c r="E112" s="28"/>
      <c r="F112" s="28"/>
      <c r="G112" s="28"/>
      <c r="H112" s="28"/>
    </row>
    <row r="113" spans="1:8" ht="14.25" x14ac:dyDescent="0.3">
      <c r="A113" s="42"/>
      <c r="B113" s="43"/>
      <c r="C113" s="44"/>
      <c r="D113" s="28"/>
      <c r="E113" s="28"/>
      <c r="F113" s="28"/>
      <c r="G113" s="28"/>
      <c r="H113" s="28"/>
    </row>
    <row r="114" spans="1:8" ht="14.25" x14ac:dyDescent="0.3">
      <c r="A114" s="42"/>
      <c r="B114" s="43"/>
      <c r="C114" s="44"/>
      <c r="D114" s="28"/>
      <c r="E114" s="28"/>
      <c r="F114" s="28"/>
      <c r="G114" s="28"/>
      <c r="H114" s="28"/>
    </row>
    <row r="115" spans="1:8" ht="14.25" x14ac:dyDescent="0.3">
      <c r="A115" s="42"/>
      <c r="B115" s="43"/>
      <c r="C115" s="44"/>
      <c r="D115" s="28"/>
      <c r="E115" s="28"/>
      <c r="F115" s="28"/>
      <c r="G115" s="28"/>
      <c r="H115" s="28"/>
    </row>
    <row r="116" spans="1:8" ht="14.25" x14ac:dyDescent="0.3">
      <c r="A116" s="42"/>
      <c r="B116" s="43"/>
      <c r="C116" s="44"/>
      <c r="D116" s="28"/>
      <c r="E116" s="28"/>
      <c r="F116" s="28"/>
      <c r="G116" s="28"/>
      <c r="H116" s="28"/>
    </row>
    <row r="117" spans="1:8" ht="14.25" x14ac:dyDescent="0.3">
      <c r="A117" s="42"/>
      <c r="B117" s="43"/>
      <c r="C117" s="44"/>
      <c r="D117" s="28"/>
      <c r="E117" s="28"/>
      <c r="F117" s="28"/>
      <c r="G117" s="28"/>
      <c r="H117" s="28"/>
    </row>
  </sheetData>
  <mergeCells count="8">
    <mergeCell ref="A93:H93"/>
    <mergeCell ref="B100:E100"/>
    <mergeCell ref="A1:H1"/>
    <mergeCell ref="A2:H2"/>
    <mergeCell ref="A3:H3"/>
    <mergeCell ref="A90:H90"/>
    <mergeCell ref="A91:H91"/>
    <mergeCell ref="A92:H9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2024-04-03T07:29:51Z</dcterms:created>
  <dcterms:modified xsi:type="dcterms:W3CDTF">2024-04-03T12:50:42Z</dcterms:modified>
</cp:coreProperties>
</file>