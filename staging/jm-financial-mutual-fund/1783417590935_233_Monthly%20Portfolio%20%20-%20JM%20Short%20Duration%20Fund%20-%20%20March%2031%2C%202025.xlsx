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G:\p\NAV All Files 2006-2007\Monthly Portfolio\March 2025\Monthly\Monthly portfolio - sent\"/>
    </mc:Choice>
  </mc:AlternateContent>
  <bookViews>
    <workbookView xWindow="-105" yWindow="-105" windowWidth="19425" windowHeight="10425"/>
  </bookViews>
  <sheets>
    <sheet name="JM Short Duration Fund" sheetId="1" r:id="rId1"/>
  </sheets>
  <definedNames>
    <definedName name="_xlnm._FilterDatabase" localSheetId="0" hidden="1">'JM Short Duration Fund'!$A$4:$H$53</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Short Duration Fund'!$A$1:$E$45</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2" i="1" l="1"/>
  <c r="D52" i="1"/>
</calcChain>
</file>

<file path=xl/sharedStrings.xml><?xml version="1.0" encoding="utf-8"?>
<sst xmlns="http://schemas.openxmlformats.org/spreadsheetml/2006/main" count="167" uniqueCount="128">
  <si>
    <t>JM Financial Mutual Fund</t>
  </si>
  <si>
    <t>JM Short Duration Fund (An open-ended short duration debt scheme investing in instruments such that the Macaulay duration of the portfolio is between 1 year and 3 years. A moderate interest rate risk and moderate credit risk.)</t>
  </si>
  <si>
    <t>Name of the Instruments</t>
  </si>
  <si>
    <t>Industry/Rating</t>
  </si>
  <si>
    <t>Market Value (Rs. In Lakhs)</t>
  </si>
  <si>
    <t>% age to NAV</t>
  </si>
  <si>
    <t>ISIN</t>
  </si>
  <si>
    <t>Yield %</t>
  </si>
  <si>
    <t>^YTC (AT1/Tier 2 bonds)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</si>
  <si>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</si>
  <si>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</si>
  <si>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</si>
  <si>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</si>
  <si>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</si>
  <si>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</si>
  <si>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Regular Income over Short to Medium Term.</t>
  </si>
  <si>
    <t>• Investment in Debt and Money Market securities such that the Macaulay 
duration of the portfolio is between 1 year - 3 years.</t>
  </si>
  <si>
    <t>*Investors should consult their financial advisers if in doubt about whether the product is suitable for them.</t>
  </si>
  <si>
    <t xml:space="preserve">         Riskometer of the scheme </t>
  </si>
  <si>
    <t xml:space="preserve">               CRISIL Short Duration Debt A-II Index</t>
  </si>
  <si>
    <t>The risk of the scheme is Moderate</t>
  </si>
  <si>
    <t xml:space="preserve">   The risk of the benchmark is Low to Moderate </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</si>
  <si>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</si>
  <si>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</si>
  <si>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</si>
  <si>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</si>
  <si>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</si>
  <si>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</si>
  <si>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</si>
  <si>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Moderate (Class II)</t>
  </si>
  <si>
    <t>B-II</t>
  </si>
  <si>
    <t>Relatively High Class (Class III)</t>
  </si>
  <si>
    <t>Portfolio Information</t>
  </si>
  <si>
    <t>Scheme Name :</t>
  </si>
  <si>
    <t>JM Short Duration Fund</t>
  </si>
  <si>
    <t>Description (if any)</t>
  </si>
  <si>
    <t xml:space="preserve"> </t>
  </si>
  <si>
    <t>Annualised Portfolio YTM* : (Regular &amp; Direct)</t>
  </si>
  <si>
    <t>Macaulay Duration ( Years )</t>
  </si>
  <si>
    <t>Residual Maturity ( Years )</t>
  </si>
  <si>
    <t xml:space="preserve">As on (Date) </t>
  </si>
  <si>
    <t xml:space="preserve">* in case of semi annual YTM,  it will be annualised </t>
  </si>
  <si>
    <t>DEBT INSTRUMENTS</t>
  </si>
  <si>
    <t>(a) Listed / awaiting listing on Stock Exchanges</t>
  </si>
  <si>
    <t>Non Convertible Debentures / Bonds</t>
  </si>
  <si>
    <t>CRISIL AAA</t>
  </si>
  <si>
    <t>INE040A08922</t>
  </si>
  <si>
    <t>7.8% LIC Housing Finance Limited 22-DEC-2027**</t>
  </si>
  <si>
    <t>INE115A07QC7</t>
  </si>
  <si>
    <t>7.68% SIDBI 09-JUL-2027**</t>
  </si>
  <si>
    <t>INE556F08KO7</t>
  </si>
  <si>
    <t>6.75% Sikka Ports &amp; Terminals Limited 22-APR-2026**</t>
  </si>
  <si>
    <t>INE941D07208</t>
  </si>
  <si>
    <t>7.6% Power Finance Corporation Limited 13-APR-2029**</t>
  </si>
  <si>
    <t>INE134E08MX3</t>
  </si>
  <si>
    <t>ICRA AAA</t>
  </si>
  <si>
    <t>INE020B08FD6</t>
  </si>
  <si>
    <t>7.85% Bajaj Housing Finance Ltd 01-SEP-2028**</t>
  </si>
  <si>
    <t>INE377Y07433</t>
  </si>
  <si>
    <t>IND AAA</t>
  </si>
  <si>
    <t>INE261F08EF5</t>
  </si>
  <si>
    <t>8.061% ICICI Home Finance Company Limited 25-MAR-2026**</t>
  </si>
  <si>
    <t>INE071G07637</t>
  </si>
  <si>
    <t>8% Bajaj Finance Limited 27-FEB-2026**</t>
  </si>
  <si>
    <t>INE296A07SJ6</t>
  </si>
  <si>
    <t>INE261F08DO9</t>
  </si>
  <si>
    <t>6.4% Jamnagar Utilities &amp; Power Pvt Ltd 29-SEP-2026**</t>
  </si>
  <si>
    <t>INE936D07174</t>
  </si>
  <si>
    <t>7.85% Power Finance Corporation Limited 03-APR-2028**</t>
  </si>
  <si>
    <t>INE134E08JP5</t>
  </si>
  <si>
    <t>7.7% REC Limited 10-DEC-2027**</t>
  </si>
  <si>
    <t>INE020B08AQ9</t>
  </si>
  <si>
    <t>7.33% Indian Railway Finance Corporation Ltd 27-AUG-2027**</t>
  </si>
  <si>
    <t>CARE AAA</t>
  </si>
  <si>
    <t>INE053F07AC3</t>
  </si>
  <si>
    <t>Sub Total</t>
  </si>
  <si>
    <t>(b) Privately placed / Unlisted</t>
  </si>
  <si>
    <t>NIL</t>
  </si>
  <si>
    <t>(c) Securitized Debt Instruments</t>
  </si>
  <si>
    <t>(d) Government Securities / SDL</t>
  </si>
  <si>
    <t>7.32% GOI - 13-Nov-2030</t>
  </si>
  <si>
    <t>SOVEREIGN</t>
  </si>
  <si>
    <t>IN0020230135</t>
  </si>
  <si>
    <t>7.17% GOI - 17-APR-2030</t>
  </si>
  <si>
    <t>IN0020230036</t>
  </si>
  <si>
    <t>Total</t>
  </si>
  <si>
    <t>MONEY MARKET INSTRUMENTS</t>
  </si>
  <si>
    <t>Alternative Investment Fund Units</t>
  </si>
  <si>
    <t>INF0RQ622028</t>
  </si>
  <si>
    <t>TREPS / Reverse Repo Investments / Corporate Debt Repo</t>
  </si>
  <si>
    <t>CCIL</t>
  </si>
  <si>
    <t>Cash &amp; Cash Equivalents</t>
  </si>
  <si>
    <t>Net Receivable/Payable</t>
  </si>
  <si>
    <t>Grand Total</t>
  </si>
  <si>
    <t>Corporate Debt Market Development Fund - Class A2 Units</t>
  </si>
  <si>
    <t>Quantity/Face Value</t>
  </si>
  <si>
    <t>7.58% REC Limited 31-MAY-2029**</t>
  </si>
  <si>
    <t>7.8% NABARD 15-MAR-2027</t>
  </si>
  <si>
    <t>7.9611% HDB Financial Services Limited 05-JAN-2028**</t>
  </si>
  <si>
    <t>7.4% NABARD 30-JAN-2026</t>
  </si>
  <si>
    <t>7.8% HDFC Bank Limited 02-JUN-2025**</t>
  </si>
  <si>
    <t>7.645% LIC Housing Finance Limited 21-FEB-2030**</t>
  </si>
  <si>
    <t>7.61% LIC Housing Finance Limited 30-JUL-2025**</t>
  </si>
  <si>
    <t>INE756I07FB6</t>
  </si>
  <si>
    <t>INE115A07RD3</t>
  </si>
  <si>
    <t>INE115A07PW7</t>
  </si>
  <si>
    <t>7.3%</t>
  </si>
  <si>
    <t>7.66%</t>
  </si>
  <si>
    <t>7.15%</t>
  </si>
  <si>
    <t>7.25%</t>
  </si>
  <si>
    <t>7.54%</t>
  </si>
  <si>
    <t>7.45%</t>
  </si>
  <si>
    <t>7.47%</t>
  </si>
  <si>
    <t>7.84%</t>
  </si>
  <si>
    <t>7.65%</t>
  </si>
  <si>
    <t>7.24%</t>
  </si>
  <si>
    <t>7.46%</t>
  </si>
  <si>
    <t>7.18%</t>
  </si>
  <si>
    <t>7.33%</t>
  </si>
  <si>
    <t>7.02% GOI 18-JUN-2031</t>
  </si>
  <si>
    <t>6.75% GOI 23-Dec-2029</t>
  </si>
  <si>
    <t>IN0020240076</t>
  </si>
  <si>
    <t>IN0020240183</t>
  </si>
  <si>
    <t>6.49%</t>
  </si>
  <si>
    <t>6.45%</t>
  </si>
  <si>
    <t>31.03.2025</t>
  </si>
  <si>
    <t>Note - Traded Securities (Debt) as on March 28, 2025.</t>
  </si>
  <si>
    <t>Monthly Portfolio Statement for the period ended 31.03.2025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</si>
</sst>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0.00_);_(* \(#,##0.00\);_(* &quot;-&quot;??_);_(@_)"/>
    <numFmt numFmtId="165" formatCode="_(* #,##0_);_(* \(#,##0\);_(* &quot;-&quot;??_);_(@_)"/>
    <numFmt numFmtId="166" formatCode="0.0000"/>
    <numFmt numFmtId="167" formatCode="_(* #,##0.000_);_(* \(#,##0.000\);_(* &quot;-&quot;??_);_(@_)"/>
    <numFmt numFmtId="168" formatCode="0.000%"/>
  </numFmts>
  <fonts count="12">
    <font>
      <sz val="11"/>
      <color theme="1"/>
      <name val="Aptos Narrow"/>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b/>
      <sz val="8"/>
      <name val="Times New Roman"/>
      <family val="1"/>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2">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6" fillId="0" borderId="0"/>
    <xf numFmtId="164" fontId="1" fillId="0" borderId="0" applyFont="0" applyFill="0" applyBorder="0" applyAlignment="0" applyProtection="0"/>
    <xf numFmtId="0" fontId="6" fillId="0" borderId="0"/>
    <xf numFmtId="0" fontId="1" fillId="0" borderId="0"/>
    <xf numFmtId="164" fontId="1" fillId="0" borderId="0" applyFont="0" applyFill="0" applyBorder="0" applyAlignment="0" applyProtection="0"/>
    <xf numFmtId="164" fontId="1" fillId="0" borderId="0" applyFont="0" applyFill="0" applyBorder="0" applyAlignment="0" applyProtection="0"/>
    <xf numFmtId="0" fontId="1" fillId="0" borderId="0"/>
  </cellStyleXfs>
  <cellXfs count="90">
    <xf numFmtId="0" fontId="0" fillId="0" borderId="0" xfId="0"/>
    <xf numFmtId="0" fontId="3" fillId="0" borderId="0" xfId="3" applyFont="1"/>
    <xf numFmtId="0" fontId="4" fillId="0" borderId="3" xfId="3" applyFont="1" applyBorder="1" applyAlignment="1">
      <alignment horizontal="center" vertical="center" wrapText="1"/>
    </xf>
    <xf numFmtId="0" fontId="4" fillId="0" borderId="3" xfId="3" applyFont="1" applyBorder="1" applyAlignment="1">
      <alignment horizontal="left" vertical="center" wrapText="1"/>
    </xf>
    <xf numFmtId="165" fontId="4" fillId="0" borderId="3" xfId="1" applyNumberFormat="1" applyFont="1" applyFill="1" applyBorder="1" applyAlignment="1">
      <alignment horizontal="center" vertical="center"/>
    </xf>
    <xf numFmtId="0" fontId="3" fillId="0" borderId="0" xfId="3" applyFont="1" applyAlignment="1">
      <alignment horizontal="center"/>
    </xf>
    <xf numFmtId="0" fontId="4" fillId="0" borderId="3" xfId="3" applyFont="1" applyBorder="1" applyAlignment="1">
      <alignment wrapText="1"/>
    </xf>
    <xf numFmtId="0" fontId="4" fillId="0" borderId="3" xfId="3" applyFont="1" applyBorder="1" applyAlignment="1">
      <alignment horizontal="left" wrapText="1"/>
    </xf>
    <xf numFmtId="165" fontId="4" fillId="0" borderId="3" xfId="1" applyNumberFormat="1" applyFont="1" applyFill="1" applyBorder="1"/>
    <xf numFmtId="164" fontId="4" fillId="0" borderId="3" xfId="1" applyFont="1" applyFill="1" applyBorder="1" applyAlignment="1">
      <alignment horizontal="right"/>
    </xf>
    <xf numFmtId="10" fontId="4" fillId="0" borderId="3" xfId="1" applyNumberFormat="1" applyFont="1" applyFill="1" applyBorder="1" applyAlignment="1">
      <alignment horizontal="right"/>
    </xf>
    <xf numFmtId="0" fontId="5" fillId="0" borderId="3" xfId="3" applyFont="1" applyBorder="1" applyAlignment="1">
      <alignment horizontal="right"/>
    </xf>
    <xf numFmtId="166" fontId="5" fillId="0" borderId="3" xfId="3" applyNumberFormat="1" applyFont="1" applyBorder="1"/>
    <xf numFmtId="0" fontId="5" fillId="0" borderId="3" xfId="3" applyFont="1" applyBorder="1"/>
    <xf numFmtId="0" fontId="4" fillId="0" borderId="0" xfId="3" applyFont="1" applyAlignment="1">
      <alignment wrapText="1"/>
    </xf>
    <xf numFmtId="0" fontId="4" fillId="0" borderId="0" xfId="3" applyFont="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3" applyFont="1" applyAlignment="1">
      <alignment horizontal="right"/>
    </xf>
    <xf numFmtId="0" fontId="5" fillId="0" borderId="0" xfId="3" applyFont="1"/>
    <xf numFmtId="0" fontId="5" fillId="0" borderId="0" xfId="3" applyFont="1" applyAlignment="1">
      <alignment horizontal="left" vertical="center" wrapText="1"/>
    </xf>
    <xf numFmtId="0" fontId="4" fillId="0" borderId="0" xfId="3" applyFont="1" applyAlignment="1">
      <alignment horizontal="left" vertical="center" wrapText="1"/>
    </xf>
    <xf numFmtId="165" fontId="4" fillId="0" borderId="0" xfId="1" applyNumberFormat="1" applyFont="1" applyFill="1" applyBorder="1" applyAlignment="1">
      <alignment horizontal="left" vertical="center"/>
    </xf>
    <xf numFmtId="164" fontId="4" fillId="0" borderId="0" xfId="1" applyFont="1" applyFill="1" applyBorder="1" applyAlignment="1">
      <alignment horizontal="left" vertical="center"/>
    </xf>
    <xf numFmtId="0" fontId="5" fillId="0" borderId="0" xfId="3" applyFont="1" applyAlignment="1">
      <alignment horizontal="left" vertical="center"/>
    </xf>
    <xf numFmtId="0" fontId="8" fillId="0" borderId="0" xfId="5" applyFont="1" applyAlignment="1">
      <alignment horizontal="left" vertical="top" wrapText="1"/>
    </xf>
    <xf numFmtId="0" fontId="5" fillId="0" borderId="0" xfId="3" applyFont="1" applyAlignment="1">
      <alignment horizontal="left" vertical="top" wrapText="1"/>
    </xf>
    <xf numFmtId="0" fontId="9" fillId="0" borderId="0" xfId="5" applyFont="1"/>
    <xf numFmtId="0" fontId="5" fillId="0" borderId="0" xfId="3" applyFont="1" applyAlignment="1">
      <alignment horizontal="left" wrapText="1"/>
    </xf>
    <xf numFmtId="165" fontId="5" fillId="0" borderId="0" xfId="6" applyNumberFormat="1" applyFont="1" applyFill="1"/>
    <xf numFmtId="0" fontId="7" fillId="0" borderId="0" xfId="5" applyFont="1"/>
    <xf numFmtId="0" fontId="10" fillId="0" borderId="0" xfId="3" applyFont="1" applyAlignment="1">
      <alignment horizontal="left" wrapText="1"/>
    </xf>
    <xf numFmtId="0" fontId="7" fillId="0" borderId="0" xfId="7" applyFont="1"/>
    <xf numFmtId="0" fontId="7" fillId="0" borderId="0" xfId="3" applyFont="1" applyAlignment="1">
      <alignment vertical="top" wrapText="1"/>
    </xf>
    <xf numFmtId="0" fontId="9" fillId="0" borderId="0" xfId="7" applyFont="1" applyAlignment="1">
      <alignment horizontal="center"/>
    </xf>
    <xf numFmtId="0" fontId="4" fillId="0" borderId="0" xfId="3" applyFont="1"/>
    <xf numFmtId="0" fontId="9" fillId="0" borderId="0" xfId="7" applyFont="1"/>
    <xf numFmtId="0" fontId="11" fillId="0" borderId="0" xfId="3" applyFont="1" applyAlignment="1">
      <alignment horizontal="center" wrapText="1"/>
    </xf>
    <xf numFmtId="0" fontId="5" fillId="0" borderId="0" xfId="8" applyFont="1" applyAlignment="1">
      <alignment horizontal="left" wrapText="1"/>
    </xf>
    <xf numFmtId="165" fontId="5" fillId="0" borderId="0" xfId="9" applyNumberFormat="1" applyFont="1" applyFill="1"/>
    <xf numFmtId="0" fontId="5" fillId="0" borderId="0" xfId="8" applyFont="1"/>
    <xf numFmtId="0" fontId="9" fillId="0" borderId="7" xfId="3" applyFont="1" applyBorder="1" applyAlignment="1">
      <alignment vertical="center" wrapText="1"/>
    </xf>
    <xf numFmtId="0" fontId="7" fillId="0" borderId="7" xfId="3" applyFont="1" applyBorder="1" applyAlignment="1">
      <alignment vertical="center" wrapText="1"/>
    </xf>
    <xf numFmtId="0" fontId="7" fillId="0" borderId="9" xfId="3" applyFont="1" applyBorder="1" applyAlignment="1">
      <alignment vertical="center" wrapText="1"/>
    </xf>
    <xf numFmtId="0" fontId="7" fillId="3" borderId="9" xfId="3" applyFont="1" applyFill="1" applyBorder="1" applyAlignment="1">
      <alignment horizontal="center" vertical="center" wrapText="1"/>
    </xf>
    <xf numFmtId="0" fontId="7" fillId="0" borderId="0" xfId="3" applyFont="1" applyAlignment="1">
      <alignment vertical="center" wrapText="1"/>
    </xf>
    <xf numFmtId="0" fontId="7" fillId="3" borderId="0" xfId="3" applyFont="1" applyFill="1" applyAlignment="1">
      <alignment horizontal="center" vertical="center" wrapText="1"/>
    </xf>
    <xf numFmtId="0" fontId="5" fillId="0" borderId="3" xfId="3" applyFont="1" applyBorder="1" applyAlignment="1">
      <alignment vertical="center" wrapText="1"/>
    </xf>
    <xf numFmtId="0" fontId="5" fillId="0" borderId="3" xfId="3" applyFont="1" applyBorder="1" applyAlignment="1">
      <alignment horizontal="center" vertical="top" wrapText="1"/>
    </xf>
    <xf numFmtId="0" fontId="5" fillId="0" borderId="3" xfId="3" applyFont="1" applyBorder="1" applyAlignment="1">
      <alignment wrapText="1"/>
    </xf>
    <xf numFmtId="0" fontId="5" fillId="0" borderId="3" xfId="3" applyFont="1" applyBorder="1" applyAlignment="1">
      <alignment horizontal="left" wrapText="1"/>
    </xf>
    <xf numFmtId="10" fontId="5" fillId="0" borderId="3" xfId="2" applyNumberFormat="1" applyFont="1" applyFill="1" applyBorder="1" applyAlignment="1">
      <alignment horizontal="center" wrapText="1"/>
    </xf>
    <xf numFmtId="166" fontId="5" fillId="0" borderId="3" xfId="3" applyNumberFormat="1" applyFont="1" applyBorder="1" applyAlignment="1">
      <alignment horizontal="center" wrapText="1"/>
    </xf>
    <xf numFmtId="166" fontId="5" fillId="0" borderId="3" xfId="3" applyNumberFormat="1" applyFont="1" applyBorder="1" applyAlignment="1">
      <alignment horizontal="center"/>
    </xf>
    <xf numFmtId="165" fontId="5" fillId="0" borderId="0" xfId="10" applyNumberFormat="1" applyFont="1"/>
    <xf numFmtId="14" fontId="5" fillId="0" borderId="3" xfId="3" applyNumberFormat="1" applyFont="1" applyBorder="1" applyAlignment="1">
      <alignment horizontal="center" wrapText="1"/>
    </xf>
    <xf numFmtId="0" fontId="5" fillId="0" borderId="11" xfId="3" applyFont="1" applyBorder="1" applyAlignment="1">
      <alignment horizontal="left" wrapText="1"/>
    </xf>
    <xf numFmtId="0" fontId="5" fillId="0" borderId="10" xfId="3" applyFont="1" applyBorder="1" applyAlignment="1">
      <alignment horizontal="left" wrapText="1"/>
    </xf>
    <xf numFmtId="0" fontId="3" fillId="0" borderId="0" xfId="3" applyFont="1" applyAlignment="1">
      <alignment wrapText="1"/>
    </xf>
    <xf numFmtId="0" fontId="3" fillId="0" borderId="0" xfId="3" applyFont="1" applyAlignment="1">
      <alignment horizontal="left" wrapText="1"/>
    </xf>
    <xf numFmtId="165" fontId="3" fillId="0" borderId="0" xfId="1" applyNumberFormat="1" applyFont="1"/>
    <xf numFmtId="167" fontId="5" fillId="0" borderId="3" xfId="1" applyNumberFormat="1" applyFont="1" applyFill="1" applyBorder="1"/>
    <xf numFmtId="164" fontId="5" fillId="0" borderId="3" xfId="1" applyFont="1" applyFill="1" applyBorder="1" applyAlignment="1">
      <alignment horizontal="right"/>
    </xf>
    <xf numFmtId="10" fontId="5" fillId="0" borderId="3" xfId="1" applyNumberFormat="1" applyFont="1" applyFill="1" applyBorder="1" applyAlignment="1">
      <alignment horizontal="right"/>
    </xf>
    <xf numFmtId="165" fontId="5" fillId="0" borderId="3" xfId="1" applyNumberFormat="1" applyFont="1" applyFill="1" applyBorder="1"/>
    <xf numFmtId="10" fontId="5" fillId="0" borderId="3" xfId="3" applyNumberFormat="1" applyFont="1" applyBorder="1" applyAlignment="1">
      <alignment horizontal="center"/>
    </xf>
    <xf numFmtId="4" fontId="5" fillId="0" borderId="3" xfId="11" applyNumberFormat="1" applyFont="1" applyFill="1" applyBorder="1" applyAlignment="1">
      <alignment wrapText="1"/>
    </xf>
    <xf numFmtId="168" fontId="5" fillId="0" borderId="3" xfId="3" applyNumberFormat="1" applyFont="1" applyBorder="1" applyAlignment="1">
      <alignment horizontal="center"/>
    </xf>
    <xf numFmtId="10" fontId="4" fillId="0" borderId="3" xfId="2" applyNumberFormat="1" applyFont="1" applyFill="1" applyBorder="1" applyAlignment="1">
      <alignment horizontal="right"/>
    </xf>
    <xf numFmtId="0" fontId="7" fillId="0" borderId="0" xfId="7" applyFont="1" applyBorder="1"/>
    <xf numFmtId="0" fontId="5" fillId="0" borderId="3" xfId="3" applyFont="1" applyFill="1" applyBorder="1" applyAlignment="1">
      <alignment horizontal="left" wrapText="1"/>
    </xf>
    <xf numFmtId="0" fontId="7" fillId="0" borderId="0" xfId="5" applyFont="1" applyAlignment="1">
      <alignment horizontal="left" vertical="top" wrapText="1"/>
    </xf>
    <xf numFmtId="0" fontId="2" fillId="2" borderId="1" xfId="3" applyFont="1" applyFill="1" applyBorder="1" applyAlignment="1">
      <alignment horizontal="center" vertical="center"/>
    </xf>
    <xf numFmtId="0" fontId="2" fillId="2" borderId="1" xfId="3" applyFont="1" applyFill="1" applyBorder="1" applyAlignment="1">
      <alignment horizontal="center" vertical="top" wrapText="1"/>
    </xf>
    <xf numFmtId="0" fontId="2" fillId="2" borderId="2" xfId="3" applyFont="1" applyFill="1" applyBorder="1" applyAlignment="1">
      <alignment horizontal="center" vertical="center" wrapText="1"/>
    </xf>
    <xf numFmtId="0" fontId="5" fillId="0" borderId="0" xfId="4" applyFont="1" applyAlignment="1">
      <alignment horizontal="left" vertical="top" wrapText="1"/>
    </xf>
    <xf numFmtId="0" fontId="5" fillId="0" borderId="0" xfId="3" applyFont="1" applyAlignment="1">
      <alignment horizontal="left" vertical="top" wrapText="1"/>
    </xf>
    <xf numFmtId="0" fontId="5" fillId="0" borderId="2" xfId="3" applyFont="1" applyBorder="1" applyAlignment="1">
      <alignment horizontal="center" wrapText="1"/>
    </xf>
    <xf numFmtId="0" fontId="5" fillId="0" borderId="10" xfId="3" applyFont="1" applyBorder="1" applyAlignment="1">
      <alignment horizontal="center" wrapText="1"/>
    </xf>
    <xf numFmtId="0" fontId="8" fillId="0" borderId="0" xfId="5" applyFont="1" applyAlignment="1">
      <alignment horizontal="left" vertical="top" wrapText="1"/>
    </xf>
    <xf numFmtId="0" fontId="4" fillId="0" borderId="0" xfId="3" applyFont="1" applyAlignment="1">
      <alignment horizontal="center" wrapText="1"/>
    </xf>
    <xf numFmtId="0" fontId="4" fillId="0" borderId="0" xfId="3" applyFont="1" applyAlignment="1">
      <alignment horizontal="center"/>
    </xf>
    <xf numFmtId="0" fontId="11" fillId="0" borderId="0" xfId="3" applyFont="1" applyAlignment="1">
      <alignment horizontal="center" wrapText="1"/>
    </xf>
    <xf numFmtId="0" fontId="9" fillId="0" borderId="4" xfId="3" applyFont="1" applyBorder="1" applyAlignment="1">
      <alignment horizontal="center" vertical="center" wrapText="1"/>
    </xf>
    <xf numFmtId="0" fontId="9" fillId="0" borderId="5" xfId="3" applyFont="1" applyBorder="1" applyAlignment="1">
      <alignment horizontal="center" vertical="center" wrapText="1"/>
    </xf>
    <xf numFmtId="0" fontId="9" fillId="0" borderId="6" xfId="3" applyFont="1" applyBorder="1" applyAlignment="1">
      <alignment horizontal="center" vertical="center" wrapText="1"/>
    </xf>
    <xf numFmtId="0" fontId="9" fillId="0" borderId="8" xfId="3" applyFont="1" applyBorder="1" applyAlignment="1">
      <alignment horizontal="left" vertical="center" wrapText="1"/>
    </xf>
    <xf numFmtId="0" fontId="9" fillId="0" borderId="7" xfId="3" applyFont="1" applyBorder="1" applyAlignment="1">
      <alignment horizontal="left" vertical="center" wrapText="1"/>
    </xf>
    <xf numFmtId="0" fontId="9" fillId="0" borderId="8" xfId="3" applyFont="1" applyBorder="1" applyAlignment="1">
      <alignment horizontal="left" vertical="top" wrapText="1"/>
    </xf>
    <xf numFmtId="0" fontId="9" fillId="0" borderId="7" xfId="3" applyFont="1" applyBorder="1" applyAlignment="1">
      <alignment horizontal="left" vertical="top" wrapText="1"/>
    </xf>
  </cellXfs>
  <cellStyles count="12">
    <cellStyle name="Comma" xfId="1" builtinId="3"/>
    <cellStyle name="Comma 3" xfId="10"/>
    <cellStyle name="Comma 4 2" xfId="6"/>
    <cellStyle name="Comma 5" xfId="9"/>
    <cellStyle name="Normal" xfId="0" builtinId="0"/>
    <cellStyle name="Normal 2 2 2" xfId="3"/>
    <cellStyle name="Normal 2 2_Template Portfolio Disclosure -31.01 2025" xfId="11"/>
    <cellStyle name="Normal 2 3 2" xfId="4"/>
    <cellStyle name="Normal 4_IF" xfId="7"/>
    <cellStyle name="Normal 4_LD" xfId="5"/>
    <cellStyle name="Normal 5" xfId="8"/>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1152525</xdr:colOff>
      <xdr:row>69</xdr:row>
      <xdr:rowOff>66675</xdr:rowOff>
    </xdr:from>
    <xdr:to>
      <xdr:col>1</xdr:col>
      <xdr:colOff>161925</xdr:colOff>
      <xdr:row>78</xdr:row>
      <xdr:rowOff>19050</xdr:rowOff>
    </xdr:to>
    <xdr:pic>
      <xdr:nvPicPr>
        <xdr:cNvPr id="2" name="Picture 3">
          <a:extLst>
            <a:ext uri="{FF2B5EF4-FFF2-40B4-BE49-F238E27FC236}">
              <a16:creationId xmlns:a16="http://schemas.microsoft.com/office/drawing/2014/main" id="{9B4993AE-9EE6-4FB3-B7FD-53F506012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52525" y="11261725"/>
          <a:ext cx="2698750" cy="1438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504825</xdr:colOff>
      <xdr:row>69</xdr:row>
      <xdr:rowOff>28575</xdr:rowOff>
    </xdr:from>
    <xdr:to>
      <xdr:col>3</xdr:col>
      <xdr:colOff>647700</xdr:colOff>
      <xdr:row>78</xdr:row>
      <xdr:rowOff>104775</xdr:rowOff>
    </xdr:to>
    <xdr:pic>
      <xdr:nvPicPr>
        <xdr:cNvPr id="3" name="Picture 8">
          <a:extLst>
            <a:ext uri="{FF2B5EF4-FFF2-40B4-BE49-F238E27FC236}">
              <a16:creationId xmlns:a16="http://schemas.microsoft.com/office/drawing/2014/main" id="{C7FECC8A-770D-484A-9736-2FAF8FAD117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194175" y="11223625"/>
          <a:ext cx="2879725" cy="1562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00"/>
  <sheetViews>
    <sheetView tabSelected="1" topLeftCell="A70" zoomScaleNormal="100" workbookViewId="0">
      <selection activeCell="B80" sqref="B80:E80"/>
    </sheetView>
  </sheetViews>
  <sheetFormatPr defaultColWidth="9.125" defaultRowHeight="12.75"/>
  <cols>
    <col min="1" max="1" width="52.875" style="58" customWidth="1"/>
    <col min="2" max="2" width="24.125" style="59" customWidth="1"/>
    <col min="3" max="3" width="15.375" style="60" customWidth="1"/>
    <col min="4" max="4" width="11.25" style="1" customWidth="1"/>
    <col min="5" max="5" width="11.125" style="1" customWidth="1"/>
    <col min="6" max="6" width="16.25" style="1" customWidth="1"/>
    <col min="7" max="7" width="9.5" style="1" bestFit="1" customWidth="1"/>
    <col min="8" max="8" width="12.25" style="1" customWidth="1"/>
    <col min="9" max="16384" width="9.125" style="1"/>
  </cols>
  <sheetData>
    <row r="1" spans="1:8">
      <c r="A1" s="72" t="s">
        <v>0</v>
      </c>
      <c r="B1" s="72"/>
      <c r="C1" s="72"/>
      <c r="D1" s="72"/>
      <c r="E1" s="72"/>
      <c r="F1" s="72"/>
      <c r="G1" s="72"/>
      <c r="H1" s="72"/>
    </row>
    <row r="2" spans="1:8" ht="27.75" customHeight="1">
      <c r="A2" s="73" t="s">
        <v>1</v>
      </c>
      <c r="B2" s="73"/>
      <c r="C2" s="73"/>
      <c r="D2" s="73"/>
      <c r="E2" s="73"/>
      <c r="F2" s="73"/>
      <c r="G2" s="73"/>
      <c r="H2" s="73"/>
    </row>
    <row r="3" spans="1:8" ht="12.75" customHeight="1">
      <c r="A3" s="74" t="s">
        <v>127</v>
      </c>
      <c r="B3" s="74"/>
      <c r="C3" s="74"/>
      <c r="D3" s="74"/>
      <c r="E3" s="74"/>
      <c r="F3" s="74"/>
      <c r="G3" s="74"/>
      <c r="H3" s="74"/>
    </row>
    <row r="4" spans="1:8" s="5" customFormat="1" ht="25.5">
      <c r="A4" s="2" t="s">
        <v>2</v>
      </c>
      <c r="B4" s="3" t="s">
        <v>3</v>
      </c>
      <c r="C4" s="4" t="s">
        <v>95</v>
      </c>
      <c r="D4" s="2" t="s">
        <v>4</v>
      </c>
      <c r="E4" s="2" t="s">
        <v>5</v>
      </c>
      <c r="F4" s="2" t="s">
        <v>6</v>
      </c>
      <c r="G4" s="2" t="s">
        <v>7</v>
      </c>
      <c r="H4" s="2" t="s">
        <v>8</v>
      </c>
    </row>
    <row r="5" spans="1:8" ht="14.25">
      <c r="A5" s="6" t="s">
        <v>42</v>
      </c>
      <c r="B5" s="7"/>
      <c r="C5" s="8"/>
      <c r="D5" s="9"/>
      <c r="E5" s="10"/>
      <c r="F5" s="11"/>
      <c r="G5" s="12"/>
      <c r="H5" s="13"/>
    </row>
    <row r="6" spans="1:8" ht="14.25">
      <c r="A6" s="6" t="s">
        <v>43</v>
      </c>
      <c r="B6" s="7"/>
      <c r="C6" s="8"/>
      <c r="D6" s="9"/>
      <c r="E6" s="10"/>
      <c r="F6" s="11"/>
      <c r="G6" s="12"/>
      <c r="H6" s="13"/>
    </row>
    <row r="7" spans="1:8" ht="14.25">
      <c r="A7" s="6" t="s">
        <v>44</v>
      </c>
      <c r="B7" s="7"/>
      <c r="C7" s="8"/>
      <c r="D7" s="9"/>
      <c r="E7" s="10"/>
      <c r="F7" s="11"/>
      <c r="G7" s="12"/>
      <c r="H7" s="13"/>
    </row>
    <row r="8" spans="1:8" ht="14.25">
      <c r="A8" s="49" t="s">
        <v>49</v>
      </c>
      <c r="B8" s="50" t="s">
        <v>45</v>
      </c>
      <c r="C8" s="64">
        <v>750000</v>
      </c>
      <c r="D8" s="62">
        <v>756.03674999999998</v>
      </c>
      <c r="E8" s="63">
        <v>6.5608628204827074E-2</v>
      </c>
      <c r="F8" s="11" t="s">
        <v>50</v>
      </c>
      <c r="G8" s="67" t="s">
        <v>106</v>
      </c>
      <c r="H8" s="13"/>
    </row>
    <row r="9" spans="1:8" ht="14.25">
      <c r="A9" s="49" t="s">
        <v>51</v>
      </c>
      <c r="B9" s="50" t="s">
        <v>45</v>
      </c>
      <c r="C9" s="64">
        <v>600000</v>
      </c>
      <c r="D9" s="62">
        <v>594.59519999999998</v>
      </c>
      <c r="E9" s="63">
        <v>5.159878194965363E-2</v>
      </c>
      <c r="F9" s="11" t="s">
        <v>52</v>
      </c>
      <c r="G9" s="67" t="s">
        <v>107</v>
      </c>
      <c r="H9" s="13"/>
    </row>
    <row r="10" spans="1:8" ht="14.25">
      <c r="A10" s="49" t="s">
        <v>96</v>
      </c>
      <c r="B10" s="50" t="s">
        <v>55</v>
      </c>
      <c r="C10" s="64">
        <v>500000</v>
      </c>
      <c r="D10" s="62">
        <v>507.33199999999999</v>
      </c>
      <c r="E10" s="63">
        <v>4.4026109265735199E-2</v>
      </c>
      <c r="F10" s="11" t="s">
        <v>56</v>
      </c>
      <c r="G10" s="67" t="s">
        <v>108</v>
      </c>
      <c r="H10" s="13"/>
    </row>
    <row r="11" spans="1:8" ht="14.25">
      <c r="A11" s="49" t="s">
        <v>53</v>
      </c>
      <c r="B11" s="50" t="s">
        <v>45</v>
      </c>
      <c r="C11" s="64">
        <v>500000</v>
      </c>
      <c r="D11" s="62">
        <v>506.78699999999998</v>
      </c>
      <c r="E11" s="63">
        <v>4.3978814339434819E-2</v>
      </c>
      <c r="F11" s="11" t="s">
        <v>54</v>
      </c>
      <c r="G11" s="65">
        <v>7.1999999999999995E-2</v>
      </c>
      <c r="H11" s="13"/>
    </row>
    <row r="12" spans="1:8" ht="14.25">
      <c r="A12" s="49" t="s">
        <v>97</v>
      </c>
      <c r="B12" s="50" t="s">
        <v>59</v>
      </c>
      <c r="C12" s="64">
        <v>500000</v>
      </c>
      <c r="D12" s="62">
        <v>504.78699999999998</v>
      </c>
      <c r="E12" s="63">
        <v>4.3805254976864605E-2</v>
      </c>
      <c r="F12" s="11" t="s">
        <v>60</v>
      </c>
      <c r="G12" s="67" t="s">
        <v>109</v>
      </c>
      <c r="H12" s="13"/>
    </row>
    <row r="13" spans="1:8" ht="14.25">
      <c r="A13" s="49" t="s">
        <v>57</v>
      </c>
      <c r="B13" s="50" t="s">
        <v>45</v>
      </c>
      <c r="C13" s="64">
        <v>500000</v>
      </c>
      <c r="D13" s="62">
        <v>504.17599999999999</v>
      </c>
      <c r="E13" s="63">
        <v>4.375223259159941E-2</v>
      </c>
      <c r="F13" s="11" t="s">
        <v>58</v>
      </c>
      <c r="G13" s="67" t="s">
        <v>110</v>
      </c>
      <c r="H13" s="13"/>
    </row>
    <row r="14" spans="1:8" ht="14.25">
      <c r="A14" s="49" t="s">
        <v>47</v>
      </c>
      <c r="B14" s="50" t="s">
        <v>45</v>
      </c>
      <c r="C14" s="64">
        <v>500000</v>
      </c>
      <c r="D14" s="62">
        <v>503.9015</v>
      </c>
      <c r="E14" s="63">
        <v>4.3728411569086648E-2</v>
      </c>
      <c r="F14" s="11" t="s">
        <v>48</v>
      </c>
      <c r="G14" s="67" t="s">
        <v>111</v>
      </c>
      <c r="H14" s="13"/>
    </row>
    <row r="15" spans="1:8" ht="14.25">
      <c r="A15" s="49" t="s">
        <v>61</v>
      </c>
      <c r="B15" s="50" t="s">
        <v>55</v>
      </c>
      <c r="C15" s="64">
        <v>500000</v>
      </c>
      <c r="D15" s="62">
        <v>502.67099999999999</v>
      </c>
      <c r="E15" s="63">
        <v>4.3621629171265323E-2</v>
      </c>
      <c r="F15" s="11" t="s">
        <v>62</v>
      </c>
      <c r="G15" s="67" t="s">
        <v>112</v>
      </c>
      <c r="H15" s="13"/>
    </row>
    <row r="16" spans="1:8" ht="14.25">
      <c r="A16" s="49" t="s">
        <v>63</v>
      </c>
      <c r="B16" s="50" t="s">
        <v>45</v>
      </c>
      <c r="C16" s="64">
        <v>500000</v>
      </c>
      <c r="D16" s="62">
        <v>501.74799999999999</v>
      </c>
      <c r="E16" s="63">
        <v>4.3541531525439173E-2</v>
      </c>
      <c r="F16" s="11" t="s">
        <v>64</v>
      </c>
      <c r="G16" s="67" t="s">
        <v>110</v>
      </c>
      <c r="H16" s="13"/>
    </row>
    <row r="17" spans="1:8" ht="14.25">
      <c r="A17" s="49" t="s">
        <v>98</v>
      </c>
      <c r="B17" s="50" t="s">
        <v>73</v>
      </c>
      <c r="C17" s="64">
        <v>500000</v>
      </c>
      <c r="D17" s="62">
        <v>501.18599999999998</v>
      </c>
      <c r="E17" s="63">
        <v>4.3492761344556943E-2</v>
      </c>
      <c r="F17" s="11" t="s">
        <v>103</v>
      </c>
      <c r="G17" s="67" t="s">
        <v>113</v>
      </c>
      <c r="H17" s="13"/>
    </row>
    <row r="18" spans="1:8" ht="14.25">
      <c r="A18" s="49" t="s">
        <v>99</v>
      </c>
      <c r="B18" s="50" t="s">
        <v>45</v>
      </c>
      <c r="C18" s="64">
        <v>500000</v>
      </c>
      <c r="D18" s="62">
        <v>499.64100000000002</v>
      </c>
      <c r="E18" s="63">
        <v>4.3358686736971457E-2</v>
      </c>
      <c r="F18" s="11" t="s">
        <v>65</v>
      </c>
      <c r="G18" s="65">
        <v>7.3999999999999996E-2</v>
      </c>
      <c r="H18" s="13"/>
    </row>
    <row r="19" spans="1:8" ht="14.25">
      <c r="A19" s="49" t="s">
        <v>66</v>
      </c>
      <c r="B19" s="50" t="s">
        <v>45</v>
      </c>
      <c r="C19" s="64">
        <v>500000</v>
      </c>
      <c r="D19" s="62">
        <v>491.209</v>
      </c>
      <c r="E19" s="63">
        <v>4.2626960464375446E-2</v>
      </c>
      <c r="F19" s="11" t="s">
        <v>67</v>
      </c>
      <c r="G19" s="67" t="s">
        <v>114</v>
      </c>
      <c r="H19" s="13"/>
    </row>
    <row r="20" spans="1:8" ht="14.25">
      <c r="A20" s="49" t="s">
        <v>100</v>
      </c>
      <c r="B20" s="50" t="s">
        <v>45</v>
      </c>
      <c r="C20" s="64">
        <v>400000</v>
      </c>
      <c r="D20" s="62">
        <v>399.80399999999997</v>
      </c>
      <c r="E20" s="63">
        <v>3.4694863696510363E-2</v>
      </c>
      <c r="F20" s="11" t="s">
        <v>46</v>
      </c>
      <c r="G20" s="65">
        <v>7.5999999999999998E-2</v>
      </c>
      <c r="H20" s="13"/>
    </row>
    <row r="21" spans="1:8" ht="14.25">
      <c r="A21" s="49" t="s">
        <v>68</v>
      </c>
      <c r="B21" s="50" t="s">
        <v>55</v>
      </c>
      <c r="C21" s="64">
        <v>350000</v>
      </c>
      <c r="D21" s="62">
        <v>356.83445</v>
      </c>
      <c r="E21" s="63">
        <v>3.0965979842545954E-2</v>
      </c>
      <c r="F21" s="11" t="s">
        <v>69</v>
      </c>
      <c r="G21" s="67" t="s">
        <v>115</v>
      </c>
      <c r="H21" s="13"/>
    </row>
    <row r="22" spans="1:8" ht="14.25">
      <c r="A22" s="49" t="s">
        <v>101</v>
      </c>
      <c r="B22" s="70" t="s">
        <v>45</v>
      </c>
      <c r="C22" s="64">
        <v>250000</v>
      </c>
      <c r="D22" s="62">
        <v>251.82499999999999</v>
      </c>
      <c r="E22" s="63">
        <v>2.1853293239621721E-2</v>
      </c>
      <c r="F22" s="11" t="s">
        <v>104</v>
      </c>
      <c r="G22" s="67" t="s">
        <v>116</v>
      </c>
      <c r="H22" s="13"/>
    </row>
    <row r="23" spans="1:8" ht="14.25">
      <c r="A23" s="49" t="s">
        <v>70</v>
      </c>
      <c r="B23" s="50" t="s">
        <v>45</v>
      </c>
      <c r="C23" s="64">
        <v>200000</v>
      </c>
      <c r="D23" s="62">
        <v>202.09219999999999</v>
      </c>
      <c r="E23" s="63">
        <v>1.7537496706205819E-2</v>
      </c>
      <c r="F23" s="11" t="s">
        <v>71</v>
      </c>
      <c r="G23" s="67" t="s">
        <v>109</v>
      </c>
      <c r="H23" s="13"/>
    </row>
    <row r="24" spans="1:8" ht="14.25">
      <c r="A24" s="49" t="s">
        <v>72</v>
      </c>
      <c r="B24" s="50" t="s">
        <v>73</v>
      </c>
      <c r="C24" s="64">
        <v>200000</v>
      </c>
      <c r="D24" s="62">
        <v>200.74260000000001</v>
      </c>
      <c r="E24" s="63">
        <v>1.7420378848343441E-2</v>
      </c>
      <c r="F24" s="11" t="s">
        <v>74</v>
      </c>
      <c r="G24" s="67" t="s">
        <v>117</v>
      </c>
      <c r="H24" s="13"/>
    </row>
    <row r="25" spans="1:8" ht="14.25">
      <c r="A25" s="49" t="s">
        <v>102</v>
      </c>
      <c r="B25" s="50" t="s">
        <v>73</v>
      </c>
      <c r="C25" s="64">
        <v>100000</v>
      </c>
      <c r="D25" s="62">
        <v>99.971400000000003</v>
      </c>
      <c r="E25" s="63">
        <v>8.6754862296258076E-3</v>
      </c>
      <c r="F25" s="11" t="s">
        <v>105</v>
      </c>
      <c r="G25" s="67" t="s">
        <v>118</v>
      </c>
      <c r="H25" s="13"/>
    </row>
    <row r="26" spans="1:8" ht="14.25">
      <c r="A26" s="6" t="s">
        <v>75</v>
      </c>
      <c r="B26" s="7"/>
      <c r="C26" s="8"/>
      <c r="D26" s="9">
        <v>7806.7676000000001</v>
      </c>
      <c r="E26" s="10">
        <v>0.67301973858787012</v>
      </c>
      <c r="F26" s="11"/>
      <c r="G26" s="12"/>
      <c r="H26" s="13"/>
    </row>
    <row r="27" spans="1:8" ht="14.25">
      <c r="A27" s="6" t="s">
        <v>76</v>
      </c>
      <c r="B27" s="7"/>
      <c r="C27" s="8"/>
      <c r="D27" s="9" t="s">
        <v>77</v>
      </c>
      <c r="E27" s="10" t="s">
        <v>77</v>
      </c>
      <c r="F27" s="11"/>
      <c r="G27" s="12"/>
      <c r="H27" s="13"/>
    </row>
    <row r="28" spans="1:8" ht="14.25">
      <c r="A28" s="6" t="s">
        <v>75</v>
      </c>
      <c r="B28" s="7"/>
      <c r="C28" s="8"/>
      <c r="D28" s="9" t="s">
        <v>77</v>
      </c>
      <c r="E28" s="10" t="s">
        <v>77</v>
      </c>
      <c r="F28" s="11"/>
      <c r="G28" s="12"/>
      <c r="H28" s="13"/>
    </row>
    <row r="29" spans="1:8" ht="14.25">
      <c r="A29" s="6" t="s">
        <v>78</v>
      </c>
      <c r="B29" s="7"/>
      <c r="C29" s="8"/>
      <c r="D29" s="9" t="s">
        <v>77</v>
      </c>
      <c r="E29" s="10" t="s">
        <v>77</v>
      </c>
      <c r="F29" s="11"/>
      <c r="G29" s="12"/>
      <c r="H29" s="13"/>
    </row>
    <row r="30" spans="1:8" ht="14.25">
      <c r="A30" s="6" t="s">
        <v>75</v>
      </c>
      <c r="B30" s="7"/>
      <c r="C30" s="8"/>
      <c r="D30" s="9" t="s">
        <v>77</v>
      </c>
      <c r="E30" s="10" t="s">
        <v>77</v>
      </c>
      <c r="F30" s="11"/>
      <c r="G30" s="12"/>
      <c r="H30" s="13"/>
    </row>
    <row r="31" spans="1:8" ht="14.25">
      <c r="A31" s="6" t="s">
        <v>79</v>
      </c>
      <c r="B31" s="7"/>
      <c r="C31" s="8"/>
      <c r="D31" s="9"/>
      <c r="E31" s="10"/>
      <c r="F31" s="11"/>
      <c r="G31" s="12"/>
      <c r="H31" s="13"/>
    </row>
    <row r="32" spans="1:8" ht="14.25">
      <c r="A32" s="49" t="s">
        <v>80</v>
      </c>
      <c r="B32" s="50" t="s">
        <v>81</v>
      </c>
      <c r="C32" s="64">
        <v>2150000</v>
      </c>
      <c r="D32" s="62">
        <v>2232.30845</v>
      </c>
      <c r="E32" s="63">
        <v>0.19371901582104811</v>
      </c>
      <c r="F32" s="11" t="s">
        <v>82</v>
      </c>
      <c r="G32" s="65" t="s">
        <v>123</v>
      </c>
      <c r="H32" s="13"/>
    </row>
    <row r="33" spans="1:8" ht="14.25">
      <c r="A33" s="49" t="s">
        <v>119</v>
      </c>
      <c r="B33" s="50" t="s">
        <v>81</v>
      </c>
      <c r="C33" s="64">
        <v>500000</v>
      </c>
      <c r="D33" s="62">
        <v>512.98450000000003</v>
      </c>
      <c r="E33" s="63">
        <v>4.4516631414199259E-2</v>
      </c>
      <c r="F33" s="11" t="s">
        <v>121</v>
      </c>
      <c r="G33" s="65">
        <v>6.5000000000000002E-2</v>
      </c>
      <c r="H33" s="13"/>
    </row>
    <row r="34" spans="1:8" ht="14.25">
      <c r="A34" s="49" t="s">
        <v>83</v>
      </c>
      <c r="B34" s="50" t="s">
        <v>81</v>
      </c>
      <c r="C34" s="64">
        <v>100000</v>
      </c>
      <c r="D34" s="62">
        <v>102.8878</v>
      </c>
      <c r="E34" s="63">
        <v>8.9285704921256894E-3</v>
      </c>
      <c r="F34" s="11" t="s">
        <v>84</v>
      </c>
      <c r="G34" s="65" t="s">
        <v>123</v>
      </c>
      <c r="H34" s="13"/>
    </row>
    <row r="35" spans="1:8" ht="14.25">
      <c r="A35" s="49" t="s">
        <v>120</v>
      </c>
      <c r="B35" s="50" t="s">
        <v>81</v>
      </c>
      <c r="C35" s="64">
        <v>50000</v>
      </c>
      <c r="D35" s="62">
        <v>50.5884</v>
      </c>
      <c r="E35" s="63">
        <v>4.3900452287234364E-3</v>
      </c>
      <c r="F35" s="11" t="s">
        <v>122</v>
      </c>
      <c r="G35" s="65" t="s">
        <v>124</v>
      </c>
      <c r="H35" s="13"/>
    </row>
    <row r="36" spans="1:8" ht="14.25">
      <c r="A36" s="6" t="s">
        <v>75</v>
      </c>
      <c r="B36" s="7"/>
      <c r="C36" s="8"/>
      <c r="D36" s="9">
        <v>3225.6030500000002</v>
      </c>
      <c r="E36" s="10">
        <v>0.27807853810061367</v>
      </c>
      <c r="F36" s="11"/>
      <c r="G36" s="12"/>
      <c r="H36" s="13"/>
    </row>
    <row r="37" spans="1:8" ht="14.25">
      <c r="A37" s="6" t="s">
        <v>85</v>
      </c>
      <c r="B37" s="7"/>
      <c r="C37" s="8"/>
      <c r="D37" s="9">
        <v>10784.109249999998</v>
      </c>
      <c r="E37" s="10">
        <v>0.93584156365875915</v>
      </c>
      <c r="F37" s="11"/>
      <c r="G37" s="12"/>
      <c r="H37" s="13"/>
    </row>
    <row r="38" spans="1:8" ht="14.25">
      <c r="A38" s="6"/>
      <c r="B38" s="7"/>
      <c r="C38" s="8"/>
      <c r="D38" s="9"/>
      <c r="E38" s="10"/>
      <c r="F38" s="11"/>
      <c r="G38" s="12"/>
      <c r="H38" s="13"/>
    </row>
    <row r="39" spans="1:8" ht="14.25">
      <c r="A39" s="6" t="s">
        <v>86</v>
      </c>
      <c r="B39" s="7"/>
      <c r="C39" s="8"/>
      <c r="D39" s="9"/>
      <c r="E39" s="10"/>
      <c r="F39" s="11"/>
      <c r="G39" s="12"/>
      <c r="H39" s="13"/>
    </row>
    <row r="40" spans="1:8" ht="14.25">
      <c r="A40" s="6" t="s">
        <v>85</v>
      </c>
      <c r="B40" s="7"/>
      <c r="C40" s="8"/>
      <c r="D40" s="9" t="s">
        <v>77</v>
      </c>
      <c r="E40" s="10" t="s">
        <v>77</v>
      </c>
      <c r="F40" s="11"/>
      <c r="G40" s="12"/>
      <c r="H40" s="13"/>
    </row>
    <row r="41" spans="1:8" ht="14.25">
      <c r="A41" s="6"/>
      <c r="B41" s="7"/>
      <c r="C41" s="8"/>
      <c r="D41" s="9"/>
      <c r="E41" s="10"/>
      <c r="F41" s="11"/>
      <c r="G41" s="12"/>
      <c r="H41" s="13"/>
    </row>
    <row r="42" spans="1:8" ht="14.25">
      <c r="A42" s="6" t="s">
        <v>87</v>
      </c>
      <c r="B42" s="7"/>
      <c r="C42" s="8"/>
      <c r="D42" s="9"/>
      <c r="E42" s="10"/>
      <c r="F42" s="11"/>
      <c r="G42" s="12"/>
      <c r="H42" s="13"/>
    </row>
    <row r="43" spans="1:8" ht="14.25">
      <c r="A43" s="66" t="s">
        <v>94</v>
      </c>
      <c r="B43" s="50"/>
      <c r="C43" s="61">
        <v>325.18400000000003</v>
      </c>
      <c r="D43" s="62">
        <v>35.882854799999997</v>
      </c>
      <c r="E43" s="63">
        <v>3.1139027031437221E-3</v>
      </c>
      <c r="F43" s="11" t="s">
        <v>88</v>
      </c>
      <c r="G43" s="65">
        <v>6.4600000000000005E-2</v>
      </c>
      <c r="H43" s="13"/>
    </row>
    <row r="44" spans="1:8" ht="14.25">
      <c r="A44" s="6" t="s">
        <v>85</v>
      </c>
      <c r="B44" s="7"/>
      <c r="C44" s="8"/>
      <c r="D44" s="9">
        <v>35.579435400000001</v>
      </c>
      <c r="E44" s="10">
        <v>3.0672953953454446E-3</v>
      </c>
      <c r="F44" s="11"/>
      <c r="G44" s="53"/>
      <c r="H44" s="13"/>
    </row>
    <row r="45" spans="1:8" ht="14.25">
      <c r="A45" s="6"/>
      <c r="B45" s="7"/>
      <c r="C45" s="8"/>
      <c r="D45" s="9"/>
      <c r="E45" s="10"/>
      <c r="F45" s="11"/>
      <c r="G45" s="53"/>
      <c r="H45" s="13"/>
    </row>
    <row r="46" spans="1:8" ht="14.25">
      <c r="A46" s="6" t="s">
        <v>89</v>
      </c>
      <c r="B46" s="7"/>
      <c r="C46" s="8"/>
      <c r="D46" s="9"/>
      <c r="E46" s="10"/>
      <c r="F46" s="11"/>
      <c r="G46" s="53"/>
      <c r="H46" s="13"/>
    </row>
    <row r="47" spans="1:8" ht="14.25">
      <c r="A47" s="49" t="s">
        <v>90</v>
      </c>
      <c r="B47" s="50"/>
      <c r="C47" s="64">
        <v>2732.4067</v>
      </c>
      <c r="D47" s="62">
        <v>273.1907812</v>
      </c>
      <c r="E47" s="63">
        <v>2.3707408922565024E-2</v>
      </c>
      <c r="F47" s="11"/>
      <c r="G47" s="65">
        <v>6.6703239999999997E-2</v>
      </c>
      <c r="H47" s="13"/>
    </row>
    <row r="48" spans="1:8" ht="14.25">
      <c r="A48" s="6" t="s">
        <v>85</v>
      </c>
      <c r="B48" s="7"/>
      <c r="C48" s="8"/>
      <c r="D48" s="9">
        <v>273.1907812</v>
      </c>
      <c r="E48" s="10">
        <v>2.3707408922565024E-2</v>
      </c>
      <c r="F48" s="11"/>
      <c r="G48" s="12"/>
      <c r="H48" s="13"/>
    </row>
    <row r="49" spans="1:8" ht="14.25">
      <c r="A49" s="6"/>
      <c r="B49" s="7"/>
      <c r="C49" s="8"/>
      <c r="D49" s="9"/>
      <c r="E49" s="10"/>
      <c r="F49" s="11"/>
      <c r="G49" s="12"/>
      <c r="H49" s="13"/>
    </row>
    <row r="50" spans="1:8" ht="14.25">
      <c r="A50" s="6" t="s">
        <v>91</v>
      </c>
      <c r="B50" s="50"/>
      <c r="C50" s="64"/>
      <c r="D50" s="62"/>
      <c r="E50" s="63"/>
      <c r="F50" s="11"/>
      <c r="G50" s="12"/>
      <c r="H50" s="13"/>
    </row>
    <row r="51" spans="1:8" ht="14.25">
      <c r="A51" s="49" t="s">
        <v>92</v>
      </c>
      <c r="B51" s="50"/>
      <c r="C51" s="64"/>
      <c r="D51" s="62">
        <v>430.2519226</v>
      </c>
      <c r="E51" s="63">
        <v>3.7337124715531932E-2</v>
      </c>
      <c r="F51" s="11"/>
      <c r="G51" s="12"/>
      <c r="H51" s="13"/>
    </row>
    <row r="52" spans="1:8" ht="14.25">
      <c r="A52" s="6" t="s">
        <v>85</v>
      </c>
      <c r="B52" s="7"/>
      <c r="C52" s="8"/>
      <c r="D52" s="9">
        <f>+D51</f>
        <v>430.2519226</v>
      </c>
      <c r="E52" s="68">
        <f>+E51</f>
        <v>3.7337124715531932E-2</v>
      </c>
      <c r="F52" s="11"/>
      <c r="G52" s="12"/>
      <c r="H52" s="13"/>
    </row>
    <row r="53" spans="1:8" ht="14.25">
      <c r="A53" s="6" t="s">
        <v>93</v>
      </c>
      <c r="B53" s="7"/>
      <c r="C53" s="8"/>
      <c r="D53" s="9">
        <v>11523.434808599999</v>
      </c>
      <c r="E53" s="10">
        <v>1</v>
      </c>
      <c r="F53" s="11"/>
      <c r="G53" s="12"/>
      <c r="H53" s="13"/>
    </row>
    <row r="54" spans="1:8" ht="14.25">
      <c r="A54" s="14"/>
      <c r="B54" s="15"/>
      <c r="C54" s="16"/>
      <c r="D54" s="17"/>
      <c r="E54" s="17"/>
      <c r="F54" s="18"/>
      <c r="G54" s="19"/>
      <c r="H54" s="19"/>
    </row>
    <row r="55" spans="1:8" ht="13.5">
      <c r="A55" s="20" t="s">
        <v>9</v>
      </c>
      <c r="B55" s="21"/>
      <c r="C55" s="22"/>
      <c r="D55" s="23"/>
      <c r="E55" s="23"/>
      <c r="F55" s="24"/>
      <c r="G55" s="24"/>
      <c r="H55" s="24"/>
    </row>
    <row r="56" spans="1:8" ht="13.5">
      <c r="A56" s="20"/>
      <c r="B56" s="21"/>
      <c r="C56" s="22"/>
      <c r="D56" s="23"/>
      <c r="E56" s="23"/>
      <c r="F56" s="24"/>
      <c r="G56" s="24"/>
      <c r="H56" s="24"/>
    </row>
    <row r="57" spans="1:8" ht="14.25">
      <c r="A57" s="69" t="s">
        <v>126</v>
      </c>
      <c r="B57" s="21"/>
      <c r="C57" s="22"/>
      <c r="D57" s="23"/>
      <c r="E57" s="23"/>
      <c r="F57" s="24"/>
      <c r="G57" s="24"/>
      <c r="H57" s="24"/>
    </row>
    <row r="58" spans="1:8" ht="13.5">
      <c r="A58" s="20"/>
      <c r="B58" s="21"/>
      <c r="C58" s="22"/>
      <c r="D58" s="23"/>
      <c r="E58" s="23"/>
      <c r="F58" s="24"/>
      <c r="G58" s="24"/>
      <c r="H58" s="24"/>
    </row>
    <row r="59" spans="1:8" ht="12.95" customHeight="1">
      <c r="A59" s="75" t="s">
        <v>10</v>
      </c>
      <c r="B59" s="75"/>
      <c r="C59" s="75"/>
      <c r="D59" s="75"/>
      <c r="E59" s="75"/>
      <c r="F59" s="75"/>
      <c r="G59" s="75"/>
      <c r="H59" s="75"/>
    </row>
    <row r="60" spans="1:8" ht="12.95" customHeight="1">
      <c r="A60" s="75" t="s">
        <v>11</v>
      </c>
      <c r="B60" s="75"/>
      <c r="C60" s="75"/>
      <c r="D60" s="75"/>
      <c r="E60" s="75"/>
      <c r="F60" s="75"/>
      <c r="G60" s="76"/>
      <c r="H60" s="76"/>
    </row>
    <row r="61" spans="1:8" ht="12.95" customHeight="1">
      <c r="A61" s="71" t="s">
        <v>12</v>
      </c>
      <c r="B61" s="71"/>
      <c r="C61" s="71"/>
      <c r="D61" s="71"/>
      <c r="E61" s="71"/>
      <c r="F61" s="71"/>
      <c r="G61" s="71"/>
      <c r="H61" s="71"/>
    </row>
    <row r="62" spans="1:8" ht="54.75" customHeight="1">
      <c r="A62" s="79" t="s">
        <v>13</v>
      </c>
      <c r="B62" s="79"/>
      <c r="C62" s="79"/>
      <c r="D62" s="79"/>
      <c r="E62" s="79"/>
      <c r="F62" s="79"/>
      <c r="G62" s="76"/>
      <c r="H62" s="76"/>
    </row>
    <row r="63" spans="1:8" ht="13.5">
      <c r="A63" s="25"/>
      <c r="B63" s="25"/>
      <c r="C63" s="25"/>
      <c r="D63" s="25"/>
      <c r="E63" s="25"/>
      <c r="F63" s="25"/>
      <c r="G63" s="26"/>
      <c r="H63" s="26"/>
    </row>
    <row r="64" spans="1:8" ht="14.25">
      <c r="A64" s="27" t="s">
        <v>14</v>
      </c>
      <c r="B64" s="28"/>
      <c r="C64" s="29"/>
      <c r="D64" s="19"/>
      <c r="E64" s="19"/>
      <c r="F64" s="19"/>
      <c r="G64" s="19"/>
      <c r="H64" s="19"/>
    </row>
    <row r="65" spans="1:8" ht="14.25">
      <c r="A65" s="30" t="s">
        <v>15</v>
      </c>
      <c r="B65" s="31"/>
      <c r="C65" s="31"/>
      <c r="D65" s="19"/>
      <c r="E65" s="19"/>
      <c r="F65" s="19"/>
      <c r="G65" s="19"/>
      <c r="H65" s="19"/>
    </row>
    <row r="66" spans="1:8" ht="14.25">
      <c r="A66" s="30" t="s">
        <v>16</v>
      </c>
      <c r="B66" s="30"/>
      <c r="C66" s="30"/>
      <c r="D66" s="19"/>
      <c r="E66" s="19"/>
      <c r="F66" s="19"/>
      <c r="G66" s="19"/>
      <c r="H66" s="19"/>
    </row>
    <row r="67" spans="1:8" ht="14.25">
      <c r="A67" s="32" t="s">
        <v>17</v>
      </c>
      <c r="B67" s="31"/>
      <c r="C67" s="31"/>
      <c r="D67" s="19"/>
      <c r="E67" s="19"/>
      <c r="F67" s="19"/>
      <c r="G67" s="19"/>
      <c r="H67" s="19"/>
    </row>
    <row r="68" spans="1:8" ht="14.25">
      <c r="A68" s="33"/>
      <c r="B68" s="33"/>
      <c r="C68" s="33"/>
      <c r="D68" s="33"/>
      <c r="E68" s="19"/>
      <c r="F68" s="19"/>
      <c r="G68" s="19"/>
      <c r="H68" s="19"/>
    </row>
    <row r="69" spans="1:8" ht="12.95" customHeight="1">
      <c r="A69" s="34" t="s">
        <v>18</v>
      </c>
      <c r="B69" s="80" t="s">
        <v>19</v>
      </c>
      <c r="C69" s="81"/>
      <c r="D69" s="81"/>
      <c r="E69" s="35"/>
      <c r="F69" s="19"/>
      <c r="G69" s="19"/>
      <c r="H69" s="19"/>
    </row>
    <row r="70" spans="1:8" ht="14.25">
      <c r="A70" s="36"/>
      <c r="B70" s="28"/>
      <c r="C70" s="35"/>
      <c r="D70" s="19"/>
      <c r="E70" s="19"/>
      <c r="F70" s="19"/>
      <c r="G70" s="19"/>
      <c r="H70" s="19"/>
    </row>
    <row r="71" spans="1:8" ht="14.25">
      <c r="A71" s="36"/>
      <c r="B71" s="28"/>
      <c r="C71" s="35"/>
      <c r="D71" s="19"/>
      <c r="E71" s="19"/>
      <c r="F71" s="19"/>
      <c r="G71" s="19"/>
      <c r="H71" s="19"/>
    </row>
    <row r="72" spans="1:8" ht="14.25">
      <c r="A72" s="36"/>
      <c r="B72" s="28"/>
      <c r="C72" s="35"/>
      <c r="D72" s="19"/>
      <c r="E72" s="19"/>
      <c r="F72" s="19"/>
      <c r="G72" s="19"/>
      <c r="H72" s="19"/>
    </row>
    <row r="73" spans="1:8" ht="14.25">
      <c r="A73" s="36"/>
      <c r="B73" s="28"/>
      <c r="C73" s="35"/>
      <c r="D73" s="19"/>
      <c r="E73" s="19"/>
      <c r="F73" s="19"/>
      <c r="G73" s="19"/>
      <c r="H73" s="19"/>
    </row>
    <row r="74" spans="1:8" ht="14.25">
      <c r="A74" s="36"/>
      <c r="B74" s="28"/>
      <c r="C74" s="35"/>
      <c r="D74" s="19"/>
      <c r="E74" s="19"/>
      <c r="F74" s="19"/>
      <c r="G74" s="19"/>
      <c r="H74" s="19"/>
    </row>
    <row r="75" spans="1:8" ht="14.25">
      <c r="A75" s="36"/>
      <c r="B75" s="28"/>
      <c r="C75" s="35"/>
      <c r="D75" s="19"/>
      <c r="E75" s="19"/>
      <c r="F75" s="19"/>
      <c r="G75" s="19"/>
      <c r="H75" s="19"/>
    </row>
    <row r="76" spans="1:8" ht="14.25">
      <c r="A76" s="36"/>
      <c r="B76" s="28"/>
      <c r="C76" s="35"/>
      <c r="D76" s="19"/>
      <c r="E76" s="19"/>
      <c r="F76" s="19"/>
      <c r="G76" s="19"/>
      <c r="H76" s="19"/>
    </row>
    <row r="77" spans="1:8" ht="14.25">
      <c r="A77" s="32"/>
      <c r="B77" s="28"/>
      <c r="C77" s="35"/>
      <c r="D77" s="19"/>
      <c r="E77" s="19"/>
      <c r="F77" s="19"/>
      <c r="G77" s="19"/>
      <c r="H77" s="19"/>
    </row>
    <row r="78" spans="1:8" ht="14.25">
      <c r="A78" s="32"/>
      <c r="B78" s="28"/>
      <c r="C78" s="35"/>
      <c r="D78" s="19"/>
      <c r="E78" s="19"/>
      <c r="F78" s="19"/>
      <c r="G78" s="19"/>
      <c r="H78" s="19"/>
    </row>
    <row r="79" spans="1:8" ht="14.25">
      <c r="A79" s="32"/>
      <c r="B79" s="28"/>
      <c r="C79" s="35"/>
      <c r="D79" s="19"/>
      <c r="E79" s="19"/>
      <c r="F79" s="19"/>
      <c r="G79" s="19"/>
      <c r="H79" s="19"/>
    </row>
    <row r="80" spans="1:8" ht="12.95" customHeight="1">
      <c r="A80" s="37" t="s">
        <v>20</v>
      </c>
      <c r="B80" s="82" t="s">
        <v>21</v>
      </c>
      <c r="C80" s="82"/>
      <c r="D80" s="82"/>
      <c r="E80" s="82"/>
      <c r="F80" s="19"/>
      <c r="G80" s="19"/>
      <c r="H80" s="19"/>
    </row>
    <row r="81" spans="1:8" ht="14.25">
      <c r="A81" s="37"/>
      <c r="B81" s="37"/>
      <c r="C81" s="37"/>
      <c r="D81" s="37"/>
      <c r="E81" s="37"/>
      <c r="F81" s="19"/>
      <c r="G81" s="19"/>
      <c r="H81" s="19"/>
    </row>
    <row r="82" spans="1:8" ht="13.5" customHeight="1" thickBot="1">
      <c r="A82" s="32"/>
      <c r="B82" s="38"/>
      <c r="C82" s="39"/>
      <c r="D82" s="40"/>
      <c r="E82" s="19"/>
      <c r="F82" s="19"/>
      <c r="G82" s="19"/>
      <c r="H82" s="19"/>
    </row>
    <row r="83" spans="1:8" ht="15" thickBot="1">
      <c r="A83" s="83" t="s">
        <v>22</v>
      </c>
      <c r="B83" s="84"/>
      <c r="C83" s="84"/>
      <c r="D83" s="85"/>
      <c r="E83" s="19"/>
      <c r="F83" s="19"/>
      <c r="G83" s="19"/>
      <c r="H83" s="19"/>
    </row>
    <row r="84" spans="1:8" ht="15" thickBot="1">
      <c r="A84" s="41" t="s">
        <v>23</v>
      </c>
      <c r="B84" s="86" t="s">
        <v>24</v>
      </c>
      <c r="C84" s="88" t="s">
        <v>25</v>
      </c>
      <c r="D84" s="86" t="s">
        <v>26</v>
      </c>
      <c r="E84" s="19"/>
      <c r="F84" s="19"/>
      <c r="G84" s="19"/>
      <c r="H84" s="19"/>
    </row>
    <row r="85" spans="1:8" ht="15" thickBot="1">
      <c r="A85" s="41" t="s">
        <v>27</v>
      </c>
      <c r="B85" s="87"/>
      <c r="C85" s="89"/>
      <c r="D85" s="87"/>
      <c r="E85" s="19"/>
      <c r="F85" s="19"/>
      <c r="G85" s="19"/>
      <c r="H85" s="19"/>
    </row>
    <row r="86" spans="1:8" ht="15" thickBot="1">
      <c r="A86" s="42" t="s">
        <v>28</v>
      </c>
      <c r="B86" s="43"/>
      <c r="C86" s="43"/>
      <c r="D86" s="43"/>
      <c r="E86" s="19"/>
      <c r="F86" s="19"/>
      <c r="G86" s="19"/>
      <c r="H86" s="19"/>
    </row>
    <row r="87" spans="1:8" ht="15" thickBot="1">
      <c r="A87" s="42" t="s">
        <v>29</v>
      </c>
      <c r="B87" s="43"/>
      <c r="C87" s="44" t="s">
        <v>30</v>
      </c>
      <c r="D87" s="43"/>
      <c r="E87" s="19"/>
      <c r="F87" s="19"/>
      <c r="G87" s="19"/>
      <c r="H87" s="19"/>
    </row>
    <row r="88" spans="1:8" ht="15" thickBot="1">
      <c r="A88" s="42" t="s">
        <v>31</v>
      </c>
      <c r="B88" s="43"/>
      <c r="C88" s="44"/>
      <c r="D88" s="43"/>
      <c r="E88" s="19"/>
      <c r="F88" s="19"/>
      <c r="G88" s="19"/>
      <c r="H88" s="19"/>
    </row>
    <row r="89" spans="1:8" ht="14.25">
      <c r="A89" s="32"/>
      <c r="B89" s="45"/>
      <c r="C89" s="46"/>
      <c r="D89" s="45"/>
      <c r="E89" s="19"/>
      <c r="F89" s="19"/>
      <c r="G89" s="19"/>
      <c r="H89" s="19"/>
    </row>
    <row r="90" spans="1:8" ht="14.25">
      <c r="A90" s="77" t="s">
        <v>32</v>
      </c>
      <c r="B90" s="78"/>
      <c r="C90" s="19"/>
      <c r="D90" s="19"/>
      <c r="E90" s="19"/>
      <c r="F90" s="19"/>
      <c r="G90" s="19"/>
      <c r="H90" s="19"/>
    </row>
    <row r="91" spans="1:8" ht="14.25">
      <c r="A91" s="47" t="s">
        <v>33</v>
      </c>
      <c r="B91" s="48" t="s">
        <v>34</v>
      </c>
      <c r="C91" s="19"/>
      <c r="D91" s="19"/>
      <c r="E91" s="19"/>
      <c r="F91" s="19"/>
      <c r="G91" s="19"/>
      <c r="H91" s="19"/>
    </row>
    <row r="92" spans="1:8" ht="14.25">
      <c r="A92" s="49" t="s">
        <v>35</v>
      </c>
      <c r="B92" s="50"/>
      <c r="C92" s="19"/>
      <c r="D92" s="19"/>
      <c r="E92" s="19"/>
      <c r="F92" s="19"/>
      <c r="G92" s="19"/>
      <c r="H92" s="19"/>
    </row>
    <row r="93" spans="1:8" ht="14.25">
      <c r="A93" s="49"/>
      <c r="B93" s="50" t="s">
        <v>36</v>
      </c>
      <c r="C93" s="19"/>
      <c r="D93" s="19"/>
      <c r="E93" s="19"/>
      <c r="F93" s="19"/>
      <c r="G93" s="19"/>
      <c r="H93" s="19"/>
    </row>
    <row r="94" spans="1:8" ht="14.25">
      <c r="A94" s="49" t="s">
        <v>37</v>
      </c>
      <c r="B94" s="51">
        <v>7.1900000000000006E-2</v>
      </c>
      <c r="C94" s="19"/>
      <c r="D94" s="19"/>
      <c r="E94" s="19"/>
      <c r="F94" s="19"/>
      <c r="G94" s="19"/>
      <c r="H94" s="19"/>
    </row>
    <row r="95" spans="1:8" ht="14.25">
      <c r="A95" s="49" t="s">
        <v>36</v>
      </c>
      <c r="B95" s="52"/>
      <c r="C95" s="19"/>
      <c r="D95" s="19"/>
      <c r="E95" s="19"/>
      <c r="F95" s="19"/>
      <c r="G95" s="19"/>
      <c r="H95" s="19"/>
    </row>
    <row r="96" spans="1:8" ht="14.25">
      <c r="A96" s="49" t="s">
        <v>38</v>
      </c>
      <c r="B96" s="53">
        <v>2.6307999999999998</v>
      </c>
      <c r="C96" s="54"/>
      <c r="D96" s="19"/>
      <c r="E96" s="19"/>
      <c r="F96" s="19"/>
      <c r="G96" s="19"/>
      <c r="H96" s="19"/>
    </row>
    <row r="97" spans="1:8" ht="14.25">
      <c r="A97" s="49" t="s">
        <v>39</v>
      </c>
      <c r="B97" s="53">
        <v>3.0417000000000001</v>
      </c>
      <c r="C97" s="54"/>
      <c r="D97" s="19"/>
      <c r="E97" s="19"/>
      <c r="F97" s="19"/>
      <c r="G97" s="19"/>
      <c r="H97" s="19"/>
    </row>
    <row r="98" spans="1:8" ht="14.25">
      <c r="A98" s="49" t="s">
        <v>36</v>
      </c>
      <c r="B98" s="50" t="s">
        <v>36</v>
      </c>
      <c r="C98" s="54"/>
      <c r="D98" s="19"/>
      <c r="E98" s="19"/>
      <c r="F98" s="19"/>
      <c r="G98" s="19"/>
      <c r="H98" s="19"/>
    </row>
    <row r="99" spans="1:8" ht="14.25">
      <c r="A99" s="49" t="s">
        <v>40</v>
      </c>
      <c r="B99" s="55" t="s">
        <v>125</v>
      </c>
      <c r="C99" s="54"/>
      <c r="D99" s="19"/>
      <c r="E99" s="19"/>
      <c r="F99" s="19"/>
      <c r="G99" s="19"/>
      <c r="H99" s="19"/>
    </row>
    <row r="100" spans="1:8" ht="14.25">
      <c r="A100" s="56" t="s">
        <v>41</v>
      </c>
      <c r="B100" s="57"/>
      <c r="C100" s="54"/>
      <c r="D100" s="19"/>
      <c r="E100" s="19"/>
      <c r="F100" s="19"/>
      <c r="G100" s="19"/>
      <c r="H100" s="19"/>
    </row>
  </sheetData>
  <mergeCells count="14">
    <mergeCell ref="A90:B90"/>
    <mergeCell ref="A62:H62"/>
    <mergeCell ref="B69:D69"/>
    <mergeCell ref="B80:E80"/>
    <mergeCell ref="A83:D83"/>
    <mergeCell ref="B84:B85"/>
    <mergeCell ref="C84:C85"/>
    <mergeCell ref="D84:D85"/>
    <mergeCell ref="A61:H61"/>
    <mergeCell ref="A1:H1"/>
    <mergeCell ref="A2:H2"/>
    <mergeCell ref="A3:H3"/>
    <mergeCell ref="A59:H59"/>
    <mergeCell ref="A60:H60"/>
  </mergeCells>
  <pageMargins left="0.75" right="0.25" top="1" bottom="1" header="0.5" footer="0.5"/>
  <pageSetup paperSize="9" scale="22" orientation="portrait" r:id="rId1"/>
  <headerFooter alignWithMargins="0">
    <oddHeader>&amp;C&amp;"Calibri"&amp;11&amp;K0000FF Classification - Internal&amp;1#_x000D_</oddHeader>
    <oddFooter>&amp;C_x000D_&amp;1#&amp;"Calibri"&amp;11&amp;K0000FF Classification - Internal</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Short Duration Fund</vt:lpstr>
      <vt:lpstr>'JM Short Duration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SUJOY SAHA</dc:creator>
  <cp:lastModifiedBy>Shashidhar Maindan</cp:lastModifiedBy>
  <dcterms:created xsi:type="dcterms:W3CDTF">2025-02-17T08:54:40Z</dcterms:created>
  <dcterms:modified xsi:type="dcterms:W3CDTF">2025-04-04T13:59:59Z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2025-02-17T08:55:14Z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f293d07f-0a53-47cd-8676-acaa3e41bc31</vt:lpwstr>
  </property>
  <property fmtid="{D5CDD505-2E9C-101B-9397-08002B2CF9AE}" pid="8" name="MSIP_Label_e3ba8fb0-bbb8-454c-aa98-661329b3f27f_ContentBits">
    <vt:lpwstr>3</vt:lpwstr>
  </property>
</Properties>
</file>