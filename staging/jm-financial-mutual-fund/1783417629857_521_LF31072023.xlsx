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I:\TandC\REPORTS\MONTHLY\Monthly portfolio\July 2023\Monthly\"/>
    </mc:Choice>
  </mc:AlternateContent>
  <bookViews>
    <workbookView xWindow="0" yWindow="0" windowWidth="20490" windowHeight="7770"/>
  </bookViews>
  <sheets>
    <sheet name="JM Liquid Fund" sheetId="1" r:id="rId1"/>
  </sheets>
  <definedNames>
    <definedName name="_xlnm._FilterDatabase" localSheetId="0" hidden="1">'JM Liquid Fund'!$A$1:$H$155</definedName>
    <definedName name="AAAAA">#REF!</definedName>
    <definedName name="Afs">#REF!</definedName>
    <definedName name="_xlnm.Database">#REF!</definedName>
    <definedName name="EBLDB">#REF!</definedName>
    <definedName name="fl">#REF!</definedName>
    <definedName name="_xlnm.Print_Area" localSheetId="0">'JM Liquid Fund'!$A$1:$E$47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60" i="1" l="1"/>
  <c r="F60" i="1"/>
  <c r="D58" i="1"/>
  <c r="E57" i="1"/>
  <c r="E58" i="1" s="1"/>
  <c r="D56" i="1"/>
  <c r="E55" i="1"/>
  <c r="E54" i="1"/>
  <c r="E53" i="1"/>
  <c r="E52" i="1"/>
  <c r="E51" i="1"/>
  <c r="E56" i="1" s="1"/>
  <c r="E50" i="1"/>
  <c r="D48" i="1"/>
  <c r="E47" i="1"/>
  <c r="E46" i="1"/>
  <c r="E45" i="1"/>
  <c r="E44" i="1"/>
  <c r="E43" i="1"/>
  <c r="E42" i="1"/>
  <c r="E41" i="1"/>
  <c r="E40" i="1"/>
  <c r="E39" i="1"/>
  <c r="E38" i="1"/>
  <c r="E37" i="1"/>
  <c r="E36" i="1"/>
  <c r="E35" i="1"/>
  <c r="E34" i="1"/>
  <c r="E33" i="1"/>
  <c r="E32" i="1"/>
  <c r="E31" i="1"/>
  <c r="E30" i="1"/>
  <c r="E29" i="1"/>
  <c r="E28" i="1"/>
  <c r="E27" i="1"/>
  <c r="E48" i="1" s="1"/>
  <c r="D13" i="1"/>
  <c r="E12" i="1"/>
  <c r="E11" i="1"/>
  <c r="E13" i="1" s="1"/>
  <c r="D8" i="1"/>
  <c r="D17" i="1" s="1"/>
  <c r="D60" i="1" s="1"/>
  <c r="D62" i="1" s="1"/>
  <c r="E62" i="1" s="1"/>
  <c r="E7" i="1"/>
  <c r="E6" i="1"/>
  <c r="E8" i="1" s="1"/>
  <c r="E17" i="1" l="1"/>
  <c r="E64" i="1" s="1"/>
</calcChain>
</file>

<file path=xl/sharedStrings.xml><?xml version="1.0" encoding="utf-8"?>
<sst xmlns="http://schemas.openxmlformats.org/spreadsheetml/2006/main" count="165" uniqueCount="125">
  <si>
    <t>JM Liquid Fund (An Open-Ended Liquid Scheme) A relatively low interest rate risk and moderate credit risk.</t>
  </si>
  <si>
    <t>Portfolio as on 31.07.2023</t>
  </si>
  <si>
    <t>Name of the Instruments</t>
  </si>
  <si>
    <t>Industry/Rating</t>
  </si>
  <si>
    <t>Quantity</t>
  </si>
  <si>
    <t>Market Value (Rs. In Lakhs)</t>
  </si>
  <si>
    <t>% age to NAV</t>
  </si>
  <si>
    <t>ISIN</t>
  </si>
  <si>
    <t>Yield %</t>
  </si>
  <si>
    <t>^YTC (AT1/Tier 2 bonds)</t>
  </si>
  <si>
    <t>DEBT INSTRUMENTS</t>
  </si>
  <si>
    <t>a. (i)Listed/Awaiting Listing On  Stock Exchange</t>
  </si>
  <si>
    <t>HDB Financial Services Ltd.**</t>
  </si>
  <si>
    <t>CARE AAA</t>
  </si>
  <si>
    <t>INE756I07DD7</t>
  </si>
  <si>
    <t>National Housing Bank Ltd.</t>
  </si>
  <si>
    <t>CRISIL AAA</t>
  </si>
  <si>
    <t>INE557F08FK3</t>
  </si>
  <si>
    <t>Sub Total:</t>
  </si>
  <si>
    <t xml:space="preserve">a. (ii)Zero Coupon Bond </t>
  </si>
  <si>
    <t>Tata Capital Financial Services Ltd.**</t>
  </si>
  <si>
    <t>INE306N07MU6</t>
  </si>
  <si>
    <t>Kotak Mahindra Investments Ltd.**</t>
  </si>
  <si>
    <t>INE975F07HI9</t>
  </si>
  <si>
    <t>b) Privately Placed / Unlisted</t>
  </si>
  <si>
    <t>NIL</t>
  </si>
  <si>
    <t>Total:</t>
  </si>
  <si>
    <t>TERM DEPOSITS</t>
  </si>
  <si>
    <t>Deposits (Maturity not exceeding 91 days)</t>
  </si>
  <si>
    <t>Deposits (Placed as F &amp; O margin)</t>
  </si>
  <si>
    <t>MONEY MARKET INSTRUMENTS</t>
  </si>
  <si>
    <t>Certificate of Deposit (CD) / Commercial Paper (CP)</t>
  </si>
  <si>
    <t>State Bank of India.CD</t>
  </si>
  <si>
    <t>CARE A1+</t>
  </si>
  <si>
    <t>INE062A16465</t>
  </si>
  <si>
    <t>Reliance Retail Ventures Ltd.CP**</t>
  </si>
  <si>
    <t>INE929O14AP4</t>
  </si>
  <si>
    <t>HDFC Bank Ltd.CD</t>
  </si>
  <si>
    <t>INE040A16DK9</t>
  </si>
  <si>
    <t>Godrej Industries Ltd.CP</t>
  </si>
  <si>
    <t>CRISIL A1+</t>
  </si>
  <si>
    <t>INE233A14YU0</t>
  </si>
  <si>
    <t>Punjab National Bank CD</t>
  </si>
  <si>
    <t>INE160A16NF4</t>
  </si>
  <si>
    <t>SIDBI Ltd.CP**</t>
  </si>
  <si>
    <t>INE556F14JD0</t>
  </si>
  <si>
    <t>Sikka Ports &amp; Terminals Ltd.CP</t>
  </si>
  <si>
    <t>INE941D14402</t>
  </si>
  <si>
    <t>Godrej Properties Ltd.CP**</t>
  </si>
  <si>
    <t>INE484J14RA6</t>
  </si>
  <si>
    <t>ICICI Bank Ltd.CD**</t>
  </si>
  <si>
    <t>INE090A161Y3</t>
  </si>
  <si>
    <t>NABARD CP**</t>
  </si>
  <si>
    <t>INE261F14KB9</t>
  </si>
  <si>
    <t>Canara Bank.CD</t>
  </si>
  <si>
    <t>INE476A16VT8</t>
  </si>
  <si>
    <t>360 ONE Prime Ltd.CP**</t>
  </si>
  <si>
    <t>INE248U14NM6</t>
  </si>
  <si>
    <t>INE556F14JK5</t>
  </si>
  <si>
    <t>IDFC First Bank Ltd.CD</t>
  </si>
  <si>
    <t>INE092T16UY5</t>
  </si>
  <si>
    <t>Birla Group Holdings Pvt. Ltd.CP**</t>
  </si>
  <si>
    <t>INE09OL14DQ1</t>
  </si>
  <si>
    <t>Piramal Capital &amp; Housing Finance Ltd.CP**</t>
  </si>
  <si>
    <t>INE516Y14CS8</t>
  </si>
  <si>
    <t>INE090A169X8</t>
  </si>
  <si>
    <t>Kotak Mahindra Bank Ltd.CD**</t>
  </si>
  <si>
    <t>INE237A168P0</t>
  </si>
  <si>
    <t>INE09OL14DG2</t>
  </si>
  <si>
    <t>Bank of Baroda CD**</t>
  </si>
  <si>
    <t>IND A1+</t>
  </si>
  <si>
    <t>INE028A16CT7</t>
  </si>
  <si>
    <t>Punjab National Bank CD**</t>
  </si>
  <si>
    <t>INE160A16NJ6</t>
  </si>
  <si>
    <t>Treasury Bills</t>
  </si>
  <si>
    <t>91 Days Treasury-Bill 03/08/2023</t>
  </si>
  <si>
    <t>Sovereign</t>
  </si>
  <si>
    <t>IN002023X054</t>
  </si>
  <si>
    <t>182 Days Treasury-Bill 07/09/2023</t>
  </si>
  <si>
    <t>IN002022Y500</t>
  </si>
  <si>
    <t>91 Days Treasury-Bill 31/08/2023</t>
  </si>
  <si>
    <t>IN002023X096</t>
  </si>
  <si>
    <t>91 Days Treasury-Bill 21/09/2023</t>
  </si>
  <si>
    <t>IN002023X120</t>
  </si>
  <si>
    <t>182 Days Treasury-Bill 31/08/2023</t>
  </si>
  <si>
    <t>IN002022Y492</t>
  </si>
  <si>
    <t>182 Days Treasury-Bill 14/09/2023</t>
  </si>
  <si>
    <t>IN002022Y518</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</si>
  <si>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</si>
  <si>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</si>
  <si>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</si>
  <si>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</si>
  <si>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</si>
  <si>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</si>
  <si>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</si>
  <si>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</si>
  <si>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</si>
  <si>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</si>
  <si>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</si>
  <si>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</si>
  <si>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with maturity of upto 91 days only.</t>
  </si>
  <si>
    <t>*Investors should consult their financial advisers if in doubt about whether the product is suitable for them.</t>
  </si>
  <si>
    <t xml:space="preserve">         Riskometer of the scheme </t>
  </si>
  <si>
    <t>CRISIL Liquid Debt B-I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</si>
  <si>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</si>
  <si>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</si>
  <si>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</si>
  <si>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</si>
  <si>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</si>
  <si>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</si>
  <si>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</si>
  <si>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</si>
  <si>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</si>
  <si>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</si>
  <si>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</si>
  <si>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</si>
  <si>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Liquid Fund</t>
  </si>
  <si>
    <t>Description (if any)</t>
  </si>
  <si>
    <t>Annualised Portfolio YTM* :</t>
  </si>
  <si>
    <t>Macaulay Duration</t>
  </si>
  <si>
    <t>Residual Maturity</t>
  </si>
  <si>
    <t xml:space="preserve">As on (Date) </t>
  </si>
  <si>
    <t>31.07.2023</t>
  </si>
  <si>
    <t xml:space="preserve">* in case of semi annual YTM,  it will be annualised </t>
  </si>
  <si>
    <t>Note - Aggregate investments by other scheme (s) of JM Financial Mutual Fund at the end of the period is Rs.1,345.03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</si>
</sst>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amily val="2"/>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6" fillId="0" borderId="0"/>
    <xf numFmtId="0" fontId="1" fillId="0" borderId="0"/>
    <xf numFmtId="0" fontId="6" fillId="0" borderId="0"/>
    <xf numFmtId="0" fontId="6" fillId="0" borderId="0"/>
    <xf numFmtId="0" fontId="6" fillId="0" borderId="0"/>
  </cellStyleXfs>
  <cellXfs count="90">
    <xf numFmtId="0" fontId="0" fillId="0" borderId="0" xfId="0"/>
    <xf numFmtId="0" fontId="3" fillId="0" borderId="0" xfId="0" applyFont="1"/>
    <xf numFmtId="0" fontId="3" fillId="0" borderId="0" xfId="0" applyFont="1" applyAlignment="1">
      <alignment horizontal="center"/>
    </xf>
    <xf numFmtId="0" fontId="4" fillId="0" borderId="3" xfId="0" applyFont="1" applyFill="1" applyBorder="1" applyAlignment="1">
      <alignment wrapText="1"/>
    </xf>
    <xf numFmtId="0" fontId="4" fillId="0" borderId="3" xfId="0"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0" applyFont="1" applyFill="1" applyBorder="1" applyAlignment="1">
      <alignment horizontal="right"/>
    </xf>
    <xf numFmtId="166" fontId="5" fillId="0" borderId="3" xfId="0" applyNumberFormat="1" applyFont="1" applyFill="1" applyBorder="1"/>
    <xf numFmtId="0" fontId="5" fillId="0" borderId="3" xfId="0" applyFont="1" applyBorder="1"/>
    <xf numFmtId="0" fontId="3" fillId="0" borderId="0" xfId="0" applyFont="1" applyFill="1"/>
    <xf numFmtId="164" fontId="5" fillId="0" borderId="3" xfId="1" applyFont="1" applyFill="1" applyBorder="1" applyAlignment="1">
      <alignment horizontal="right"/>
    </xf>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164" fontId="5" fillId="0" borderId="3" xfId="1" applyFont="1" applyFill="1" applyBorder="1"/>
    <xf numFmtId="165" fontId="4" fillId="0" borderId="3" xfId="1" applyNumberFormat="1" applyFont="1" applyFill="1" applyBorder="1" applyAlignment="1">
      <alignment horizontal="right"/>
    </xf>
    <xf numFmtId="4" fontId="4" fillId="0" borderId="3" xfId="1" applyNumberFormat="1" applyFont="1" applyFill="1" applyBorder="1" applyAlignment="1">
      <alignment horizontal="right"/>
    </xf>
    <xf numFmtId="164" fontId="5" fillId="0" borderId="4" xfId="1" applyFont="1" applyFill="1" applyBorder="1"/>
    <xf numFmtId="0" fontId="5" fillId="0" borderId="3" xfId="0" applyFont="1" applyFill="1" applyBorder="1" applyAlignment="1">
      <alignment horizontal="left" wrapText="1"/>
    </xf>
    <xf numFmtId="165" fontId="5" fillId="0" borderId="3" xfId="1" applyNumberFormat="1" applyFont="1" applyFill="1" applyBorder="1" applyAlignment="1">
      <alignment horizontal="right"/>
    </xf>
    <xf numFmtId="4" fontId="4" fillId="0" borderId="3" xfId="0" applyNumberFormat="1" applyFont="1" applyFill="1" applyBorder="1" applyAlignment="1">
      <alignment horizontal="right"/>
    </xf>
    <xf numFmtId="2" fontId="5" fillId="0" borderId="3" xfId="0" applyNumberFormat="1" applyFont="1" applyFill="1" applyBorder="1" applyAlignment="1">
      <alignment horizontal="right"/>
    </xf>
    <xf numFmtId="0" fontId="5" fillId="0" borderId="0" xfId="0" applyFont="1" applyFill="1" applyBorder="1" applyAlignment="1">
      <alignment horizontal="right"/>
    </xf>
    <xf numFmtId="0" fontId="5" fillId="0" borderId="0" xfId="0" applyFont="1" applyFill="1"/>
    <xf numFmtId="0" fontId="5" fillId="0" borderId="0" xfId="0" applyFont="1"/>
    <xf numFmtId="4" fontId="5" fillId="0" borderId="0" xfId="0" applyNumberFormat="1"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0" applyFont="1" applyFill="1" applyBorder="1" applyAlignment="1">
      <alignment wrapText="1"/>
    </xf>
    <xf numFmtId="0" fontId="5" fillId="0" borderId="0" xfId="0" applyFont="1" applyFill="1" applyAlignment="1">
      <alignment horizontal="right"/>
    </xf>
    <xf numFmtId="0" fontId="5" fillId="0" borderId="0" xfId="3" applyFont="1" applyAlignment="1">
      <alignment horizontal="left" vertical="top" wrapText="1"/>
    </xf>
    <xf numFmtId="0" fontId="7" fillId="0" borderId="0" xfId="4" applyFont="1" applyBorder="1" applyAlignment="1">
      <alignment horizontal="left" vertical="center" wrapText="1"/>
    </xf>
    <xf numFmtId="164" fontId="5" fillId="0" borderId="0" xfId="1" applyFont="1" applyFill="1" applyAlignment="1">
      <alignment horizontal="right"/>
    </xf>
    <xf numFmtId="0" fontId="9" fillId="0" borderId="0" xfId="6" applyFont="1" applyBorder="1"/>
    <xf numFmtId="0" fontId="10" fillId="0" borderId="0" xfId="5" applyFont="1" applyFill="1" applyBorder="1" applyAlignment="1">
      <alignment horizontal="left" wrapText="1"/>
    </xf>
    <xf numFmtId="0" fontId="5" fillId="0" borderId="0" xfId="5" applyFont="1"/>
    <xf numFmtId="164" fontId="5" fillId="0" borderId="0" xfId="1" applyFont="1" applyFill="1" applyBorder="1" applyAlignment="1">
      <alignment horizontal="right"/>
    </xf>
    <xf numFmtId="0" fontId="7" fillId="0" borderId="0" xfId="6" applyFont="1" applyBorder="1"/>
    <xf numFmtId="4" fontId="5" fillId="0" borderId="0" xfId="5" applyNumberFormat="1" applyFont="1"/>
    <xf numFmtId="0" fontId="7" fillId="0" borderId="0" xfId="7" applyFont="1" applyBorder="1"/>
    <xf numFmtId="0" fontId="9" fillId="0" borderId="0" xfId="8" applyFont="1" applyAlignment="1">
      <alignment horizontal="center"/>
    </xf>
    <xf numFmtId="0" fontId="4" fillId="0" borderId="0" xfId="5" applyFont="1" applyFill="1" applyBorder="1" applyAlignment="1">
      <alignment horizontal="left"/>
    </xf>
    <xf numFmtId="0" fontId="4" fillId="0" borderId="0" xfId="5" applyFont="1" applyFill="1" applyBorder="1" applyAlignment="1">
      <alignment horizontal="center"/>
    </xf>
    <xf numFmtId="0" fontId="7" fillId="0" borderId="0" xfId="5" applyNumberFormat="1" applyFont="1" applyFill="1" applyBorder="1"/>
    <xf numFmtId="0" fontId="5" fillId="0" borderId="0" xfId="5" applyFont="1" applyAlignment="1">
      <alignment wrapText="1"/>
    </xf>
    <xf numFmtId="0" fontId="5" fillId="0" borderId="0" xfId="5" applyFont="1" applyAlignment="1">
      <alignment horizontal="left" wrapText="1"/>
    </xf>
    <xf numFmtId="165" fontId="5" fillId="0" borderId="0" xfId="1" applyNumberFormat="1" applyFont="1"/>
    <xf numFmtId="0" fontId="9" fillId="0" borderId="8" xfId="5" applyFont="1" applyBorder="1" applyAlignment="1">
      <alignment vertical="center" wrapText="1"/>
    </xf>
    <xf numFmtId="0" fontId="5" fillId="0" borderId="8" xfId="5" applyFont="1" applyBorder="1" applyAlignment="1">
      <alignment vertical="center" wrapText="1"/>
    </xf>
    <xf numFmtId="0" fontId="7" fillId="0" borderId="10" xfId="5" applyFont="1" applyBorder="1" applyAlignment="1">
      <alignment vertical="center" wrapText="1"/>
    </xf>
    <xf numFmtId="0" fontId="7" fillId="3" borderId="10" xfId="5" applyFont="1" applyFill="1" applyBorder="1" applyAlignment="1">
      <alignment horizontal="center" vertical="center" wrapText="1"/>
    </xf>
    <xf numFmtId="0" fontId="7" fillId="0" borderId="8" xfId="5" applyFont="1" applyBorder="1" applyAlignment="1">
      <alignment vertical="center" wrapText="1"/>
    </xf>
    <xf numFmtId="0" fontId="5" fillId="0" borderId="3" xfId="5" applyFont="1" applyBorder="1" applyAlignment="1">
      <alignment wrapText="1"/>
    </xf>
    <xf numFmtId="0" fontId="5" fillId="0" borderId="3" xfId="5" applyFont="1" applyBorder="1" applyAlignment="1">
      <alignment horizontal="center" wrapText="1"/>
    </xf>
    <xf numFmtId="0" fontId="5" fillId="0" borderId="3" xfId="5"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5" applyNumberFormat="1" applyFont="1" applyFill="1" applyBorder="1" applyAlignment="1">
      <alignment horizontal="center" wrapText="1"/>
    </xf>
    <xf numFmtId="166" fontId="5" fillId="0" borderId="3" xfId="5" applyNumberFormat="1" applyFont="1" applyBorder="1" applyAlignment="1">
      <alignment horizontal="center"/>
    </xf>
    <xf numFmtId="0" fontId="5" fillId="0" borderId="3" xfId="5" applyNumberFormat="1" applyFont="1" applyBorder="1" applyAlignment="1">
      <alignment horizontal="center"/>
    </xf>
    <xf numFmtId="0" fontId="5" fillId="0" borderId="3" xfId="5" applyFont="1" applyFill="1" applyBorder="1" applyAlignment="1">
      <alignment horizontal="left" wrapText="1"/>
    </xf>
    <xf numFmtId="0" fontId="5" fillId="0" borderId="3" xfId="5" applyFont="1" applyFill="1" applyBorder="1" applyAlignment="1">
      <alignment horizontal="center" wrapText="1"/>
    </xf>
    <xf numFmtId="0" fontId="5" fillId="0" borderId="4" xfId="5" applyFont="1" applyBorder="1" applyAlignment="1">
      <alignment horizontal="left" wrapText="1"/>
    </xf>
    <xf numFmtId="0" fontId="5" fillId="0" borderId="11" xfId="5" applyFont="1" applyBorder="1" applyAlignment="1">
      <alignment horizontal="left" wrapText="1"/>
    </xf>
    <xf numFmtId="0" fontId="5" fillId="0" borderId="0" xfId="0" applyFont="1" applyAlignment="1">
      <alignment wrapText="1"/>
    </xf>
    <xf numFmtId="0" fontId="5" fillId="0" borderId="0" xfId="0" applyFont="1" applyAlignment="1">
      <alignment horizontal="left" wrapText="1"/>
    </xf>
    <xf numFmtId="164" fontId="5" fillId="0" borderId="0" xfId="1" applyFont="1" applyFill="1" applyBorder="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4" fillId="0" borderId="3" xfId="0"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4" fillId="0" borderId="3" xfId="0" applyFont="1" applyBorder="1" applyAlignment="1">
      <alignment horizontal="center" vertical="top"/>
    </xf>
    <xf numFmtId="0" fontId="4" fillId="0" borderId="3" xfId="0" applyFont="1" applyBorder="1" applyAlignment="1">
      <alignment horizontal="center" vertical="top" wrapText="1"/>
    </xf>
    <xf numFmtId="0" fontId="5" fillId="0" borderId="2" xfId="5" applyFont="1" applyBorder="1" applyAlignment="1">
      <alignment horizontal="center" wrapText="1"/>
    </xf>
    <xf numFmtId="0" fontId="5" fillId="0" borderId="11" xfId="5" applyFont="1" applyBorder="1" applyAlignment="1">
      <alignment horizontal="center" wrapText="1"/>
    </xf>
    <xf numFmtId="0" fontId="8" fillId="0" borderId="0" xfId="4" applyFont="1" applyBorder="1" applyAlignment="1">
      <alignment horizontal="left" vertical="top" wrapText="1"/>
    </xf>
    <xf numFmtId="0" fontId="5" fillId="0" borderId="0" xfId="5" applyFont="1" applyAlignment="1">
      <alignment horizontal="left" vertical="top" wrapText="1"/>
    </xf>
    <xf numFmtId="0" fontId="4" fillId="0" borderId="0" xfId="5" applyFont="1" applyFill="1" applyBorder="1" applyAlignment="1">
      <alignment horizontal="center"/>
    </xf>
    <xf numFmtId="0" fontId="9" fillId="0" borderId="5" xfId="5" applyFont="1" applyBorder="1" applyAlignment="1">
      <alignment horizontal="center" vertical="center" wrapText="1"/>
    </xf>
    <xf numFmtId="0" fontId="9" fillId="0" borderId="6" xfId="5" applyFont="1" applyBorder="1" applyAlignment="1">
      <alignment horizontal="center" vertical="center" wrapText="1"/>
    </xf>
    <xf numFmtId="0" fontId="9" fillId="0" borderId="7" xfId="5" applyFont="1" applyBorder="1" applyAlignment="1">
      <alignment horizontal="center" vertical="center" wrapText="1"/>
    </xf>
    <xf numFmtId="0" fontId="9" fillId="0" borderId="9" xfId="5" applyFont="1" applyBorder="1" applyAlignment="1">
      <alignment horizontal="left" vertical="top" wrapText="1"/>
    </xf>
    <xf numFmtId="0" fontId="9" fillId="0" borderId="8" xfId="5" applyFont="1" applyBorder="1" applyAlignment="1">
      <alignment horizontal="left" vertical="top" wrapText="1"/>
    </xf>
    <xf numFmtId="0" fontId="7" fillId="0" borderId="0" xfId="4" applyFont="1" applyBorder="1" applyAlignment="1">
      <alignment horizontal="left" vertical="top" wrapText="1"/>
    </xf>
    <xf numFmtId="0" fontId="2" fillId="2" borderId="1" xfId="0" applyFont="1" applyFill="1" applyBorder="1" applyAlignment="1">
      <alignment horizontal="center" vertical="top" wrapText="1"/>
    </xf>
    <xf numFmtId="0" fontId="2" fillId="2" borderId="2" xfId="0" applyFont="1" applyFill="1" applyBorder="1" applyAlignment="1">
      <alignment horizontal="center" vertical="top" wrapText="1"/>
    </xf>
    <xf numFmtId="0" fontId="5" fillId="0" borderId="0" xfId="3" applyFont="1" applyAlignment="1">
      <alignment horizontal="left" vertical="top" wrapText="1"/>
    </xf>
  </cellXfs>
  <cellStyles count="9">
    <cellStyle name="Comma" xfId="1" builtinId="3"/>
    <cellStyle name="Normal" xfId="0" builtinId="0"/>
    <cellStyle name="Normal 2 2" xfId="5"/>
    <cellStyle name="Normal 2 3 2" xfId="3"/>
    <cellStyle name="Normal 4_IF" xfId="8"/>
    <cellStyle name="Normal 4_LD" xfId="4"/>
    <cellStyle name="Normal 4_LF" xfId="6"/>
    <cellStyle name="Normal 4_ON" xfId="7"/>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885825</xdr:colOff>
      <xdr:row>80</xdr:row>
      <xdr:rowOff>95250</xdr:rowOff>
    </xdr:from>
    <xdr:to>
      <xdr:col>0</xdr:col>
      <xdr:colOff>2724150</xdr:colOff>
      <xdr:row>86</xdr:row>
      <xdr:rowOff>171450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5825" y="15430500"/>
          <a:ext cx="1838325" cy="1162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247650</xdr:colOff>
      <xdr:row>80</xdr:row>
      <xdr:rowOff>85725</xdr:rowOff>
    </xdr:from>
    <xdr:to>
      <xdr:col>3</xdr:col>
      <xdr:colOff>666750</xdr:colOff>
      <xdr:row>86</xdr:row>
      <xdr:rowOff>114300</xdr:rowOff>
    </xdr:to>
    <xdr:pic>
      <xdr:nvPicPr>
        <xdr:cNvPr id="3"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533775" y="15420975"/>
          <a:ext cx="1952625"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55"/>
  <sheetViews>
    <sheetView tabSelected="1" topLeftCell="A85" zoomScaleNormal="100" workbookViewId="0">
      <selection activeCell="A73" sqref="A73:H73"/>
    </sheetView>
  </sheetViews>
  <sheetFormatPr defaultRowHeight="12.75" x14ac:dyDescent="0.2"/>
  <cols>
    <col min="1" max="1" width="49.28515625" style="69" customWidth="1"/>
    <col min="2" max="2" width="13.140625" style="70" customWidth="1"/>
    <col min="3" max="3" width="9.85546875" style="71" customWidth="1"/>
    <col min="4" max="4" width="13.5703125" style="1" customWidth="1"/>
    <col min="5" max="5" width="11.140625" style="1" customWidth="1"/>
    <col min="6" max="6" width="13.140625" style="1" customWidth="1"/>
    <col min="7" max="7" width="9.28515625" style="1" customWidth="1"/>
    <col min="8" max="8" width="12.28515625" style="1" customWidth="1"/>
    <col min="9" max="16384" width="9.140625" style="1"/>
  </cols>
  <sheetData>
    <row r="1" spans="1:8" x14ac:dyDescent="0.2">
      <c r="A1" s="87" t="s">
        <v>0</v>
      </c>
      <c r="B1" s="87"/>
      <c r="C1" s="87"/>
      <c r="D1" s="87"/>
      <c r="E1" s="87"/>
      <c r="F1" s="87"/>
      <c r="G1" s="87"/>
      <c r="H1" s="87"/>
    </row>
    <row r="2" spans="1:8" x14ac:dyDescent="0.2">
      <c r="A2" s="88" t="s">
        <v>1</v>
      </c>
      <c r="B2" s="88"/>
      <c r="C2" s="88"/>
      <c r="D2" s="88"/>
      <c r="E2" s="88"/>
      <c r="F2" s="88"/>
      <c r="G2" s="88"/>
      <c r="H2" s="88"/>
    </row>
    <row r="3" spans="1:8" s="2" customFormat="1" ht="25.5" x14ac:dyDescent="0.2">
      <c r="A3" s="72" t="s">
        <v>2</v>
      </c>
      <c r="B3" s="72" t="s">
        <v>3</v>
      </c>
      <c r="C3" s="73" t="s">
        <v>4</v>
      </c>
      <c r="D3" s="72" t="s">
        <v>5</v>
      </c>
      <c r="E3" s="72" t="s">
        <v>6</v>
      </c>
      <c r="F3" s="72" t="s">
        <v>7</v>
      </c>
      <c r="G3" s="74" t="s">
        <v>8</v>
      </c>
      <c r="H3" s="75" t="s">
        <v>9</v>
      </c>
    </row>
    <row r="4" spans="1:8" s="10" customFormat="1" ht="14.25" x14ac:dyDescent="0.3">
      <c r="A4" s="3" t="s">
        <v>10</v>
      </c>
      <c r="B4" s="4"/>
      <c r="C4" s="5"/>
      <c r="D4" s="6"/>
      <c r="E4" s="6"/>
      <c r="F4" s="7"/>
      <c r="G4" s="8"/>
      <c r="H4" s="9"/>
    </row>
    <row r="5" spans="1:8" s="10" customFormat="1" ht="14.25" x14ac:dyDescent="0.3">
      <c r="A5" s="3" t="s">
        <v>11</v>
      </c>
      <c r="B5" s="4"/>
      <c r="C5" s="5"/>
      <c r="D5" s="11"/>
      <c r="E5" s="11"/>
      <c r="F5" s="11"/>
      <c r="G5" s="8"/>
      <c r="H5" s="9"/>
    </row>
    <row r="6" spans="1:8" s="10" customFormat="1" ht="14.25" x14ac:dyDescent="0.3">
      <c r="A6" s="12" t="s">
        <v>12</v>
      </c>
      <c r="B6" s="13" t="s">
        <v>13</v>
      </c>
      <c r="C6" s="14">
        <v>150</v>
      </c>
      <c r="D6" s="15">
        <v>1499.5440000000001</v>
      </c>
      <c r="E6" s="15">
        <f>(+D6/$D$64*100)</f>
        <v>0.95514368705497021</v>
      </c>
      <c r="F6" s="15" t="s">
        <v>14</v>
      </c>
      <c r="G6" s="8">
        <v>7.2725</v>
      </c>
      <c r="H6" s="9"/>
    </row>
    <row r="7" spans="1:8" s="10" customFormat="1" ht="14.25" x14ac:dyDescent="0.3">
      <c r="A7" s="12" t="s">
        <v>15</v>
      </c>
      <c r="B7" s="13" t="s">
        <v>16</v>
      </c>
      <c r="C7" s="14">
        <v>50</v>
      </c>
      <c r="D7" s="15">
        <v>499.303</v>
      </c>
      <c r="E7" s="15">
        <f>(+D7/$D$64*100)</f>
        <v>0.31803408794780791</v>
      </c>
      <c r="F7" s="15" t="s">
        <v>17</v>
      </c>
      <c r="G7" s="8">
        <v>6.9095000000000004</v>
      </c>
      <c r="H7" s="9"/>
    </row>
    <row r="8" spans="1:8" s="10" customFormat="1" ht="14.25" x14ac:dyDescent="0.3">
      <c r="A8" s="3" t="s">
        <v>18</v>
      </c>
      <c r="B8" s="4"/>
      <c r="C8" s="16"/>
      <c r="D8" s="6">
        <f>IF(ISERROR(SUM(D6:D7)),0,SUM(D6:D7))</f>
        <v>1998.8470000000002</v>
      </c>
      <c r="E8" s="6">
        <f>IF(ISERROR(SUM(E6:E7)),0,SUM(E6:E7))</f>
        <v>1.2731777750027782</v>
      </c>
      <c r="F8" s="6"/>
      <c r="G8" s="8"/>
      <c r="H8" s="9"/>
    </row>
    <row r="9" spans="1:8" s="10" customFormat="1" ht="14.25" x14ac:dyDescent="0.3">
      <c r="A9" s="3"/>
      <c r="B9" s="4"/>
      <c r="C9" s="16"/>
      <c r="D9" s="11"/>
      <c r="E9" s="11"/>
      <c r="F9" s="11"/>
      <c r="G9" s="8"/>
      <c r="H9" s="9"/>
    </row>
    <row r="10" spans="1:8" s="10" customFormat="1" ht="14.25" x14ac:dyDescent="0.3">
      <c r="A10" s="3" t="s">
        <v>19</v>
      </c>
      <c r="B10" s="4"/>
      <c r="C10" s="16"/>
      <c r="D10" s="11"/>
      <c r="E10" s="11"/>
      <c r="F10" s="11"/>
      <c r="G10" s="8"/>
      <c r="H10" s="9"/>
    </row>
    <row r="11" spans="1:8" s="10" customFormat="1" ht="14.25" x14ac:dyDescent="0.3">
      <c r="A11" s="12" t="s">
        <v>20</v>
      </c>
      <c r="B11" s="13" t="s">
        <v>13</v>
      </c>
      <c r="C11" s="14">
        <v>515</v>
      </c>
      <c r="D11" s="15">
        <v>5090.7956000000004</v>
      </c>
      <c r="E11" s="15">
        <f>(+D11/$D$64*100)</f>
        <v>3.2426132740534581</v>
      </c>
      <c r="F11" s="15" t="s">
        <v>21</v>
      </c>
      <c r="G11" s="8">
        <v>7.1950000000000003</v>
      </c>
      <c r="H11" s="9"/>
    </row>
    <row r="12" spans="1:8" s="10" customFormat="1" ht="14.25" x14ac:dyDescent="0.3">
      <c r="A12" s="12" t="s">
        <v>22</v>
      </c>
      <c r="B12" s="13" t="s">
        <v>16</v>
      </c>
      <c r="C12" s="14">
        <v>150</v>
      </c>
      <c r="D12" s="15">
        <v>1476.3705</v>
      </c>
      <c r="E12" s="15">
        <f>(+D12/$D$64*100)</f>
        <v>0.94038318504104557</v>
      </c>
      <c r="F12" s="15" t="s">
        <v>23</v>
      </c>
      <c r="G12" s="8">
        <v>7.3949999999999996</v>
      </c>
      <c r="H12" s="9"/>
    </row>
    <row r="13" spans="1:8" s="10" customFormat="1" ht="14.25" x14ac:dyDescent="0.3">
      <c r="A13" s="3" t="s">
        <v>18</v>
      </c>
      <c r="B13" s="4"/>
      <c r="C13" s="16"/>
      <c r="D13" s="6">
        <f>IF(ISERROR(SUM(D11:D12)),0,SUM(D11:D12))</f>
        <v>6567.1661000000004</v>
      </c>
      <c r="E13" s="6">
        <f>IF(ISERROR(SUM(E11:E12)),0,SUM(E11:E12))</f>
        <v>4.1829964590945039</v>
      </c>
      <c r="F13" s="17"/>
      <c r="G13" s="8"/>
      <c r="H13" s="9"/>
    </row>
    <row r="14" spans="1:8" s="10" customFormat="1" ht="14.25" x14ac:dyDescent="0.3">
      <c r="A14" s="3"/>
      <c r="B14" s="4"/>
      <c r="C14" s="16"/>
      <c r="D14" s="11"/>
      <c r="E14" s="11"/>
      <c r="F14" s="11"/>
      <c r="G14" s="8"/>
      <c r="H14" s="9"/>
    </row>
    <row r="15" spans="1:8" s="10" customFormat="1" ht="14.25" x14ac:dyDescent="0.3">
      <c r="A15" s="3" t="s">
        <v>24</v>
      </c>
      <c r="B15" s="4"/>
      <c r="C15" s="16"/>
      <c r="D15" s="6" t="s">
        <v>25</v>
      </c>
      <c r="E15" s="6" t="s">
        <v>25</v>
      </c>
      <c r="F15" s="7"/>
      <c r="G15" s="8"/>
      <c r="H15" s="9"/>
    </row>
    <row r="16" spans="1:8" s="10" customFormat="1" ht="14.25" x14ac:dyDescent="0.3">
      <c r="A16" s="3"/>
      <c r="B16" s="4"/>
      <c r="C16" s="16"/>
      <c r="D16" s="11"/>
      <c r="E16" s="11"/>
      <c r="F16" s="11"/>
      <c r="G16" s="8"/>
      <c r="H16" s="9"/>
    </row>
    <row r="17" spans="1:8" s="10" customFormat="1" ht="14.25" x14ac:dyDescent="0.3">
      <c r="A17" s="3" t="s">
        <v>26</v>
      </c>
      <c r="B17" s="4"/>
      <c r="C17" s="16"/>
      <c r="D17" s="6">
        <f>IF(ISERROR(+D8),0,D8)+IF(ISERROR(+#REF!),0,#REF!)+IF(ISERROR(+D13),0,D13)</f>
        <v>8566.0131000000001</v>
      </c>
      <c r="E17" s="6">
        <f>IF(ISERROR(+E8),0,E8)+IF(ISERROR(+#REF!),0,#REF!)+IF(ISERROR(+E13),0,E13)</f>
        <v>5.4561742340972819</v>
      </c>
      <c r="F17" s="6"/>
      <c r="G17" s="8"/>
      <c r="H17" s="9"/>
    </row>
    <row r="18" spans="1:8" s="10" customFormat="1" ht="14.25" x14ac:dyDescent="0.3">
      <c r="A18" s="3"/>
      <c r="B18" s="4"/>
      <c r="C18" s="16"/>
      <c r="D18" s="6"/>
      <c r="E18" s="6"/>
      <c r="F18" s="6"/>
      <c r="G18" s="8"/>
      <c r="H18" s="9"/>
    </row>
    <row r="19" spans="1:8" s="10" customFormat="1" ht="14.25" x14ac:dyDescent="0.3">
      <c r="A19" s="3" t="s">
        <v>27</v>
      </c>
      <c r="B19" s="4"/>
      <c r="C19" s="16"/>
      <c r="D19" s="6"/>
      <c r="E19" s="6"/>
      <c r="F19" s="6"/>
      <c r="G19" s="8"/>
      <c r="H19" s="9"/>
    </row>
    <row r="20" spans="1:8" s="10" customFormat="1" ht="14.25" x14ac:dyDescent="0.3">
      <c r="A20" s="3"/>
      <c r="B20" s="4"/>
      <c r="C20" s="16"/>
      <c r="D20" s="15"/>
      <c r="E20" s="15"/>
      <c r="F20" s="18"/>
      <c r="G20" s="8"/>
      <c r="H20" s="9"/>
    </row>
    <row r="21" spans="1:8" s="10" customFormat="1" ht="14.25" x14ac:dyDescent="0.3">
      <c r="A21" s="3" t="s">
        <v>28</v>
      </c>
      <c r="B21" s="4"/>
      <c r="C21" s="16"/>
      <c r="D21" s="6" t="s">
        <v>25</v>
      </c>
      <c r="E21" s="6" t="s">
        <v>25</v>
      </c>
      <c r="F21" s="6"/>
      <c r="G21" s="8"/>
      <c r="H21" s="9"/>
    </row>
    <row r="22" spans="1:8" s="10" customFormat="1" ht="14.25" x14ac:dyDescent="0.3">
      <c r="A22" s="3"/>
      <c r="B22" s="4"/>
      <c r="C22" s="16"/>
      <c r="D22" s="6"/>
      <c r="E22" s="6"/>
      <c r="F22" s="6"/>
      <c r="G22" s="8"/>
      <c r="H22" s="9"/>
    </row>
    <row r="23" spans="1:8" s="10" customFormat="1" ht="14.25" x14ac:dyDescent="0.3">
      <c r="A23" s="3" t="s">
        <v>29</v>
      </c>
      <c r="B23" s="4"/>
      <c r="C23" s="16"/>
      <c r="D23" s="6" t="s">
        <v>25</v>
      </c>
      <c r="E23" s="6" t="s">
        <v>25</v>
      </c>
      <c r="F23" s="6"/>
      <c r="G23" s="8"/>
      <c r="H23" s="9"/>
    </row>
    <row r="24" spans="1:8" s="10" customFormat="1" ht="14.25" x14ac:dyDescent="0.3">
      <c r="A24" s="3"/>
      <c r="B24" s="4"/>
      <c r="C24" s="16"/>
      <c r="D24" s="6"/>
      <c r="E24" s="6"/>
      <c r="F24" s="6"/>
      <c r="G24" s="8"/>
      <c r="H24" s="9"/>
    </row>
    <row r="25" spans="1:8" s="10" customFormat="1" ht="14.25" x14ac:dyDescent="0.3">
      <c r="A25" s="3" t="s">
        <v>30</v>
      </c>
      <c r="B25" s="4"/>
      <c r="C25" s="16"/>
      <c r="D25" s="6"/>
      <c r="E25" s="6"/>
      <c r="F25" s="7"/>
      <c r="G25" s="8"/>
      <c r="H25" s="9"/>
    </row>
    <row r="26" spans="1:8" s="10" customFormat="1" ht="14.25" x14ac:dyDescent="0.3">
      <c r="A26" s="3" t="s">
        <v>31</v>
      </c>
      <c r="B26" s="4"/>
      <c r="C26" s="16"/>
      <c r="D26" s="6"/>
      <c r="E26" s="6"/>
      <c r="F26" s="7"/>
      <c r="G26" s="8"/>
      <c r="H26" s="9"/>
    </row>
    <row r="27" spans="1:8" s="10" customFormat="1" ht="14.25" x14ac:dyDescent="0.3">
      <c r="A27" s="12" t="s">
        <v>32</v>
      </c>
      <c r="B27" s="13" t="s">
        <v>33</v>
      </c>
      <c r="C27" s="14">
        <v>2000</v>
      </c>
      <c r="D27" s="15">
        <v>9922.93</v>
      </c>
      <c r="E27" s="15">
        <f t="shared" ref="E27:E47" si="0">(+D27/$D$64*100)</f>
        <v>6.320470720824714</v>
      </c>
      <c r="F27" s="15" t="s">
        <v>34</v>
      </c>
      <c r="G27" s="8">
        <v>6.7497999999999996</v>
      </c>
      <c r="H27" s="9"/>
    </row>
    <row r="28" spans="1:8" s="10" customFormat="1" ht="14.25" x14ac:dyDescent="0.3">
      <c r="A28" s="12" t="s">
        <v>35</v>
      </c>
      <c r="B28" s="13" t="s">
        <v>33</v>
      </c>
      <c r="C28" s="14">
        <v>2000</v>
      </c>
      <c r="D28" s="15">
        <v>9902.44</v>
      </c>
      <c r="E28" s="15">
        <f t="shared" si="0"/>
        <v>6.3074194904855192</v>
      </c>
      <c r="F28" s="15" t="s">
        <v>36</v>
      </c>
      <c r="G28" s="8">
        <v>6.9154</v>
      </c>
      <c r="H28" s="9"/>
    </row>
    <row r="29" spans="1:8" s="10" customFormat="1" ht="14.25" x14ac:dyDescent="0.3">
      <c r="A29" s="12" t="s">
        <v>37</v>
      </c>
      <c r="B29" s="13" t="s">
        <v>33</v>
      </c>
      <c r="C29" s="14">
        <v>1500</v>
      </c>
      <c r="D29" s="15">
        <v>7441.8525</v>
      </c>
      <c r="E29" s="15">
        <f t="shared" si="0"/>
        <v>4.7401332907665576</v>
      </c>
      <c r="F29" s="15" t="s">
        <v>38</v>
      </c>
      <c r="G29" s="8">
        <v>6.7904</v>
      </c>
      <c r="H29" s="9"/>
    </row>
    <row r="30" spans="1:8" s="10" customFormat="1" ht="14.25" x14ac:dyDescent="0.3">
      <c r="A30" s="12" t="s">
        <v>39</v>
      </c>
      <c r="B30" s="13" t="s">
        <v>40</v>
      </c>
      <c r="C30" s="14">
        <v>1000</v>
      </c>
      <c r="D30" s="15">
        <v>4994.25</v>
      </c>
      <c r="E30" s="15">
        <f t="shared" si="0"/>
        <v>3.1811179659111599</v>
      </c>
      <c r="F30" s="15" t="s">
        <v>41</v>
      </c>
      <c r="G30" s="8">
        <v>7.0038999999999998</v>
      </c>
      <c r="H30" s="9"/>
    </row>
    <row r="31" spans="1:8" s="10" customFormat="1" ht="14.25" x14ac:dyDescent="0.3">
      <c r="A31" s="12" t="s">
        <v>42</v>
      </c>
      <c r="B31" s="13" t="s">
        <v>33</v>
      </c>
      <c r="C31" s="14">
        <v>1000</v>
      </c>
      <c r="D31" s="15">
        <v>4992.53</v>
      </c>
      <c r="E31" s="15">
        <f t="shared" si="0"/>
        <v>3.1800224014317346</v>
      </c>
      <c r="F31" s="15" t="s">
        <v>43</v>
      </c>
      <c r="G31" s="8">
        <v>6.8266</v>
      </c>
      <c r="H31" s="9"/>
    </row>
    <row r="32" spans="1:8" s="10" customFormat="1" ht="14.25" x14ac:dyDescent="0.3">
      <c r="A32" s="12" t="s">
        <v>44</v>
      </c>
      <c r="B32" s="13" t="s">
        <v>33</v>
      </c>
      <c r="C32" s="14">
        <v>1000</v>
      </c>
      <c r="D32" s="15">
        <v>4987.8500000000004</v>
      </c>
      <c r="E32" s="15">
        <f t="shared" si="0"/>
        <v>3.1770414469179511</v>
      </c>
      <c r="F32" s="15" t="s">
        <v>45</v>
      </c>
      <c r="G32" s="8">
        <v>6.8407</v>
      </c>
      <c r="H32" s="9"/>
    </row>
    <row r="33" spans="1:8" s="10" customFormat="1" ht="14.25" x14ac:dyDescent="0.3">
      <c r="A33" s="12" t="s">
        <v>46</v>
      </c>
      <c r="B33" s="13" t="s">
        <v>33</v>
      </c>
      <c r="C33" s="14">
        <v>1000</v>
      </c>
      <c r="D33" s="15">
        <v>4987.74</v>
      </c>
      <c r="E33" s="15">
        <f t="shared" si="0"/>
        <v>3.1769713817477556</v>
      </c>
      <c r="F33" s="15" t="s">
        <v>47</v>
      </c>
      <c r="G33" s="8">
        <v>6.9013999999999998</v>
      </c>
      <c r="H33" s="9"/>
    </row>
    <row r="34" spans="1:8" s="10" customFormat="1" ht="14.25" x14ac:dyDescent="0.3">
      <c r="A34" s="12" t="s">
        <v>48</v>
      </c>
      <c r="B34" s="13" t="s">
        <v>40</v>
      </c>
      <c r="C34" s="14">
        <v>1000</v>
      </c>
      <c r="D34" s="15">
        <v>4987.22</v>
      </c>
      <c r="E34" s="15">
        <f t="shared" si="0"/>
        <v>3.1766401645795574</v>
      </c>
      <c r="F34" s="15" t="s">
        <v>49</v>
      </c>
      <c r="G34" s="8">
        <v>7.1948999999999996</v>
      </c>
      <c r="H34" s="9"/>
    </row>
    <row r="35" spans="1:8" s="10" customFormat="1" ht="14.25" x14ac:dyDescent="0.3">
      <c r="A35" s="12" t="s">
        <v>50</v>
      </c>
      <c r="B35" s="13" t="s">
        <v>33</v>
      </c>
      <c r="C35" s="14">
        <v>1000</v>
      </c>
      <c r="D35" s="15">
        <v>4962.21</v>
      </c>
      <c r="E35" s="15">
        <f t="shared" si="0"/>
        <v>3.1607098927014099</v>
      </c>
      <c r="F35" s="15" t="s">
        <v>51</v>
      </c>
      <c r="G35" s="8">
        <v>6.7797000000000001</v>
      </c>
      <c r="H35" s="9"/>
    </row>
    <row r="36" spans="1:8" s="10" customFormat="1" ht="14.25" x14ac:dyDescent="0.3">
      <c r="A36" s="12" t="s">
        <v>52</v>
      </c>
      <c r="B36" s="13" t="s">
        <v>40</v>
      </c>
      <c r="C36" s="14">
        <v>1000</v>
      </c>
      <c r="D36" s="15">
        <v>4960.8950000000004</v>
      </c>
      <c r="E36" s="15">
        <f t="shared" si="0"/>
        <v>3.1598722954395244</v>
      </c>
      <c r="F36" s="15" t="s">
        <v>53</v>
      </c>
      <c r="G36" s="8">
        <v>6.8503999999999996</v>
      </c>
      <c r="H36" s="9"/>
    </row>
    <row r="37" spans="1:8" s="10" customFormat="1" ht="14.25" x14ac:dyDescent="0.3">
      <c r="A37" s="12" t="s">
        <v>54</v>
      </c>
      <c r="B37" s="13" t="s">
        <v>40</v>
      </c>
      <c r="C37" s="14">
        <v>1000</v>
      </c>
      <c r="D37" s="15">
        <v>4958.43</v>
      </c>
      <c r="E37" s="15">
        <f t="shared" si="0"/>
        <v>3.1583021986710458</v>
      </c>
      <c r="F37" s="15" t="s">
        <v>55</v>
      </c>
      <c r="G37" s="8">
        <v>6.8000999999999996</v>
      </c>
      <c r="H37" s="9"/>
    </row>
    <row r="38" spans="1:8" s="10" customFormat="1" ht="14.25" x14ac:dyDescent="0.3">
      <c r="A38" s="12" t="s">
        <v>56</v>
      </c>
      <c r="B38" s="13" t="s">
        <v>33</v>
      </c>
      <c r="C38" s="14">
        <v>1000</v>
      </c>
      <c r="D38" s="15">
        <v>4954.2150000000001</v>
      </c>
      <c r="E38" s="15">
        <f t="shared" si="0"/>
        <v>3.1556174287403627</v>
      </c>
      <c r="F38" s="15" t="s">
        <v>57</v>
      </c>
      <c r="G38" s="8">
        <v>7.8451000000000004</v>
      </c>
      <c r="H38" s="9"/>
    </row>
    <row r="39" spans="1:8" s="10" customFormat="1" ht="14.25" x14ac:dyDescent="0.3">
      <c r="A39" s="12" t="s">
        <v>44</v>
      </c>
      <c r="B39" s="13" t="s">
        <v>33</v>
      </c>
      <c r="C39" s="14">
        <v>1000</v>
      </c>
      <c r="D39" s="15">
        <v>4951.68</v>
      </c>
      <c r="E39" s="15">
        <f t="shared" si="0"/>
        <v>3.1540027450453962</v>
      </c>
      <c r="F39" s="15" t="s">
        <v>58</v>
      </c>
      <c r="G39" s="8">
        <v>6.8498999999999999</v>
      </c>
      <c r="H39" s="9"/>
    </row>
    <row r="40" spans="1:8" s="10" customFormat="1" ht="14.25" x14ac:dyDescent="0.3">
      <c r="A40" s="12" t="s">
        <v>59</v>
      </c>
      <c r="B40" s="13" t="s">
        <v>40</v>
      </c>
      <c r="C40" s="14">
        <v>1000</v>
      </c>
      <c r="D40" s="15">
        <v>4947.32</v>
      </c>
      <c r="E40" s="15">
        <f t="shared" si="0"/>
        <v>3.1512256164812729</v>
      </c>
      <c r="F40" s="15" t="s">
        <v>60</v>
      </c>
      <c r="G40" s="8">
        <v>6.9402999999999997</v>
      </c>
      <c r="H40" s="9"/>
    </row>
    <row r="41" spans="1:8" s="10" customFormat="1" ht="14.25" x14ac:dyDescent="0.3">
      <c r="A41" s="12" t="s">
        <v>61</v>
      </c>
      <c r="B41" s="13" t="s">
        <v>40</v>
      </c>
      <c r="C41" s="14">
        <v>1000</v>
      </c>
      <c r="D41" s="15">
        <v>4943.6400000000003</v>
      </c>
      <c r="E41" s="15">
        <f t="shared" si="0"/>
        <v>3.1488816180601784</v>
      </c>
      <c r="F41" s="15" t="s">
        <v>62</v>
      </c>
      <c r="G41" s="8">
        <v>7.3003</v>
      </c>
      <c r="H41" s="9"/>
    </row>
    <row r="42" spans="1:8" s="10" customFormat="1" ht="14.25" x14ac:dyDescent="0.3">
      <c r="A42" s="12" t="s">
        <v>63</v>
      </c>
      <c r="B42" s="13" t="s">
        <v>33</v>
      </c>
      <c r="C42" s="14">
        <v>900</v>
      </c>
      <c r="D42" s="15">
        <v>4473.3779999999997</v>
      </c>
      <c r="E42" s="15">
        <f t="shared" si="0"/>
        <v>2.8493453720001463</v>
      </c>
      <c r="F42" s="15" t="s">
        <v>64</v>
      </c>
      <c r="G42" s="8">
        <v>8.0451999999999995</v>
      </c>
      <c r="H42" s="9"/>
    </row>
    <row r="43" spans="1:8" s="10" customFormat="1" ht="14.25" x14ac:dyDescent="0.3">
      <c r="A43" s="12" t="s">
        <v>50</v>
      </c>
      <c r="B43" s="13" t="s">
        <v>33</v>
      </c>
      <c r="C43" s="14">
        <v>500</v>
      </c>
      <c r="D43" s="15">
        <v>2497.2199999999998</v>
      </c>
      <c r="E43" s="15">
        <f t="shared" si="0"/>
        <v>1.5906194937843854</v>
      </c>
      <c r="F43" s="15" t="s">
        <v>65</v>
      </c>
      <c r="G43" s="8">
        <v>6.7721999999999998</v>
      </c>
      <c r="H43" s="9"/>
    </row>
    <row r="44" spans="1:8" s="10" customFormat="1" ht="14.25" x14ac:dyDescent="0.3">
      <c r="A44" s="12" t="s">
        <v>66</v>
      </c>
      <c r="B44" s="13" t="s">
        <v>40</v>
      </c>
      <c r="C44" s="14">
        <v>500</v>
      </c>
      <c r="D44" s="15">
        <v>2495.3525</v>
      </c>
      <c r="E44" s="15">
        <f t="shared" si="0"/>
        <v>1.5894299782812888</v>
      </c>
      <c r="F44" s="15" t="s">
        <v>67</v>
      </c>
      <c r="G44" s="8">
        <v>6.7998000000000003</v>
      </c>
      <c r="H44" s="9"/>
    </row>
    <row r="45" spans="1:8" s="10" customFormat="1" ht="14.25" x14ac:dyDescent="0.3">
      <c r="A45" s="12" t="s">
        <v>61</v>
      </c>
      <c r="B45" s="13" t="s">
        <v>40</v>
      </c>
      <c r="C45" s="14">
        <v>500</v>
      </c>
      <c r="D45" s="15">
        <v>2493.5174999999999</v>
      </c>
      <c r="E45" s="15">
        <f t="shared" si="0"/>
        <v>1.588261163851205</v>
      </c>
      <c r="F45" s="15" t="s">
        <v>68</v>
      </c>
      <c r="G45" s="8">
        <v>7.2992999999999997</v>
      </c>
      <c r="H45" s="9"/>
    </row>
    <row r="46" spans="1:8" s="10" customFormat="1" ht="14.25" x14ac:dyDescent="0.3">
      <c r="A46" s="12" t="s">
        <v>69</v>
      </c>
      <c r="B46" s="13" t="s">
        <v>70</v>
      </c>
      <c r="C46" s="14">
        <v>500</v>
      </c>
      <c r="D46" s="15">
        <v>2492.5450000000001</v>
      </c>
      <c r="E46" s="15">
        <f t="shared" si="0"/>
        <v>1.587641724051065</v>
      </c>
      <c r="F46" s="15" t="s">
        <v>71</v>
      </c>
      <c r="G46" s="8">
        <v>6.8242000000000003</v>
      </c>
      <c r="H46" s="9"/>
    </row>
    <row r="47" spans="1:8" s="10" customFormat="1" ht="14.25" x14ac:dyDescent="0.3">
      <c r="A47" s="12" t="s">
        <v>72</v>
      </c>
      <c r="B47" s="13" t="s">
        <v>33</v>
      </c>
      <c r="C47" s="14">
        <v>500</v>
      </c>
      <c r="D47" s="15">
        <v>2492.5149999999999</v>
      </c>
      <c r="E47" s="15">
        <f t="shared" si="0"/>
        <v>1.5876226153682844</v>
      </c>
      <c r="F47" s="15" t="s">
        <v>73</v>
      </c>
      <c r="G47" s="8">
        <v>6.8506</v>
      </c>
      <c r="H47" s="9"/>
    </row>
    <row r="48" spans="1:8" s="10" customFormat="1" ht="14.25" x14ac:dyDescent="0.3">
      <c r="A48" s="3" t="s">
        <v>18</v>
      </c>
      <c r="B48" s="19"/>
      <c r="C48" s="20"/>
      <c r="D48" s="6">
        <f>IF(ISERROR(SUM(D27:D47)),0,SUM(D27:D47))</f>
        <v>103839.73049999999</v>
      </c>
      <c r="E48" s="6">
        <f>IF(ISERROR(SUM(E27:E47)),0,SUM(E27:E47))</f>
        <v>66.141349005140526</v>
      </c>
      <c r="F48" s="21"/>
      <c r="G48" s="8"/>
      <c r="H48" s="9"/>
    </row>
    <row r="49" spans="1:8" s="10" customFormat="1" ht="14.25" x14ac:dyDescent="0.3">
      <c r="A49" s="3" t="s">
        <v>74</v>
      </c>
      <c r="B49" s="13"/>
      <c r="C49" s="14"/>
      <c r="D49" s="15"/>
      <c r="E49" s="11"/>
      <c r="F49" s="22"/>
      <c r="G49" s="8"/>
      <c r="H49" s="9"/>
    </row>
    <row r="50" spans="1:8" s="10" customFormat="1" ht="14.25" x14ac:dyDescent="0.3">
      <c r="A50" s="12" t="s">
        <v>75</v>
      </c>
      <c r="B50" s="13" t="s">
        <v>76</v>
      </c>
      <c r="C50" s="14">
        <v>5000000</v>
      </c>
      <c r="D50" s="15">
        <v>4998.2</v>
      </c>
      <c r="E50" s="15">
        <f t="shared" ref="E50:E55" si="1">(+D50/$D$64*100)</f>
        <v>3.1836339424772806</v>
      </c>
      <c r="F50" s="15" t="s">
        <v>77</v>
      </c>
      <c r="G50" s="8">
        <v>6.5724</v>
      </c>
      <c r="H50" s="9"/>
    </row>
    <row r="51" spans="1:8" s="10" customFormat="1" ht="14.25" x14ac:dyDescent="0.3">
      <c r="A51" s="12" t="s">
        <v>78</v>
      </c>
      <c r="B51" s="13" t="s">
        <v>76</v>
      </c>
      <c r="C51" s="14">
        <v>4900000</v>
      </c>
      <c r="D51" s="15">
        <v>4867.4345999999996</v>
      </c>
      <c r="E51" s="15">
        <f t="shared" si="1"/>
        <v>3.1003421242343889</v>
      </c>
      <c r="F51" s="15" t="s">
        <v>79</v>
      </c>
      <c r="G51" s="8">
        <v>6.6001000000000003</v>
      </c>
      <c r="H51" s="9"/>
    </row>
    <row r="52" spans="1:8" s="10" customFormat="1" ht="14.25" x14ac:dyDescent="0.3">
      <c r="A52" s="12" t="s">
        <v>80</v>
      </c>
      <c r="B52" s="13" t="s">
        <v>76</v>
      </c>
      <c r="C52" s="14">
        <v>2500000</v>
      </c>
      <c r="D52" s="15">
        <v>2486.5124999999998</v>
      </c>
      <c r="E52" s="15">
        <f t="shared" si="1"/>
        <v>1.5837992864219195</v>
      </c>
      <c r="F52" s="15" t="s">
        <v>81</v>
      </c>
      <c r="G52" s="8">
        <v>6.5994999999999999</v>
      </c>
      <c r="H52" s="9"/>
    </row>
    <row r="53" spans="1:8" s="10" customFormat="1" ht="14.25" x14ac:dyDescent="0.3">
      <c r="A53" s="12" t="s">
        <v>82</v>
      </c>
      <c r="B53" s="13" t="s">
        <v>76</v>
      </c>
      <c r="C53" s="14">
        <v>2500000</v>
      </c>
      <c r="D53" s="15">
        <v>2477.0349999999999</v>
      </c>
      <c r="E53" s="15">
        <f t="shared" si="1"/>
        <v>1.5777625350534612</v>
      </c>
      <c r="F53" s="15" t="s">
        <v>83</v>
      </c>
      <c r="G53" s="8">
        <v>6.6356000000000002</v>
      </c>
      <c r="H53" s="9"/>
    </row>
    <row r="54" spans="1:8" s="10" customFormat="1" ht="14.25" x14ac:dyDescent="0.3">
      <c r="A54" s="12" t="s">
        <v>84</v>
      </c>
      <c r="B54" s="13" t="s">
        <v>76</v>
      </c>
      <c r="C54" s="14">
        <v>2000000</v>
      </c>
      <c r="D54" s="15">
        <v>1989.1759999999999</v>
      </c>
      <c r="E54" s="15">
        <f t="shared" si="1"/>
        <v>1.2670177726303844</v>
      </c>
      <c r="F54" s="15" t="s">
        <v>85</v>
      </c>
      <c r="G54" s="8">
        <v>6.6204000000000001</v>
      </c>
      <c r="H54" s="9"/>
    </row>
    <row r="55" spans="1:8" s="10" customFormat="1" ht="14.25" x14ac:dyDescent="0.3">
      <c r="A55" s="12" t="s">
        <v>86</v>
      </c>
      <c r="B55" s="13" t="s">
        <v>76</v>
      </c>
      <c r="C55" s="14">
        <v>1500000</v>
      </c>
      <c r="D55" s="15">
        <v>1488.1244999999999</v>
      </c>
      <c r="E55" s="15">
        <f t="shared" si="1"/>
        <v>0.94786996695450998</v>
      </c>
      <c r="F55" s="15" t="s">
        <v>87</v>
      </c>
      <c r="G55" s="8">
        <v>6.6199000000000003</v>
      </c>
      <c r="H55" s="9"/>
    </row>
    <row r="56" spans="1:8" s="10" customFormat="1" ht="14.25" x14ac:dyDescent="0.3">
      <c r="A56" s="3" t="s">
        <v>18</v>
      </c>
      <c r="B56" s="19"/>
      <c r="C56" s="20"/>
      <c r="D56" s="6">
        <f>IF(ISERROR(SUM(D50:D55)),0,SUM(D50:D55))</f>
        <v>18306.482599999996</v>
      </c>
      <c r="E56" s="6">
        <f>IF(ISERROR(SUM(E50:E55)),0,SUM(E50:E55))</f>
        <v>11.660425627771945</v>
      </c>
      <c r="F56" s="21"/>
      <c r="G56" s="8"/>
      <c r="H56" s="9"/>
    </row>
    <row r="57" spans="1:8" s="10" customFormat="1" ht="14.25" x14ac:dyDescent="0.3">
      <c r="A57" s="12" t="s">
        <v>88</v>
      </c>
      <c r="B57" s="13"/>
      <c r="C57" s="14">
        <v>0</v>
      </c>
      <c r="D57" s="15">
        <v>26038.5163665</v>
      </c>
      <c r="E57" s="15">
        <f>(+D57/$D$64*100)</f>
        <v>16.58539164421984</v>
      </c>
      <c r="F57" s="15" t="s">
        <v>89</v>
      </c>
      <c r="G57" s="8">
        <v>6.3738000000000001</v>
      </c>
      <c r="H57" s="9"/>
    </row>
    <row r="58" spans="1:8" s="10" customFormat="1" ht="14.25" x14ac:dyDescent="0.3">
      <c r="A58" s="3" t="s">
        <v>18</v>
      </c>
      <c r="B58" s="4"/>
      <c r="C58" s="16"/>
      <c r="D58" s="6">
        <f>IF(ISERROR(SUM(D57:D57)),0,SUM(D57:D57))</f>
        <v>26038.5163665</v>
      </c>
      <c r="E58" s="6">
        <f>IF(ISERROR(SUM(E57:E57)),0,SUM(E57:E57))</f>
        <v>16.58539164421984</v>
      </c>
      <c r="F58" s="15"/>
      <c r="G58" s="8"/>
      <c r="H58" s="9"/>
    </row>
    <row r="59" spans="1:8" s="10" customFormat="1" ht="14.25" x14ac:dyDescent="0.3">
      <c r="A59" s="3"/>
      <c r="B59" s="4"/>
      <c r="C59" s="16"/>
      <c r="D59" s="6"/>
      <c r="E59" s="6"/>
      <c r="F59" s="7"/>
      <c r="G59" s="8"/>
      <c r="H59" s="9"/>
    </row>
    <row r="60" spans="1:8" s="10" customFormat="1" ht="14.25" x14ac:dyDescent="0.3">
      <c r="A60" s="3" t="s">
        <v>26</v>
      </c>
      <c r="B60" s="4"/>
      <c r="C60" s="16" t="s">
        <v>90</v>
      </c>
      <c r="D60" s="6">
        <f>+IF(ISERROR(D17),0,D17)+IF(ISERROR(D58),0,D58)+IF(ISERROR(#REF!),0,#REF!)+IF(ISERROR(#REF!),0,#REF!)+IF(ISERROR(#REF!),0,#REF!)+IF(ISERROR(D56),0,D56)+IF(ISERROR(#REF!),0,#REF!)+IF(ISERROR(#REF!),0,#REF!)+D48</f>
        <v>156750.74256649998</v>
      </c>
      <c r="E60" s="6">
        <f>+IF(ISERROR(E17),0,E17)+IF(ISERROR(E58),0,E58)+IF(ISERROR(#REF!),0,#REF!)+IF(ISERROR(#REF!),0,#REF!)+IF(ISERROR(#REF!),0,#REF!)+IF(ISERROR(E56),0,E56)+IF(ISERROR(#REF!),0,#REF!)+IF(ISERROR(#REF!),0,#REF!)+E48</f>
        <v>99.843340511229599</v>
      </c>
      <c r="F60" s="6">
        <f>+IF(ISERROR(F17),0,F17)+IF(ISERROR(F58),0,F58)+IF(ISERROR(#REF!),0,#REF!)+IF(ISERROR(#REF!),0,#REF!)+IF(ISERROR(#REF!),0,#REF!)+IF(ISERROR(F56),0,F56)+IF(ISERROR(#REF!),0,#REF!)+IF(ISERROR(#REF!),0,#REF!)+IF(ISERROR(#REF!),0,#REF!)+F48</f>
        <v>0</v>
      </c>
      <c r="G60" s="8"/>
      <c r="H60" s="9"/>
    </row>
    <row r="61" spans="1:8" s="10" customFormat="1" ht="14.25" x14ac:dyDescent="0.3">
      <c r="A61" s="3"/>
      <c r="B61" s="4"/>
      <c r="C61" s="16"/>
      <c r="D61" s="6"/>
      <c r="E61" s="6"/>
      <c r="F61" s="23"/>
      <c r="G61" s="24"/>
      <c r="H61" s="25"/>
    </row>
    <row r="62" spans="1:8" s="10" customFormat="1" ht="14.25" x14ac:dyDescent="0.3">
      <c r="A62" s="3" t="s">
        <v>91</v>
      </c>
      <c r="B62" s="4"/>
      <c r="C62" s="16"/>
      <c r="D62" s="6">
        <f>+D64-D60</f>
        <v>245.95021630002884</v>
      </c>
      <c r="E62" s="6">
        <f>D62/$D$64*100</f>
        <v>0.1566594887704375</v>
      </c>
      <c r="F62" s="26"/>
      <c r="G62" s="24"/>
      <c r="H62" s="25"/>
    </row>
    <row r="63" spans="1:8" s="10" customFormat="1" ht="14.25" x14ac:dyDescent="0.3">
      <c r="A63" s="3"/>
      <c r="B63" s="4"/>
      <c r="C63" s="16"/>
      <c r="D63" s="11"/>
      <c r="E63" s="11"/>
      <c r="F63" s="23"/>
      <c r="G63" s="24"/>
      <c r="H63" s="25"/>
    </row>
    <row r="64" spans="1:8" s="10" customFormat="1" ht="14.25" x14ac:dyDescent="0.3">
      <c r="A64" s="3" t="s">
        <v>92</v>
      </c>
      <c r="B64" s="4"/>
      <c r="C64" s="16"/>
      <c r="D64" s="6">
        <v>156996.6927828</v>
      </c>
      <c r="E64" s="6">
        <f>+E60+E62</f>
        <v>100.00000000000004</v>
      </c>
      <c r="F64" s="23"/>
      <c r="G64" s="24"/>
      <c r="H64" s="25"/>
    </row>
    <row r="65" spans="1:8" s="10" customFormat="1" ht="14.25" x14ac:dyDescent="0.3">
      <c r="A65" s="27"/>
      <c r="B65" s="28"/>
      <c r="C65" s="29"/>
      <c r="D65" s="30"/>
      <c r="E65" s="30"/>
      <c r="F65" s="23"/>
      <c r="G65" s="24"/>
      <c r="H65" s="25"/>
    </row>
    <row r="66" spans="1:8" s="10" customFormat="1" ht="14.25" x14ac:dyDescent="0.3">
      <c r="A66" s="31" t="s">
        <v>93</v>
      </c>
      <c r="B66" s="28"/>
      <c r="C66" s="29"/>
      <c r="D66" s="30"/>
      <c r="E66" s="30"/>
      <c r="F66" s="32"/>
      <c r="G66" s="24"/>
      <c r="H66" s="25"/>
    </row>
    <row r="67" spans="1:8" s="10" customFormat="1" ht="14.25" x14ac:dyDescent="0.3">
      <c r="A67" s="31"/>
      <c r="B67" s="28"/>
      <c r="C67" s="29"/>
      <c r="D67" s="30"/>
      <c r="E67" s="30"/>
      <c r="F67" s="32"/>
      <c r="G67" s="24"/>
      <c r="H67" s="25"/>
    </row>
    <row r="68" spans="1:8" s="10" customFormat="1" ht="13.5" x14ac:dyDescent="0.2">
      <c r="A68" s="89" t="s">
        <v>124</v>
      </c>
      <c r="B68" s="89"/>
      <c r="C68" s="89"/>
      <c r="D68" s="89"/>
      <c r="E68" s="89"/>
      <c r="F68" s="89"/>
      <c r="G68" s="89"/>
      <c r="H68" s="89"/>
    </row>
    <row r="69" spans="1:8" s="10" customFormat="1" ht="13.5" x14ac:dyDescent="0.2">
      <c r="A69" s="33"/>
      <c r="B69" s="33"/>
      <c r="C69" s="33"/>
      <c r="D69" s="33"/>
      <c r="E69" s="33"/>
      <c r="F69" s="33"/>
      <c r="G69" s="33"/>
      <c r="H69" s="33"/>
    </row>
    <row r="70" spans="1:8" s="10" customFormat="1" ht="13.5" x14ac:dyDescent="0.2">
      <c r="A70" s="89" t="s">
        <v>94</v>
      </c>
      <c r="B70" s="89"/>
      <c r="C70" s="89"/>
      <c r="D70" s="89"/>
      <c r="E70" s="89"/>
      <c r="F70" s="89"/>
      <c r="G70" s="89"/>
      <c r="H70" s="89"/>
    </row>
    <row r="71" spans="1:8" s="10" customFormat="1" ht="27.75" customHeight="1" x14ac:dyDescent="0.2">
      <c r="A71" s="89" t="s">
        <v>95</v>
      </c>
      <c r="B71" s="89"/>
      <c r="C71" s="89"/>
      <c r="D71" s="89"/>
      <c r="E71" s="89"/>
      <c r="F71" s="89"/>
      <c r="G71" s="89"/>
      <c r="H71" s="89"/>
    </row>
    <row r="72" spans="1:8" ht="13.5" x14ac:dyDescent="0.2">
      <c r="A72" s="86" t="s">
        <v>96</v>
      </c>
      <c r="B72" s="86"/>
      <c r="C72" s="86"/>
      <c r="D72" s="86"/>
      <c r="E72" s="86"/>
      <c r="F72" s="86"/>
      <c r="G72" s="79"/>
      <c r="H72" s="79"/>
    </row>
    <row r="73" spans="1:8" ht="63" customHeight="1" x14ac:dyDescent="0.2">
      <c r="A73" s="78" t="s">
        <v>97</v>
      </c>
      <c r="B73" s="78"/>
      <c r="C73" s="78"/>
      <c r="D73" s="78"/>
      <c r="E73" s="78"/>
      <c r="F73" s="78"/>
      <c r="G73" s="78"/>
      <c r="H73" s="79"/>
    </row>
    <row r="74" spans="1:8" ht="14.25" x14ac:dyDescent="0.3">
      <c r="A74" s="34"/>
      <c r="B74" s="34"/>
      <c r="C74" s="34"/>
      <c r="D74" s="34"/>
      <c r="E74" s="34"/>
      <c r="F74" s="34"/>
      <c r="G74" s="35"/>
      <c r="H74" s="35"/>
    </row>
    <row r="75" spans="1:8" ht="14.25" x14ac:dyDescent="0.3">
      <c r="A75" s="36" t="s">
        <v>98</v>
      </c>
      <c r="B75" s="37"/>
      <c r="C75" s="37"/>
      <c r="D75" s="38"/>
      <c r="E75" s="38"/>
      <c r="F75" s="39"/>
      <c r="G75" s="38"/>
      <c r="H75" s="38"/>
    </row>
    <row r="76" spans="1:8" ht="14.25" x14ac:dyDescent="0.3">
      <c r="A76" s="40" t="s">
        <v>99</v>
      </c>
      <c r="B76" s="37"/>
      <c r="C76" s="37"/>
      <c r="D76" s="38"/>
      <c r="E76" s="38"/>
      <c r="F76" s="38"/>
      <c r="G76" s="38"/>
      <c r="H76" s="41"/>
    </row>
    <row r="77" spans="1:8" ht="14.25" x14ac:dyDescent="0.3">
      <c r="A77" s="40" t="s">
        <v>100</v>
      </c>
      <c r="B77" s="37"/>
      <c r="C77" s="37"/>
      <c r="D77" s="38"/>
      <c r="E77" s="38"/>
      <c r="F77" s="38"/>
      <c r="G77" s="38"/>
      <c r="H77" s="41"/>
    </row>
    <row r="78" spans="1:8" ht="14.25" x14ac:dyDescent="0.3">
      <c r="A78" s="40" t="s">
        <v>101</v>
      </c>
      <c r="B78" s="37"/>
      <c r="C78" s="37"/>
      <c r="D78" s="38"/>
      <c r="E78" s="38"/>
      <c r="F78" s="38"/>
      <c r="G78" s="38"/>
      <c r="H78" s="38"/>
    </row>
    <row r="79" spans="1:8" ht="14.25" x14ac:dyDescent="0.3">
      <c r="A79" s="42"/>
      <c r="B79" s="37"/>
      <c r="C79" s="37"/>
      <c r="D79" s="38"/>
      <c r="E79" s="38"/>
      <c r="F79" s="38"/>
      <c r="G79" s="38"/>
      <c r="H79" s="38"/>
    </row>
    <row r="80" spans="1:8" ht="14.25" x14ac:dyDescent="0.3">
      <c r="A80" s="43" t="s">
        <v>102</v>
      </c>
      <c r="B80" s="80" t="s">
        <v>103</v>
      </c>
      <c r="C80" s="80"/>
      <c r="D80" s="80"/>
      <c r="E80" s="44"/>
      <c r="F80" s="38"/>
      <c r="G80" s="38"/>
      <c r="H80" s="38"/>
    </row>
    <row r="81" spans="1:8" ht="14.25" x14ac:dyDescent="0.3">
      <c r="A81" s="43"/>
      <c r="B81" s="45"/>
      <c r="C81" s="45"/>
      <c r="D81" s="45"/>
      <c r="E81" s="44"/>
      <c r="F81" s="38"/>
      <c r="G81" s="38"/>
      <c r="H81" s="38"/>
    </row>
    <row r="82" spans="1:8" ht="14.25" x14ac:dyDescent="0.3">
      <c r="A82" s="46"/>
      <c r="B82" s="37"/>
      <c r="C82" s="37"/>
      <c r="D82" s="38"/>
      <c r="E82" s="38"/>
      <c r="F82" s="38"/>
      <c r="G82" s="38"/>
      <c r="H82" s="38"/>
    </row>
    <row r="83" spans="1:8" ht="14.25" x14ac:dyDescent="0.3">
      <c r="A83" s="37"/>
      <c r="B83" s="37"/>
      <c r="C83" s="37"/>
      <c r="D83" s="38"/>
      <c r="E83" s="38"/>
      <c r="F83" s="38"/>
      <c r="G83" s="38"/>
      <c r="H83" s="38"/>
    </row>
    <row r="84" spans="1:8" ht="14.25" x14ac:dyDescent="0.3">
      <c r="A84" s="47"/>
      <c r="B84" s="48"/>
      <c r="C84" s="49"/>
      <c r="D84" s="38"/>
      <c r="E84" s="38"/>
      <c r="F84" s="38"/>
      <c r="G84" s="38"/>
      <c r="H84" s="38"/>
    </row>
    <row r="85" spans="1:8" ht="14.25" x14ac:dyDescent="0.3">
      <c r="A85" s="47"/>
      <c r="B85" s="48"/>
      <c r="C85" s="49"/>
      <c r="D85" s="38"/>
      <c r="E85" s="38"/>
      <c r="F85" s="38"/>
      <c r="G85" s="38"/>
      <c r="H85" s="38"/>
    </row>
    <row r="86" spans="1:8" ht="14.25" x14ac:dyDescent="0.3">
      <c r="A86" s="47"/>
      <c r="B86" s="48"/>
      <c r="C86" s="49"/>
      <c r="D86" s="38"/>
      <c r="E86" s="38"/>
      <c r="F86" s="38"/>
      <c r="G86" s="38"/>
      <c r="H86" s="38"/>
    </row>
    <row r="87" spans="1:8" ht="14.25" x14ac:dyDescent="0.3">
      <c r="A87" s="47"/>
      <c r="B87" s="48"/>
      <c r="C87" s="49"/>
      <c r="D87" s="38"/>
      <c r="E87" s="38"/>
      <c r="F87" s="38"/>
      <c r="G87" s="38"/>
      <c r="H87" s="38"/>
    </row>
    <row r="88" spans="1:8" ht="14.25" x14ac:dyDescent="0.3">
      <c r="A88" s="47"/>
      <c r="B88" s="48"/>
      <c r="C88" s="49"/>
      <c r="D88" s="38"/>
      <c r="E88" s="38"/>
      <c r="F88" s="38"/>
      <c r="G88" s="38"/>
      <c r="H88" s="38"/>
    </row>
    <row r="89" spans="1:8" ht="15" thickBot="1" x14ac:dyDescent="0.35">
      <c r="A89" s="47"/>
      <c r="B89" s="48"/>
      <c r="C89" s="49"/>
      <c r="D89" s="38"/>
      <c r="E89" s="38"/>
      <c r="F89" s="38"/>
      <c r="G89" s="38"/>
      <c r="H89" s="38"/>
    </row>
    <row r="90" spans="1:8" ht="15" thickBot="1" x14ac:dyDescent="0.35">
      <c r="A90" s="81" t="s">
        <v>104</v>
      </c>
      <c r="B90" s="82"/>
      <c r="C90" s="82"/>
      <c r="D90" s="83"/>
      <c r="E90" s="38"/>
      <c r="F90" s="38"/>
      <c r="G90" s="38"/>
      <c r="H90" s="38"/>
    </row>
    <row r="91" spans="1:8" ht="15" thickBot="1" x14ac:dyDescent="0.35">
      <c r="A91" s="50" t="s">
        <v>105</v>
      </c>
      <c r="B91" s="84" t="s">
        <v>106</v>
      </c>
      <c r="C91" s="84" t="s">
        <v>107</v>
      </c>
      <c r="D91" s="84" t="s">
        <v>108</v>
      </c>
      <c r="E91" s="38"/>
      <c r="F91" s="38"/>
      <c r="G91" s="38"/>
      <c r="H91" s="38"/>
    </row>
    <row r="92" spans="1:8" ht="15" thickBot="1" x14ac:dyDescent="0.35">
      <c r="A92" s="50" t="s">
        <v>109</v>
      </c>
      <c r="B92" s="85"/>
      <c r="C92" s="85"/>
      <c r="D92" s="85"/>
      <c r="E92" s="38"/>
      <c r="F92" s="38"/>
      <c r="G92" s="38"/>
      <c r="H92" s="38"/>
    </row>
    <row r="93" spans="1:8" ht="15" thickBot="1" x14ac:dyDescent="0.35">
      <c r="A93" s="51" t="s">
        <v>110</v>
      </c>
      <c r="B93" s="52"/>
      <c r="C93" s="53" t="s">
        <v>111</v>
      </c>
      <c r="D93" s="52"/>
      <c r="E93" s="38"/>
      <c r="F93" s="38"/>
      <c r="G93" s="38"/>
      <c r="H93" s="38"/>
    </row>
    <row r="94" spans="1:8" ht="15" thickBot="1" x14ac:dyDescent="0.35">
      <c r="A94" s="54" t="s">
        <v>112</v>
      </c>
      <c r="B94" s="52"/>
      <c r="C94" s="52"/>
      <c r="D94" s="52"/>
      <c r="E94" s="38"/>
      <c r="F94" s="38"/>
      <c r="G94" s="38"/>
      <c r="H94" s="38"/>
    </row>
    <row r="95" spans="1:8" ht="15" thickBot="1" x14ac:dyDescent="0.35">
      <c r="A95" s="54" t="s">
        <v>113</v>
      </c>
      <c r="B95" s="52"/>
      <c r="C95" s="52"/>
      <c r="D95" s="52"/>
      <c r="E95" s="38"/>
      <c r="F95" s="38"/>
      <c r="G95" s="38"/>
      <c r="H95" s="38"/>
    </row>
    <row r="96" spans="1:8" ht="14.25" x14ac:dyDescent="0.3">
      <c r="A96" s="47"/>
      <c r="B96" s="48"/>
      <c r="C96" s="49"/>
      <c r="D96" s="38"/>
      <c r="E96" s="38"/>
      <c r="F96" s="38"/>
      <c r="G96" s="38"/>
      <c r="H96" s="38"/>
    </row>
    <row r="97" spans="1:8" ht="14.25" x14ac:dyDescent="0.3">
      <c r="A97" s="76" t="s">
        <v>114</v>
      </c>
      <c r="B97" s="77"/>
      <c r="C97" s="49"/>
      <c r="D97" s="38"/>
      <c r="E97" s="38"/>
      <c r="F97" s="38"/>
      <c r="G97" s="38"/>
      <c r="H97" s="38"/>
    </row>
    <row r="98" spans="1:8" ht="14.25" x14ac:dyDescent="0.3">
      <c r="A98" s="55" t="s">
        <v>115</v>
      </c>
      <c r="B98" s="56" t="s">
        <v>116</v>
      </c>
      <c r="C98" s="49"/>
      <c r="D98" s="38"/>
      <c r="E98" s="38"/>
      <c r="F98" s="38"/>
      <c r="G98" s="38"/>
      <c r="H98" s="38"/>
    </row>
    <row r="99" spans="1:8" ht="14.25" x14ac:dyDescent="0.3">
      <c r="A99" s="55" t="s">
        <v>117</v>
      </c>
      <c r="B99" s="57"/>
      <c r="C99" s="49"/>
      <c r="D99" s="38"/>
      <c r="E99" s="38"/>
      <c r="F99" s="38"/>
      <c r="G99" s="38"/>
      <c r="H99" s="38"/>
    </row>
    <row r="100" spans="1:8" ht="14.25" x14ac:dyDescent="0.3">
      <c r="A100" s="55"/>
      <c r="B100" s="57"/>
      <c r="C100" s="49"/>
      <c r="D100" s="38"/>
      <c r="E100" s="38"/>
      <c r="F100" s="38"/>
      <c r="G100" s="38"/>
      <c r="H100" s="38"/>
    </row>
    <row r="101" spans="1:8" ht="14.25" x14ac:dyDescent="0.3">
      <c r="A101" s="55" t="s">
        <v>118</v>
      </c>
      <c r="B101" s="58">
        <v>6.8599999999999994E-2</v>
      </c>
      <c r="C101" s="49"/>
      <c r="D101" s="38"/>
      <c r="E101" s="38"/>
      <c r="F101" s="38"/>
      <c r="G101" s="38"/>
      <c r="H101" s="38"/>
    </row>
    <row r="102" spans="1:8" ht="14.25" x14ac:dyDescent="0.3">
      <c r="A102" s="55" t="s">
        <v>90</v>
      </c>
      <c r="B102" s="59"/>
      <c r="C102" s="49"/>
      <c r="D102" s="38"/>
      <c r="E102" s="38"/>
      <c r="F102" s="38"/>
      <c r="G102" s="38"/>
      <c r="H102" s="38"/>
    </row>
    <row r="103" spans="1:8" ht="14.25" x14ac:dyDescent="0.3">
      <c r="A103" s="55" t="s">
        <v>119</v>
      </c>
      <c r="B103" s="60">
        <v>7.9600000000000004E-2</v>
      </c>
      <c r="C103" s="49"/>
      <c r="D103" s="38"/>
      <c r="E103" s="38"/>
      <c r="F103" s="38"/>
      <c r="G103" s="38"/>
      <c r="H103" s="38"/>
    </row>
    <row r="104" spans="1:8" ht="14.25" x14ac:dyDescent="0.3">
      <c r="A104" s="55" t="s">
        <v>120</v>
      </c>
      <c r="B104" s="61">
        <v>8.0100000000000005E-2</v>
      </c>
      <c r="C104" s="49"/>
      <c r="D104" s="38"/>
      <c r="E104" s="38"/>
      <c r="F104" s="38"/>
      <c r="G104" s="38"/>
      <c r="H104" s="38"/>
    </row>
    <row r="105" spans="1:8" ht="14.25" x14ac:dyDescent="0.3">
      <c r="A105" s="55" t="s">
        <v>90</v>
      </c>
      <c r="B105" s="62"/>
      <c r="C105" s="49"/>
      <c r="D105" s="38"/>
      <c r="E105" s="38"/>
      <c r="F105" s="38"/>
      <c r="G105" s="38"/>
      <c r="H105" s="38"/>
    </row>
    <row r="106" spans="1:8" ht="14.25" x14ac:dyDescent="0.3">
      <c r="A106" s="55" t="s">
        <v>121</v>
      </c>
      <c r="B106" s="63" t="s">
        <v>122</v>
      </c>
      <c r="C106" s="49"/>
      <c r="D106" s="38"/>
      <c r="E106" s="38"/>
      <c r="F106" s="38"/>
      <c r="G106" s="38"/>
      <c r="H106" s="38"/>
    </row>
    <row r="107" spans="1:8" ht="14.25" x14ac:dyDescent="0.3">
      <c r="A107" s="64" t="s">
        <v>123</v>
      </c>
      <c r="B107" s="65"/>
      <c r="C107" s="49"/>
      <c r="D107" s="38"/>
      <c r="E107" s="38"/>
      <c r="F107" s="38"/>
      <c r="G107" s="38"/>
      <c r="H107" s="38"/>
    </row>
    <row r="108" spans="1:8" ht="14.25" x14ac:dyDescent="0.3">
      <c r="A108" s="66"/>
      <c r="B108" s="67"/>
      <c r="C108" s="49"/>
      <c r="D108" s="25"/>
      <c r="E108" s="68"/>
      <c r="F108" s="25"/>
      <c r="G108" s="25"/>
      <c r="H108" s="25"/>
    </row>
    <row r="109" spans="1:8" ht="14.25" x14ac:dyDescent="0.3">
      <c r="A109" s="66"/>
      <c r="B109" s="67"/>
      <c r="C109" s="49"/>
      <c r="D109" s="25"/>
      <c r="E109" s="68"/>
      <c r="F109" s="25"/>
      <c r="G109" s="25"/>
      <c r="H109" s="25"/>
    </row>
    <row r="110" spans="1:8" ht="14.25" x14ac:dyDescent="0.3">
      <c r="A110" s="66"/>
      <c r="B110" s="67"/>
      <c r="C110" s="49"/>
      <c r="D110" s="25"/>
      <c r="E110" s="68"/>
      <c r="F110" s="25"/>
      <c r="G110" s="25"/>
      <c r="H110" s="25"/>
    </row>
    <row r="111" spans="1:8" ht="14.25" x14ac:dyDescent="0.3">
      <c r="A111" s="66"/>
      <c r="B111" s="67"/>
      <c r="C111" s="49"/>
      <c r="D111" s="25"/>
      <c r="E111" s="68"/>
      <c r="F111" s="25"/>
      <c r="G111" s="25"/>
      <c r="H111" s="25"/>
    </row>
    <row r="112" spans="1:8" ht="14.25" x14ac:dyDescent="0.3">
      <c r="A112" s="66"/>
      <c r="B112" s="67"/>
      <c r="C112" s="49"/>
      <c r="D112" s="25"/>
      <c r="E112" s="68"/>
      <c r="F112" s="25"/>
      <c r="G112" s="25"/>
      <c r="H112" s="25"/>
    </row>
    <row r="113" spans="1:8" ht="14.25" x14ac:dyDescent="0.3">
      <c r="A113" s="66"/>
      <c r="B113" s="67"/>
      <c r="C113" s="49"/>
      <c r="D113" s="25"/>
      <c r="E113" s="68"/>
      <c r="F113" s="25"/>
      <c r="G113" s="25"/>
      <c r="H113" s="25"/>
    </row>
    <row r="114" spans="1:8" ht="14.25" x14ac:dyDescent="0.3">
      <c r="A114" s="66"/>
      <c r="B114" s="67"/>
      <c r="C114" s="49"/>
      <c r="D114" s="25"/>
      <c r="E114" s="68"/>
      <c r="F114" s="25"/>
      <c r="G114" s="25"/>
      <c r="H114" s="25"/>
    </row>
    <row r="115" spans="1:8" ht="14.25" x14ac:dyDescent="0.3">
      <c r="A115" s="66"/>
      <c r="B115" s="67"/>
      <c r="C115" s="49"/>
      <c r="D115" s="25"/>
      <c r="E115" s="25"/>
      <c r="F115" s="25"/>
      <c r="G115" s="25"/>
      <c r="H115" s="25"/>
    </row>
    <row r="116" spans="1:8" ht="14.25" x14ac:dyDescent="0.3">
      <c r="A116" s="66"/>
      <c r="B116" s="67"/>
      <c r="C116" s="49"/>
      <c r="D116" s="25"/>
      <c r="E116" s="25"/>
      <c r="F116" s="25"/>
      <c r="G116" s="25"/>
      <c r="H116" s="25"/>
    </row>
    <row r="117" spans="1:8" ht="14.25" x14ac:dyDescent="0.3">
      <c r="A117" s="66"/>
      <c r="B117" s="67"/>
      <c r="C117" s="49"/>
      <c r="D117" s="25"/>
      <c r="E117" s="25"/>
      <c r="F117" s="25"/>
      <c r="G117" s="25"/>
      <c r="H117" s="25"/>
    </row>
    <row r="118" spans="1:8" ht="14.25" x14ac:dyDescent="0.3">
      <c r="A118" s="66"/>
      <c r="B118" s="67"/>
      <c r="C118" s="49"/>
      <c r="D118" s="25"/>
      <c r="E118" s="25"/>
      <c r="F118" s="25"/>
      <c r="G118" s="25"/>
      <c r="H118" s="25"/>
    </row>
    <row r="119" spans="1:8" ht="14.25" x14ac:dyDescent="0.3">
      <c r="A119" s="66"/>
      <c r="B119" s="67"/>
      <c r="C119" s="49"/>
      <c r="D119" s="25"/>
      <c r="E119" s="25"/>
      <c r="F119" s="25"/>
      <c r="G119" s="25"/>
      <c r="H119" s="25"/>
    </row>
    <row r="120" spans="1:8" ht="14.25" x14ac:dyDescent="0.3">
      <c r="A120" s="66"/>
      <c r="B120" s="67"/>
      <c r="C120" s="49"/>
      <c r="D120" s="25"/>
      <c r="E120" s="25"/>
      <c r="F120" s="25"/>
      <c r="G120" s="25"/>
      <c r="H120" s="25"/>
    </row>
    <row r="121" spans="1:8" ht="14.25" x14ac:dyDescent="0.3">
      <c r="A121" s="66"/>
      <c r="B121" s="67"/>
      <c r="C121" s="49"/>
      <c r="D121" s="25"/>
      <c r="E121" s="25"/>
      <c r="F121" s="25"/>
      <c r="G121" s="25"/>
      <c r="H121" s="25"/>
    </row>
    <row r="122" spans="1:8" ht="14.25" x14ac:dyDescent="0.3">
      <c r="A122" s="66"/>
      <c r="B122" s="67"/>
      <c r="C122" s="49"/>
      <c r="D122" s="25"/>
      <c r="E122" s="25"/>
      <c r="F122" s="25"/>
      <c r="G122" s="25"/>
      <c r="H122" s="25"/>
    </row>
    <row r="123" spans="1:8" ht="14.25" x14ac:dyDescent="0.3">
      <c r="A123" s="66"/>
      <c r="B123" s="67"/>
      <c r="C123" s="49"/>
      <c r="D123" s="25"/>
      <c r="E123" s="25"/>
      <c r="F123" s="25"/>
      <c r="G123" s="25"/>
      <c r="H123" s="25"/>
    </row>
    <row r="124" spans="1:8" ht="14.25" x14ac:dyDescent="0.3">
      <c r="A124" s="66"/>
      <c r="B124" s="67"/>
      <c r="C124" s="49"/>
      <c r="D124" s="25"/>
      <c r="E124" s="25"/>
      <c r="F124" s="25"/>
      <c r="G124" s="25"/>
      <c r="H124" s="25"/>
    </row>
    <row r="125" spans="1:8" ht="14.25" x14ac:dyDescent="0.3">
      <c r="A125" s="66"/>
      <c r="B125" s="67"/>
      <c r="C125" s="49"/>
      <c r="D125" s="25"/>
      <c r="E125" s="25"/>
      <c r="F125" s="25"/>
      <c r="G125" s="25"/>
      <c r="H125" s="25"/>
    </row>
    <row r="126" spans="1:8" ht="14.25" x14ac:dyDescent="0.3">
      <c r="A126" s="66"/>
      <c r="B126" s="67"/>
      <c r="C126" s="49"/>
      <c r="D126" s="25"/>
      <c r="E126" s="25"/>
      <c r="F126" s="25"/>
      <c r="G126" s="25"/>
      <c r="H126" s="25"/>
    </row>
    <row r="127" spans="1:8" ht="14.25" x14ac:dyDescent="0.3">
      <c r="A127" s="66"/>
      <c r="B127" s="67"/>
      <c r="C127" s="49"/>
      <c r="D127" s="25"/>
      <c r="E127" s="25"/>
      <c r="F127" s="25"/>
      <c r="G127" s="25"/>
      <c r="H127" s="25"/>
    </row>
    <row r="128" spans="1:8" ht="14.25" x14ac:dyDescent="0.3">
      <c r="A128" s="66"/>
      <c r="B128" s="67"/>
      <c r="C128" s="49"/>
      <c r="D128" s="25"/>
      <c r="E128" s="25"/>
      <c r="F128" s="25"/>
      <c r="G128" s="25"/>
      <c r="H128" s="25"/>
    </row>
    <row r="129" spans="1:8" ht="14.25" x14ac:dyDescent="0.3">
      <c r="A129" s="66"/>
      <c r="B129" s="67"/>
      <c r="C129" s="49"/>
      <c r="D129" s="25"/>
      <c r="E129" s="25"/>
      <c r="F129" s="25"/>
      <c r="G129" s="25"/>
      <c r="H129" s="25"/>
    </row>
    <row r="130" spans="1:8" ht="14.25" x14ac:dyDescent="0.3">
      <c r="A130" s="66"/>
      <c r="B130" s="67"/>
      <c r="C130" s="49"/>
      <c r="D130" s="25"/>
      <c r="E130" s="25"/>
      <c r="F130" s="25"/>
      <c r="G130" s="25"/>
      <c r="H130" s="25"/>
    </row>
    <row r="131" spans="1:8" ht="14.25" x14ac:dyDescent="0.3">
      <c r="A131" s="66"/>
      <c r="B131" s="67"/>
      <c r="C131" s="49"/>
      <c r="D131" s="25"/>
      <c r="E131" s="25"/>
      <c r="F131" s="25"/>
      <c r="G131" s="25"/>
      <c r="H131" s="25"/>
    </row>
    <row r="132" spans="1:8" ht="14.25" x14ac:dyDescent="0.3">
      <c r="A132" s="66"/>
      <c r="B132" s="67"/>
      <c r="C132" s="49"/>
      <c r="D132" s="25"/>
      <c r="E132" s="25"/>
      <c r="F132" s="25"/>
      <c r="G132" s="25"/>
      <c r="H132" s="25"/>
    </row>
    <row r="133" spans="1:8" ht="14.25" x14ac:dyDescent="0.3">
      <c r="A133" s="66"/>
      <c r="B133" s="67"/>
      <c r="C133" s="49"/>
      <c r="D133" s="25"/>
      <c r="E133" s="25"/>
      <c r="F133" s="25"/>
      <c r="G133" s="25"/>
      <c r="H133" s="25"/>
    </row>
    <row r="134" spans="1:8" ht="14.25" x14ac:dyDescent="0.3">
      <c r="A134" s="66"/>
      <c r="B134" s="67"/>
      <c r="C134" s="49"/>
      <c r="D134" s="25"/>
      <c r="E134" s="25"/>
      <c r="F134" s="25"/>
      <c r="G134" s="25"/>
      <c r="H134" s="25"/>
    </row>
    <row r="135" spans="1:8" ht="14.25" x14ac:dyDescent="0.3">
      <c r="A135" s="66"/>
      <c r="B135" s="67"/>
      <c r="C135" s="49"/>
      <c r="D135" s="25"/>
      <c r="E135" s="25"/>
      <c r="F135" s="25"/>
      <c r="G135" s="25"/>
      <c r="H135" s="25"/>
    </row>
    <row r="136" spans="1:8" ht="14.25" x14ac:dyDescent="0.3">
      <c r="A136" s="66"/>
      <c r="B136" s="67"/>
      <c r="C136" s="49"/>
      <c r="D136" s="25"/>
      <c r="E136" s="25"/>
      <c r="F136" s="25"/>
      <c r="G136" s="25"/>
      <c r="H136" s="25"/>
    </row>
    <row r="137" spans="1:8" ht="14.25" x14ac:dyDescent="0.3">
      <c r="A137" s="66"/>
      <c r="B137" s="67"/>
      <c r="C137" s="49"/>
      <c r="D137" s="25"/>
      <c r="E137" s="25"/>
      <c r="F137" s="25"/>
      <c r="G137" s="25"/>
      <c r="H137" s="25"/>
    </row>
    <row r="138" spans="1:8" ht="14.25" x14ac:dyDescent="0.3">
      <c r="A138" s="66"/>
      <c r="B138" s="67"/>
      <c r="C138" s="49"/>
      <c r="D138" s="25"/>
      <c r="E138" s="25"/>
      <c r="F138" s="25"/>
      <c r="G138" s="25"/>
      <c r="H138" s="25"/>
    </row>
    <row r="139" spans="1:8" ht="14.25" x14ac:dyDescent="0.3">
      <c r="A139" s="66"/>
      <c r="B139" s="67"/>
      <c r="C139" s="49"/>
      <c r="D139" s="25"/>
      <c r="E139" s="25"/>
      <c r="F139" s="25"/>
      <c r="G139" s="25"/>
      <c r="H139" s="25"/>
    </row>
    <row r="140" spans="1:8" ht="14.25" x14ac:dyDescent="0.3">
      <c r="A140" s="66"/>
      <c r="B140" s="67"/>
      <c r="C140" s="49"/>
      <c r="D140" s="25"/>
      <c r="E140" s="25"/>
      <c r="F140" s="25"/>
      <c r="G140" s="25"/>
      <c r="H140" s="25"/>
    </row>
    <row r="141" spans="1:8" ht="14.25" x14ac:dyDescent="0.3">
      <c r="A141" s="66"/>
      <c r="B141" s="67"/>
      <c r="C141" s="49"/>
      <c r="D141" s="25"/>
      <c r="E141" s="25"/>
      <c r="F141" s="25"/>
      <c r="G141" s="25"/>
      <c r="H141" s="25"/>
    </row>
    <row r="142" spans="1:8" ht="14.25" x14ac:dyDescent="0.3">
      <c r="A142" s="66"/>
      <c r="B142" s="67"/>
      <c r="C142" s="49"/>
      <c r="D142" s="25"/>
      <c r="E142" s="25"/>
      <c r="F142" s="25"/>
      <c r="G142" s="25"/>
      <c r="H142" s="25"/>
    </row>
    <row r="143" spans="1:8" ht="14.25" x14ac:dyDescent="0.3">
      <c r="A143" s="66"/>
      <c r="B143" s="67"/>
      <c r="C143" s="49"/>
      <c r="D143" s="25"/>
      <c r="E143" s="25"/>
      <c r="F143" s="25"/>
      <c r="G143" s="25"/>
      <c r="H143" s="25"/>
    </row>
    <row r="144" spans="1:8" ht="14.25" x14ac:dyDescent="0.3">
      <c r="A144" s="66"/>
      <c r="B144" s="67"/>
      <c r="C144" s="49"/>
      <c r="D144" s="25"/>
      <c r="E144" s="25"/>
      <c r="F144" s="25"/>
      <c r="G144" s="25"/>
      <c r="H144" s="25"/>
    </row>
    <row r="145" spans="1:8" ht="14.25" x14ac:dyDescent="0.3">
      <c r="A145" s="66"/>
      <c r="B145" s="67"/>
      <c r="C145" s="49"/>
      <c r="D145" s="25"/>
      <c r="E145" s="25"/>
      <c r="F145" s="25"/>
      <c r="G145" s="25"/>
      <c r="H145" s="25"/>
    </row>
    <row r="146" spans="1:8" ht="14.25" x14ac:dyDescent="0.3">
      <c r="A146" s="66"/>
      <c r="B146" s="67"/>
      <c r="C146" s="49"/>
      <c r="D146" s="25"/>
      <c r="E146" s="25"/>
      <c r="F146" s="25"/>
      <c r="G146" s="25"/>
      <c r="H146" s="25"/>
    </row>
    <row r="147" spans="1:8" ht="14.25" x14ac:dyDescent="0.3">
      <c r="A147" s="66"/>
      <c r="B147" s="67"/>
      <c r="C147" s="49"/>
      <c r="D147" s="25"/>
      <c r="E147" s="25"/>
      <c r="F147" s="25"/>
      <c r="G147" s="25"/>
      <c r="H147" s="25"/>
    </row>
    <row r="148" spans="1:8" ht="14.25" x14ac:dyDescent="0.3">
      <c r="A148" s="66"/>
      <c r="B148" s="67"/>
      <c r="C148" s="49"/>
      <c r="D148" s="25"/>
      <c r="E148" s="25"/>
      <c r="F148" s="25"/>
      <c r="G148" s="25"/>
      <c r="H148" s="25"/>
    </row>
    <row r="149" spans="1:8" ht="14.25" x14ac:dyDescent="0.3">
      <c r="A149" s="66"/>
      <c r="B149" s="67"/>
      <c r="C149" s="49"/>
      <c r="D149" s="25"/>
      <c r="E149" s="25"/>
      <c r="F149" s="25"/>
      <c r="G149" s="25"/>
      <c r="H149" s="25"/>
    </row>
    <row r="150" spans="1:8" ht="14.25" x14ac:dyDescent="0.3">
      <c r="A150" s="66"/>
      <c r="B150" s="67"/>
      <c r="C150" s="49"/>
      <c r="D150" s="25"/>
      <c r="E150" s="25"/>
      <c r="F150" s="25"/>
      <c r="G150" s="25"/>
      <c r="H150" s="25"/>
    </row>
    <row r="151" spans="1:8" ht="14.25" x14ac:dyDescent="0.3">
      <c r="A151" s="66"/>
      <c r="B151" s="67"/>
      <c r="C151" s="49"/>
      <c r="D151" s="25"/>
      <c r="E151" s="25"/>
      <c r="F151" s="25"/>
      <c r="G151" s="25"/>
      <c r="H151" s="25"/>
    </row>
    <row r="152" spans="1:8" ht="14.25" x14ac:dyDescent="0.3">
      <c r="A152" s="66"/>
      <c r="B152" s="67"/>
      <c r="C152" s="49"/>
      <c r="D152" s="25"/>
      <c r="E152" s="25"/>
      <c r="F152" s="25"/>
      <c r="G152" s="25"/>
      <c r="H152" s="25"/>
    </row>
    <row r="153" spans="1:8" ht="14.25" x14ac:dyDescent="0.3">
      <c r="A153" s="66"/>
      <c r="B153" s="67"/>
      <c r="C153" s="49"/>
      <c r="D153" s="25"/>
      <c r="E153" s="25"/>
      <c r="F153" s="25"/>
      <c r="G153" s="25"/>
      <c r="H153" s="25"/>
    </row>
    <row r="154" spans="1:8" ht="14.25" x14ac:dyDescent="0.3">
      <c r="A154" s="66"/>
      <c r="B154" s="67"/>
      <c r="C154" s="49"/>
      <c r="D154" s="25"/>
      <c r="E154" s="25"/>
      <c r="F154" s="25"/>
      <c r="G154" s="25"/>
      <c r="H154" s="25"/>
    </row>
    <row r="155" spans="1:8" ht="14.25" x14ac:dyDescent="0.3">
      <c r="A155" s="66"/>
      <c r="B155" s="67"/>
      <c r="C155" s="49"/>
      <c r="D155" s="25"/>
      <c r="E155" s="25"/>
      <c r="F155" s="25"/>
      <c r="G155" s="25"/>
      <c r="H155" s="25"/>
    </row>
  </sheetData>
  <mergeCells count="13">
    <mergeCell ref="A72:H72"/>
    <mergeCell ref="A1:H1"/>
    <mergeCell ref="A2:H2"/>
    <mergeCell ref="A68:H68"/>
    <mergeCell ref="A70:H70"/>
    <mergeCell ref="A71:H71"/>
    <mergeCell ref="A97:B97"/>
    <mergeCell ref="A73:H73"/>
    <mergeCell ref="B80:D80"/>
    <mergeCell ref="A90:D90"/>
    <mergeCell ref="B91:B92"/>
    <mergeCell ref="C91:C92"/>
    <mergeCell ref="D91:D92"/>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Liquid Fund</vt:lpstr>
      <vt:lpstr>'JM Liquid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Rajesh Gurav</cp:lastModifiedBy>
  <dcterms:created xsi:type="dcterms:W3CDTF">2023-08-01T11:41:03Z</dcterms:created>
  <dcterms:modified xsi:type="dcterms:W3CDTF">2023-08-03T11:21:47Z</dcterms:modified>
</cp:coreProperties>
</file>