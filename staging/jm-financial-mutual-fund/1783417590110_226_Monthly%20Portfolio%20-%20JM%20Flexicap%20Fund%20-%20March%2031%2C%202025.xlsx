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Flexicap Fund" sheetId="1" r:id="rId1"/>
  </sheets>
  <definedNames>
    <definedName name="_xlnm._FilterDatabase" localSheetId="0" hidden="1">'JM Flexicap Fund'!$A$4:$H$79</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Flexicap Fund'!$A$1:$E$69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1" l="1"/>
  <c r="D78" i="1" l="1"/>
  <c r="D72" i="1" l="1"/>
  <c r="D73" i="1" s="1"/>
  <c r="D53" i="1"/>
  <c r="D58" i="1" s="1"/>
  <c r="E77" i="1" l="1"/>
  <c r="E78" i="1" s="1"/>
  <c r="E50" i="1"/>
  <c r="E46" i="1"/>
  <c r="E42" i="1"/>
  <c r="E38" i="1"/>
  <c r="E34" i="1"/>
  <c r="E30" i="1"/>
  <c r="E26" i="1"/>
  <c r="E22" i="1"/>
  <c r="E18" i="1"/>
  <c r="E14" i="1"/>
  <c r="E10" i="1"/>
  <c r="E71" i="1"/>
  <c r="E72" i="1" s="1"/>
  <c r="E73" i="1" s="1"/>
  <c r="E49" i="1"/>
  <c r="E45" i="1"/>
  <c r="E41" i="1"/>
  <c r="E37" i="1"/>
  <c r="E33" i="1"/>
  <c r="E29" i="1"/>
  <c r="E25" i="1"/>
  <c r="E21" i="1"/>
  <c r="E17" i="1"/>
  <c r="E13" i="1"/>
  <c r="E9" i="1"/>
  <c r="E52" i="1"/>
  <c r="E48" i="1"/>
  <c r="E44" i="1"/>
  <c r="E40" i="1"/>
  <c r="E36" i="1"/>
  <c r="E32" i="1"/>
  <c r="E28" i="1"/>
  <c r="E24" i="1"/>
  <c r="E20" i="1"/>
  <c r="E16" i="1"/>
  <c r="E12" i="1"/>
  <c r="E8" i="1"/>
  <c r="E51" i="1"/>
  <c r="E47" i="1"/>
  <c r="E43" i="1"/>
  <c r="E39" i="1"/>
  <c r="E35" i="1"/>
  <c r="E31" i="1"/>
  <c r="E27" i="1"/>
  <c r="E23" i="1"/>
  <c r="E19" i="1"/>
  <c r="E15" i="1"/>
  <c r="E11" i="1"/>
  <c r="E7" i="1"/>
  <c r="E53" i="1" s="1"/>
  <c r="E58" i="1" s="1"/>
  <c r="E79" i="1" l="1"/>
</calcChain>
</file>

<file path=xl/sharedStrings.xml><?xml version="1.0" encoding="utf-8"?>
<sst xmlns="http://schemas.openxmlformats.org/spreadsheetml/2006/main" count="223" uniqueCount="177">
  <si>
    <t xml:space="preserve"> The risk of the benchmark is Very High </t>
  </si>
  <si>
    <t>The risk of the scheme is Very High</t>
  </si>
  <si>
    <t xml:space="preserve">                                 Benchmark of the scheme - BSE 500 TRI</t>
  </si>
  <si>
    <t xml:space="preserve">         Riskometer of the scheme </t>
  </si>
  <si>
    <t>*Investors should consult their financial advisers if in doubt about whether the product is suitable for them.</t>
  </si>
  <si>
    <t>• Investment predominantly in Equity &amp; Equity related securities investing across market capitalization.</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</si>
  <si>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</si>
  <si>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</si>
  <si>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</si>
  <si>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</si>
  <si>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</si>
  <si>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</si>
  <si>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Subtotal</t>
  </si>
  <si>
    <t>^YTC (AT1/Tier 2 bonds)</t>
  </si>
  <si>
    <t>Yield %</t>
  </si>
  <si>
    <t>ISIN</t>
  </si>
  <si>
    <t>% age to NAV</t>
  </si>
  <si>
    <t>Market Value (Rs. In Lakhs)</t>
  </si>
  <si>
    <t>Quantity</t>
  </si>
  <si>
    <t>Industry/Rating</t>
  </si>
  <si>
    <t>Name of the Instruments</t>
  </si>
  <si>
    <t>JM Flexicap Fund (An open ended dynamic equity scheme investing across large cap, mid cap, small cap stocks.)</t>
  </si>
  <si>
    <t>JM Financial Mutual Fund</t>
  </si>
  <si>
    <t>Equity &amp; Equity related</t>
  </si>
  <si>
    <t>a) Listed / awaiting listing on Stock Exchanges</t>
  </si>
  <si>
    <t>INE040A01034</t>
  </si>
  <si>
    <t>INE090A01021</t>
  </si>
  <si>
    <t>INE009A01021</t>
  </si>
  <si>
    <t>INE062A01020</t>
  </si>
  <si>
    <t>INE585B01010</t>
  </si>
  <si>
    <t>INE376G01013</t>
  </si>
  <si>
    <t>INE669C01036</t>
  </si>
  <si>
    <t>INE917I01010</t>
  </si>
  <si>
    <t>INE397D01024</t>
  </si>
  <si>
    <t>Construction</t>
  </si>
  <si>
    <t>INE018A01030</t>
  </si>
  <si>
    <t>INE020B01018</t>
  </si>
  <si>
    <t>INE237A01028</t>
  </si>
  <si>
    <t>INE872J01023</t>
  </si>
  <si>
    <t>INE063P01018</t>
  </si>
  <si>
    <t>INE034A01011</t>
  </si>
  <si>
    <t>INE725G01011</t>
  </si>
  <si>
    <t>Power</t>
  </si>
  <si>
    <t>INE013P01021</t>
  </si>
  <si>
    <t>INE044A01036</t>
  </si>
  <si>
    <t>INE647A01010</t>
  </si>
  <si>
    <t>INE758T01015</t>
  </si>
  <si>
    <t>INE495P01012</t>
  </si>
  <si>
    <t>INE472A01039</t>
  </si>
  <si>
    <t>INE07T201019</t>
  </si>
  <si>
    <t>INE318A01026</t>
  </si>
  <si>
    <t>INE741K01010</t>
  </si>
  <si>
    <t>INE854D01024</t>
  </si>
  <si>
    <t>INE03QK01018</t>
  </si>
  <si>
    <t>INE619B01017</t>
  </si>
  <si>
    <t>INE635Q01029</t>
  </si>
  <si>
    <t>INE146L01010</t>
  </si>
  <si>
    <t>INE191A01027</t>
  </si>
  <si>
    <t>INE350C01017</t>
  </si>
  <si>
    <t>INE121A01024</t>
  </si>
  <si>
    <t>INE296A01024</t>
  </si>
  <si>
    <t>(b) UNLISTED</t>
  </si>
  <si>
    <t>NIL</t>
  </si>
  <si>
    <t>Preference Shares</t>
  </si>
  <si>
    <t>Total</t>
  </si>
  <si>
    <t>Debt Instruments</t>
  </si>
  <si>
    <t>(a) Listed / awaiting listing on Stock Exchange</t>
  </si>
  <si>
    <t>(b) Privately placed / Unlisted</t>
  </si>
  <si>
    <t>(c) Securitised Debt</t>
  </si>
  <si>
    <t>Money Market Instruments</t>
  </si>
  <si>
    <t>Tri Party Repo (TREPs)</t>
  </si>
  <si>
    <t>GRAND TOTAL</t>
  </si>
  <si>
    <t>Banks</t>
  </si>
  <si>
    <t>IT - Software</t>
  </si>
  <si>
    <t>Automobiles</t>
  </si>
  <si>
    <t>Pharmaceuticals &amp; Biotechnology</t>
  </si>
  <si>
    <t>Telecom - Services</t>
  </si>
  <si>
    <t>Finance</t>
  </si>
  <si>
    <t>Capital Markets</t>
  </si>
  <si>
    <t>Leisure Services</t>
  </si>
  <si>
    <t>Textiles &amp; Apparels</t>
  </si>
  <si>
    <t>Chemicals &amp; Petrochemicals</t>
  </si>
  <si>
    <t>Consumer Durables</t>
  </si>
  <si>
    <t>Retailing</t>
  </si>
  <si>
    <t>Food Products</t>
  </si>
  <si>
    <t>Electrical Equipment</t>
  </si>
  <si>
    <t>Beverages</t>
  </si>
  <si>
    <t>Petroleum Products</t>
  </si>
  <si>
    <t>Industrial Products</t>
  </si>
  <si>
    <t>Telecom - Equipment &amp; Accessories</t>
  </si>
  <si>
    <t>Cash &amp; Cash Equivalents</t>
  </si>
  <si>
    <t>Net Receivable/Payable</t>
  </si>
  <si>
    <t>Cigarettes &amp; Tobacco Products</t>
  </si>
  <si>
    <t>Healthcare Services</t>
  </si>
  <si>
    <t>INE797F01020</t>
  </si>
  <si>
    <t>INE260B01028</t>
  </si>
  <si>
    <t>INE437A01024</t>
  </si>
  <si>
    <t>INE257A01026</t>
  </si>
  <si>
    <t>INE121E01018</t>
  </si>
  <si>
    <t>INE291A01017</t>
  </si>
  <si>
    <t>CCIL</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</si>
  <si>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</si>
  <si>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</si>
  <si>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</si>
  <si>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</si>
  <si>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</si>
  <si>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Monthly Portfolio Statement for the period ended 31.03.2025</t>
  </si>
  <si>
    <t>HDFC Bank Limited</t>
  </si>
  <si>
    <t>ICICI Bank Limited</t>
  </si>
  <si>
    <t>State Bank of India</t>
  </si>
  <si>
    <t>Sun Pharmaceutical Industries Limited</t>
  </si>
  <si>
    <t>Cholamandalam Invest &amp; Finance Co Ltd</t>
  </si>
  <si>
    <t>Kotak Mahindra Bank Limited</t>
  </si>
  <si>
    <t>Bajaj Finance Limited</t>
  </si>
  <si>
    <t>REC Limited</t>
  </si>
  <si>
    <t>Godfrey Phillips India Limited</t>
  </si>
  <si>
    <t>Bharti Airtel Limited</t>
  </si>
  <si>
    <t>Infosys Limited</t>
  </si>
  <si>
    <t>Maruti Suzuki India Limited</t>
  </si>
  <si>
    <t>Bharat Heavy Electricals Limited</t>
  </si>
  <si>
    <t>InterGlobe Aviation Limited</t>
  </si>
  <si>
    <t>Bajaj Auto Limited</t>
  </si>
  <si>
    <t>Jubilant Foodworks Limited</t>
  </si>
  <si>
    <t>BLUE STAR LTD</t>
  </si>
  <si>
    <t>Tech Mahindra Limited</t>
  </si>
  <si>
    <t>Larsen &amp; Toubro Limited</t>
  </si>
  <si>
    <t>NTPC Limited</t>
  </si>
  <si>
    <t>Apollo Hospitals Enterprise Limited</t>
  </si>
  <si>
    <t>Kirloskar Oil Engines Ltd</t>
  </si>
  <si>
    <t>Coal India Limited</t>
  </si>
  <si>
    <t>Devyani International Limited</t>
  </si>
  <si>
    <t>HDFC Life Insurance Company Limited</t>
  </si>
  <si>
    <t>Pidilite Industries Limited</t>
  </si>
  <si>
    <t>Arvind Limited</t>
  </si>
  <si>
    <t>United Spirits Limited</t>
  </si>
  <si>
    <t>Zomato Limited</t>
  </si>
  <si>
    <t>EQUITAS SMALL FINANCE BANK LIMITED</t>
  </si>
  <si>
    <t>Suven Pharmaceuticals Ltd</t>
  </si>
  <si>
    <t>Oil India Limited</t>
  </si>
  <si>
    <t>JSW Energy Limited</t>
  </si>
  <si>
    <t>Hindalco Industries Limited</t>
  </si>
  <si>
    <t>ICRA LIMITED</t>
  </si>
  <si>
    <t>SRF Limited</t>
  </si>
  <si>
    <t>One Source Specialty Pharma Ltd</t>
  </si>
  <si>
    <t>Restaurant Brands Asia Limited</t>
  </si>
  <si>
    <t>Mrs Bectors Food Specialities Ltd</t>
  </si>
  <si>
    <t>Biocon Limited</t>
  </si>
  <si>
    <t>Gulf Oil Lubricants India Limited</t>
  </si>
  <si>
    <t>Garware Polyester Limited</t>
  </si>
  <si>
    <t>Newgen Software Technologies Limited</t>
  </si>
  <si>
    <t>Creditaccess Grameen Limited</t>
  </si>
  <si>
    <t>Orchid Pharma Limited</t>
  </si>
  <si>
    <t>OPTIEMUS INFRACOM LIMITED</t>
  </si>
  <si>
    <t>Transport Services</t>
  </si>
  <si>
    <t>Consumable Fuels</t>
  </si>
  <si>
    <t>Insurance</t>
  </si>
  <si>
    <t>Oil</t>
  </si>
  <si>
    <t>Non - Ferrous Metals</t>
  </si>
  <si>
    <t>INE646L01027</t>
  </si>
  <si>
    <t>INE733E01010</t>
  </si>
  <si>
    <t>INE522F01014</t>
  </si>
  <si>
    <t>INE795G01014</t>
  </si>
  <si>
    <t>INE274J01014</t>
  </si>
  <si>
    <t>INE038A01020</t>
  </si>
  <si>
    <t>Underlying</t>
  </si>
  <si>
    <t>Long / Short</t>
  </si>
  <si>
    <t>Futures price when purchased (Rs.)</t>
  </si>
  <si>
    <t>Current  price of the Contract (Rs.)</t>
  </si>
  <si>
    <t>Total Margin maintained in   (Rs. In Lakhs)</t>
  </si>
  <si>
    <t>Titan Company Ltd.Apr-2025</t>
  </si>
  <si>
    <t xml:space="preserve">Long </t>
  </si>
  <si>
    <t>Total 0.00% of existing assets hedged through futures as on 31/03/2025</t>
  </si>
  <si>
    <t>For the period ended March 31, 2025, following are the hedging transactions through futures which have been squared off / expired :</t>
  </si>
  <si>
    <t>Total exposure due to futures (non hedging positions) was 0.38% of net assets as on 31/03/2025</t>
  </si>
  <si>
    <t>Total outstanding exposure in derivative instruments at the end of the period - Long -(Rs in Lakhs) :  1,998.39</t>
  </si>
  <si>
    <t>For the period ended March 31, 2025, following are the non-hedging transactions through futures which have been squared off / expired :</t>
  </si>
  <si>
    <t>Other than hedging Positions through futures as on March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</si>
</sst>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3" x14ac:knownFonts="1">
    <font>
      <sz val="10"/>
      <name val="Arial"/>
    </font>
    <font>
      <sz val="10"/>
      <name val="Times New Roman"/>
      <family val="1"/>
    </font>
    <font>
      <sz val="10"/>
      <name val="Arial"/>
      <family val="2"/>
    </font>
    <font>
      <b/>
      <sz val="8"/>
      <name val="Times New Roman"/>
      <family val="1"/>
    </font>
    <font>
      <sz val="8"/>
      <name val="Century Gothic"/>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s>
  <fills count="5">
    <fill>
      <patternFill patternType="none"/>
    </fill>
    <fill>
      <patternFill patternType="gray125"/>
    </fill>
    <fill>
      <patternFill patternType="solid">
        <fgColor indexed="8"/>
        <bgColor indexed="64"/>
      </patternFill>
    </fill>
    <fill>
      <patternFill patternType="solid">
        <fgColor indexed="23"/>
        <bgColor indexed="64"/>
      </patternFill>
    </fill>
    <fill>
      <patternFill patternType="solid">
        <fgColor indexed="2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7" fillId="0" borderId="0"/>
    <xf numFmtId="0" fontId="7" fillId="0" borderId="0"/>
    <xf numFmtId="0" fontId="7" fillId="0" borderId="0"/>
    <xf numFmtId="0" fontId="2" fillId="0" borderId="0"/>
    <xf numFmtId="9" fontId="12" fillId="0" borderId="0" applyFont="0" applyFill="0" applyBorder="0" applyAlignment="0" applyProtection="0"/>
    <xf numFmtId="164" fontId="2" fillId="0" borderId="0" applyFont="0" applyFill="0" applyBorder="0" applyAlignment="0" applyProtection="0"/>
    <xf numFmtId="164" fontId="7" fillId="0" borderId="0" applyFont="0" applyFill="0" applyBorder="0" applyAlignment="0" applyProtection="0"/>
  </cellStyleXfs>
  <cellXfs count="87">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1" fillId="0" borderId="0" xfId="2" applyFont="1" applyAlignment="1">
      <alignment horizontal="left" wrapText="1"/>
    </xf>
    <xf numFmtId="0" fontId="1" fillId="0" borderId="0" xfId="2" applyFont="1" applyAlignment="1">
      <alignment wrapText="1"/>
    </xf>
    <xf numFmtId="0" fontId="3" fillId="0" borderId="0" xfId="2" applyFont="1" applyAlignment="1">
      <alignment horizontal="center" wrapText="1"/>
    </xf>
    <xf numFmtId="0" fontId="4" fillId="0" borderId="0" xfId="2" applyFont="1"/>
    <xf numFmtId="0" fontId="5" fillId="0" borderId="0" xfId="2" applyFont="1" applyAlignment="1">
      <alignment horizontal="left" wrapText="1"/>
    </xf>
    <xf numFmtId="0" fontId="6" fillId="0" borderId="0" xfId="2" applyFont="1"/>
    <xf numFmtId="0" fontId="8" fillId="0" borderId="0" xfId="3" applyFont="1" applyAlignment="1">
      <alignment horizontal="center"/>
    </xf>
    <xf numFmtId="0" fontId="9" fillId="0" borderId="0" xfId="4" applyFont="1"/>
    <xf numFmtId="0" fontId="8" fillId="0" borderId="0" xfId="4" applyFont="1"/>
    <xf numFmtId="0" fontId="4" fillId="0" borderId="0" xfId="2" applyFont="1" applyAlignment="1">
      <alignment horizontal="left" vertical="top" wrapText="1"/>
    </xf>
    <xf numFmtId="0" fontId="10" fillId="0" borderId="0" xfId="5" applyFont="1" applyAlignment="1">
      <alignment horizontal="left" vertical="top" wrapText="1"/>
    </xf>
    <xf numFmtId="0" fontId="4" fillId="0" borderId="0" xfId="0" applyFont="1"/>
    <xf numFmtId="0" fontId="4" fillId="0" borderId="0" xfId="0" applyFont="1" applyAlignment="1">
      <alignment horizontal="right"/>
    </xf>
    <xf numFmtId="164" fontId="6" fillId="0" borderId="0" xfId="1" applyFont="1" applyFill="1" applyBorder="1" applyAlignment="1">
      <alignment horizontal="right"/>
    </xf>
    <xf numFmtId="165" fontId="6" fillId="0" borderId="0" xfId="1" applyNumberFormat="1" applyFont="1" applyFill="1" applyBorder="1" applyAlignment="1">
      <alignment horizontal="right"/>
    </xf>
    <xf numFmtId="0" fontId="6" fillId="0" borderId="0" xfId="0" applyFont="1" applyAlignment="1">
      <alignment horizontal="left" wrapText="1"/>
    </xf>
    <xf numFmtId="0" fontId="6" fillId="0" borderId="0" xfId="0" applyFont="1" applyAlignment="1">
      <alignment wrapText="1"/>
    </xf>
    <xf numFmtId="166" fontId="4" fillId="0" borderId="1" xfId="0" applyNumberFormat="1" applyFont="1" applyBorder="1"/>
    <xf numFmtId="0" fontId="4" fillId="0" borderId="1" xfId="0" applyFont="1" applyBorder="1"/>
    <xf numFmtId="0" fontId="4" fillId="0" borderId="1" xfId="0" applyFont="1" applyBorder="1" applyAlignment="1">
      <alignment horizontal="center"/>
    </xf>
    <xf numFmtId="165" fontId="4" fillId="0" borderId="1" xfId="1" applyNumberFormat="1" applyFont="1" applyFill="1" applyBorder="1" applyAlignment="1">
      <alignment horizontal="center"/>
    </xf>
    <xf numFmtId="0" fontId="4" fillId="0" borderId="1" xfId="0" applyFont="1" applyBorder="1" applyAlignment="1">
      <alignment horizontal="center" wrapText="1"/>
    </xf>
    <xf numFmtId="0" fontId="6" fillId="0" borderId="1" xfId="0" applyFont="1" applyBorder="1" applyAlignment="1">
      <alignment horizontal="left" wrapText="1"/>
    </xf>
    <xf numFmtId="0" fontId="1" fillId="0" borderId="0" xfId="0" applyFont="1" applyAlignment="1">
      <alignment horizontal="center"/>
    </xf>
    <xf numFmtId="0" fontId="6" fillId="0" borderId="1" xfId="0" applyFont="1" applyBorder="1" applyAlignment="1">
      <alignment horizontal="center" vertical="center" wrapText="1"/>
    </xf>
    <xf numFmtId="165" fontId="6" fillId="0" borderId="1" xfId="1" applyNumberFormat="1" applyFont="1" applyFill="1" applyBorder="1" applyAlignment="1">
      <alignment horizontal="center" vertical="center"/>
    </xf>
    <xf numFmtId="0" fontId="6" fillId="0" borderId="1" xfId="0" applyFont="1" applyBorder="1" applyAlignment="1">
      <alignment horizontal="left" vertical="center" wrapText="1"/>
    </xf>
    <xf numFmtId="10" fontId="6" fillId="0" borderId="1" xfId="0" applyNumberFormat="1" applyFont="1" applyBorder="1" applyAlignment="1">
      <alignment horizontal="center" wrapText="1"/>
    </xf>
    <xf numFmtId="4" fontId="6" fillId="0" borderId="1" xfId="0" applyNumberFormat="1" applyFont="1" applyBorder="1" applyAlignment="1">
      <alignment horizontal="center" wrapText="1"/>
    </xf>
    <xf numFmtId="0" fontId="4" fillId="0" borderId="1" xfId="0" applyFont="1" applyBorder="1" applyAlignment="1">
      <alignment horizontal="left" wrapText="1"/>
    </xf>
    <xf numFmtId="4" fontId="4" fillId="0" borderId="1" xfId="0" applyNumberFormat="1" applyFont="1" applyBorder="1" applyAlignment="1">
      <alignment horizontal="center" wrapText="1"/>
    </xf>
    <xf numFmtId="0" fontId="6" fillId="0" borderId="1" xfId="2" applyFont="1" applyBorder="1" applyAlignment="1">
      <alignment wrapText="1"/>
    </xf>
    <xf numFmtId="0" fontId="4" fillId="0" borderId="1" xfId="2" applyFont="1" applyBorder="1" applyAlignment="1">
      <alignment wrapText="1"/>
    </xf>
    <xf numFmtId="10" fontId="6" fillId="0" borderId="1" xfId="7" applyNumberFormat="1" applyFont="1" applyBorder="1" applyAlignment="1">
      <alignment horizontal="center" wrapText="1"/>
    </xf>
    <xf numFmtId="10" fontId="4" fillId="0" borderId="1" xfId="0" applyNumberFormat="1" applyFont="1" applyBorder="1"/>
    <xf numFmtId="0" fontId="10" fillId="0" borderId="0" xfId="5" applyFont="1" applyAlignment="1">
      <alignment horizontal="left" vertical="top" wrapText="1"/>
    </xf>
    <xf numFmtId="0" fontId="4" fillId="0" borderId="0" xfId="2" applyFont="1" applyAlignment="1">
      <alignment horizontal="left" vertical="top" wrapText="1"/>
    </xf>
    <xf numFmtId="0" fontId="4" fillId="0" borderId="0" xfId="6" applyFont="1" applyFill="1"/>
    <xf numFmtId="0" fontId="4" fillId="0" borderId="0" xfId="2" applyFont="1" applyFill="1" applyAlignment="1">
      <alignment horizontal="left" wrapText="1"/>
    </xf>
    <xf numFmtId="4" fontId="4" fillId="0" borderId="0" xfId="8" applyNumberFormat="1" applyFont="1" applyFill="1"/>
    <xf numFmtId="0" fontId="4" fillId="0" borderId="0" xfId="2" applyFont="1" applyFill="1" applyAlignment="1">
      <alignment wrapText="1"/>
    </xf>
    <xf numFmtId="165" fontId="4" fillId="0" borderId="0" xfId="8" applyNumberFormat="1" applyFont="1" applyFill="1"/>
    <xf numFmtId="164" fontId="4" fillId="0" borderId="0" xfId="2" applyNumberFormat="1" applyFont="1"/>
    <xf numFmtId="0" fontId="6" fillId="3" borderId="1" xfId="2" applyFont="1" applyFill="1" applyBorder="1"/>
    <xf numFmtId="165" fontId="4" fillId="0" borderId="1" xfId="1" applyNumberFormat="1" applyFont="1" applyBorder="1"/>
    <xf numFmtId="0" fontId="4" fillId="0" borderId="0" xfId="2" applyFont="1" applyAlignment="1">
      <alignment wrapText="1"/>
    </xf>
    <xf numFmtId="0" fontId="4" fillId="0" borderId="0" xfId="2" applyFont="1" applyAlignment="1">
      <alignment horizontal="left" wrapText="1"/>
    </xf>
    <xf numFmtId="0" fontId="6" fillId="3" borderId="4" xfId="2" applyFont="1" applyFill="1" applyBorder="1"/>
    <xf numFmtId="0" fontId="6" fillId="3" borderId="2" xfId="2" applyFont="1" applyFill="1" applyBorder="1"/>
    <xf numFmtId="0" fontId="6" fillId="3" borderId="5" xfId="2" applyFont="1" applyFill="1" applyBorder="1"/>
    <xf numFmtId="0" fontId="4" fillId="3" borderId="1" xfId="2" applyFont="1" applyFill="1" applyBorder="1"/>
    <xf numFmtId="164" fontId="4" fillId="0" borderId="1" xfId="1" applyFont="1" applyBorder="1"/>
    <xf numFmtId="10" fontId="4" fillId="0" borderId="1" xfId="7" applyNumberFormat="1" applyFont="1" applyBorder="1" applyAlignment="1">
      <alignment horizontal="center" wrapText="1"/>
    </xf>
    <xf numFmtId="0" fontId="10" fillId="0" borderId="0" xfId="5" applyFont="1" applyAlignment="1">
      <alignment horizontal="left" vertical="top" wrapText="1"/>
    </xf>
    <xf numFmtId="0" fontId="4" fillId="0" borderId="0" xfId="2" applyFont="1" applyAlignment="1">
      <alignment horizontal="left" vertical="top" wrapText="1"/>
    </xf>
    <xf numFmtId="0" fontId="6" fillId="0" borderId="0" xfId="6" applyFont="1"/>
    <xf numFmtId="165" fontId="4" fillId="0" borderId="0" xfId="1" applyNumberFormat="1" applyFont="1" applyFill="1"/>
    <xf numFmtId="164" fontId="4" fillId="0" borderId="0" xfId="1" applyFont="1" applyFill="1" applyAlignment="1">
      <alignment horizontal="right"/>
    </xf>
    <xf numFmtId="0" fontId="4" fillId="0" borderId="0" xfId="2" applyFont="1" applyAlignment="1">
      <alignment horizontal="right"/>
    </xf>
    <xf numFmtId="0" fontId="6" fillId="4" borderId="1" xfId="6" applyFont="1" applyFill="1" applyBorder="1" applyAlignment="1">
      <alignment horizontal="left" vertical="top" wrapText="1"/>
    </xf>
    <xf numFmtId="0" fontId="6" fillId="4" borderId="1" xfId="2" applyFont="1" applyFill="1" applyBorder="1" applyAlignment="1">
      <alignment horizontal="left" vertical="top" wrapText="1"/>
    </xf>
    <xf numFmtId="165" fontId="6" fillId="4" borderId="1" xfId="9" applyNumberFormat="1" applyFont="1" applyFill="1" applyBorder="1" applyAlignment="1">
      <alignment horizontal="left" vertical="top"/>
    </xf>
    <xf numFmtId="4" fontId="4" fillId="0" borderId="1" xfId="2" applyNumberFormat="1" applyFont="1" applyBorder="1" applyAlignment="1">
      <alignment horizontal="left" wrapText="1"/>
    </xf>
    <xf numFmtId="4" fontId="4" fillId="0" borderId="1" xfId="2" applyNumberFormat="1" applyFont="1" applyBorder="1" applyAlignment="1">
      <alignment wrapText="1"/>
    </xf>
    <xf numFmtId="4" fontId="4" fillId="0" borderId="1" xfId="1" applyNumberFormat="1" applyFont="1" applyFill="1" applyBorder="1"/>
    <xf numFmtId="4" fontId="4" fillId="0" borderId="1" xfId="2" applyNumberFormat="1" applyFont="1" applyBorder="1" applyAlignment="1">
      <alignment horizontal="center"/>
    </xf>
    <xf numFmtId="4" fontId="4" fillId="0" borderId="1" xfId="1" applyNumberFormat="1" applyFont="1" applyFill="1" applyBorder="1" applyAlignment="1">
      <alignment horizontal="left"/>
    </xf>
    <xf numFmtId="3" fontId="4" fillId="0" borderId="1" xfId="1" applyNumberFormat="1" applyFont="1" applyFill="1" applyBorder="1" applyAlignment="1">
      <alignment horizontal="center"/>
    </xf>
    <xf numFmtId="4" fontId="4" fillId="0" borderId="0" xfId="2" applyNumberFormat="1" applyFont="1" applyAlignment="1">
      <alignment horizontal="left" vertical="top" wrapText="1"/>
    </xf>
    <xf numFmtId="4" fontId="1" fillId="0" borderId="0" xfId="0" applyNumberFormat="1" applyFont="1"/>
    <xf numFmtId="0" fontId="4" fillId="0" borderId="4" xfId="2" applyFont="1" applyBorder="1" applyAlignment="1">
      <alignment horizontal="left"/>
    </xf>
    <xf numFmtId="0" fontId="4" fillId="0" borderId="2" xfId="2" applyFont="1" applyBorder="1" applyAlignment="1">
      <alignment horizontal="left"/>
    </xf>
    <xf numFmtId="0" fontId="4" fillId="0" borderId="5" xfId="2" applyFont="1" applyBorder="1" applyAlignment="1">
      <alignment horizontal="left"/>
    </xf>
    <xf numFmtId="0" fontId="10" fillId="0" borderId="0" xfId="5" applyFont="1" applyAlignment="1">
      <alignment horizontal="left" vertical="top" wrapText="1"/>
    </xf>
    <xf numFmtId="0" fontId="4" fillId="0" borderId="0" xfId="2" applyFont="1" applyAlignment="1">
      <alignment horizontal="left" vertical="top" wrapText="1"/>
    </xf>
    <xf numFmtId="0" fontId="3" fillId="0" borderId="0" xfId="2" applyFont="1" applyAlignment="1">
      <alignment horizontal="center" wrapText="1"/>
    </xf>
    <xf numFmtId="0" fontId="11" fillId="2" borderId="3" xfId="2" applyFont="1" applyFill="1" applyBorder="1" applyAlignment="1">
      <alignment horizontal="center" vertical="center"/>
    </xf>
    <xf numFmtId="0" fontId="11" fillId="2" borderId="2" xfId="2" applyFont="1" applyFill="1" applyBorder="1" applyAlignment="1">
      <alignment horizontal="center" vertical="center" wrapText="1"/>
    </xf>
    <xf numFmtId="0" fontId="4" fillId="0" borderId="0" xfId="6" applyFont="1" applyAlignment="1">
      <alignment horizontal="left" vertical="top" wrapText="1"/>
    </xf>
    <xf numFmtId="0" fontId="9" fillId="0" borderId="0" xfId="5" applyFont="1" applyAlignment="1">
      <alignment horizontal="left" vertical="top" wrapText="1"/>
    </xf>
    <xf numFmtId="0" fontId="6" fillId="0" borderId="3" xfId="2" applyFont="1" applyFill="1" applyBorder="1" applyAlignment="1">
      <alignment horizontal="left"/>
    </xf>
  </cellXfs>
  <cellStyles count="10">
    <cellStyle name="Comma" xfId="1" builtinId="3"/>
    <cellStyle name="Comma 2" xfId="9"/>
    <cellStyle name="Comma 4" xfId="8"/>
    <cellStyle name="Normal" xfId="0" builtinId="0"/>
    <cellStyle name="Normal 2 2 2" xfId="2"/>
    <cellStyle name="Normal 2 3 2" xfId="6"/>
    <cellStyle name="Normal 4_IF" xfId="3"/>
    <cellStyle name="Normal 4_LD" xfId="5"/>
    <cellStyle name="Normal 4_MS" xfId="4"/>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571500</xdr:colOff>
      <xdr:row>115</xdr:row>
      <xdr:rowOff>85725</xdr:rowOff>
    </xdr:from>
    <xdr:ext cx="2514600" cy="1485900"/>
    <xdr:pic>
      <xdr:nvPicPr>
        <xdr:cNvPr id="2" name="Picture 5">
          <a:extLst>
            <a:ext uri="{FF2B5EF4-FFF2-40B4-BE49-F238E27FC236}">
              <a16:creationId xmlns:a16="http://schemas.microsoft.com/office/drawing/2014/main" id="{097BDB59-BEB6-4F19-84A4-7C11FE9E11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0" y="17230725"/>
          <a:ext cx="25146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885825</xdr:colOff>
      <xdr:row>115</xdr:row>
      <xdr:rowOff>123825</xdr:rowOff>
    </xdr:from>
    <xdr:ext cx="2654300" cy="1485900"/>
    <xdr:pic>
      <xdr:nvPicPr>
        <xdr:cNvPr id="3" name="Picture 6">
          <a:extLst>
            <a:ext uri="{FF2B5EF4-FFF2-40B4-BE49-F238E27FC236}">
              <a16:creationId xmlns:a16="http://schemas.microsoft.com/office/drawing/2014/main" id="{891EE835-6D72-400D-9B5D-CD7504290A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7268825"/>
          <a:ext cx="2654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28"/>
  <sheetViews>
    <sheetView tabSelected="1" topLeftCell="A67" zoomScaleNormal="100" workbookViewId="0">
      <selection activeCell="I79" sqref="I79:I81"/>
    </sheetView>
  </sheetViews>
  <sheetFormatPr defaultColWidth="9.140625" defaultRowHeight="12.75" x14ac:dyDescent="0.2"/>
  <cols>
    <col min="1" max="1" width="48" style="4" customWidth="1"/>
    <col min="2" max="2" width="29.140625" style="3" customWidth="1"/>
    <col min="3" max="3" width="13.42578125" style="2" customWidth="1"/>
    <col min="4" max="4" width="13.42578125" style="1" customWidth="1"/>
    <col min="5" max="5" width="11.28515625" style="1" customWidth="1"/>
    <col min="6" max="6" width="16.28515625" style="1" customWidth="1"/>
    <col min="7" max="7" width="9.5703125" style="1" bestFit="1" customWidth="1"/>
    <col min="8" max="8" width="12.28515625" style="1" customWidth="1"/>
    <col min="9" max="10" width="14.42578125" style="1" bestFit="1" customWidth="1"/>
    <col min="11" max="16384" width="9.140625" style="1"/>
  </cols>
  <sheetData>
    <row r="1" spans="1:8" x14ac:dyDescent="0.2">
      <c r="A1" s="82" t="s">
        <v>22</v>
      </c>
      <c r="B1" s="82"/>
      <c r="C1" s="82"/>
      <c r="D1" s="82"/>
      <c r="E1" s="82"/>
      <c r="F1" s="82"/>
      <c r="G1" s="82"/>
      <c r="H1" s="82"/>
    </row>
    <row r="2" spans="1:8" x14ac:dyDescent="0.2">
      <c r="A2" s="82" t="s">
        <v>21</v>
      </c>
      <c r="B2" s="82"/>
      <c r="C2" s="82"/>
      <c r="D2" s="82"/>
      <c r="E2" s="82"/>
      <c r="F2" s="82"/>
      <c r="G2" s="82"/>
      <c r="H2" s="82"/>
    </row>
    <row r="3" spans="1:8" ht="12.75" customHeight="1" x14ac:dyDescent="0.2">
      <c r="A3" s="83" t="s">
        <v>106</v>
      </c>
      <c r="B3" s="83"/>
      <c r="C3" s="83"/>
      <c r="D3" s="83"/>
      <c r="E3" s="83"/>
      <c r="F3" s="83"/>
      <c r="G3" s="83"/>
      <c r="H3" s="83"/>
    </row>
    <row r="4" spans="1:8" s="29" customFormat="1" ht="25.5" x14ac:dyDescent="0.2">
      <c r="A4" s="30" t="s">
        <v>20</v>
      </c>
      <c r="B4" s="32" t="s">
        <v>19</v>
      </c>
      <c r="C4" s="31" t="s">
        <v>18</v>
      </c>
      <c r="D4" s="30" t="s">
        <v>17</v>
      </c>
      <c r="E4" s="30" t="s">
        <v>16</v>
      </c>
      <c r="F4" s="30" t="s">
        <v>15</v>
      </c>
      <c r="G4" s="30" t="s">
        <v>14</v>
      </c>
      <c r="H4" s="30" t="s">
        <v>13</v>
      </c>
    </row>
    <row r="5" spans="1:8" ht="14.25" x14ac:dyDescent="0.3">
      <c r="A5" s="28" t="s">
        <v>23</v>
      </c>
      <c r="B5" s="27"/>
      <c r="C5" s="26"/>
      <c r="D5" s="34"/>
      <c r="E5" s="33"/>
      <c r="F5" s="25"/>
      <c r="G5" s="24"/>
      <c r="H5" s="23"/>
    </row>
    <row r="6" spans="1:8" ht="14.25" x14ac:dyDescent="0.3">
      <c r="A6" s="28" t="s">
        <v>24</v>
      </c>
      <c r="B6" s="27"/>
      <c r="C6" s="26"/>
      <c r="D6" s="34"/>
      <c r="E6" s="33"/>
      <c r="F6" s="25"/>
      <c r="G6" s="24"/>
      <c r="H6" s="23"/>
    </row>
    <row r="7" spans="1:8" ht="14.25" x14ac:dyDescent="0.3">
      <c r="A7" s="35" t="s">
        <v>107</v>
      </c>
      <c r="B7" s="35" t="s">
        <v>72</v>
      </c>
      <c r="C7" s="26">
        <v>2030500</v>
      </c>
      <c r="D7" s="36">
        <v>37121.601000000002</v>
      </c>
      <c r="E7" s="58">
        <f>+D7/$D$79</f>
        <v>7.0530706571605928E-2</v>
      </c>
      <c r="F7" s="25" t="s">
        <v>25</v>
      </c>
      <c r="G7" s="24"/>
      <c r="H7" s="23"/>
    </row>
    <row r="8" spans="1:8" ht="14.25" x14ac:dyDescent="0.3">
      <c r="A8" s="35" t="s">
        <v>108</v>
      </c>
      <c r="B8" s="35" t="s">
        <v>72</v>
      </c>
      <c r="C8" s="26">
        <v>2125800</v>
      </c>
      <c r="D8" s="36">
        <v>28663.224300000002</v>
      </c>
      <c r="E8" s="58">
        <f t="shared" ref="E8:E52" si="0">+D8/$D$79</f>
        <v>5.4459867248167038E-2</v>
      </c>
      <c r="F8" s="25" t="s">
        <v>26</v>
      </c>
      <c r="G8" s="24"/>
      <c r="H8" s="23"/>
    </row>
    <row r="9" spans="1:8" ht="14.25" x14ac:dyDescent="0.3">
      <c r="A9" s="35" t="s">
        <v>109</v>
      </c>
      <c r="B9" s="35" t="s">
        <v>72</v>
      </c>
      <c r="C9" s="26">
        <v>2325000</v>
      </c>
      <c r="D9" s="36">
        <v>17937.375</v>
      </c>
      <c r="E9" s="58">
        <f t="shared" si="0"/>
        <v>3.4080850467356184E-2</v>
      </c>
      <c r="F9" s="25" t="s">
        <v>28</v>
      </c>
      <c r="G9" s="24"/>
      <c r="H9" s="23"/>
    </row>
    <row r="10" spans="1:8" ht="14.25" x14ac:dyDescent="0.3">
      <c r="A10" s="35" t="s">
        <v>110</v>
      </c>
      <c r="B10" s="35" t="s">
        <v>75</v>
      </c>
      <c r="C10" s="26">
        <v>960000</v>
      </c>
      <c r="D10" s="36">
        <v>16653.12</v>
      </c>
      <c r="E10" s="58">
        <f t="shared" si="0"/>
        <v>3.1640777568342E-2</v>
      </c>
      <c r="F10" s="25" t="s">
        <v>44</v>
      </c>
      <c r="G10" s="24"/>
      <c r="H10" s="23"/>
    </row>
    <row r="11" spans="1:8" ht="14.25" x14ac:dyDescent="0.3">
      <c r="A11" s="35" t="s">
        <v>111</v>
      </c>
      <c r="B11" s="35" t="s">
        <v>77</v>
      </c>
      <c r="C11" s="26">
        <v>1058796</v>
      </c>
      <c r="D11" s="36">
        <v>16093.169802</v>
      </c>
      <c r="E11" s="58">
        <f t="shared" si="0"/>
        <v>3.0576877250307482E-2</v>
      </c>
      <c r="F11" s="25" t="s">
        <v>59</v>
      </c>
      <c r="G11" s="24"/>
      <c r="H11" s="23"/>
    </row>
    <row r="12" spans="1:8" ht="14.25" x14ac:dyDescent="0.3">
      <c r="A12" s="35" t="s">
        <v>112</v>
      </c>
      <c r="B12" s="35" t="s">
        <v>72</v>
      </c>
      <c r="C12" s="26">
        <v>725000</v>
      </c>
      <c r="D12" s="36">
        <v>15741.2</v>
      </c>
      <c r="E12" s="58">
        <f t="shared" si="0"/>
        <v>2.9908137805935774E-2</v>
      </c>
      <c r="F12" s="25" t="s">
        <v>37</v>
      </c>
      <c r="G12" s="24"/>
      <c r="H12" s="23"/>
    </row>
    <row r="13" spans="1:8" ht="14.25" x14ac:dyDescent="0.3">
      <c r="A13" s="35" t="s">
        <v>113</v>
      </c>
      <c r="B13" s="35" t="s">
        <v>77</v>
      </c>
      <c r="C13" s="26">
        <v>172500</v>
      </c>
      <c r="D13" s="36">
        <v>15431.16</v>
      </c>
      <c r="E13" s="58">
        <f t="shared" si="0"/>
        <v>2.9319064606602028E-2</v>
      </c>
      <c r="F13" s="25" t="s">
        <v>60</v>
      </c>
      <c r="G13" s="24"/>
      <c r="H13" s="23"/>
    </row>
    <row r="14" spans="1:8" ht="14.25" x14ac:dyDescent="0.3">
      <c r="A14" s="35" t="s">
        <v>114</v>
      </c>
      <c r="B14" s="35" t="s">
        <v>77</v>
      </c>
      <c r="C14" s="26">
        <v>3555834</v>
      </c>
      <c r="D14" s="36">
        <v>15261.639528</v>
      </c>
      <c r="E14" s="58">
        <f t="shared" si="0"/>
        <v>2.8996977241121425E-2</v>
      </c>
      <c r="F14" s="25" t="s">
        <v>36</v>
      </c>
      <c r="G14" s="24"/>
      <c r="H14" s="23"/>
    </row>
    <row r="15" spans="1:8" ht="14.25" x14ac:dyDescent="0.3">
      <c r="A15" s="35" t="s">
        <v>115</v>
      </c>
      <c r="B15" s="35" t="s">
        <v>92</v>
      </c>
      <c r="C15" s="26">
        <v>218780</v>
      </c>
      <c r="D15" s="36">
        <v>14809.65576</v>
      </c>
      <c r="E15" s="58">
        <f t="shared" si="0"/>
        <v>2.8138212164800044E-2</v>
      </c>
      <c r="F15" s="25" t="s">
        <v>95</v>
      </c>
      <c r="G15" s="24"/>
      <c r="H15" s="23"/>
    </row>
    <row r="16" spans="1:8" ht="14.25" x14ac:dyDescent="0.3">
      <c r="A16" s="35" t="s">
        <v>116</v>
      </c>
      <c r="B16" s="35" t="s">
        <v>76</v>
      </c>
      <c r="C16" s="26">
        <v>830000</v>
      </c>
      <c r="D16" s="36">
        <v>14387.22</v>
      </c>
      <c r="E16" s="58">
        <f t="shared" si="0"/>
        <v>2.7335588036764367E-2</v>
      </c>
      <c r="F16" s="25" t="s">
        <v>33</v>
      </c>
      <c r="G16" s="24"/>
      <c r="H16" s="23"/>
    </row>
    <row r="17" spans="1:8" ht="14.25" x14ac:dyDescent="0.3">
      <c r="A17" s="35" t="s">
        <v>117</v>
      </c>
      <c r="B17" s="35" t="s">
        <v>73</v>
      </c>
      <c r="C17" s="26">
        <v>862750</v>
      </c>
      <c r="D17" s="36">
        <v>13550.782875000001</v>
      </c>
      <c r="E17" s="58">
        <f t="shared" si="0"/>
        <v>2.5746365055003086E-2</v>
      </c>
      <c r="F17" s="25" t="s">
        <v>27</v>
      </c>
      <c r="G17" s="24"/>
      <c r="H17" s="23"/>
    </row>
    <row r="18" spans="1:8" ht="14.25" x14ac:dyDescent="0.3">
      <c r="A18" s="35" t="s">
        <v>118</v>
      </c>
      <c r="B18" s="35" t="s">
        <v>74</v>
      </c>
      <c r="C18" s="26">
        <v>116679</v>
      </c>
      <c r="D18" s="36">
        <v>13443.9293985</v>
      </c>
      <c r="E18" s="58">
        <f t="shared" si="0"/>
        <v>2.5543344414886364E-2</v>
      </c>
      <c r="F18" s="25" t="s">
        <v>29</v>
      </c>
      <c r="G18" s="24"/>
      <c r="H18" s="23"/>
    </row>
    <row r="19" spans="1:8" ht="14.25" x14ac:dyDescent="0.3">
      <c r="A19" s="35" t="s">
        <v>119</v>
      </c>
      <c r="B19" s="35" t="s">
        <v>85</v>
      </c>
      <c r="C19" s="26">
        <v>6172520</v>
      </c>
      <c r="D19" s="36">
        <v>13359.185036000001</v>
      </c>
      <c r="E19" s="58">
        <f t="shared" si="0"/>
        <v>2.5382330891652673E-2</v>
      </c>
      <c r="F19" s="25" t="s">
        <v>97</v>
      </c>
      <c r="G19" s="24"/>
      <c r="H19" s="23"/>
    </row>
    <row r="20" spans="1:8" ht="14.25" x14ac:dyDescent="0.3">
      <c r="A20" s="35" t="s">
        <v>120</v>
      </c>
      <c r="B20" s="35" t="s">
        <v>153</v>
      </c>
      <c r="C20" s="26">
        <v>255228</v>
      </c>
      <c r="D20" s="36">
        <v>13055.805498</v>
      </c>
      <c r="E20" s="58">
        <f t="shared" si="0"/>
        <v>2.4805912509953364E-2</v>
      </c>
      <c r="F20" s="25" t="s">
        <v>158</v>
      </c>
      <c r="G20" s="24"/>
      <c r="H20" s="23"/>
    </row>
    <row r="21" spans="1:8" ht="14.25" x14ac:dyDescent="0.3">
      <c r="A21" s="35" t="s">
        <v>121</v>
      </c>
      <c r="B21" s="35" t="s">
        <v>74</v>
      </c>
      <c r="C21" s="26">
        <v>160165</v>
      </c>
      <c r="D21" s="36">
        <v>12619.1601025</v>
      </c>
      <c r="E21" s="58">
        <f t="shared" si="0"/>
        <v>2.397629020282676E-2</v>
      </c>
      <c r="F21" s="25" t="s">
        <v>32</v>
      </c>
      <c r="G21" s="24"/>
      <c r="H21" s="23"/>
    </row>
    <row r="22" spans="1:8" ht="14.25" x14ac:dyDescent="0.3">
      <c r="A22" s="35" t="s">
        <v>122</v>
      </c>
      <c r="B22" s="35" t="s">
        <v>79</v>
      </c>
      <c r="C22" s="26">
        <v>1881738</v>
      </c>
      <c r="D22" s="36">
        <v>12501.326402999999</v>
      </c>
      <c r="E22" s="58">
        <f t="shared" si="0"/>
        <v>2.3752407238197045E-2</v>
      </c>
      <c r="F22" s="25" t="s">
        <v>94</v>
      </c>
      <c r="G22" s="24"/>
      <c r="H22" s="23"/>
    </row>
    <row r="23" spans="1:8" ht="14.25" x14ac:dyDescent="0.3">
      <c r="A23" s="35" t="s">
        <v>123</v>
      </c>
      <c r="B23" s="35" t="s">
        <v>82</v>
      </c>
      <c r="C23" s="26">
        <v>526212</v>
      </c>
      <c r="D23" s="36">
        <v>11241.993168000001</v>
      </c>
      <c r="E23" s="58">
        <f t="shared" si="0"/>
        <v>2.135968546755854E-2</v>
      </c>
      <c r="F23" s="25" t="s">
        <v>48</v>
      </c>
      <c r="G23" s="24"/>
      <c r="H23" s="23"/>
    </row>
    <row r="24" spans="1:8" ht="14.25" x14ac:dyDescent="0.3">
      <c r="A24" s="35" t="s">
        <v>124</v>
      </c>
      <c r="B24" s="35" t="s">
        <v>73</v>
      </c>
      <c r="C24" s="26">
        <v>788515</v>
      </c>
      <c r="D24" s="36">
        <v>11183.113987500001</v>
      </c>
      <c r="E24" s="58">
        <f t="shared" si="0"/>
        <v>2.1247815556478408E-2</v>
      </c>
      <c r="F24" s="25" t="s">
        <v>31</v>
      </c>
      <c r="G24" s="24"/>
      <c r="H24" s="23"/>
    </row>
    <row r="25" spans="1:8" ht="14.25" x14ac:dyDescent="0.3">
      <c r="A25" s="35" t="s">
        <v>125</v>
      </c>
      <c r="B25" s="35" t="s">
        <v>34</v>
      </c>
      <c r="C25" s="26">
        <v>313247</v>
      </c>
      <c r="D25" s="36">
        <v>10939.524981</v>
      </c>
      <c r="E25" s="58">
        <f t="shared" si="0"/>
        <v>2.0784998644526778E-2</v>
      </c>
      <c r="F25" s="25" t="s">
        <v>35</v>
      </c>
      <c r="G25" s="24"/>
      <c r="H25" s="23"/>
    </row>
    <row r="26" spans="1:8" ht="14.25" x14ac:dyDescent="0.3">
      <c r="A26" s="35" t="s">
        <v>126</v>
      </c>
      <c r="B26" s="35" t="s">
        <v>42</v>
      </c>
      <c r="C26" s="26">
        <v>3000000</v>
      </c>
      <c r="D26" s="36">
        <v>10728</v>
      </c>
      <c r="E26" s="58">
        <f t="shared" si="0"/>
        <v>2.0383103091383057E-2</v>
      </c>
      <c r="F26" s="25" t="s">
        <v>159</v>
      </c>
      <c r="G26" s="24"/>
      <c r="H26" s="23"/>
    </row>
    <row r="27" spans="1:8" ht="14.25" x14ac:dyDescent="0.3">
      <c r="A27" s="35" t="s">
        <v>127</v>
      </c>
      <c r="B27" s="35" t="s">
        <v>93</v>
      </c>
      <c r="C27" s="26">
        <v>160534</v>
      </c>
      <c r="D27" s="36">
        <v>10621.250507999999</v>
      </c>
      <c r="E27" s="58">
        <f t="shared" si="0"/>
        <v>2.0180280020877017E-2</v>
      </c>
      <c r="F27" s="25" t="s">
        <v>96</v>
      </c>
      <c r="G27" s="24"/>
      <c r="H27" s="23"/>
    </row>
    <row r="28" spans="1:8" ht="14.25" x14ac:dyDescent="0.3">
      <c r="A28" s="35" t="s">
        <v>128</v>
      </c>
      <c r="B28" s="35" t="s">
        <v>88</v>
      </c>
      <c r="C28" s="26">
        <v>1387089</v>
      </c>
      <c r="D28" s="36">
        <v>9983.5730774999993</v>
      </c>
      <c r="E28" s="58">
        <f t="shared" si="0"/>
        <v>1.8968698663221373E-2</v>
      </c>
      <c r="F28" s="25" t="s">
        <v>56</v>
      </c>
      <c r="G28" s="24"/>
      <c r="H28" s="23"/>
    </row>
    <row r="29" spans="1:8" ht="14.25" x14ac:dyDescent="0.3">
      <c r="A29" s="35" t="s">
        <v>129</v>
      </c>
      <c r="B29" s="35" t="s">
        <v>154</v>
      </c>
      <c r="C29" s="26">
        <v>2288373</v>
      </c>
      <c r="D29" s="36">
        <v>9112.3012859999999</v>
      </c>
      <c r="E29" s="58">
        <f t="shared" si="0"/>
        <v>1.7313290129780053E-2</v>
      </c>
      <c r="F29" s="25" t="s">
        <v>160</v>
      </c>
      <c r="G29" s="24"/>
      <c r="H29" s="23"/>
    </row>
    <row r="30" spans="1:8" ht="14.25" x14ac:dyDescent="0.3">
      <c r="A30" s="35" t="s">
        <v>130</v>
      </c>
      <c r="B30" s="35" t="s">
        <v>79</v>
      </c>
      <c r="C30" s="26">
        <v>5978976</v>
      </c>
      <c r="D30" s="36">
        <v>8917.0448063999993</v>
      </c>
      <c r="E30" s="58">
        <f t="shared" si="0"/>
        <v>1.6942304582339023E-2</v>
      </c>
      <c r="F30" s="25" t="s">
        <v>38</v>
      </c>
      <c r="G30" s="24"/>
      <c r="H30" s="23"/>
    </row>
    <row r="31" spans="1:8" ht="14.25" x14ac:dyDescent="0.3">
      <c r="A31" s="35" t="s">
        <v>131</v>
      </c>
      <c r="B31" s="35" t="s">
        <v>155</v>
      </c>
      <c r="C31" s="26">
        <v>1268104</v>
      </c>
      <c r="D31" s="36">
        <v>8695.3891280000007</v>
      </c>
      <c r="E31" s="58">
        <f t="shared" si="0"/>
        <v>1.6521160795648342E-2</v>
      </c>
      <c r="F31" s="25" t="s">
        <v>161</v>
      </c>
      <c r="G31" s="24"/>
      <c r="H31" s="23"/>
    </row>
    <row r="32" spans="1:8" ht="14.25" x14ac:dyDescent="0.3">
      <c r="A32" s="35" t="s">
        <v>132</v>
      </c>
      <c r="B32" s="35" t="s">
        <v>81</v>
      </c>
      <c r="C32" s="26">
        <v>293437</v>
      </c>
      <c r="D32" s="36">
        <v>8360.9004409999998</v>
      </c>
      <c r="E32" s="58">
        <f t="shared" si="0"/>
        <v>1.5885635311865497E-2</v>
      </c>
      <c r="F32" s="25" t="s">
        <v>50</v>
      </c>
      <c r="G32" s="24"/>
      <c r="H32" s="23"/>
    </row>
    <row r="33" spans="1:8" ht="14.25" x14ac:dyDescent="0.3">
      <c r="A33" s="35" t="s">
        <v>133</v>
      </c>
      <c r="B33" s="35" t="s">
        <v>80</v>
      </c>
      <c r="C33" s="26">
        <v>2602704</v>
      </c>
      <c r="D33" s="36">
        <v>8202.4216560000004</v>
      </c>
      <c r="E33" s="58">
        <f t="shared" si="0"/>
        <v>1.5584527051942668E-2</v>
      </c>
      <c r="F33" s="25" t="s">
        <v>40</v>
      </c>
      <c r="G33" s="24"/>
      <c r="H33" s="23"/>
    </row>
    <row r="34" spans="1:8" ht="14.25" x14ac:dyDescent="0.3">
      <c r="A34" s="35" t="s">
        <v>134</v>
      </c>
      <c r="B34" s="35" t="s">
        <v>86</v>
      </c>
      <c r="C34" s="26">
        <v>574270</v>
      </c>
      <c r="D34" s="36">
        <v>8047.2455099999997</v>
      </c>
      <c r="E34" s="58">
        <f t="shared" si="0"/>
        <v>1.5289693776286299E-2</v>
      </c>
      <c r="F34" s="25" t="s">
        <v>52</v>
      </c>
      <c r="G34" s="24"/>
      <c r="H34" s="23"/>
    </row>
    <row r="35" spans="1:8" ht="14.25" x14ac:dyDescent="0.3">
      <c r="A35" s="35" t="s">
        <v>135</v>
      </c>
      <c r="B35" s="35" t="s">
        <v>83</v>
      </c>
      <c r="C35" s="26">
        <v>3970323</v>
      </c>
      <c r="D35" s="36">
        <v>8008.1414910000003</v>
      </c>
      <c r="E35" s="58">
        <f t="shared" si="0"/>
        <v>1.5215396493422354E-2</v>
      </c>
      <c r="F35" s="25" t="s">
        <v>46</v>
      </c>
      <c r="G35" s="24"/>
      <c r="H35" s="23"/>
    </row>
    <row r="36" spans="1:8" ht="14.25" x14ac:dyDescent="0.3">
      <c r="A36" s="35" t="s">
        <v>136</v>
      </c>
      <c r="B36" s="35" t="s">
        <v>72</v>
      </c>
      <c r="C36" s="26">
        <v>14274320</v>
      </c>
      <c r="D36" s="36">
        <v>7848.0211360000003</v>
      </c>
      <c r="E36" s="58">
        <f t="shared" si="0"/>
        <v>1.4911169265328223E-2</v>
      </c>
      <c r="F36" s="25" t="s">
        <v>39</v>
      </c>
      <c r="G36" s="24"/>
      <c r="H36" s="23"/>
    </row>
    <row r="37" spans="1:8" ht="14.25" x14ac:dyDescent="0.3">
      <c r="A37" s="35" t="s">
        <v>137</v>
      </c>
      <c r="B37" s="35" t="s">
        <v>75</v>
      </c>
      <c r="C37" s="26">
        <v>676549</v>
      </c>
      <c r="D37" s="36">
        <v>7787.07899</v>
      </c>
      <c r="E37" s="58">
        <f t="shared" si="0"/>
        <v>1.4795379738433357E-2</v>
      </c>
      <c r="F37" s="25" t="s">
        <v>53</v>
      </c>
      <c r="G37" s="24"/>
      <c r="H37" s="23"/>
    </row>
    <row r="38" spans="1:8" ht="14.25" x14ac:dyDescent="0.3">
      <c r="A38" s="35" t="s">
        <v>138</v>
      </c>
      <c r="B38" s="35" t="s">
        <v>156</v>
      </c>
      <c r="C38" s="26">
        <v>2012947</v>
      </c>
      <c r="D38" s="36">
        <v>7785.0725224999996</v>
      </c>
      <c r="E38" s="58">
        <f t="shared" si="0"/>
        <v>1.4791567468308262E-2</v>
      </c>
      <c r="F38" s="25" t="s">
        <v>162</v>
      </c>
      <c r="G38" s="24"/>
      <c r="H38" s="23"/>
    </row>
    <row r="39" spans="1:8" ht="14.25" x14ac:dyDescent="0.3">
      <c r="A39" s="35" t="s">
        <v>139</v>
      </c>
      <c r="B39" s="35" t="s">
        <v>42</v>
      </c>
      <c r="C39" s="26">
        <v>1400000</v>
      </c>
      <c r="D39" s="36">
        <v>7530.6</v>
      </c>
      <c r="E39" s="58">
        <f t="shared" si="0"/>
        <v>1.4308071974270064E-2</v>
      </c>
      <c r="F39" s="25" t="s">
        <v>98</v>
      </c>
      <c r="G39" s="24"/>
      <c r="H39" s="23"/>
    </row>
    <row r="40" spans="1:8" ht="14.25" x14ac:dyDescent="0.3">
      <c r="A40" s="35" t="s">
        <v>140</v>
      </c>
      <c r="B40" s="35" t="s">
        <v>157</v>
      </c>
      <c r="C40" s="26">
        <v>1075000</v>
      </c>
      <c r="D40" s="36">
        <v>7336.3374999999996</v>
      </c>
      <c r="E40" s="58">
        <f t="shared" si="0"/>
        <v>1.3938974979090179E-2</v>
      </c>
      <c r="F40" s="25" t="s">
        <v>163</v>
      </c>
      <c r="G40" s="24"/>
      <c r="H40" s="23"/>
    </row>
    <row r="41" spans="1:8" ht="14.25" x14ac:dyDescent="0.3">
      <c r="A41" s="35" t="s">
        <v>141</v>
      </c>
      <c r="B41" s="35" t="s">
        <v>78</v>
      </c>
      <c r="C41" s="26">
        <v>132430</v>
      </c>
      <c r="D41" s="36">
        <v>7290.3377149999997</v>
      </c>
      <c r="E41" s="58">
        <f t="shared" si="0"/>
        <v>1.3851575803117355E-2</v>
      </c>
      <c r="F41" s="25" t="s">
        <v>41</v>
      </c>
      <c r="G41" s="24"/>
      <c r="H41" s="23"/>
    </row>
    <row r="42" spans="1:8" ht="14.25" x14ac:dyDescent="0.3">
      <c r="A42" s="35" t="s">
        <v>142</v>
      </c>
      <c r="B42" s="35" t="s">
        <v>81</v>
      </c>
      <c r="C42" s="26">
        <v>240000</v>
      </c>
      <c r="D42" s="36">
        <v>7053.96</v>
      </c>
      <c r="E42" s="58">
        <f t="shared" si="0"/>
        <v>1.3402460279874387E-2</v>
      </c>
      <c r="F42" s="25" t="s">
        <v>45</v>
      </c>
      <c r="G42" s="24"/>
      <c r="H42" s="23"/>
    </row>
    <row r="43" spans="1:8" ht="14.25" x14ac:dyDescent="0.3">
      <c r="A43" s="35" t="s">
        <v>143</v>
      </c>
      <c r="B43" s="35" t="s">
        <v>75</v>
      </c>
      <c r="C43" s="26">
        <v>394059</v>
      </c>
      <c r="D43" s="36">
        <v>6904.8988275000002</v>
      </c>
      <c r="E43" s="58">
        <f t="shared" si="0"/>
        <v>1.3119245398629987E-2</v>
      </c>
      <c r="F43" s="25" t="s">
        <v>43</v>
      </c>
      <c r="G43" s="24"/>
      <c r="H43" s="23"/>
    </row>
    <row r="44" spans="1:8" ht="14.25" x14ac:dyDescent="0.3">
      <c r="A44" s="35" t="s">
        <v>144</v>
      </c>
      <c r="B44" s="35" t="s">
        <v>79</v>
      </c>
      <c r="C44" s="26">
        <v>11097585</v>
      </c>
      <c r="D44" s="36">
        <v>6708.4901325000001</v>
      </c>
      <c r="E44" s="58">
        <f t="shared" si="0"/>
        <v>1.27460706523372E-2</v>
      </c>
      <c r="F44" s="25" t="s">
        <v>49</v>
      </c>
      <c r="G44" s="24"/>
      <c r="H44" s="23"/>
    </row>
    <row r="45" spans="1:8" ht="14.25" x14ac:dyDescent="0.3">
      <c r="A45" s="35" t="s">
        <v>145</v>
      </c>
      <c r="B45" s="35" t="s">
        <v>84</v>
      </c>
      <c r="C45" s="26">
        <v>454743</v>
      </c>
      <c r="D45" s="36">
        <v>6645.6142019999998</v>
      </c>
      <c r="E45" s="58">
        <f t="shared" si="0"/>
        <v>1.2626606952360677E-2</v>
      </c>
      <c r="F45" s="25" t="s">
        <v>47</v>
      </c>
      <c r="G45" s="24"/>
      <c r="H45" s="23"/>
    </row>
    <row r="46" spans="1:8" ht="14.25" x14ac:dyDescent="0.3">
      <c r="A46" s="35" t="s">
        <v>146</v>
      </c>
      <c r="B46" s="35" t="s">
        <v>75</v>
      </c>
      <c r="C46" s="26">
        <v>1807442</v>
      </c>
      <c r="D46" s="36">
        <v>6176.0293140000003</v>
      </c>
      <c r="E46" s="58">
        <f t="shared" si="0"/>
        <v>1.173439990703447E-2</v>
      </c>
      <c r="F46" s="25" t="s">
        <v>30</v>
      </c>
      <c r="G46" s="24"/>
      <c r="H46" s="23"/>
    </row>
    <row r="47" spans="1:8" ht="14.25" x14ac:dyDescent="0.3">
      <c r="A47" s="35" t="s">
        <v>147</v>
      </c>
      <c r="B47" s="35" t="s">
        <v>87</v>
      </c>
      <c r="C47" s="26">
        <v>490543</v>
      </c>
      <c r="D47" s="36">
        <v>5622.3585945000004</v>
      </c>
      <c r="E47" s="58">
        <f t="shared" si="0"/>
        <v>1.06824305414259E-2</v>
      </c>
      <c r="F47" s="25" t="s">
        <v>55</v>
      </c>
      <c r="G47" s="24"/>
      <c r="H47" s="23"/>
    </row>
    <row r="48" spans="1:8" ht="14.25" x14ac:dyDescent="0.3">
      <c r="A48" s="35" t="s">
        <v>148</v>
      </c>
      <c r="B48" s="35" t="s">
        <v>88</v>
      </c>
      <c r="C48" s="26">
        <v>139864</v>
      </c>
      <c r="D48" s="36">
        <v>5517.28514</v>
      </c>
      <c r="E48" s="58">
        <f t="shared" si="0"/>
        <v>1.0482791927029809E-2</v>
      </c>
      <c r="F48" s="25" t="s">
        <v>99</v>
      </c>
      <c r="G48" s="24"/>
      <c r="H48" s="23"/>
    </row>
    <row r="49" spans="1:8" ht="14.25" x14ac:dyDescent="0.3">
      <c r="A49" s="35" t="s">
        <v>149</v>
      </c>
      <c r="B49" s="35" t="s">
        <v>73</v>
      </c>
      <c r="C49" s="26">
        <v>548798</v>
      </c>
      <c r="D49" s="36">
        <v>5467.6744740000004</v>
      </c>
      <c r="E49" s="58">
        <f t="shared" si="0"/>
        <v>1.0388532109774947E-2</v>
      </c>
      <c r="F49" s="25" t="s">
        <v>54</v>
      </c>
      <c r="G49" s="24"/>
      <c r="H49" s="23"/>
    </row>
    <row r="50" spans="1:8" ht="14.25" x14ac:dyDescent="0.3">
      <c r="A50" s="35" t="s">
        <v>150</v>
      </c>
      <c r="B50" s="35" t="s">
        <v>77</v>
      </c>
      <c r="C50" s="26">
        <v>376019</v>
      </c>
      <c r="D50" s="36">
        <v>3579.5128705000002</v>
      </c>
      <c r="E50" s="58">
        <f t="shared" si="0"/>
        <v>6.8010421193450774E-3</v>
      </c>
      <c r="F50" s="25" t="s">
        <v>51</v>
      </c>
      <c r="G50" s="24"/>
      <c r="H50" s="23"/>
    </row>
    <row r="51" spans="1:8" ht="14.25" x14ac:dyDescent="0.3">
      <c r="A51" s="35" t="s">
        <v>151</v>
      </c>
      <c r="B51" s="35" t="s">
        <v>75</v>
      </c>
      <c r="C51" s="26">
        <v>410894</v>
      </c>
      <c r="D51" s="36">
        <v>3188.9483340000002</v>
      </c>
      <c r="E51" s="58">
        <f t="shared" si="0"/>
        <v>6.058973028058935E-3</v>
      </c>
      <c r="F51" s="25" t="s">
        <v>57</v>
      </c>
      <c r="G51" s="24"/>
      <c r="H51" s="23"/>
    </row>
    <row r="52" spans="1:8" ht="14.25" x14ac:dyDescent="0.3">
      <c r="A52" s="35" t="s">
        <v>152</v>
      </c>
      <c r="B52" s="35" t="s">
        <v>89</v>
      </c>
      <c r="C52" s="26">
        <v>520500</v>
      </c>
      <c r="D52" s="36">
        <v>2225.3977500000001</v>
      </c>
      <c r="E52" s="58">
        <f t="shared" si="0"/>
        <v>4.2282356224442484E-3</v>
      </c>
      <c r="F52" s="25" t="s">
        <v>58</v>
      </c>
      <c r="G52" s="24"/>
      <c r="H52" s="23"/>
    </row>
    <row r="53" spans="1:8" ht="14.25" x14ac:dyDescent="0.3">
      <c r="A53" s="28" t="s">
        <v>12</v>
      </c>
      <c r="B53" s="27"/>
      <c r="C53" s="26"/>
      <c r="D53" s="34">
        <f>SUM(D7:D52)</f>
        <v>499338.07224590011</v>
      </c>
      <c r="E53" s="39">
        <f>SUM(E7:E52)</f>
        <v>0.94873782662571404</v>
      </c>
      <c r="F53" s="25"/>
      <c r="G53" s="24"/>
      <c r="H53" s="23"/>
    </row>
    <row r="54" spans="1:8" ht="14.25" x14ac:dyDescent="0.3">
      <c r="A54" s="28" t="s">
        <v>61</v>
      </c>
      <c r="B54" s="27"/>
      <c r="C54" s="26"/>
      <c r="D54" s="34"/>
      <c r="E54" s="33"/>
      <c r="F54" s="25"/>
      <c r="G54" s="24"/>
      <c r="H54" s="23"/>
    </row>
    <row r="55" spans="1:8" ht="14.25" x14ac:dyDescent="0.3">
      <c r="A55" s="28" t="s">
        <v>12</v>
      </c>
      <c r="B55" s="27"/>
      <c r="C55" s="26"/>
      <c r="D55" s="34" t="s">
        <v>62</v>
      </c>
      <c r="E55" s="33" t="s">
        <v>62</v>
      </c>
      <c r="F55" s="25"/>
      <c r="G55" s="24"/>
      <c r="H55" s="23"/>
    </row>
    <row r="56" spans="1:8" ht="14.25" x14ac:dyDescent="0.3">
      <c r="A56" s="28" t="s">
        <v>63</v>
      </c>
      <c r="B56" s="27"/>
      <c r="C56" s="26"/>
      <c r="D56" s="34"/>
      <c r="E56" s="33"/>
      <c r="F56" s="25"/>
      <c r="G56" s="24"/>
      <c r="H56" s="23"/>
    </row>
    <row r="57" spans="1:8" ht="14.25" x14ac:dyDescent="0.3">
      <c r="A57" s="28" t="s">
        <v>12</v>
      </c>
      <c r="B57" s="27"/>
      <c r="C57" s="26"/>
      <c r="D57" s="34" t="s">
        <v>62</v>
      </c>
      <c r="E57" s="33" t="s">
        <v>62</v>
      </c>
      <c r="F57" s="25"/>
      <c r="G57" s="24"/>
      <c r="H57" s="23"/>
    </row>
    <row r="58" spans="1:8" ht="14.25" x14ac:dyDescent="0.3">
      <c r="A58" s="28" t="s">
        <v>64</v>
      </c>
      <c r="B58" s="27"/>
      <c r="C58" s="26"/>
      <c r="D58" s="34">
        <f>+D53</f>
        <v>499338.07224590011</v>
      </c>
      <c r="E58" s="39">
        <f>+E53</f>
        <v>0.94873782662571404</v>
      </c>
      <c r="F58" s="25"/>
      <c r="G58" s="24"/>
      <c r="H58" s="23"/>
    </row>
    <row r="59" spans="1:8" ht="14.25" x14ac:dyDescent="0.3">
      <c r="A59" s="28"/>
      <c r="B59" s="27"/>
      <c r="C59" s="26"/>
      <c r="D59" s="34"/>
      <c r="E59" s="33"/>
      <c r="F59" s="25"/>
      <c r="G59" s="24"/>
      <c r="H59" s="23"/>
    </row>
    <row r="60" spans="1:8" ht="14.25" x14ac:dyDescent="0.3">
      <c r="A60" s="28" t="s">
        <v>65</v>
      </c>
      <c r="B60" s="27"/>
      <c r="C60" s="26"/>
      <c r="D60" s="34"/>
      <c r="E60" s="33"/>
      <c r="F60" s="25"/>
      <c r="G60" s="24"/>
      <c r="H60" s="23"/>
    </row>
    <row r="61" spans="1:8" ht="14.25" x14ac:dyDescent="0.3">
      <c r="A61" s="28" t="s">
        <v>66</v>
      </c>
      <c r="B61" s="27"/>
      <c r="C61" s="26"/>
      <c r="D61" s="34"/>
      <c r="E61" s="33"/>
      <c r="F61" s="25"/>
      <c r="G61" s="24"/>
      <c r="H61" s="23"/>
    </row>
    <row r="62" spans="1:8" ht="14.25" x14ac:dyDescent="0.3">
      <c r="A62" s="28" t="s">
        <v>12</v>
      </c>
      <c r="B62" s="27"/>
      <c r="C62" s="26"/>
      <c r="D62" s="34" t="s">
        <v>62</v>
      </c>
      <c r="E62" s="33" t="s">
        <v>62</v>
      </c>
      <c r="F62" s="25"/>
      <c r="G62" s="24"/>
      <c r="H62" s="23"/>
    </row>
    <row r="63" spans="1:8" ht="14.25" x14ac:dyDescent="0.3">
      <c r="A63" s="28" t="s">
        <v>67</v>
      </c>
      <c r="B63" s="27"/>
      <c r="C63" s="26"/>
      <c r="D63" s="34"/>
      <c r="E63" s="33"/>
      <c r="F63" s="25"/>
      <c r="G63" s="24"/>
      <c r="H63" s="23"/>
    </row>
    <row r="64" spans="1:8" ht="14.25" x14ac:dyDescent="0.3">
      <c r="A64" s="28" t="s">
        <v>12</v>
      </c>
      <c r="B64" s="27"/>
      <c r="C64" s="26"/>
      <c r="D64" s="34" t="s">
        <v>62</v>
      </c>
      <c r="E64" s="33" t="s">
        <v>62</v>
      </c>
      <c r="F64" s="25"/>
      <c r="G64" s="24"/>
      <c r="H64" s="23"/>
    </row>
    <row r="65" spans="1:9" ht="14.25" x14ac:dyDescent="0.3">
      <c r="A65" s="28" t="s">
        <v>68</v>
      </c>
      <c r="B65" s="27"/>
      <c r="C65" s="26"/>
      <c r="D65" s="34"/>
      <c r="E65" s="33"/>
      <c r="F65" s="25"/>
      <c r="G65" s="24"/>
      <c r="H65" s="23"/>
    </row>
    <row r="66" spans="1:9" ht="14.25" x14ac:dyDescent="0.3">
      <c r="A66" s="28" t="s">
        <v>12</v>
      </c>
      <c r="B66" s="27"/>
      <c r="C66" s="26"/>
      <c r="D66" s="34" t="s">
        <v>62</v>
      </c>
      <c r="E66" s="33" t="s">
        <v>62</v>
      </c>
      <c r="F66" s="25"/>
      <c r="G66" s="24"/>
      <c r="H66" s="23"/>
    </row>
    <row r="67" spans="1:9" ht="14.25" x14ac:dyDescent="0.3">
      <c r="A67" s="28" t="s">
        <v>64</v>
      </c>
      <c r="B67" s="27"/>
      <c r="C67" s="26"/>
      <c r="D67" s="34" t="s">
        <v>62</v>
      </c>
      <c r="E67" s="33" t="s">
        <v>62</v>
      </c>
      <c r="F67" s="25"/>
      <c r="G67" s="24"/>
      <c r="H67" s="23"/>
    </row>
    <row r="68" spans="1:9" ht="14.25" x14ac:dyDescent="0.3">
      <c r="A68" s="28"/>
      <c r="B68" s="27"/>
      <c r="C68" s="26"/>
      <c r="D68" s="34"/>
      <c r="E68" s="33"/>
      <c r="F68" s="25"/>
      <c r="G68" s="24"/>
      <c r="H68" s="23"/>
    </row>
    <row r="69" spans="1:9" ht="14.25" x14ac:dyDescent="0.3">
      <c r="A69" s="28" t="s">
        <v>69</v>
      </c>
      <c r="B69" s="27"/>
      <c r="C69" s="26"/>
      <c r="D69" s="34"/>
      <c r="E69" s="33"/>
      <c r="F69" s="25"/>
      <c r="G69" s="24"/>
      <c r="H69" s="23"/>
    </row>
    <row r="70" spans="1:9" ht="14.25" x14ac:dyDescent="0.3">
      <c r="A70" s="28" t="s">
        <v>70</v>
      </c>
      <c r="B70" s="27"/>
      <c r="C70" s="26"/>
      <c r="D70" s="34"/>
      <c r="E70" s="33"/>
      <c r="F70" s="25"/>
      <c r="G70" s="24"/>
      <c r="H70" s="23"/>
    </row>
    <row r="71" spans="1:9" ht="14.25" x14ac:dyDescent="0.3">
      <c r="A71" s="38" t="s">
        <v>100</v>
      </c>
      <c r="B71" s="27"/>
      <c r="C71" s="26">
        <v>242850.70180000001</v>
      </c>
      <c r="D71" s="36">
        <v>24280.636168199999</v>
      </c>
      <c r="E71" s="58">
        <f>+D71/$D$79</f>
        <v>4.6132989386724894E-2</v>
      </c>
      <c r="F71" s="25"/>
      <c r="G71" s="40">
        <v>6.6703239999999997E-2</v>
      </c>
      <c r="H71" s="23"/>
    </row>
    <row r="72" spans="1:9" ht="14.25" x14ac:dyDescent="0.3">
      <c r="A72" s="28" t="s">
        <v>12</v>
      </c>
      <c r="B72" s="27"/>
      <c r="C72" s="26"/>
      <c r="D72" s="34">
        <f>+D71</f>
        <v>24280.636168199999</v>
      </c>
      <c r="E72" s="39">
        <f>+E71</f>
        <v>4.6132989386724894E-2</v>
      </c>
      <c r="F72" s="25"/>
      <c r="G72" s="24"/>
      <c r="H72" s="23"/>
    </row>
    <row r="73" spans="1:9" ht="14.25" x14ac:dyDescent="0.3">
      <c r="A73" s="28" t="s">
        <v>64</v>
      </c>
      <c r="B73" s="27"/>
      <c r="C73" s="26"/>
      <c r="D73" s="34">
        <f>+D72</f>
        <v>24280.636168199999</v>
      </c>
      <c r="E73" s="39">
        <f>+E72</f>
        <v>4.6132989386724894E-2</v>
      </c>
      <c r="F73" s="25"/>
      <c r="G73" s="24"/>
      <c r="H73" s="23"/>
    </row>
    <row r="74" spans="1:9" ht="14.25" x14ac:dyDescent="0.3">
      <c r="A74" s="28"/>
      <c r="B74" s="27"/>
      <c r="C74" s="26"/>
      <c r="D74" s="34"/>
      <c r="E74" s="33"/>
      <c r="F74" s="25"/>
      <c r="G74" s="24"/>
      <c r="H74" s="23"/>
    </row>
    <row r="75" spans="1:9" ht="14.25" x14ac:dyDescent="0.3">
      <c r="A75" s="28" t="s">
        <v>12</v>
      </c>
      <c r="B75" s="27"/>
      <c r="C75" s="26"/>
      <c r="D75" s="34"/>
      <c r="E75" s="33"/>
      <c r="F75" s="25"/>
      <c r="G75" s="24"/>
      <c r="H75" s="23"/>
    </row>
    <row r="76" spans="1:9" ht="14.25" x14ac:dyDescent="0.3">
      <c r="A76" s="37" t="s">
        <v>90</v>
      </c>
      <c r="B76" s="27"/>
      <c r="C76" s="26"/>
      <c r="D76" s="34"/>
      <c r="E76" s="33"/>
      <c r="F76" s="25"/>
      <c r="G76" s="24"/>
      <c r="H76" s="23"/>
    </row>
    <row r="77" spans="1:9" ht="14.25" x14ac:dyDescent="0.3">
      <c r="A77" s="38" t="s">
        <v>91</v>
      </c>
      <c r="B77" s="27"/>
      <c r="C77" s="26"/>
      <c r="D77" s="36">
        <f>+D79-D73-D58</f>
        <v>2699.5833544998895</v>
      </c>
      <c r="E77" s="58">
        <f>+D77/$D$79</f>
        <v>5.1291839875608628E-3</v>
      </c>
      <c r="F77" s="25"/>
      <c r="G77" s="24"/>
      <c r="H77" s="23"/>
    </row>
    <row r="78" spans="1:9" ht="14.25" x14ac:dyDescent="0.3">
      <c r="A78" s="28" t="s">
        <v>64</v>
      </c>
      <c r="B78" s="27"/>
      <c r="C78" s="26"/>
      <c r="D78" s="34">
        <f>+D77</f>
        <v>2699.5833544998895</v>
      </c>
      <c r="E78" s="39">
        <f>+E77</f>
        <v>5.1291839875608628E-3</v>
      </c>
      <c r="F78" s="25"/>
      <c r="G78" s="24"/>
      <c r="H78" s="23"/>
    </row>
    <row r="79" spans="1:9" ht="14.25" x14ac:dyDescent="0.3">
      <c r="A79" s="28" t="s">
        <v>71</v>
      </c>
      <c r="B79" s="27"/>
      <c r="C79" s="26"/>
      <c r="D79" s="34">
        <v>526318.2917686</v>
      </c>
      <c r="E79" s="39">
        <f>+E78+E73+E58</f>
        <v>0.99999999999999978</v>
      </c>
      <c r="F79" s="25"/>
      <c r="G79" s="24"/>
      <c r="H79" s="23"/>
      <c r="I79" s="75"/>
    </row>
    <row r="80" spans="1:9" ht="14.25" x14ac:dyDescent="0.3">
      <c r="A80" s="22"/>
      <c r="B80" s="21"/>
      <c r="C80" s="20"/>
      <c r="D80" s="19"/>
      <c r="E80" s="19"/>
      <c r="F80" s="18"/>
      <c r="G80" s="17"/>
      <c r="H80" s="17"/>
    </row>
    <row r="81" spans="1:10" ht="13.5" x14ac:dyDescent="0.2">
      <c r="A81" s="84" t="s">
        <v>11</v>
      </c>
      <c r="B81" s="84"/>
      <c r="C81" s="84"/>
      <c r="D81" s="84"/>
      <c r="E81" s="84"/>
      <c r="F81" s="84"/>
      <c r="G81" s="84"/>
      <c r="H81" s="84"/>
      <c r="I81" s="75"/>
    </row>
    <row r="82" spans="1:10" ht="13.5" x14ac:dyDescent="0.2">
      <c r="A82" s="84" t="s">
        <v>10</v>
      </c>
      <c r="B82" s="84"/>
      <c r="C82" s="84"/>
      <c r="D82" s="84"/>
      <c r="E82" s="84"/>
      <c r="F82" s="80"/>
      <c r="G82" s="80"/>
      <c r="H82" s="80"/>
      <c r="I82" s="75"/>
    </row>
    <row r="83" spans="1:10" ht="13.5" x14ac:dyDescent="0.2">
      <c r="A83" s="85" t="s">
        <v>9</v>
      </c>
      <c r="B83" s="85"/>
      <c r="C83" s="85"/>
      <c r="D83" s="85"/>
      <c r="E83" s="85"/>
      <c r="F83" s="80"/>
      <c r="G83" s="80"/>
      <c r="H83" s="80"/>
    </row>
    <row r="84" spans="1:10" ht="57.75" customHeight="1" x14ac:dyDescent="0.2">
      <c r="A84" s="79" t="s">
        <v>8</v>
      </c>
      <c r="B84" s="79"/>
      <c r="C84" s="79"/>
      <c r="D84" s="79"/>
      <c r="E84" s="79"/>
      <c r="F84" s="80"/>
      <c r="G84" s="80"/>
      <c r="H84" s="80"/>
    </row>
    <row r="85" spans="1:10" ht="13.5" x14ac:dyDescent="0.2">
      <c r="A85" s="16"/>
      <c r="B85" s="16"/>
      <c r="C85" s="16"/>
      <c r="D85" s="16"/>
      <c r="E85" s="16"/>
      <c r="F85" s="15"/>
      <c r="G85" s="15"/>
      <c r="H85" s="15"/>
      <c r="I85" s="75"/>
    </row>
    <row r="86" spans="1:10" ht="14.25" x14ac:dyDescent="0.3">
      <c r="A86" s="61" t="s">
        <v>176</v>
      </c>
      <c r="B86" s="52"/>
      <c r="C86" s="62"/>
      <c r="D86" s="63"/>
      <c r="E86" s="63"/>
      <c r="F86" s="64"/>
      <c r="G86" s="60"/>
      <c r="H86" s="60"/>
      <c r="I86" s="75"/>
    </row>
    <row r="87" spans="1:10" ht="38.25" x14ac:dyDescent="0.2">
      <c r="A87" s="65" t="s">
        <v>164</v>
      </c>
      <c r="B87" s="66" t="s">
        <v>165</v>
      </c>
      <c r="C87" s="67" t="s">
        <v>18</v>
      </c>
      <c r="D87" s="65" t="s">
        <v>166</v>
      </c>
      <c r="E87" s="65" t="s">
        <v>167</v>
      </c>
      <c r="F87" s="65" t="s">
        <v>168</v>
      </c>
      <c r="G87" s="60"/>
      <c r="H87" s="60"/>
      <c r="I87" s="75"/>
      <c r="J87" s="75"/>
    </row>
    <row r="88" spans="1:10" ht="14.25" x14ac:dyDescent="0.3">
      <c r="A88" s="68" t="s">
        <v>169</v>
      </c>
      <c r="B88" s="69" t="s">
        <v>170</v>
      </c>
      <c r="C88" s="73">
        <v>64925</v>
      </c>
      <c r="D88" s="72">
        <v>3215.6732999599999</v>
      </c>
      <c r="E88" s="70">
        <v>3078</v>
      </c>
      <c r="F88" s="71">
        <v>356.89272499999998</v>
      </c>
      <c r="G88" s="60"/>
      <c r="H88" s="60"/>
      <c r="J88" s="75"/>
    </row>
    <row r="89" spans="1:10" ht="13.5" x14ac:dyDescent="0.2">
      <c r="A89" s="59"/>
      <c r="B89" s="59"/>
      <c r="C89" s="59"/>
      <c r="D89" s="59"/>
      <c r="E89" s="59"/>
      <c r="F89" s="60"/>
      <c r="G89" s="60"/>
      <c r="H89" s="60"/>
    </row>
    <row r="90" spans="1:10" ht="13.5" x14ac:dyDescent="0.2">
      <c r="A90" s="59"/>
      <c r="B90" s="59"/>
      <c r="C90" s="59"/>
      <c r="D90" s="59"/>
      <c r="E90" s="59"/>
      <c r="F90" s="60"/>
      <c r="G90" s="60"/>
      <c r="H90" s="74"/>
    </row>
    <row r="91" spans="1:10" ht="14.25" x14ac:dyDescent="0.3">
      <c r="A91" s="43" t="s">
        <v>174</v>
      </c>
      <c r="B91" s="44"/>
      <c r="C91" s="45"/>
      <c r="D91" s="9"/>
      <c r="E91" s="9"/>
      <c r="F91" s="42"/>
      <c r="G91" s="42"/>
      <c r="H91" s="42"/>
      <c r="I91" s="75"/>
    </row>
    <row r="92" spans="1:10" ht="14.25" x14ac:dyDescent="0.3">
      <c r="A92" s="46"/>
      <c r="B92" s="44"/>
      <c r="C92" s="47"/>
      <c r="D92" s="9"/>
      <c r="E92" s="9"/>
      <c r="F92" s="42"/>
      <c r="G92" s="42"/>
      <c r="H92" s="74"/>
    </row>
    <row r="93" spans="1:10" ht="14.25" x14ac:dyDescent="0.3">
      <c r="A93" s="86" t="s">
        <v>171</v>
      </c>
      <c r="B93" s="86"/>
      <c r="C93" s="86"/>
      <c r="D93" s="48"/>
      <c r="E93" s="9"/>
      <c r="F93" s="42"/>
      <c r="G93" s="42"/>
      <c r="H93" s="42"/>
    </row>
    <row r="94" spans="1:10" ht="14.25" x14ac:dyDescent="0.3">
      <c r="A94" s="49" t="s">
        <v>172</v>
      </c>
      <c r="B94" s="49"/>
      <c r="C94" s="49"/>
      <c r="D94" s="49"/>
      <c r="E94" s="9"/>
      <c r="F94" s="42"/>
      <c r="G94" s="42"/>
      <c r="H94" s="42"/>
    </row>
    <row r="95" spans="1:10" ht="14.25" x14ac:dyDescent="0.3">
      <c r="A95" s="76" t="s">
        <v>101</v>
      </c>
      <c r="B95" s="77"/>
      <c r="C95" s="78"/>
      <c r="D95" s="50">
        <v>0</v>
      </c>
      <c r="E95" s="9"/>
      <c r="F95" s="42"/>
      <c r="G95" s="42"/>
      <c r="H95" s="42"/>
    </row>
    <row r="96" spans="1:10" ht="14.25" x14ac:dyDescent="0.3">
      <c r="A96" s="76" t="s">
        <v>102</v>
      </c>
      <c r="B96" s="77"/>
      <c r="C96" s="78"/>
      <c r="D96" s="50">
        <v>0</v>
      </c>
      <c r="E96" s="9"/>
      <c r="F96" s="42"/>
      <c r="G96" s="42"/>
      <c r="H96" s="42"/>
    </row>
    <row r="97" spans="1:8" ht="14.25" x14ac:dyDescent="0.3">
      <c r="A97" s="76" t="s">
        <v>103</v>
      </c>
      <c r="B97" s="77"/>
      <c r="C97" s="78"/>
      <c r="D97" s="50">
        <v>0</v>
      </c>
      <c r="E97" s="9"/>
      <c r="F97" s="42"/>
      <c r="G97" s="42"/>
      <c r="H97" s="42"/>
    </row>
    <row r="98" spans="1:8" ht="14.25" x14ac:dyDescent="0.3">
      <c r="A98" s="76" t="s">
        <v>104</v>
      </c>
      <c r="B98" s="77"/>
      <c r="C98" s="78"/>
      <c r="D98" s="50">
        <v>0</v>
      </c>
      <c r="E98" s="9"/>
      <c r="F98" s="42"/>
      <c r="G98" s="42"/>
      <c r="H98" s="42"/>
    </row>
    <row r="99" spans="1:8" ht="14.25" x14ac:dyDescent="0.3">
      <c r="A99" s="76" t="s">
        <v>105</v>
      </c>
      <c r="B99" s="77"/>
      <c r="C99" s="78"/>
      <c r="D99" s="50">
        <v>0</v>
      </c>
      <c r="E99" s="9"/>
      <c r="F99" s="42"/>
      <c r="G99" s="42"/>
      <c r="H99" s="42"/>
    </row>
    <row r="100" spans="1:8" ht="14.25" x14ac:dyDescent="0.3">
      <c r="A100" s="51"/>
      <c r="B100" s="52"/>
      <c r="C100" s="9"/>
      <c r="D100" s="9"/>
      <c r="E100" s="9"/>
      <c r="F100" s="42"/>
      <c r="G100" s="42"/>
      <c r="H100" s="42"/>
    </row>
    <row r="101" spans="1:8" ht="14.25" x14ac:dyDescent="0.3">
      <c r="A101" s="11" t="s">
        <v>173</v>
      </c>
      <c r="B101" s="11"/>
      <c r="C101" s="11"/>
      <c r="D101" s="9"/>
      <c r="E101" s="9"/>
      <c r="F101" s="42"/>
      <c r="G101" s="42"/>
      <c r="H101" s="42"/>
    </row>
    <row r="102" spans="1:8" ht="14.25" x14ac:dyDescent="0.3">
      <c r="A102" s="53" t="s">
        <v>175</v>
      </c>
      <c r="B102" s="54"/>
      <c r="C102" s="55"/>
      <c r="D102" s="56"/>
      <c r="E102" s="9"/>
      <c r="F102" s="42"/>
      <c r="G102" s="74"/>
      <c r="H102" s="60"/>
    </row>
    <row r="103" spans="1:8" ht="14.25" x14ac:dyDescent="0.3">
      <c r="A103" s="76" t="s">
        <v>101</v>
      </c>
      <c r="B103" s="77"/>
      <c r="C103" s="78"/>
      <c r="D103" s="50">
        <v>371</v>
      </c>
      <c r="E103" s="9"/>
      <c r="F103" s="42"/>
      <c r="G103" s="74"/>
      <c r="H103" s="42"/>
    </row>
    <row r="104" spans="1:8" ht="14.25" x14ac:dyDescent="0.3">
      <c r="A104" s="76" t="s">
        <v>102</v>
      </c>
      <c r="B104" s="77"/>
      <c r="C104" s="78"/>
      <c r="D104" s="50">
        <v>0</v>
      </c>
      <c r="E104" s="9"/>
      <c r="F104" s="42"/>
      <c r="G104" s="42"/>
      <c r="H104" s="42"/>
    </row>
    <row r="105" spans="1:8" ht="14.25" x14ac:dyDescent="0.3">
      <c r="A105" s="76" t="s">
        <v>103</v>
      </c>
      <c r="B105" s="77"/>
      <c r="C105" s="78"/>
      <c r="D105" s="50">
        <v>2087.9846675999997</v>
      </c>
      <c r="E105" s="9"/>
      <c r="F105" s="42"/>
      <c r="G105" s="42"/>
      <c r="H105" s="42"/>
    </row>
    <row r="106" spans="1:8" ht="14.25" x14ac:dyDescent="0.3">
      <c r="A106" s="76" t="s">
        <v>104</v>
      </c>
      <c r="B106" s="77"/>
      <c r="C106" s="78"/>
      <c r="D106" s="50">
        <v>0</v>
      </c>
      <c r="E106" s="9"/>
      <c r="F106" s="42"/>
      <c r="G106" s="42"/>
      <c r="H106" s="42"/>
    </row>
    <row r="107" spans="1:8" ht="14.25" x14ac:dyDescent="0.3">
      <c r="A107" s="76" t="s">
        <v>105</v>
      </c>
      <c r="B107" s="77"/>
      <c r="C107" s="78"/>
      <c r="D107" s="57">
        <v>0</v>
      </c>
      <c r="E107" s="9"/>
      <c r="F107" s="42"/>
      <c r="G107" s="42"/>
      <c r="H107" s="42"/>
    </row>
    <row r="108" spans="1:8" ht="13.5" x14ac:dyDescent="0.2">
      <c r="A108" s="41"/>
      <c r="B108" s="41"/>
      <c r="C108" s="41"/>
      <c r="D108" s="41"/>
      <c r="E108" s="41"/>
      <c r="F108" s="42"/>
      <c r="G108" s="42"/>
      <c r="H108" s="42"/>
    </row>
    <row r="109" spans="1:8" ht="13.5" x14ac:dyDescent="0.2">
      <c r="A109" s="41"/>
      <c r="B109" s="41"/>
      <c r="C109" s="41"/>
      <c r="D109" s="41"/>
      <c r="E109" s="41"/>
      <c r="F109" s="42"/>
      <c r="G109" s="42"/>
      <c r="H109" s="42"/>
    </row>
    <row r="110" spans="1:8" ht="14.25" x14ac:dyDescent="0.3">
      <c r="A110" s="14" t="s">
        <v>7</v>
      </c>
      <c r="B110" s="10"/>
      <c r="C110" s="10"/>
      <c r="D110" s="9"/>
      <c r="E110" s="9"/>
      <c r="F110" s="9"/>
      <c r="G110" s="9"/>
      <c r="H110" s="9"/>
    </row>
    <row r="111" spans="1:8" ht="14.25" x14ac:dyDescent="0.3">
      <c r="A111" s="13" t="s">
        <v>6</v>
      </c>
      <c r="B111" s="10"/>
      <c r="C111" s="10"/>
      <c r="D111" s="9"/>
      <c r="E111" s="9"/>
      <c r="F111" s="9"/>
      <c r="G111" s="9"/>
      <c r="H111" s="9"/>
    </row>
    <row r="112" spans="1:8" ht="14.25" x14ac:dyDescent="0.3">
      <c r="A112" s="13" t="s">
        <v>5</v>
      </c>
      <c r="B112" s="10"/>
      <c r="C112" s="10"/>
      <c r="D112" s="9"/>
      <c r="E112" s="9"/>
      <c r="F112" s="9"/>
      <c r="G112" s="9"/>
      <c r="H112" s="9"/>
    </row>
    <row r="113" spans="1:8" ht="14.25" x14ac:dyDescent="0.3">
      <c r="A113" s="13" t="s">
        <v>4</v>
      </c>
      <c r="B113" s="10"/>
      <c r="C113" s="10"/>
      <c r="D113" s="9"/>
      <c r="E113" s="9"/>
      <c r="F113" s="9"/>
      <c r="G113" s="9"/>
      <c r="H113" s="9"/>
    </row>
    <row r="114" spans="1:8" ht="14.25" x14ac:dyDescent="0.3">
      <c r="A114" s="13"/>
      <c r="B114" s="10"/>
      <c r="C114" s="10"/>
      <c r="D114" s="9"/>
      <c r="E114" s="9"/>
      <c r="F114" s="9"/>
      <c r="G114" s="9"/>
      <c r="H114" s="9"/>
    </row>
    <row r="115" spans="1:8" ht="14.25" x14ac:dyDescent="0.3">
      <c r="A115" s="12" t="s">
        <v>3</v>
      </c>
      <c r="B115" s="11" t="s">
        <v>2</v>
      </c>
      <c r="C115" s="11"/>
      <c r="D115" s="11"/>
      <c r="E115" s="11"/>
      <c r="F115" s="9"/>
      <c r="G115" s="9"/>
      <c r="H115" s="9"/>
    </row>
    <row r="116" spans="1:8" ht="14.25" x14ac:dyDescent="0.3">
      <c r="A116" s="10"/>
      <c r="B116" s="10"/>
      <c r="C116" s="10"/>
      <c r="D116" s="9"/>
      <c r="E116" s="9"/>
      <c r="F116" s="9"/>
      <c r="G116" s="9"/>
      <c r="H116" s="9"/>
    </row>
    <row r="117" spans="1:8" ht="14.25" x14ac:dyDescent="0.3">
      <c r="A117" s="10"/>
      <c r="B117" s="10"/>
      <c r="C117" s="10"/>
      <c r="D117" s="9"/>
      <c r="E117" s="9"/>
      <c r="F117" s="9"/>
      <c r="G117" s="9"/>
      <c r="H117" s="9"/>
    </row>
    <row r="118" spans="1:8" ht="14.25" x14ac:dyDescent="0.3">
      <c r="A118" s="10"/>
      <c r="B118" s="10"/>
      <c r="C118" s="10"/>
      <c r="D118" s="9"/>
      <c r="E118" s="9"/>
      <c r="F118" s="9"/>
      <c r="G118" s="9"/>
      <c r="H118" s="9"/>
    </row>
    <row r="119" spans="1:8" ht="14.25" x14ac:dyDescent="0.3">
      <c r="A119" s="10"/>
      <c r="B119" s="10"/>
      <c r="C119" s="10"/>
      <c r="D119" s="9"/>
      <c r="E119" s="9"/>
      <c r="F119" s="9"/>
      <c r="G119" s="9"/>
      <c r="H119" s="9"/>
    </row>
    <row r="120" spans="1:8" ht="14.25" x14ac:dyDescent="0.3">
      <c r="A120" s="10"/>
      <c r="B120" s="10"/>
      <c r="C120" s="10"/>
      <c r="D120" s="9"/>
      <c r="E120" s="9"/>
      <c r="F120" s="9"/>
      <c r="G120" s="9"/>
      <c r="H120" s="9"/>
    </row>
    <row r="121" spans="1:8" ht="14.25" x14ac:dyDescent="0.3">
      <c r="A121" s="10"/>
      <c r="B121" s="10"/>
      <c r="C121" s="10"/>
      <c r="D121" s="9"/>
      <c r="E121" s="9"/>
      <c r="F121" s="9"/>
      <c r="G121" s="9"/>
      <c r="H121" s="9"/>
    </row>
    <row r="122" spans="1:8" ht="14.25" x14ac:dyDescent="0.3">
      <c r="A122" s="10"/>
      <c r="B122" s="10"/>
      <c r="C122" s="10"/>
      <c r="D122" s="9"/>
      <c r="E122" s="9"/>
      <c r="F122" s="9"/>
      <c r="G122" s="9"/>
      <c r="H122" s="9"/>
    </row>
    <row r="123" spans="1:8" x14ac:dyDescent="0.2">
      <c r="A123" s="7"/>
      <c r="B123" s="6"/>
      <c r="D123" s="5"/>
      <c r="E123" s="5"/>
      <c r="F123" s="5"/>
      <c r="G123" s="5"/>
      <c r="H123" s="5"/>
    </row>
    <row r="124" spans="1:8" x14ac:dyDescent="0.2">
      <c r="A124" s="7"/>
      <c r="B124" s="6"/>
      <c r="D124" s="5"/>
      <c r="E124" s="5"/>
      <c r="F124" s="5"/>
      <c r="G124" s="5"/>
      <c r="H124" s="5"/>
    </row>
    <row r="125" spans="1:8" x14ac:dyDescent="0.2">
      <c r="A125" s="7"/>
      <c r="B125" s="6"/>
      <c r="D125" s="5"/>
      <c r="E125" s="5"/>
      <c r="F125" s="5"/>
      <c r="G125" s="5"/>
      <c r="H125" s="5"/>
    </row>
    <row r="126" spans="1:8" x14ac:dyDescent="0.2">
      <c r="A126" s="7"/>
      <c r="B126" s="6"/>
      <c r="D126" s="5"/>
      <c r="E126" s="5"/>
      <c r="F126" s="5"/>
      <c r="G126" s="5"/>
      <c r="H126" s="5"/>
    </row>
    <row r="127" spans="1:8" x14ac:dyDescent="0.2">
      <c r="A127" s="8" t="s">
        <v>1</v>
      </c>
      <c r="B127" s="81" t="s">
        <v>0</v>
      </c>
      <c r="C127" s="81"/>
      <c r="D127" s="81"/>
      <c r="E127" s="81"/>
      <c r="F127" s="5"/>
      <c r="G127" s="5"/>
      <c r="H127" s="5"/>
    </row>
    <row r="128" spans="1:8" x14ac:dyDescent="0.2">
      <c r="A128" s="7"/>
      <c r="B128" s="6"/>
      <c r="D128" s="5"/>
      <c r="E128" s="5"/>
      <c r="F128" s="5"/>
      <c r="G128" s="5"/>
      <c r="H128" s="5"/>
    </row>
  </sheetData>
  <mergeCells count="19">
    <mergeCell ref="A83:H83"/>
    <mergeCell ref="A93:C93"/>
    <mergeCell ref="A95:C95"/>
    <mergeCell ref="A96:C96"/>
    <mergeCell ref="A97:C97"/>
    <mergeCell ref="A1:H1"/>
    <mergeCell ref="A2:H2"/>
    <mergeCell ref="A3:H3"/>
    <mergeCell ref="A81:H81"/>
    <mergeCell ref="A82:H82"/>
    <mergeCell ref="A105:C105"/>
    <mergeCell ref="A106:C106"/>
    <mergeCell ref="A107:C107"/>
    <mergeCell ref="A84:H84"/>
    <mergeCell ref="B127:E127"/>
    <mergeCell ref="A98:C98"/>
    <mergeCell ref="A99:C99"/>
    <mergeCell ref="A103:C103"/>
    <mergeCell ref="A104:C104"/>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2025-02-05T09:35:58Z</dcterms:created>
  <dcterms:modified xsi:type="dcterms:W3CDTF">2025-04-08T11:13:40Z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2025-02-06T08:59:02Z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e2a04041-129a-49de-923a-f63f430244fa</vt:lpwstr>
  </property>
  <property fmtid="{D5CDD505-2E9C-101B-9397-08002B2CF9AE}" pid="8" name="MSIP_Label_e3ba8fb0-bbb8-454c-aa98-661329b3f27f_ContentBits">
    <vt:lpwstr>3</vt:lpwstr>
  </property>
</Properties>
</file>