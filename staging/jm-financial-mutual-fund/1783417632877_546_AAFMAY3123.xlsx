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without Risko meter\"/>
    </mc:Choice>
  </mc:AlternateContent>
  <bookViews>
    <workbookView xWindow="0" yWindow="0" windowWidth="20490" windowHeight="7770"/>
  </bookViews>
  <sheets>
    <sheet name="JM Arbitrage Fund" sheetId="1" r:id="rId1"/>
  </sheets>
  <definedNames>
    <definedName name="_xlnm._FilterDatabase" localSheetId="0" hidden="1">'JM Arbitrage Fund'!$A$1:$H$103</definedName>
    <definedName name="Afs">#REF!</definedName>
    <definedName name="_xlnm.Database">#REF!</definedName>
    <definedName name="EBLDB">#REF!</definedName>
    <definedName name="fl">#REF!</definedName>
    <definedName name="_xlnm.Print_Area" localSheetId="0">'JM Arbitrage Fund'!$A$1:$E$81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4" i="1" l="1"/>
  <c r="E93" i="1"/>
  <c r="E94" i="1" s="1"/>
  <c r="D90" i="1"/>
  <c r="E89" i="1"/>
  <c r="E90" i="1" s="1"/>
  <c r="D88" i="1"/>
  <c r="E87" i="1"/>
  <c r="E86" i="1"/>
  <c r="E85" i="1"/>
  <c r="E84" i="1"/>
  <c r="E83" i="1"/>
  <c r="F73" i="1"/>
  <c r="F96" i="1" s="1"/>
  <c r="D69" i="1"/>
  <c r="E68" i="1"/>
  <c r="E69" i="1" s="1"/>
  <c r="D65" i="1"/>
  <c r="E64" i="1"/>
  <c r="E65" i="1" s="1"/>
  <c r="D56" i="1"/>
  <c r="D60" i="1" s="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88" i="1" l="1"/>
  <c r="E56" i="1"/>
  <c r="E60" i="1" s="1"/>
  <c r="D73" i="1"/>
  <c r="E73" i="1"/>
  <c r="D96" i="1"/>
  <c r="D98" i="1" s="1"/>
  <c r="E98" i="1" s="1"/>
  <c r="E96" i="1"/>
  <c r="E100" i="1" l="1"/>
</calcChain>
</file>

<file path=xl/sharedStrings.xml><?xml version="1.0" encoding="utf-8"?>
<sst xmlns="http://schemas.openxmlformats.org/spreadsheetml/2006/main" count="364" uniqueCount="258">
  <si>
    <t>JM Arbitrage Fund (An open ended scheme investing in arbitrage opportunities).</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</si>
  <si>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</si>
  <si>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</si>
  <si>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</si>
  <si>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</si>
  <si>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</si>
  <si>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</si>
  <si>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</si>
  <si>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</si>
  <si>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</si>
  <si>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</si>
  <si>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</si>
  <si>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</si>
  <si>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</si>
  <si>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</si>
  <si>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</si>
  <si>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</si>
  <si>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Tata Power Company Ltd.</t>
  </si>
  <si>
    <t>Power</t>
  </si>
  <si>
    <t>INE245A01021</t>
  </si>
  <si>
    <t>Sun Pharmaceutical Industries Ltd.</t>
  </si>
  <si>
    <t>Pharmaceuticals &amp; Biotechnology</t>
  </si>
  <si>
    <t>INE044A01036</t>
  </si>
  <si>
    <t>Larsen &amp; Toubro Ltd.</t>
  </si>
  <si>
    <t>Construction</t>
  </si>
  <si>
    <t>INE018A01030</t>
  </si>
  <si>
    <t>Housing Development Finance Corporation Ltd.</t>
  </si>
  <si>
    <t>Finance</t>
  </si>
  <si>
    <t>INE001A01036</t>
  </si>
  <si>
    <t>Tata Steel Ltd.</t>
  </si>
  <si>
    <t>Ferrous Metals</t>
  </si>
  <si>
    <t>INE081A01020</t>
  </si>
  <si>
    <t>Hindustan Unilever Ltd.</t>
  </si>
  <si>
    <t>Diversified FMCG</t>
  </si>
  <si>
    <t>INE030A01027</t>
  </si>
  <si>
    <t>United Spirits Ltd.</t>
  </si>
  <si>
    <t>Beverages</t>
  </si>
  <si>
    <t>INE854D01024</t>
  </si>
  <si>
    <t>Granules India Ltd.</t>
  </si>
  <si>
    <t>INE101D01020</t>
  </si>
  <si>
    <t>LIC Housing Finance Ltd.</t>
  </si>
  <si>
    <t>INE115A01026</t>
  </si>
  <si>
    <t>Aditya Birla Fashion and Retail Ltd.</t>
  </si>
  <si>
    <t>Retailing</t>
  </si>
  <si>
    <t>INE647O01011</t>
  </si>
  <si>
    <t>NMDC Ltd.</t>
  </si>
  <si>
    <t>Minerals &amp; Mining</t>
  </si>
  <si>
    <t>INE584A01023</t>
  </si>
  <si>
    <t>Ultratech Cement Ltd.</t>
  </si>
  <si>
    <t>Cement &amp; Cement Products</t>
  </si>
  <si>
    <t>INE481G01011</t>
  </si>
  <si>
    <t>Tata Motors Ltd.</t>
  </si>
  <si>
    <t>Automobiles</t>
  </si>
  <si>
    <t>INE155A01022</t>
  </si>
  <si>
    <t>Reliance Industries Ltd.</t>
  </si>
  <si>
    <t>Petroleum Products</t>
  </si>
  <si>
    <t>INE002A01018</t>
  </si>
  <si>
    <t>Dr. Reddy's Laboratories Ltd.</t>
  </si>
  <si>
    <t>INE089A01023</t>
  </si>
  <si>
    <t>Siemens Ltd.</t>
  </si>
  <si>
    <t>Electrical Equipment</t>
  </si>
  <si>
    <t>INE003A01024</t>
  </si>
  <si>
    <t>HCL Technologies Ltd.</t>
  </si>
  <si>
    <t>IT - Software</t>
  </si>
  <si>
    <t>INE860A01027</t>
  </si>
  <si>
    <t>Birlasoft Ltd.</t>
  </si>
  <si>
    <t>INE836A01035</t>
  </si>
  <si>
    <t>Pidilite Industries Ltd.</t>
  </si>
  <si>
    <t>Chemicals &amp; Petrochemicals</t>
  </si>
  <si>
    <t>INE318A01026</t>
  </si>
  <si>
    <t>Trent Ltd.</t>
  </si>
  <si>
    <t>INE849A01020</t>
  </si>
  <si>
    <t>Delta Corp Ltd.</t>
  </si>
  <si>
    <t>Leisure Services</t>
  </si>
  <si>
    <t>INE124G01033</t>
  </si>
  <si>
    <t>Grasim Industries Ltd.</t>
  </si>
  <si>
    <t>INE047A01021</t>
  </si>
  <si>
    <t>Canara Bank</t>
  </si>
  <si>
    <t>INE476A01014</t>
  </si>
  <si>
    <t>Piramal Enterprises Ltd.</t>
  </si>
  <si>
    <t>INE140A01024</t>
  </si>
  <si>
    <t>Bandhan Bank Ltd.</t>
  </si>
  <si>
    <t>INE545U01014</t>
  </si>
  <si>
    <t>Bharat Heavy Electricals Ltd.</t>
  </si>
  <si>
    <t>INE257A01026</t>
  </si>
  <si>
    <t>Bajaj Finserv Ltd.</t>
  </si>
  <si>
    <t>INE918I01026</t>
  </si>
  <si>
    <t>JSW Steel Ltd.</t>
  </si>
  <si>
    <t>INE019A01038</t>
  </si>
  <si>
    <t>Astral Ltd.</t>
  </si>
  <si>
    <t>Industrial Products</t>
  </si>
  <si>
    <t>INE006I01046</t>
  </si>
  <si>
    <t>Vodafone Idea Ltd.</t>
  </si>
  <si>
    <t>Telecom - Services</t>
  </si>
  <si>
    <t>INE669E01016</t>
  </si>
  <si>
    <t>ITC Ltd.</t>
  </si>
  <si>
    <t>INE154A01025</t>
  </si>
  <si>
    <t>IDFC Ltd.</t>
  </si>
  <si>
    <t>INE043D01016</t>
  </si>
  <si>
    <t>Dabur India Ltd.</t>
  </si>
  <si>
    <t>Personal Products</t>
  </si>
  <si>
    <t>INE016A01026</t>
  </si>
  <si>
    <t>Container Corporation of India Ltd.</t>
  </si>
  <si>
    <t>Transport Services</t>
  </si>
  <si>
    <t>INE111A01025</t>
  </si>
  <si>
    <t>Indian Oil Corporation Ltd.</t>
  </si>
  <si>
    <t>INE242A01010</t>
  </si>
  <si>
    <t>Bharat Electronics Ltd.</t>
  </si>
  <si>
    <t>Aerospace &amp; Defense</t>
  </si>
  <si>
    <t>INE263A01024</t>
  </si>
  <si>
    <t>ACC Ltd.</t>
  </si>
  <si>
    <t>INE012A01025</t>
  </si>
  <si>
    <t>Asian Paints Ltd.</t>
  </si>
  <si>
    <t>Consumer Durables</t>
  </si>
  <si>
    <t>INE021A01026</t>
  </si>
  <si>
    <t>Britannia Industries Ltd.</t>
  </si>
  <si>
    <t>Food Products</t>
  </si>
  <si>
    <t>INE216A01030</t>
  </si>
  <si>
    <t>IndusInd Bank Ltd.</t>
  </si>
  <si>
    <t>INE095A01012</t>
  </si>
  <si>
    <t>Punjab National Bank</t>
  </si>
  <si>
    <t>INE160A01022</t>
  </si>
  <si>
    <t>Power Finance Corporation Ltd.</t>
  </si>
  <si>
    <t>INE134E01011</t>
  </si>
  <si>
    <t>Titan Company Ltd.</t>
  </si>
  <si>
    <t>INE280A01028</t>
  </si>
  <si>
    <t>Metropolis Healthcare Ltd.</t>
  </si>
  <si>
    <t>Healthcare Services</t>
  </si>
  <si>
    <t>INE112L01020</t>
  </si>
  <si>
    <t>L&amp;T Finance Holdings Ltd.</t>
  </si>
  <si>
    <t>INE498L01015</t>
  </si>
  <si>
    <t>Exide Industries Ltd.</t>
  </si>
  <si>
    <t>Auto Components</t>
  </si>
  <si>
    <t>INE302A01020</t>
  </si>
  <si>
    <t>Tech Mahindra Ltd.</t>
  </si>
  <si>
    <t>INE669C01036</t>
  </si>
  <si>
    <t>Indiabulls Housing Finance Ltd.</t>
  </si>
  <si>
    <t>INE148I01020</t>
  </si>
  <si>
    <t>Sub Total:</t>
  </si>
  <si>
    <t>b) Unlisted</t>
  </si>
  <si>
    <t>NIL</t>
  </si>
  <si>
    <t>Total:</t>
  </si>
  <si>
    <t>DEBT INSTRUMENTS</t>
  </si>
  <si>
    <t>Power Grid Corporation of India Ltd.**</t>
  </si>
  <si>
    <t>CARE AAA</t>
  </si>
  <si>
    <t>INE752E07JW2</t>
  </si>
  <si>
    <t xml:space="preserve">Zero Coupon Bond </t>
  </si>
  <si>
    <t>Shriram Finance Ltd.**</t>
  </si>
  <si>
    <t>CARE AA+</t>
  </si>
  <si>
    <t>INE721A07NZ0</t>
  </si>
  <si>
    <t>b) Privately Placed / Unlisted</t>
  </si>
  <si>
    <t>TERM DEPOSITS</t>
  </si>
  <si>
    <t>Deposits (Maturity not exceeding 91 days)</t>
  </si>
  <si>
    <t>Deposits (Placed as F &amp; O margin)</t>
  </si>
  <si>
    <t>MONEY MARKET INSTRUMENTS</t>
  </si>
  <si>
    <t>Treasury Bills</t>
  </si>
  <si>
    <t>364 Days Treasury-Bill 29/06/2023</t>
  </si>
  <si>
    <t>Sovereign</t>
  </si>
  <si>
    <t>IN002022Z135</t>
  </si>
  <si>
    <t>182 Days Treasury-Bill 10/08/2023</t>
  </si>
  <si>
    <t>IN002022Y468</t>
  </si>
  <si>
    <t>364 Days Treasury-Bill 15/06/2023</t>
  </si>
  <si>
    <t>IN002022Z119</t>
  </si>
  <si>
    <t>91 Days Treasury-Bill 01/06/2023</t>
  </si>
  <si>
    <t>IN002022X486</t>
  </si>
  <si>
    <t>364 Days Treasury-Bill 14/09/2023</t>
  </si>
  <si>
    <t>IN002022Z242</t>
  </si>
  <si>
    <t>TREPS-Triparty Repo</t>
  </si>
  <si>
    <t/>
  </si>
  <si>
    <t>Mutual Fund Units</t>
  </si>
  <si>
    <t>JM Liquid Fund **</t>
  </si>
  <si>
    <t>INF192K01CM6</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</si>
  <si>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</si>
  <si>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</si>
  <si>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</si>
  <si>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</si>
  <si>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</si>
  <si>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</si>
  <si>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</si>
  <si>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</si>
  <si>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For the period ended May 31,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</si>
  <si>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</si>
  <si>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</si>
  <si>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</si>
  <si>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</si>
  <si>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</si>
  <si>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31/05/2023</t>
  </si>
  <si>
    <t>For the period ended May 31,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</si>
  <si>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</si>
  <si>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</si>
  <si>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</si>
  <si>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</si>
  <si>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</si>
  <si>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</si>
  <si>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</si>
  <si>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Hedging Positions through futures as on May 31, 2023:</t>
  </si>
  <si>
    <t>Underlying</t>
  </si>
  <si>
    <t>Long / Short</t>
  </si>
  <si>
    <t>Futures price when purchased (Rs.)</t>
  </si>
  <si>
    <t>Current  price of the Contract (Rs.)</t>
  </si>
  <si>
    <t>Total Margin maintained in(Rs. In Lakhs)</t>
  </si>
  <si>
    <t>Aditya Birla Fashion and Retail Ltd.Jul-2023</t>
  </si>
  <si>
    <t>Short</t>
  </si>
  <si>
    <t>Aditya Birla Fashion and Retail Ltd.Jun-2023</t>
  </si>
  <si>
    <t>ACC Ltd.Jun-2023</t>
  </si>
  <si>
    <t>Asian Paints Ltd.Jun-2023</t>
  </si>
  <si>
    <t>Astral Ltd.Jun-2023</t>
  </si>
  <si>
    <t>Bajaj Finserv Ltd.Jun-2023</t>
  </si>
  <si>
    <t>Bandhan Bank Ltd.Jun-2023</t>
  </si>
  <si>
    <t>Bharat Electronics Ltd.Jul-2023</t>
  </si>
  <si>
    <t>Bharat Heavy Electricals Ltd.Jun-2023</t>
  </si>
  <si>
    <t>Britannia Industries Ltd.Jun-2023</t>
  </si>
  <si>
    <t>Birlasoft Ltd.Jun-2023</t>
  </si>
  <si>
    <t>Canara BankJun-2023</t>
  </si>
  <si>
    <t>Container Corporation of India Ltd.Jun-2023</t>
  </si>
  <si>
    <t>Dabur India Ltd.Jun-2023</t>
  </si>
  <si>
    <t>Delta Corp Ltd.Jun-2023</t>
  </si>
  <si>
    <t>Dr. Reddy's Laboratories Ltd.Jun-2023</t>
  </si>
  <si>
    <t>Exide Industries Ltd.Jun-2023</t>
  </si>
  <si>
    <t>Granules India Ltd.Jul-2023</t>
  </si>
  <si>
    <t>Granules India Ltd.Jun-2023</t>
  </si>
  <si>
    <t>Grasim Industries Ltd.Jun-2023</t>
  </si>
  <si>
    <t>HCL Technologies Ltd.Jun-2023</t>
  </si>
  <si>
    <t>HDFC Bank Ltd.Jun-2023</t>
  </si>
  <si>
    <t>Housing Development Finance Corporation Ltd.Jun-2023</t>
  </si>
  <si>
    <t>Hindustan Unilever Ltd.Jun-2023</t>
  </si>
  <si>
    <t>Indiabulls Housing Finance Ltd.Jun-2023</t>
  </si>
  <si>
    <t>ICICI Bank Ltd.Jun-2023</t>
  </si>
  <si>
    <t>Vodafone Idea Ltd.Jun-2023</t>
  </si>
  <si>
    <t>IDFC Ltd.Jun-2023</t>
  </si>
  <si>
    <t>IndusInd Bank Ltd.Jun-2023</t>
  </si>
  <si>
    <t>Indian Oil Corporation Ltd.Jun-2023</t>
  </si>
  <si>
    <t>ITC Ltd.Jun-2023</t>
  </si>
  <si>
    <t>JSW Steel Ltd.Jun-2023</t>
  </si>
  <si>
    <t>L&amp;T Finance Holdings Ltd.Jun-2023</t>
  </si>
  <si>
    <t>LIC Housing Finance Ltd.Jun-2023</t>
  </si>
  <si>
    <t>Larsen &amp; Toubro Ltd.Jun-2023</t>
  </si>
  <si>
    <t>United Spirits Ltd.Jun-2023</t>
  </si>
  <si>
    <t>Metropolis Healthcare Ltd.Jun-2023</t>
  </si>
  <si>
    <t>NMDC Ltd.Jul-2023</t>
  </si>
  <si>
    <t>NMDC Ltd.Jun-2023</t>
  </si>
  <si>
    <t>Piramal Enterprises Ltd.Jun-2023</t>
  </si>
  <si>
    <t>Power Finance Corporation Ltd.Jun-2023</t>
  </si>
  <si>
    <t>Pidilite Industries Ltd.Jun-2023</t>
  </si>
  <si>
    <t>Punjab National BankJun-2023</t>
  </si>
  <si>
    <t>Reliance Industries Ltd.Jun-2023</t>
  </si>
  <si>
    <t>Siemens Ltd.Jun-2023</t>
  </si>
  <si>
    <t>Sun Pharmaceutical Industries Ltd.Jun-2023</t>
  </si>
  <si>
    <t>Tata Motors Ltd.Jun-2023</t>
  </si>
  <si>
    <t>Tata Power Company Ltd.Jul-2023</t>
  </si>
  <si>
    <t>Tata Power Company Ltd.Jun-2023</t>
  </si>
  <si>
    <t>Tata Steel Ltd.Jun-2023</t>
  </si>
  <si>
    <t>Tech Mahindra Ltd.Jun-2023</t>
  </si>
  <si>
    <t>Titan Company Ltd.Jun-2023</t>
  </si>
  <si>
    <t>Trent Ltd.Jun-2023</t>
  </si>
  <si>
    <t>Ultratech Cement Ltd.Jun-2023</t>
  </si>
  <si>
    <t>Total outstanding exposure in derivative instruments at the end of the period - Short -(Rs in Lakhs) : (6,947.82)</t>
  </si>
  <si>
    <t>Total 68.12% of existing assets hedged through futures as on 31/05/2023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</si>
</sst>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3"/>
        <bgColor indexed="64"/>
      </patternFill>
    </fill>
    <fill>
      <patternFill patternType="solid">
        <fgColor indexed="22"/>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xf numFmtId="164" fontId="6" fillId="0" borderId="0" applyFont="0" applyFill="0" applyBorder="0" applyAlignment="0" applyProtection="0"/>
  </cellStyleXfs>
  <cellXfs count="88">
    <xf numFmtId="0" fontId="0" fillId="0" borderId="0" xfId="0"/>
    <xf numFmtId="0" fontId="3" fillId="0" borderId="0" xfId="0" applyFont="1"/>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2" fontId="5" fillId="0" borderId="3" xfId="0"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3" applyFont="1" applyFill="1" applyBorder="1" applyAlignment="1"/>
    <xf numFmtId="0" fontId="5" fillId="0" borderId="0" xfId="2" applyFont="1" applyAlignment="1">
      <alignment horizontal="left" wrapText="1"/>
    </xf>
    <xf numFmtId="165" fontId="5" fillId="0" borderId="0" xfId="5" applyNumberFormat="1" applyFont="1"/>
    <xf numFmtId="0" fontId="5" fillId="0" borderId="0" xfId="2" applyFont="1"/>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2" applyNumberFormat="1" applyFont="1"/>
    <xf numFmtId="0" fontId="4" fillId="3" borderId="4" xfId="2" applyFont="1" applyFill="1" applyBorder="1" applyAlignment="1"/>
    <xf numFmtId="0" fontId="4" fillId="3" borderId="2" xfId="2" applyFont="1" applyFill="1" applyBorder="1" applyAlignment="1"/>
    <xf numFmtId="0" fontId="4" fillId="3" borderId="5" xfId="2" applyFont="1" applyFill="1" applyBorder="1" applyAlignment="1"/>
    <xf numFmtId="0" fontId="5" fillId="3" borderId="3" xfId="2" applyFont="1" applyFill="1" applyBorder="1" applyAlignment="1"/>
    <xf numFmtId="0" fontId="5" fillId="0" borderId="3" xfId="2" applyFont="1" applyFill="1" applyBorder="1" applyAlignment="1">
      <alignment horizontal="right"/>
    </xf>
    <xf numFmtId="4" fontId="5" fillId="0" borderId="3" xfId="2" applyNumberFormat="1" applyFont="1" applyBorder="1"/>
    <xf numFmtId="164" fontId="5" fillId="0" borderId="3" xfId="1" applyFont="1" applyBorder="1"/>
    <xf numFmtId="0" fontId="4" fillId="0" borderId="0" xfId="2" applyFont="1"/>
    <xf numFmtId="0" fontId="5" fillId="0" borderId="3" xfId="2"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6" applyFont="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0" xfId="2" applyFont="1" applyFill="1" applyBorder="1" applyAlignment="1">
      <alignment horizontal="left"/>
    </xf>
    <xf numFmtId="0" fontId="4" fillId="0" borderId="0" xfId="3" applyFont="1" applyFill="1" applyAlignment="1"/>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4" borderId="3" xfId="3" applyFont="1" applyFill="1" applyBorder="1" applyAlignment="1">
      <alignment wrapText="1"/>
    </xf>
    <xf numFmtId="0" fontId="4" fillId="4" borderId="3" xfId="2" applyFont="1" applyFill="1" applyBorder="1" applyAlignment="1">
      <alignment horizontal="left" wrapText="1"/>
    </xf>
    <xf numFmtId="165" fontId="4" fillId="4" borderId="3" xfId="8" applyNumberFormat="1" applyFont="1" applyFill="1" applyBorder="1"/>
    <xf numFmtId="4" fontId="0" fillId="0" borderId="0" xfId="0" applyNumberFormat="1"/>
    <xf numFmtId="0" fontId="3" fillId="0" borderId="3" xfId="0" applyFont="1" applyBorder="1"/>
    <xf numFmtId="43" fontId="3" fillId="0" borderId="0" xfId="0" applyNumberFormat="1" applyFont="1"/>
    <xf numFmtId="0" fontId="5" fillId="0" borderId="0" xfId="3" applyFont="1" applyAlignment="1">
      <alignment horizontal="left" vertical="top" wrapText="1"/>
    </xf>
    <xf numFmtId="0" fontId="0" fillId="0" borderId="0" xfId="0"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3" xfId="2" applyFont="1" applyFill="1" applyBorder="1" applyAlignment="1">
      <alignment horizontal="left"/>
    </xf>
    <xf numFmtId="0" fontId="5" fillId="0" borderId="4" xfId="2" applyFont="1" applyFill="1" applyBorder="1" applyAlignment="1">
      <alignment horizontal="left"/>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Fill="1" applyBorder="1" applyAlignment="1">
      <alignment horizontal="left"/>
    </xf>
  </cellXfs>
  <cellStyles count="9">
    <cellStyle name="Comma" xfId="1" builtinId="3"/>
    <cellStyle name="Comma 2" xfId="8"/>
    <cellStyle name="Comma 4" xfId="5"/>
    <cellStyle name="Normal" xfId="0" builtinId="0"/>
    <cellStyle name="Normal 2 2" xfId="2"/>
    <cellStyle name="Normal 2 3 2" xfId="3"/>
    <cellStyle name="Normal 4_A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981075</xdr:colOff>
      <xdr:row>189</xdr:row>
      <xdr:rowOff>9525</xdr:rowOff>
    </xdr:from>
    <xdr:to>
      <xdr:col>0</xdr:col>
      <xdr:colOff>2781300</xdr:colOff>
      <xdr:row>195</xdr:row>
      <xdr:rowOff>75640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981075" y="35299650"/>
          <a:ext cx="1800225" cy="1151965"/>
        </a:xfrm>
        <a:prstGeom prst="rect">
          <a:avLst/>
        </a:prstGeom>
        <a:noFill/>
        <a:ln w="9525">
          <a:noFill/>
          <a:miter lim="800000"/>
          <a:headEnd/>
          <a:tailEnd/>
        </a:ln>
      </xdr:spPr>
    </xdr:pic>
    <xdr:clientData/>
  </xdr:twoCellAnchor>
  <xdr:twoCellAnchor editAs="oneCell">
    <xdr:from>
      <xdr:col>1</xdr:col>
      <xdr:colOff>342900</xdr:colOff>
      <xdr:row>189</xdr:row>
      <xdr:rowOff>28575</xdr:rowOff>
    </xdr:from>
    <xdr:to>
      <xdr:col>2</xdr:col>
      <xdr:colOff>119903</xdr:colOff>
      <xdr:row>195</xdr:row>
      <xdr:rowOff>28015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667125" y="35318700"/>
          <a:ext cx="1805828" cy="108529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95"/>
  <sheetViews>
    <sheetView tabSelected="1" topLeftCell="A178" zoomScaleNormal="100" workbookViewId="0">
      <selection activeCell="D196" sqref="D196"/>
    </sheetView>
  </sheetViews>
  <sheetFormatPr defaultRowHeight="12.75" x14ac:dyDescent="0.2"/>
  <cols>
    <col min="1" max="1" width="49.85546875" style="63" customWidth="1"/>
    <col min="2" max="2" width="30.42578125" style="64" customWidth="1"/>
    <col min="3" max="3" width="12.85546875" style="65" customWidth="1"/>
    <col min="4" max="4" width="13.85546875" style="1" customWidth="1"/>
    <col min="5" max="5" width="13.7109375" style="1" customWidth="1"/>
    <col min="6" max="8" width="12.85546875" style="1" customWidth="1"/>
    <col min="9" max="16384" width="9.140625" style="1"/>
  </cols>
  <sheetData>
    <row r="1" spans="1:8" x14ac:dyDescent="0.2">
      <c r="A1" s="85" t="s">
        <v>0</v>
      </c>
      <c r="B1" s="85"/>
      <c r="C1" s="85"/>
      <c r="D1" s="85"/>
      <c r="E1" s="85"/>
      <c r="F1" s="85"/>
      <c r="G1" s="85"/>
      <c r="H1" s="85"/>
    </row>
    <row r="2" spans="1:8" x14ac:dyDescent="0.2">
      <c r="A2" s="86" t="s">
        <v>1</v>
      </c>
      <c r="B2" s="86"/>
      <c r="C2" s="86"/>
      <c r="D2" s="86"/>
      <c r="E2" s="86"/>
      <c r="F2" s="86"/>
      <c r="G2" s="86"/>
      <c r="H2" s="86"/>
    </row>
    <row r="3" spans="1:8" s="4" customFormat="1" ht="25.5" x14ac:dyDescent="0.2">
      <c r="A3" s="2" t="s">
        <v>2</v>
      </c>
      <c r="B3" s="2" t="s">
        <v>3</v>
      </c>
      <c r="C3" s="3" t="s">
        <v>4</v>
      </c>
      <c r="D3" s="2" t="s">
        <v>5</v>
      </c>
      <c r="E3" s="2" t="s">
        <v>6</v>
      </c>
      <c r="F3" s="2" t="s">
        <v>7</v>
      </c>
      <c r="G3" s="66" t="s">
        <v>8</v>
      </c>
      <c r="H3" s="67" t="s">
        <v>9</v>
      </c>
    </row>
    <row r="4" spans="1:8" ht="14.25" x14ac:dyDescent="0.3">
      <c r="A4" s="5" t="s">
        <v>10</v>
      </c>
      <c r="B4" s="6"/>
      <c r="C4" s="7"/>
      <c r="D4" s="8"/>
      <c r="E4" s="8"/>
      <c r="F4" s="9"/>
      <c r="G4" s="10"/>
      <c r="H4" s="11"/>
    </row>
    <row r="5" spans="1:8" ht="14.25" x14ac:dyDescent="0.3">
      <c r="A5" s="12" t="s">
        <v>11</v>
      </c>
      <c r="B5" s="6"/>
      <c r="C5" s="7"/>
      <c r="D5" s="8"/>
      <c r="E5" s="8"/>
      <c r="F5" s="9"/>
      <c r="G5" s="10"/>
      <c r="H5" s="11"/>
    </row>
    <row r="6" spans="1:8" s="17" customFormat="1" ht="14.25" x14ac:dyDescent="0.3">
      <c r="A6" s="13" t="s">
        <v>12</v>
      </c>
      <c r="B6" s="14" t="s">
        <v>13</v>
      </c>
      <c r="C6" s="15">
        <v>49500</v>
      </c>
      <c r="D6" s="16">
        <v>797.37075000000004</v>
      </c>
      <c r="E6" s="16">
        <f t="shared" ref="E6:E55" si="0">(+D6/$D$100*100)</f>
        <v>7.8172846415791248</v>
      </c>
      <c r="F6" s="16" t="s">
        <v>14</v>
      </c>
      <c r="G6" s="11"/>
      <c r="H6" s="11"/>
    </row>
    <row r="7" spans="1:8" s="17" customFormat="1" ht="14.25" x14ac:dyDescent="0.3">
      <c r="A7" s="13" t="s">
        <v>15</v>
      </c>
      <c r="B7" s="14" t="s">
        <v>13</v>
      </c>
      <c r="C7" s="15">
        <v>66500</v>
      </c>
      <c r="D7" s="16">
        <v>631.18475000000001</v>
      </c>
      <c r="E7" s="16">
        <f t="shared" si="0"/>
        <v>6.1880258990864156</v>
      </c>
      <c r="F7" s="16" t="s">
        <v>16</v>
      </c>
      <c r="G7" s="11"/>
      <c r="H7" s="11"/>
    </row>
    <row r="8" spans="1:8" s="17" customFormat="1" ht="14.25" x14ac:dyDescent="0.3">
      <c r="A8" s="13" t="s">
        <v>17</v>
      </c>
      <c r="B8" s="14" t="s">
        <v>18</v>
      </c>
      <c r="C8" s="15">
        <v>226125</v>
      </c>
      <c r="D8" s="16">
        <v>482.88993749999997</v>
      </c>
      <c r="E8" s="16">
        <f t="shared" si="0"/>
        <v>4.7341692581422796</v>
      </c>
      <c r="F8" s="16" t="s">
        <v>19</v>
      </c>
      <c r="G8" s="11"/>
      <c r="H8" s="10"/>
    </row>
    <row r="9" spans="1:8" s="17" customFormat="1" ht="14.25" x14ac:dyDescent="0.3">
      <c r="A9" s="13" t="s">
        <v>20</v>
      </c>
      <c r="B9" s="14" t="s">
        <v>21</v>
      </c>
      <c r="C9" s="15">
        <v>45500</v>
      </c>
      <c r="D9" s="16">
        <v>443.78424999999999</v>
      </c>
      <c r="E9" s="16">
        <f t="shared" si="0"/>
        <v>4.3507838752546544</v>
      </c>
      <c r="F9" s="16" t="s">
        <v>22</v>
      </c>
      <c r="G9" s="11"/>
      <c r="H9" s="10"/>
    </row>
    <row r="10" spans="1:8" s="17" customFormat="1" ht="14.25" x14ac:dyDescent="0.3">
      <c r="A10" s="13" t="s">
        <v>23</v>
      </c>
      <c r="B10" s="14" t="s">
        <v>24</v>
      </c>
      <c r="C10" s="15">
        <v>18600</v>
      </c>
      <c r="D10" s="16">
        <v>410.2509</v>
      </c>
      <c r="E10" s="16">
        <f t="shared" si="0"/>
        <v>4.022028723481534</v>
      </c>
      <c r="F10" s="16" t="s">
        <v>25</v>
      </c>
      <c r="G10" s="11"/>
      <c r="H10" s="10"/>
    </row>
    <row r="11" spans="1:8" s="17" customFormat="1" ht="14.25" x14ac:dyDescent="0.3">
      <c r="A11" s="13" t="s">
        <v>26</v>
      </c>
      <c r="B11" s="14" t="s">
        <v>27</v>
      </c>
      <c r="C11" s="15">
        <v>14100</v>
      </c>
      <c r="D11" s="16">
        <v>372.29640000000001</v>
      </c>
      <c r="E11" s="16">
        <f t="shared" si="0"/>
        <v>3.6499293833329083</v>
      </c>
      <c r="F11" s="16" t="s">
        <v>28</v>
      </c>
      <c r="G11" s="11"/>
      <c r="H11" s="11"/>
    </row>
    <row r="12" spans="1:8" s="17" customFormat="1" ht="14.25" x14ac:dyDescent="0.3">
      <c r="A12" s="13" t="s">
        <v>29</v>
      </c>
      <c r="B12" s="14" t="s">
        <v>30</v>
      </c>
      <c r="C12" s="15">
        <v>330000</v>
      </c>
      <c r="D12" s="16">
        <v>349.14</v>
      </c>
      <c r="E12" s="16">
        <f t="shared" si="0"/>
        <v>3.4229080509423442</v>
      </c>
      <c r="F12" s="16" t="s">
        <v>31</v>
      </c>
      <c r="G12" s="11"/>
      <c r="H12" s="10"/>
    </row>
    <row r="13" spans="1:8" s="17" customFormat="1" ht="14.25" x14ac:dyDescent="0.3">
      <c r="A13" s="13" t="s">
        <v>32</v>
      </c>
      <c r="B13" s="14" t="s">
        <v>33</v>
      </c>
      <c r="C13" s="15">
        <v>10500</v>
      </c>
      <c r="D13" s="16">
        <v>280.09275000000002</v>
      </c>
      <c r="E13" s="16">
        <f t="shared" si="0"/>
        <v>2.7459807784429784</v>
      </c>
      <c r="F13" s="16" t="s">
        <v>34</v>
      </c>
      <c r="G13" s="11"/>
      <c r="H13" s="11"/>
    </row>
    <row r="14" spans="1:8" s="17" customFormat="1" ht="14.25" x14ac:dyDescent="0.3">
      <c r="A14" s="13" t="s">
        <v>35</v>
      </c>
      <c r="B14" s="14" t="s">
        <v>36</v>
      </c>
      <c r="C14" s="15">
        <v>24375</v>
      </c>
      <c r="D14" s="16">
        <v>215.35312500000001</v>
      </c>
      <c r="E14" s="16">
        <f t="shared" si="0"/>
        <v>2.1112847148940057</v>
      </c>
      <c r="F14" s="16" t="s">
        <v>37</v>
      </c>
      <c r="G14" s="11"/>
      <c r="H14" s="10"/>
    </row>
    <row r="15" spans="1:8" s="17" customFormat="1" ht="14.25" x14ac:dyDescent="0.3">
      <c r="A15" s="13" t="s">
        <v>38</v>
      </c>
      <c r="B15" s="14" t="s">
        <v>21</v>
      </c>
      <c r="C15" s="15">
        <v>76000</v>
      </c>
      <c r="D15" s="16">
        <v>214.28200000000001</v>
      </c>
      <c r="E15" s="16">
        <f t="shared" si="0"/>
        <v>2.1007835910294657</v>
      </c>
      <c r="F15" s="16" t="s">
        <v>39</v>
      </c>
      <c r="G15" s="11"/>
      <c r="H15" s="11"/>
    </row>
    <row r="16" spans="1:8" s="17" customFormat="1" ht="14.25" x14ac:dyDescent="0.3">
      <c r="A16" s="13" t="s">
        <v>40</v>
      </c>
      <c r="B16" s="14" t="s">
        <v>27</v>
      </c>
      <c r="C16" s="15">
        <v>56000</v>
      </c>
      <c r="D16" s="16">
        <v>208.32</v>
      </c>
      <c r="E16" s="16">
        <f t="shared" si="0"/>
        <v>2.0423331762969275</v>
      </c>
      <c r="F16" s="16" t="s">
        <v>41</v>
      </c>
      <c r="G16" s="11"/>
      <c r="H16" s="10"/>
    </row>
    <row r="17" spans="1:8" s="17" customFormat="1" ht="14.25" x14ac:dyDescent="0.3">
      <c r="A17" s="13" t="s">
        <v>42</v>
      </c>
      <c r="B17" s="14" t="s">
        <v>43</v>
      </c>
      <c r="C17" s="15">
        <v>101400</v>
      </c>
      <c r="D17" s="16">
        <v>204.27029999999999</v>
      </c>
      <c r="E17" s="16">
        <f t="shared" si="0"/>
        <v>2.0026306193458443</v>
      </c>
      <c r="F17" s="16" t="s">
        <v>44</v>
      </c>
      <c r="G17" s="11"/>
      <c r="H17" s="11"/>
    </row>
    <row r="18" spans="1:8" s="17" customFormat="1" ht="14.25" x14ac:dyDescent="0.3">
      <c r="A18" s="13" t="s">
        <v>45</v>
      </c>
      <c r="B18" s="14" t="s">
        <v>46</v>
      </c>
      <c r="C18" s="15">
        <v>189000</v>
      </c>
      <c r="D18" s="16">
        <v>201.852</v>
      </c>
      <c r="E18" s="16">
        <f t="shared" si="0"/>
        <v>1.9789220252586761</v>
      </c>
      <c r="F18" s="16" t="s">
        <v>47</v>
      </c>
      <c r="G18" s="11"/>
      <c r="H18" s="10"/>
    </row>
    <row r="19" spans="1:8" s="17" customFormat="1" ht="14.25" x14ac:dyDescent="0.3">
      <c r="A19" s="13" t="s">
        <v>48</v>
      </c>
      <c r="B19" s="14" t="s">
        <v>49</v>
      </c>
      <c r="C19" s="15">
        <v>2500</v>
      </c>
      <c r="D19" s="16">
        <v>196.75125</v>
      </c>
      <c r="E19" s="16">
        <f t="shared" si="0"/>
        <v>1.9289151562638769</v>
      </c>
      <c r="F19" s="16" t="s">
        <v>50</v>
      </c>
      <c r="G19" s="11"/>
      <c r="H19" s="10"/>
    </row>
    <row r="20" spans="1:8" s="17" customFormat="1" ht="14.25" x14ac:dyDescent="0.3">
      <c r="A20" s="13" t="s">
        <v>51</v>
      </c>
      <c r="B20" s="14" t="s">
        <v>52</v>
      </c>
      <c r="C20" s="15">
        <v>31350</v>
      </c>
      <c r="D20" s="16">
        <v>164.99504999999999</v>
      </c>
      <c r="E20" s="16">
        <f t="shared" si="0"/>
        <v>1.6175828750949035</v>
      </c>
      <c r="F20" s="16" t="s">
        <v>53</v>
      </c>
      <c r="G20" s="11"/>
      <c r="H20" s="10"/>
    </row>
    <row r="21" spans="1:8" s="17" customFormat="1" ht="14.25" x14ac:dyDescent="0.3">
      <c r="A21" s="13" t="s">
        <v>54</v>
      </c>
      <c r="B21" s="14" t="s">
        <v>55</v>
      </c>
      <c r="C21" s="15">
        <v>5750</v>
      </c>
      <c r="D21" s="16">
        <v>142.01925</v>
      </c>
      <c r="E21" s="16">
        <f t="shared" si="0"/>
        <v>1.3923321138047591</v>
      </c>
      <c r="F21" s="16" t="s">
        <v>56</v>
      </c>
      <c r="G21" s="11"/>
      <c r="H21" s="10"/>
    </row>
    <row r="22" spans="1:8" s="17" customFormat="1" ht="14.25" x14ac:dyDescent="0.3">
      <c r="A22" s="13" t="s">
        <v>57</v>
      </c>
      <c r="B22" s="14" t="s">
        <v>21</v>
      </c>
      <c r="C22" s="15">
        <v>2875</v>
      </c>
      <c r="D22" s="16">
        <v>129.40518750000001</v>
      </c>
      <c r="E22" s="16">
        <f t="shared" si="0"/>
        <v>1.2686660311836331</v>
      </c>
      <c r="F22" s="16" t="s">
        <v>58</v>
      </c>
      <c r="G22" s="11"/>
      <c r="H22" s="11"/>
    </row>
    <row r="23" spans="1:8" s="17" customFormat="1" ht="14.25" x14ac:dyDescent="0.3">
      <c r="A23" s="13" t="s">
        <v>59</v>
      </c>
      <c r="B23" s="14" t="s">
        <v>60</v>
      </c>
      <c r="C23" s="15">
        <v>3575</v>
      </c>
      <c r="D23" s="16">
        <v>126.97148749999999</v>
      </c>
      <c r="E23" s="16">
        <f t="shared" si="0"/>
        <v>1.2448064581654215</v>
      </c>
      <c r="F23" s="16" t="s">
        <v>61</v>
      </c>
      <c r="G23" s="11"/>
      <c r="H23" s="10"/>
    </row>
    <row r="24" spans="1:8" s="17" customFormat="1" ht="14.25" x14ac:dyDescent="0.3">
      <c r="A24" s="13" t="s">
        <v>62</v>
      </c>
      <c r="B24" s="14" t="s">
        <v>63</v>
      </c>
      <c r="C24" s="15">
        <v>9800</v>
      </c>
      <c r="D24" s="16">
        <v>112.21980000000001</v>
      </c>
      <c r="E24" s="16">
        <f t="shared" si="0"/>
        <v>1.1001834705136615</v>
      </c>
      <c r="F24" s="16" t="s">
        <v>64</v>
      </c>
      <c r="G24" s="11"/>
      <c r="H24" s="11"/>
    </row>
    <row r="25" spans="1:8" s="17" customFormat="1" ht="14.25" x14ac:dyDescent="0.3">
      <c r="A25" s="13" t="s">
        <v>65</v>
      </c>
      <c r="B25" s="14" t="s">
        <v>63</v>
      </c>
      <c r="C25" s="15">
        <v>30000</v>
      </c>
      <c r="D25" s="16">
        <v>103.05</v>
      </c>
      <c r="E25" s="16">
        <f t="shared" si="0"/>
        <v>1.0102843405213053</v>
      </c>
      <c r="F25" s="16" t="s">
        <v>66</v>
      </c>
      <c r="G25" s="11"/>
      <c r="H25" s="11"/>
    </row>
    <row r="26" spans="1:8" s="17" customFormat="1" ht="14.25" x14ac:dyDescent="0.3">
      <c r="A26" s="13" t="s">
        <v>67</v>
      </c>
      <c r="B26" s="14" t="s">
        <v>68</v>
      </c>
      <c r="C26" s="15">
        <v>3250</v>
      </c>
      <c r="D26" s="16">
        <v>84.755125000000007</v>
      </c>
      <c r="E26" s="16">
        <f t="shared" si="0"/>
        <v>0.83092455668535481</v>
      </c>
      <c r="F26" s="16" t="s">
        <v>69</v>
      </c>
      <c r="G26" s="11"/>
      <c r="H26" s="10"/>
    </row>
    <row r="27" spans="1:8" s="17" customFormat="1" ht="14.25" x14ac:dyDescent="0.3">
      <c r="A27" s="13" t="s">
        <v>70</v>
      </c>
      <c r="B27" s="14" t="s">
        <v>43</v>
      </c>
      <c r="C27" s="15">
        <v>4800</v>
      </c>
      <c r="D27" s="16">
        <v>74.901600000000002</v>
      </c>
      <c r="E27" s="16">
        <f t="shared" si="0"/>
        <v>0.73432230528860376</v>
      </c>
      <c r="F27" s="16" t="s">
        <v>71</v>
      </c>
      <c r="G27" s="11"/>
      <c r="H27" s="10"/>
    </row>
    <row r="28" spans="1:8" s="17" customFormat="1" ht="14.25" x14ac:dyDescent="0.3">
      <c r="A28" s="13" t="s">
        <v>72</v>
      </c>
      <c r="B28" s="14" t="s">
        <v>73</v>
      </c>
      <c r="C28" s="15">
        <v>30800</v>
      </c>
      <c r="D28" s="16">
        <v>74.720799999999997</v>
      </c>
      <c r="E28" s="16">
        <f t="shared" si="0"/>
        <v>0.73254977342284677</v>
      </c>
      <c r="F28" s="16" t="s">
        <v>74</v>
      </c>
      <c r="G28" s="11"/>
      <c r="H28" s="11"/>
    </row>
    <row r="29" spans="1:8" s="17" customFormat="1" ht="14.25" x14ac:dyDescent="0.3">
      <c r="A29" s="13" t="s">
        <v>75</v>
      </c>
      <c r="B29" s="14" t="s">
        <v>49</v>
      </c>
      <c r="C29" s="15">
        <v>4275</v>
      </c>
      <c r="D29" s="16">
        <v>73.459462500000001</v>
      </c>
      <c r="E29" s="16">
        <f t="shared" si="0"/>
        <v>0.72018383917381923</v>
      </c>
      <c r="F29" s="16" t="s">
        <v>76</v>
      </c>
      <c r="G29" s="11"/>
      <c r="H29" s="11"/>
    </row>
    <row r="30" spans="1:8" s="17" customFormat="1" ht="14.25" x14ac:dyDescent="0.3">
      <c r="A30" s="13" t="s">
        <v>77</v>
      </c>
      <c r="B30" s="14" t="s">
        <v>13</v>
      </c>
      <c r="C30" s="15">
        <v>21600</v>
      </c>
      <c r="D30" s="16">
        <v>66.895200000000003</v>
      </c>
      <c r="E30" s="16">
        <f t="shared" si="0"/>
        <v>0.65582894726871266</v>
      </c>
      <c r="F30" s="16" t="s">
        <v>78</v>
      </c>
      <c r="G30" s="11"/>
      <c r="H30" s="11"/>
    </row>
    <row r="31" spans="1:8" s="17" customFormat="1" ht="14.25" x14ac:dyDescent="0.3">
      <c r="A31" s="13" t="s">
        <v>79</v>
      </c>
      <c r="B31" s="14" t="s">
        <v>27</v>
      </c>
      <c r="C31" s="15">
        <v>8250</v>
      </c>
      <c r="D31" s="16">
        <v>63.628124999999997</v>
      </c>
      <c r="E31" s="16">
        <f t="shared" si="0"/>
        <v>0.62379911018177769</v>
      </c>
      <c r="F31" s="16" t="s">
        <v>80</v>
      </c>
      <c r="G31" s="11"/>
      <c r="H31" s="10"/>
    </row>
    <row r="32" spans="1:8" s="17" customFormat="1" ht="14.25" x14ac:dyDescent="0.3">
      <c r="A32" s="13" t="s">
        <v>81</v>
      </c>
      <c r="B32" s="14" t="s">
        <v>13</v>
      </c>
      <c r="C32" s="15">
        <v>23400</v>
      </c>
      <c r="D32" s="16">
        <v>62.712000000000003</v>
      </c>
      <c r="E32" s="16">
        <f t="shared" si="0"/>
        <v>0.61481757945436311</v>
      </c>
      <c r="F32" s="16" t="s">
        <v>82</v>
      </c>
      <c r="G32" s="11"/>
      <c r="H32" s="11"/>
    </row>
    <row r="33" spans="1:8" s="17" customFormat="1" ht="14.25" x14ac:dyDescent="0.3">
      <c r="A33" s="13" t="s">
        <v>83</v>
      </c>
      <c r="B33" s="14" t="s">
        <v>60</v>
      </c>
      <c r="C33" s="15">
        <v>73500</v>
      </c>
      <c r="D33" s="16">
        <v>60.1965</v>
      </c>
      <c r="E33" s="16">
        <f t="shared" si="0"/>
        <v>0.59015605341281685</v>
      </c>
      <c r="F33" s="16" t="s">
        <v>84</v>
      </c>
      <c r="G33" s="11"/>
      <c r="H33" s="11"/>
    </row>
    <row r="34" spans="1:8" s="17" customFormat="1" ht="14.25" x14ac:dyDescent="0.3">
      <c r="A34" s="13" t="s">
        <v>85</v>
      </c>
      <c r="B34" s="14" t="s">
        <v>27</v>
      </c>
      <c r="C34" s="15">
        <v>4000</v>
      </c>
      <c r="D34" s="16">
        <v>58.042000000000002</v>
      </c>
      <c r="E34" s="16">
        <f t="shared" si="0"/>
        <v>0.56903370880676962</v>
      </c>
      <c r="F34" s="16" t="s">
        <v>86</v>
      </c>
      <c r="G34" s="11"/>
      <c r="H34" s="11"/>
    </row>
    <row r="35" spans="1:8" s="17" customFormat="1" ht="14.25" x14ac:dyDescent="0.3">
      <c r="A35" s="13" t="s">
        <v>87</v>
      </c>
      <c r="B35" s="14" t="s">
        <v>30</v>
      </c>
      <c r="C35" s="15">
        <v>8100</v>
      </c>
      <c r="D35" s="16">
        <v>56.400300000000001</v>
      </c>
      <c r="E35" s="16">
        <f t="shared" si="0"/>
        <v>0.55293876652793583</v>
      </c>
      <c r="F35" s="16" t="s">
        <v>88</v>
      </c>
      <c r="G35" s="11"/>
      <c r="H35" s="10"/>
    </row>
    <row r="36" spans="1:8" s="17" customFormat="1" ht="14.25" x14ac:dyDescent="0.3">
      <c r="A36" s="13" t="s">
        <v>89</v>
      </c>
      <c r="B36" s="14" t="s">
        <v>90</v>
      </c>
      <c r="C36" s="15">
        <v>2936</v>
      </c>
      <c r="D36" s="16">
        <v>53.474835999999996</v>
      </c>
      <c r="E36" s="16">
        <f t="shared" si="0"/>
        <v>0.52425802448078562</v>
      </c>
      <c r="F36" s="16" t="s">
        <v>91</v>
      </c>
      <c r="G36" s="11"/>
      <c r="H36" s="11"/>
    </row>
    <row r="37" spans="1:8" s="17" customFormat="1" ht="14.25" x14ac:dyDescent="0.3">
      <c r="A37" s="13" t="s">
        <v>92</v>
      </c>
      <c r="B37" s="14" t="s">
        <v>93</v>
      </c>
      <c r="C37" s="15">
        <v>630000</v>
      </c>
      <c r="D37" s="16">
        <v>45.36</v>
      </c>
      <c r="E37" s="16">
        <f t="shared" si="0"/>
        <v>0.4447015787098148</v>
      </c>
      <c r="F37" s="16" t="s">
        <v>94</v>
      </c>
      <c r="G37" s="11"/>
      <c r="H37" s="18"/>
    </row>
    <row r="38" spans="1:8" s="17" customFormat="1" ht="14.25" x14ac:dyDescent="0.3">
      <c r="A38" s="13" t="s">
        <v>95</v>
      </c>
      <c r="B38" s="14" t="s">
        <v>33</v>
      </c>
      <c r="C38" s="15">
        <v>9600</v>
      </c>
      <c r="D38" s="16">
        <v>42.768000000000001</v>
      </c>
      <c r="E38" s="16">
        <f t="shared" si="0"/>
        <v>0.41929005992639684</v>
      </c>
      <c r="F38" s="16" t="s">
        <v>96</v>
      </c>
      <c r="G38" s="11"/>
      <c r="H38" s="18"/>
    </row>
    <row r="39" spans="1:8" s="17" customFormat="1" ht="14.25" x14ac:dyDescent="0.3">
      <c r="A39" s="13" t="s">
        <v>97</v>
      </c>
      <c r="B39" s="14" t="s">
        <v>27</v>
      </c>
      <c r="C39" s="15">
        <v>40000</v>
      </c>
      <c r="D39" s="16">
        <v>39.68</v>
      </c>
      <c r="E39" s="16">
        <f t="shared" si="0"/>
        <v>0.38901584310417664</v>
      </c>
      <c r="F39" s="16" t="s">
        <v>98</v>
      </c>
      <c r="G39" s="11"/>
      <c r="H39" s="18"/>
    </row>
    <row r="40" spans="1:8" s="17" customFormat="1" ht="14.25" x14ac:dyDescent="0.3">
      <c r="A40" s="13" t="s">
        <v>99</v>
      </c>
      <c r="B40" s="14" t="s">
        <v>100</v>
      </c>
      <c r="C40" s="15">
        <v>5000</v>
      </c>
      <c r="D40" s="16">
        <v>27.77</v>
      </c>
      <c r="E40" s="16">
        <f t="shared" si="0"/>
        <v>0.27225226721277684</v>
      </c>
      <c r="F40" s="16" t="s">
        <v>101</v>
      </c>
      <c r="G40" s="11"/>
      <c r="H40" s="11"/>
    </row>
    <row r="41" spans="1:8" s="17" customFormat="1" ht="14.25" x14ac:dyDescent="0.3">
      <c r="A41" s="13" t="s">
        <v>102</v>
      </c>
      <c r="B41" s="14" t="s">
        <v>103</v>
      </c>
      <c r="C41" s="15">
        <v>4000</v>
      </c>
      <c r="D41" s="16">
        <v>26.838000000000001</v>
      </c>
      <c r="E41" s="16">
        <f t="shared" si="0"/>
        <v>0.26311510073664046</v>
      </c>
      <c r="F41" s="16" t="s">
        <v>104</v>
      </c>
      <c r="G41" s="11"/>
      <c r="H41" s="11"/>
    </row>
    <row r="42" spans="1:8" s="17" customFormat="1" ht="14.25" x14ac:dyDescent="0.3">
      <c r="A42" s="13" t="s">
        <v>105</v>
      </c>
      <c r="B42" s="14" t="s">
        <v>55</v>
      </c>
      <c r="C42" s="15">
        <v>29250</v>
      </c>
      <c r="D42" s="16">
        <v>26.324999999999999</v>
      </c>
      <c r="E42" s="16">
        <f t="shared" si="0"/>
        <v>0.25808573764408893</v>
      </c>
      <c r="F42" s="16" t="s">
        <v>106</v>
      </c>
      <c r="G42" s="11"/>
      <c r="H42" s="18"/>
    </row>
    <row r="43" spans="1:8" s="17" customFormat="1" ht="14.25" x14ac:dyDescent="0.3">
      <c r="A43" s="13" t="s">
        <v>107</v>
      </c>
      <c r="B43" s="14" t="s">
        <v>108</v>
      </c>
      <c r="C43" s="15">
        <v>22800</v>
      </c>
      <c r="D43" s="16">
        <v>25.5702</v>
      </c>
      <c r="E43" s="16">
        <f t="shared" si="0"/>
        <v>0.25068580925762141</v>
      </c>
      <c r="F43" s="16" t="s">
        <v>109</v>
      </c>
      <c r="G43" s="11"/>
      <c r="H43" s="11"/>
    </row>
    <row r="44" spans="1:8" s="17" customFormat="1" ht="14.25" x14ac:dyDescent="0.3">
      <c r="A44" s="13" t="s">
        <v>110</v>
      </c>
      <c r="B44" s="14" t="s">
        <v>49</v>
      </c>
      <c r="C44" s="15">
        <v>1250</v>
      </c>
      <c r="D44" s="16">
        <v>22.215</v>
      </c>
      <c r="E44" s="16">
        <f t="shared" si="0"/>
        <v>0.21779200994353037</v>
      </c>
      <c r="F44" s="16" t="s">
        <v>111</v>
      </c>
      <c r="G44" s="11"/>
      <c r="H44" s="11"/>
    </row>
    <row r="45" spans="1:8" s="17" customFormat="1" ht="14.25" x14ac:dyDescent="0.3">
      <c r="A45" s="13" t="s">
        <v>112</v>
      </c>
      <c r="B45" s="14" t="s">
        <v>113</v>
      </c>
      <c r="C45" s="15">
        <v>600</v>
      </c>
      <c r="D45" s="16">
        <v>19.157699999999998</v>
      </c>
      <c r="E45" s="16">
        <f t="shared" si="0"/>
        <v>0.18781877060072794</v>
      </c>
      <c r="F45" s="16" t="s">
        <v>114</v>
      </c>
      <c r="G45" s="11"/>
      <c r="H45" s="11"/>
    </row>
    <row r="46" spans="1:8" s="17" customFormat="1" ht="14.25" x14ac:dyDescent="0.3">
      <c r="A46" s="13" t="s">
        <v>115</v>
      </c>
      <c r="B46" s="14" t="s">
        <v>116</v>
      </c>
      <c r="C46" s="15">
        <v>400</v>
      </c>
      <c r="D46" s="16">
        <v>18.6282</v>
      </c>
      <c r="E46" s="16">
        <f t="shared" si="0"/>
        <v>0.18262764436777276</v>
      </c>
      <c r="F46" s="16" t="s">
        <v>117</v>
      </c>
      <c r="G46" s="11"/>
      <c r="H46" s="11"/>
    </row>
    <row r="47" spans="1:8" s="17" customFormat="1" ht="14.25" x14ac:dyDescent="0.3">
      <c r="A47" s="13" t="s">
        <v>118</v>
      </c>
      <c r="B47" s="14" t="s">
        <v>13</v>
      </c>
      <c r="C47" s="15">
        <v>1350</v>
      </c>
      <c r="D47" s="16">
        <v>17.3691</v>
      </c>
      <c r="E47" s="16">
        <f t="shared" si="0"/>
        <v>0.17028364618096659</v>
      </c>
      <c r="F47" s="16" t="s">
        <v>119</v>
      </c>
      <c r="G47" s="11"/>
      <c r="H47" s="18"/>
    </row>
    <row r="48" spans="1:8" s="17" customFormat="1" ht="14.25" x14ac:dyDescent="0.3">
      <c r="A48" s="13" t="s">
        <v>120</v>
      </c>
      <c r="B48" s="14" t="s">
        <v>13</v>
      </c>
      <c r="C48" s="15">
        <v>32000</v>
      </c>
      <c r="D48" s="16">
        <v>16.591999999999999</v>
      </c>
      <c r="E48" s="16">
        <f t="shared" si="0"/>
        <v>0.16266509245928673</v>
      </c>
      <c r="F48" s="16" t="s">
        <v>121</v>
      </c>
      <c r="G48" s="11"/>
      <c r="H48" s="10"/>
    </row>
    <row r="49" spans="1:8" s="17" customFormat="1" ht="14.25" x14ac:dyDescent="0.3">
      <c r="A49" s="13" t="s">
        <v>122</v>
      </c>
      <c r="B49" s="14" t="s">
        <v>27</v>
      </c>
      <c r="C49" s="15">
        <v>6200</v>
      </c>
      <c r="D49" s="16">
        <v>11.3088</v>
      </c>
      <c r="E49" s="16">
        <f t="shared" si="0"/>
        <v>0.11086951528469033</v>
      </c>
      <c r="F49" s="16" t="s">
        <v>123</v>
      </c>
      <c r="G49" s="11"/>
      <c r="H49" s="10"/>
    </row>
    <row r="50" spans="1:8" s="17" customFormat="1" ht="14.25" x14ac:dyDescent="0.3">
      <c r="A50" s="13" t="s">
        <v>124</v>
      </c>
      <c r="B50" s="14" t="s">
        <v>113</v>
      </c>
      <c r="C50" s="15">
        <v>375</v>
      </c>
      <c r="D50" s="16">
        <v>10.587187500000001</v>
      </c>
      <c r="E50" s="16">
        <f t="shared" si="0"/>
        <v>0.1037949513965348</v>
      </c>
      <c r="F50" s="16" t="s">
        <v>125</v>
      </c>
      <c r="G50" s="11"/>
      <c r="H50" s="10"/>
    </row>
    <row r="51" spans="1:8" s="17" customFormat="1" ht="14.25" x14ac:dyDescent="0.3">
      <c r="A51" s="13" t="s">
        <v>126</v>
      </c>
      <c r="B51" s="14" t="s">
        <v>127</v>
      </c>
      <c r="C51" s="15">
        <v>800</v>
      </c>
      <c r="D51" s="16">
        <v>10.4092</v>
      </c>
      <c r="E51" s="16">
        <f t="shared" si="0"/>
        <v>0.10204999279334666</v>
      </c>
      <c r="F51" s="16" t="s">
        <v>128</v>
      </c>
      <c r="G51" s="11"/>
      <c r="H51" s="10"/>
    </row>
    <row r="52" spans="1:8" s="17" customFormat="1" ht="14.25" x14ac:dyDescent="0.3">
      <c r="A52" s="13" t="s">
        <v>129</v>
      </c>
      <c r="B52" s="14" t="s">
        <v>27</v>
      </c>
      <c r="C52" s="15">
        <v>8924</v>
      </c>
      <c r="D52" s="16">
        <v>9.2943459999999991</v>
      </c>
      <c r="E52" s="16">
        <f t="shared" si="0"/>
        <v>9.1120157391429715E-2</v>
      </c>
      <c r="F52" s="16" t="s">
        <v>130</v>
      </c>
      <c r="G52" s="11"/>
      <c r="H52" s="10"/>
    </row>
    <row r="53" spans="1:8" s="17" customFormat="1" ht="14.25" x14ac:dyDescent="0.3">
      <c r="A53" s="13" t="s">
        <v>131</v>
      </c>
      <c r="B53" s="14" t="s">
        <v>132</v>
      </c>
      <c r="C53" s="15">
        <v>3600</v>
      </c>
      <c r="D53" s="16">
        <v>7.6032000000000002</v>
      </c>
      <c r="E53" s="16">
        <f t="shared" si="0"/>
        <v>7.4540455098026107E-2</v>
      </c>
      <c r="F53" s="16" t="s">
        <v>133</v>
      </c>
      <c r="G53" s="11"/>
      <c r="H53" s="11"/>
    </row>
    <row r="54" spans="1:8" s="17" customFormat="1" ht="14.25" x14ac:dyDescent="0.3">
      <c r="A54" s="13" t="s">
        <v>134</v>
      </c>
      <c r="B54" s="14" t="s">
        <v>63</v>
      </c>
      <c r="C54" s="15">
        <v>600</v>
      </c>
      <c r="D54" s="16">
        <v>6.6932999999999998</v>
      </c>
      <c r="E54" s="16">
        <f t="shared" si="0"/>
        <v>6.5619953191763739E-2</v>
      </c>
      <c r="F54" s="16" t="s">
        <v>135</v>
      </c>
      <c r="G54" s="11"/>
      <c r="H54" s="10"/>
    </row>
    <row r="55" spans="1:8" s="17" customFormat="1" ht="14.25" x14ac:dyDescent="0.3">
      <c r="A55" s="13" t="s">
        <v>136</v>
      </c>
      <c r="B55" s="14" t="s">
        <v>27</v>
      </c>
      <c r="C55" s="15">
        <v>4000</v>
      </c>
      <c r="D55" s="16">
        <v>4.6059999999999999</v>
      </c>
      <c r="E55" s="16">
        <f t="shared" si="0"/>
        <v>4.515642573936083E-2</v>
      </c>
      <c r="F55" s="16" t="s">
        <v>137</v>
      </c>
      <c r="G55" s="11"/>
      <c r="H55" s="11"/>
    </row>
    <row r="56" spans="1:8" s="17" customFormat="1" ht="14.25" x14ac:dyDescent="0.3">
      <c r="A56" s="12" t="s">
        <v>138</v>
      </c>
      <c r="B56" s="14"/>
      <c r="C56" s="15"/>
      <c r="D56" s="19">
        <f>IF(ISERROR(SUM(D6:D55)),0,SUM(D6:D55))</f>
        <v>6904.4603695000005</v>
      </c>
      <c r="E56" s="19">
        <f>IF(ISERROR(SUM(E6:E55)),0,SUM(E6:E55))</f>
        <v>67.690132858377467</v>
      </c>
      <c r="F56" s="19"/>
      <c r="G56" s="11"/>
      <c r="H56" s="10"/>
    </row>
    <row r="57" spans="1:8" s="17" customFormat="1" ht="14.25" x14ac:dyDescent="0.3">
      <c r="A57" s="12"/>
      <c r="B57" s="12"/>
      <c r="C57" s="20"/>
      <c r="D57" s="21"/>
      <c r="E57" s="21"/>
      <c r="F57" s="21"/>
      <c r="G57" s="11"/>
      <c r="H57" s="10"/>
    </row>
    <row r="58" spans="1:8" s="17" customFormat="1" ht="14.25" x14ac:dyDescent="0.3">
      <c r="A58" s="12" t="s">
        <v>139</v>
      </c>
      <c r="B58" s="12"/>
      <c r="C58" s="20"/>
      <c r="D58" s="22" t="s">
        <v>140</v>
      </c>
      <c r="E58" s="22" t="s">
        <v>140</v>
      </c>
      <c r="F58" s="22"/>
      <c r="G58" s="11"/>
      <c r="H58" s="10"/>
    </row>
    <row r="59" spans="1:8" s="17" customFormat="1" ht="14.25" x14ac:dyDescent="0.3">
      <c r="A59" s="12"/>
      <c r="B59" s="5"/>
      <c r="C59" s="20"/>
      <c r="D59" s="22"/>
      <c r="E59" s="22"/>
      <c r="F59" s="23"/>
      <c r="G59" s="11"/>
      <c r="H59" s="10"/>
    </row>
    <row r="60" spans="1:8" s="17" customFormat="1" ht="14.25" x14ac:dyDescent="0.3">
      <c r="A60" s="12" t="s">
        <v>141</v>
      </c>
      <c r="B60" s="12"/>
      <c r="C60" s="20"/>
      <c r="D60" s="19">
        <f>IF(ISERROR(+D56),0,D56)+IF(ISERROR(+#REF!),0,#REF!)</f>
        <v>6904.4603695000005</v>
      </c>
      <c r="E60" s="19">
        <f>IF(ISERROR(+E56),0,E56)+IF(ISERROR(+#REF!),0,#REF!)</f>
        <v>67.690132858377467</v>
      </c>
      <c r="F60" s="24"/>
      <c r="G60" s="11"/>
      <c r="H60" s="10"/>
    </row>
    <row r="61" spans="1:8" s="17" customFormat="1" ht="14.25" x14ac:dyDescent="0.3">
      <c r="A61" s="12"/>
      <c r="B61" s="5"/>
      <c r="C61" s="20"/>
      <c r="D61" s="22"/>
      <c r="E61" s="22"/>
      <c r="F61" s="23"/>
      <c r="G61" s="11"/>
      <c r="H61" s="10"/>
    </row>
    <row r="62" spans="1:8" s="17" customFormat="1" ht="14.25" x14ac:dyDescent="0.3">
      <c r="A62" s="12" t="s">
        <v>142</v>
      </c>
      <c r="B62" s="5"/>
      <c r="C62" s="20"/>
      <c r="D62" s="22"/>
      <c r="E62" s="22"/>
      <c r="F62" s="23"/>
      <c r="G62" s="11"/>
      <c r="H62" s="10"/>
    </row>
    <row r="63" spans="1:8" s="17" customFormat="1" ht="14.25" x14ac:dyDescent="0.3">
      <c r="A63" s="12" t="s">
        <v>11</v>
      </c>
      <c r="B63" s="5"/>
      <c r="C63" s="20"/>
      <c r="D63" s="25"/>
      <c r="E63" s="25"/>
      <c r="F63" s="25"/>
      <c r="G63" s="11"/>
      <c r="H63" s="10"/>
    </row>
    <row r="64" spans="1:8" s="17" customFormat="1" ht="14.25" x14ac:dyDescent="0.3">
      <c r="A64" s="13" t="s">
        <v>143</v>
      </c>
      <c r="B64" s="14" t="s">
        <v>144</v>
      </c>
      <c r="C64" s="15">
        <v>8</v>
      </c>
      <c r="D64" s="16">
        <v>100.1237</v>
      </c>
      <c r="E64" s="16">
        <f>(+D64/$D$100*100)</f>
        <v>0.98159540247504151</v>
      </c>
      <c r="F64" s="16" t="s">
        <v>145</v>
      </c>
      <c r="G64" s="11">
        <v>7.0149999999999997</v>
      </c>
      <c r="H64" s="10"/>
    </row>
    <row r="65" spans="1:8" s="17" customFormat="1" ht="14.25" x14ac:dyDescent="0.3">
      <c r="A65" s="12" t="s">
        <v>138</v>
      </c>
      <c r="B65" s="5"/>
      <c r="C65" s="26"/>
      <c r="D65" s="22">
        <f>IF(ISERROR(SUM(D64:D64)),0,SUM(D64:D64))</f>
        <v>100.1237</v>
      </c>
      <c r="E65" s="22">
        <f>IF(ISERROR(SUM(E64:E64)),0,SUM(E64:E64))</f>
        <v>0.98159540247504151</v>
      </c>
      <c r="F65" s="22"/>
      <c r="G65" s="11"/>
      <c r="H65" s="10"/>
    </row>
    <row r="66" spans="1:8" s="17" customFormat="1" ht="14.25" x14ac:dyDescent="0.3">
      <c r="A66" s="12"/>
      <c r="B66" s="5"/>
      <c r="C66" s="26"/>
      <c r="D66" s="25"/>
      <c r="E66" s="25"/>
      <c r="F66" s="25"/>
      <c r="G66" s="11"/>
      <c r="H66" s="10"/>
    </row>
    <row r="67" spans="1:8" s="17" customFormat="1" ht="14.25" x14ac:dyDescent="0.3">
      <c r="A67" s="12" t="s">
        <v>146</v>
      </c>
      <c r="B67" s="5"/>
      <c r="C67" s="26"/>
      <c r="D67" s="25"/>
      <c r="E67" s="25"/>
      <c r="F67" s="25"/>
      <c r="G67" s="11"/>
      <c r="H67" s="10"/>
    </row>
    <row r="68" spans="1:8" s="17" customFormat="1" ht="14.25" x14ac:dyDescent="0.3">
      <c r="A68" s="13" t="s">
        <v>147</v>
      </c>
      <c r="B68" s="14" t="s">
        <v>148</v>
      </c>
      <c r="C68" s="15">
        <v>35000</v>
      </c>
      <c r="D68" s="16">
        <v>541.30439999999999</v>
      </c>
      <c r="E68" s="16">
        <f>(+D68/$D$100*100)</f>
        <v>5.3068545247479957</v>
      </c>
      <c r="F68" s="16" t="s">
        <v>149</v>
      </c>
      <c r="G68" s="11">
        <v>7.8952</v>
      </c>
      <c r="H68" s="10"/>
    </row>
    <row r="69" spans="1:8" s="17" customFormat="1" ht="14.25" x14ac:dyDescent="0.3">
      <c r="A69" s="12" t="s">
        <v>138</v>
      </c>
      <c r="B69" s="5"/>
      <c r="C69" s="26"/>
      <c r="D69" s="22">
        <f>IF(ISERROR(SUM(D66:D68)),0,SUM(D66:D68))</f>
        <v>541.30439999999999</v>
      </c>
      <c r="E69" s="22">
        <f>IF(ISERROR(SUM(E66:E68)),0,SUM(E66:E68))</f>
        <v>5.3068545247479957</v>
      </c>
      <c r="F69" s="27"/>
      <c r="G69" s="11"/>
      <c r="H69" s="10"/>
    </row>
    <row r="70" spans="1:8" s="17" customFormat="1" ht="14.25" x14ac:dyDescent="0.3">
      <c r="A70" s="12"/>
      <c r="B70" s="5"/>
      <c r="C70" s="26"/>
      <c r="D70" s="25"/>
      <c r="E70" s="25"/>
      <c r="F70" s="25"/>
      <c r="G70" s="11"/>
      <c r="H70" s="10"/>
    </row>
    <row r="71" spans="1:8" s="17" customFormat="1" ht="14.25" x14ac:dyDescent="0.3">
      <c r="A71" s="12" t="s">
        <v>150</v>
      </c>
      <c r="B71" s="5"/>
      <c r="C71" s="26"/>
      <c r="D71" s="22" t="s">
        <v>140</v>
      </c>
      <c r="E71" s="22" t="s">
        <v>140</v>
      </c>
      <c r="F71" s="23"/>
      <c r="G71" s="11"/>
      <c r="H71" s="10"/>
    </row>
    <row r="72" spans="1:8" s="17" customFormat="1" ht="14.25" x14ac:dyDescent="0.3">
      <c r="A72" s="12"/>
      <c r="B72" s="5"/>
      <c r="C72" s="26"/>
      <c r="D72" s="25"/>
      <c r="E72" s="25"/>
      <c r="F72" s="25"/>
      <c r="G72" s="11"/>
      <c r="H72" s="10"/>
    </row>
    <row r="73" spans="1:8" s="17" customFormat="1" ht="14.25" x14ac:dyDescent="0.3">
      <c r="A73" s="12" t="s">
        <v>141</v>
      </c>
      <c r="B73" s="5"/>
      <c r="C73" s="26"/>
      <c r="D73" s="22">
        <f>IF(ISERROR(+D65),0,D65)+IF(ISERROR(+#REF!),0,#REF!)+IF(ISERROR(+#REF!),0,#REF!)+D69</f>
        <v>641.42809999999997</v>
      </c>
      <c r="E73" s="22">
        <f>IF(ISERROR(+E65),0,E65)+IF(ISERROR(+#REF!),0,#REF!)+IF(ISERROR(+#REF!),0,#REF!)+E69</f>
        <v>6.288449927223037</v>
      </c>
      <c r="F73" s="22">
        <f>IF(ISERROR(+F65),0,F65)+IF(ISERROR(+#REF!),0,#REF!)+IF(ISERROR(+#REF!),0,#REF!)</f>
        <v>0</v>
      </c>
      <c r="G73" s="11"/>
      <c r="H73" s="10"/>
    </row>
    <row r="74" spans="1:8" s="17" customFormat="1" ht="14.25" x14ac:dyDescent="0.3">
      <c r="A74" s="12"/>
      <c r="B74" s="5"/>
      <c r="C74" s="26"/>
      <c r="D74" s="22"/>
      <c r="E74" s="22"/>
      <c r="F74" s="22"/>
      <c r="G74" s="11"/>
      <c r="H74" s="10"/>
    </row>
    <row r="75" spans="1:8" s="17" customFormat="1" ht="14.25" x14ac:dyDescent="0.3">
      <c r="A75" s="12" t="s">
        <v>151</v>
      </c>
      <c r="B75" s="5"/>
      <c r="C75" s="26"/>
      <c r="D75" s="22"/>
      <c r="E75" s="22"/>
      <c r="F75" s="22"/>
      <c r="G75" s="11"/>
      <c r="H75" s="10"/>
    </row>
    <row r="76" spans="1:8" s="17" customFormat="1" ht="14.25" x14ac:dyDescent="0.3">
      <c r="A76" s="12"/>
      <c r="B76" s="5"/>
      <c r="C76" s="26"/>
      <c r="D76" s="16"/>
      <c r="E76" s="16"/>
      <c r="F76" s="28"/>
      <c r="G76" s="11"/>
      <c r="H76" s="10"/>
    </row>
    <row r="77" spans="1:8" s="17" customFormat="1" ht="14.25" x14ac:dyDescent="0.3">
      <c r="A77" s="12" t="s">
        <v>152</v>
      </c>
      <c r="B77" s="5"/>
      <c r="C77" s="26"/>
      <c r="D77" s="22" t="s">
        <v>140</v>
      </c>
      <c r="E77" s="22" t="s">
        <v>140</v>
      </c>
      <c r="F77" s="22"/>
      <c r="G77" s="11"/>
      <c r="H77" s="10"/>
    </row>
    <row r="78" spans="1:8" s="17" customFormat="1" ht="14.25" x14ac:dyDescent="0.3">
      <c r="A78" s="12"/>
      <c r="B78" s="5"/>
      <c r="C78" s="26"/>
      <c r="D78" s="22"/>
      <c r="E78" s="22"/>
      <c r="F78" s="22"/>
      <c r="G78" s="11"/>
      <c r="H78" s="10"/>
    </row>
    <row r="79" spans="1:8" s="17" customFormat="1" ht="14.25" x14ac:dyDescent="0.3">
      <c r="A79" s="12" t="s">
        <v>153</v>
      </c>
      <c r="B79" s="5"/>
      <c r="C79" s="26"/>
      <c r="D79" s="22" t="s">
        <v>140</v>
      </c>
      <c r="E79" s="22" t="s">
        <v>140</v>
      </c>
      <c r="F79" s="22"/>
      <c r="G79" s="11"/>
      <c r="H79" s="10"/>
    </row>
    <row r="80" spans="1:8" s="17" customFormat="1" ht="14.25" x14ac:dyDescent="0.3">
      <c r="A80" s="12"/>
      <c r="B80" s="5"/>
      <c r="C80" s="26"/>
      <c r="D80" s="22"/>
      <c r="E80" s="22"/>
      <c r="F80" s="22"/>
      <c r="G80" s="11"/>
      <c r="H80" s="10"/>
    </row>
    <row r="81" spans="1:8" s="17" customFormat="1" ht="14.25" x14ac:dyDescent="0.3">
      <c r="A81" s="12" t="s">
        <v>154</v>
      </c>
      <c r="B81" s="5"/>
      <c r="C81" s="26"/>
      <c r="D81" s="22"/>
      <c r="E81" s="22"/>
      <c r="F81" s="23"/>
      <c r="G81" s="11"/>
      <c r="H81" s="10"/>
    </row>
    <row r="82" spans="1:8" s="17" customFormat="1" ht="14.25" x14ac:dyDescent="0.3">
      <c r="A82" s="12" t="s">
        <v>155</v>
      </c>
      <c r="B82" s="14"/>
      <c r="C82" s="15"/>
      <c r="D82" s="16"/>
      <c r="E82" s="25"/>
      <c r="F82" s="29"/>
      <c r="G82" s="11"/>
      <c r="H82" s="10"/>
    </row>
    <row r="83" spans="1:8" s="17" customFormat="1" ht="14.25" x14ac:dyDescent="0.3">
      <c r="A83" s="13" t="s">
        <v>156</v>
      </c>
      <c r="B83" s="14" t="s">
        <v>157</v>
      </c>
      <c r="C83" s="15">
        <v>500000</v>
      </c>
      <c r="D83" s="16">
        <v>497.53250000000003</v>
      </c>
      <c r="E83" s="16">
        <f>(+D83/$D$100*100)</f>
        <v>4.87772240320637</v>
      </c>
      <c r="F83" s="16" t="s">
        <v>158</v>
      </c>
      <c r="G83" s="11">
        <v>6.4649999999999999</v>
      </c>
      <c r="H83" s="10"/>
    </row>
    <row r="84" spans="1:8" s="17" customFormat="1" ht="14.25" x14ac:dyDescent="0.3">
      <c r="A84" s="13" t="s">
        <v>159</v>
      </c>
      <c r="B84" s="14" t="s">
        <v>157</v>
      </c>
      <c r="C84" s="15">
        <v>500000</v>
      </c>
      <c r="D84" s="16">
        <v>493.64299999999997</v>
      </c>
      <c r="E84" s="16">
        <f>(+D84/$D$100*100)</f>
        <v>4.8395904192912056</v>
      </c>
      <c r="F84" s="16" t="s">
        <v>160</v>
      </c>
      <c r="G84" s="11">
        <v>6.7150999999999996</v>
      </c>
      <c r="H84" s="10"/>
    </row>
    <row r="85" spans="1:8" s="17" customFormat="1" ht="14.25" x14ac:dyDescent="0.3">
      <c r="A85" s="13" t="s">
        <v>161</v>
      </c>
      <c r="B85" s="14" t="s">
        <v>157</v>
      </c>
      <c r="C85" s="15">
        <v>310000</v>
      </c>
      <c r="D85" s="16">
        <v>309.23926</v>
      </c>
      <c r="E85" s="16">
        <f>(+D85/$D$100*100)</f>
        <v>3.0317281111343672</v>
      </c>
      <c r="F85" s="16" t="s">
        <v>162</v>
      </c>
      <c r="G85" s="11">
        <v>6.415</v>
      </c>
      <c r="H85" s="10"/>
    </row>
    <row r="86" spans="1:8" s="17" customFormat="1" ht="14.25" x14ac:dyDescent="0.3">
      <c r="A86" s="13" t="s">
        <v>163</v>
      </c>
      <c r="B86" s="14" t="s">
        <v>157</v>
      </c>
      <c r="C86" s="15">
        <v>100000</v>
      </c>
      <c r="D86" s="16">
        <v>100</v>
      </c>
      <c r="E86" s="16">
        <f>(+D86/$D$100*100)</f>
        <v>0.98038266911334837</v>
      </c>
      <c r="F86" s="16" t="s">
        <v>164</v>
      </c>
      <c r="G86" s="11">
        <v>6.4404000000000003</v>
      </c>
      <c r="H86" s="10"/>
    </row>
    <row r="87" spans="1:8" s="17" customFormat="1" ht="14.25" x14ac:dyDescent="0.3">
      <c r="A87" s="13" t="s">
        <v>165</v>
      </c>
      <c r="B87" s="14" t="s">
        <v>157</v>
      </c>
      <c r="C87" s="15">
        <v>100000</v>
      </c>
      <c r="D87" s="16">
        <v>98.079899999999995</v>
      </c>
      <c r="E87" s="16">
        <f>(+D87/$D$100*100)</f>
        <v>0.96155834148370301</v>
      </c>
      <c r="F87" s="16" t="s">
        <v>166</v>
      </c>
      <c r="G87" s="11">
        <v>6.8052999999999999</v>
      </c>
      <c r="H87" s="10"/>
    </row>
    <row r="88" spans="1:8" s="17" customFormat="1" ht="14.25" x14ac:dyDescent="0.3">
      <c r="A88" s="12" t="s">
        <v>138</v>
      </c>
      <c r="B88" s="30"/>
      <c r="C88" s="31"/>
      <c r="D88" s="22">
        <f>SUM(D83:D87)</f>
        <v>1498.4946600000001</v>
      </c>
      <c r="E88" s="22">
        <f>SUM(E83:E87)</f>
        <v>14.690981944228994</v>
      </c>
      <c r="F88" s="29"/>
      <c r="G88" s="11"/>
      <c r="H88" s="10"/>
    </row>
    <row r="89" spans="1:8" s="17" customFormat="1" ht="14.25" x14ac:dyDescent="0.3">
      <c r="A89" s="13" t="s">
        <v>167</v>
      </c>
      <c r="B89" s="14"/>
      <c r="C89" s="15">
        <v>0</v>
      </c>
      <c r="D89" s="16">
        <v>127.331883</v>
      </c>
      <c r="E89" s="16">
        <f>(+D89/$D$100*100)</f>
        <v>1.2483397131876861</v>
      </c>
      <c r="F89" s="16" t="s">
        <v>168</v>
      </c>
      <c r="G89" s="11">
        <v>6.2098000000000004</v>
      </c>
      <c r="H89" s="10"/>
    </row>
    <row r="90" spans="1:8" s="17" customFormat="1" ht="14.25" x14ac:dyDescent="0.3">
      <c r="A90" s="12" t="s">
        <v>138</v>
      </c>
      <c r="B90" s="5"/>
      <c r="C90" s="26"/>
      <c r="D90" s="22">
        <f>IF(ISERROR(SUM(D89:D89)),0,SUM(D89:D89))</f>
        <v>127.331883</v>
      </c>
      <c r="E90" s="22">
        <f>IF(ISERROR(SUM(E89:E89)),0,SUM(E89:E89))</f>
        <v>1.2483397131876861</v>
      </c>
      <c r="F90" s="16"/>
      <c r="G90" s="11"/>
      <c r="H90" s="10"/>
    </row>
    <row r="91" spans="1:8" s="17" customFormat="1" ht="14.25" x14ac:dyDescent="0.3">
      <c r="A91" s="12"/>
      <c r="B91" s="5"/>
      <c r="C91" s="26"/>
      <c r="D91" s="22"/>
      <c r="E91" s="22"/>
      <c r="F91" s="22"/>
      <c r="G91" s="11"/>
      <c r="H91" s="10"/>
    </row>
    <row r="92" spans="1:8" s="17" customFormat="1" ht="14.25" x14ac:dyDescent="0.3">
      <c r="A92" s="12" t="s">
        <v>169</v>
      </c>
      <c r="B92" s="5"/>
      <c r="C92" s="26"/>
      <c r="D92" s="22"/>
      <c r="E92" s="22"/>
      <c r="F92" s="22"/>
      <c r="G92" s="11"/>
      <c r="H92" s="10"/>
    </row>
    <row r="93" spans="1:8" s="17" customFormat="1" ht="14.25" x14ac:dyDescent="0.3">
      <c r="A93" s="13" t="s">
        <v>170</v>
      </c>
      <c r="B93" s="14"/>
      <c r="C93" s="15">
        <v>1127866.2069999999</v>
      </c>
      <c r="D93" s="16">
        <v>702.16664156233401</v>
      </c>
      <c r="E93" s="16">
        <f>(+D93/$D$100*100)</f>
        <v>6.8839200621723675</v>
      </c>
      <c r="F93" s="16" t="s">
        <v>171</v>
      </c>
      <c r="G93" s="11"/>
      <c r="H93" s="10"/>
    </row>
    <row r="94" spans="1:8" s="17" customFormat="1" ht="14.25" x14ac:dyDescent="0.3">
      <c r="A94" s="12" t="s">
        <v>138</v>
      </c>
      <c r="B94" s="5"/>
      <c r="C94" s="26"/>
      <c r="D94" s="22">
        <f>IF(ISERROR(SUM(D93:D93)),0,SUM(D93:D93))</f>
        <v>702.16664156233401</v>
      </c>
      <c r="E94" s="22">
        <f>IF(ISERROR(SUM(E93:E93)),0,SUM(E93:E93))</f>
        <v>6.8839200621723675</v>
      </c>
      <c r="F94" s="27"/>
      <c r="G94" s="11"/>
      <c r="H94" s="10"/>
    </row>
    <row r="95" spans="1:8" s="17" customFormat="1" ht="14.25" x14ac:dyDescent="0.3">
      <c r="A95" s="12"/>
      <c r="B95" s="5"/>
      <c r="C95" s="26"/>
      <c r="D95" s="22"/>
      <c r="E95" s="22"/>
      <c r="F95" s="23"/>
      <c r="G95" s="11"/>
      <c r="H95" s="10"/>
    </row>
    <row r="96" spans="1:8" s="17" customFormat="1" ht="14.25" x14ac:dyDescent="0.3">
      <c r="A96" s="12" t="s">
        <v>141</v>
      </c>
      <c r="B96" s="5"/>
      <c r="C96" s="26" t="s">
        <v>172</v>
      </c>
      <c r="D96" s="22">
        <f>+IF(ISERROR(D73),0,D73)+IF(ISERROR(D90),0,D90)+IF(ISERROR(D60),0,D60)+IF(ISERROR(#REF!),0,#REF!)+IF(ISERROR(#REF!),0,#REF!)+IF(ISERROR(#REF!),0,#REF!)+IF(ISERROR(#REF!),0,#REF!)+IF(ISERROR(D94),0,D94)+IF(ISERROR(#REF!),0,#REF!)+D88</f>
        <v>9873.8816540623338</v>
      </c>
      <c r="E96" s="22">
        <f>+IF(ISERROR(E73),0,E73)+IF(ISERROR(E90),0,E90)+IF(ISERROR(E60),0,E60)+IF(ISERROR(#REF!),0,#REF!)+IF(ISERROR(#REF!),0,#REF!)+IF(ISERROR(#REF!),0,#REF!)+IF(ISERROR(#REF!),0,#REF!)+IF(ISERROR(E94),0,E94)+IF(ISERROR(#REF!),0,#REF!)+E88</f>
        <v>96.801824505189543</v>
      </c>
      <c r="F96" s="22">
        <f>+IF(ISERROR(F73),0,F73)+IF(ISERROR(F90),0,F90)+IF(ISERROR(F60),0,F60)+IF(ISERROR(#REF!),0,#REF!)+IF(ISERROR(#REF!),0,#REF!)+IF(ISERROR(#REF!),0,#REF!)+IF(ISERROR(#REF!),0,#REF!)</f>
        <v>0</v>
      </c>
      <c r="G96" s="11"/>
      <c r="H96" s="10"/>
    </row>
    <row r="97" spans="1:8" s="17" customFormat="1" ht="14.25" x14ac:dyDescent="0.3">
      <c r="A97" s="12"/>
      <c r="B97" s="5"/>
      <c r="C97" s="26"/>
      <c r="D97" s="22"/>
      <c r="E97" s="22"/>
      <c r="F97" s="32"/>
      <c r="G97" s="33"/>
      <c r="H97" s="34"/>
    </row>
    <row r="98" spans="1:8" s="17" customFormat="1" ht="14.25" x14ac:dyDescent="0.3">
      <c r="A98" s="12" t="s">
        <v>173</v>
      </c>
      <c r="B98" s="5"/>
      <c r="C98" s="26"/>
      <c r="D98" s="22">
        <f>+D100-D96</f>
        <v>326.21705743767052</v>
      </c>
      <c r="E98" s="22">
        <f>D98/$D$100*100</f>
        <v>3.1981754948104588</v>
      </c>
      <c r="F98" s="32"/>
      <c r="G98" s="33"/>
      <c r="H98" s="34"/>
    </row>
    <row r="99" spans="1:8" s="17" customFormat="1" ht="14.25" x14ac:dyDescent="0.3">
      <c r="A99" s="12"/>
      <c r="B99" s="5"/>
      <c r="C99" s="26"/>
      <c r="D99" s="25"/>
      <c r="E99" s="25"/>
      <c r="F99" s="32"/>
      <c r="G99" s="33"/>
      <c r="H99" s="34"/>
    </row>
    <row r="100" spans="1:8" s="17" customFormat="1" ht="14.25" x14ac:dyDescent="0.3">
      <c r="A100" s="12" t="s">
        <v>174</v>
      </c>
      <c r="B100" s="5"/>
      <c r="C100" s="26"/>
      <c r="D100" s="22">
        <v>10200.098711500004</v>
      </c>
      <c r="E100" s="22">
        <f>+E96+E98</f>
        <v>100</v>
      </c>
      <c r="F100" s="32"/>
      <c r="G100" s="33"/>
      <c r="H100" s="34"/>
    </row>
    <row r="101" spans="1:8" s="17" customFormat="1" ht="14.25" x14ac:dyDescent="0.3">
      <c r="A101" s="35"/>
      <c r="B101" s="36"/>
      <c r="C101" s="37"/>
      <c r="D101" s="38"/>
      <c r="E101" s="38"/>
      <c r="F101" s="32"/>
      <c r="G101" s="33"/>
      <c r="H101" s="34"/>
    </row>
    <row r="102" spans="1:8" s="17" customFormat="1" ht="14.25" x14ac:dyDescent="0.3">
      <c r="A102" s="39" t="s">
        <v>175</v>
      </c>
      <c r="B102" s="36"/>
      <c r="C102" s="37"/>
      <c r="D102" s="38"/>
      <c r="E102" s="38"/>
      <c r="F102" s="32"/>
      <c r="G102" s="33"/>
      <c r="H102" s="34"/>
    </row>
    <row r="103" spans="1:8" s="17" customFormat="1" ht="14.25" customHeight="1" x14ac:dyDescent="0.2">
      <c r="A103" s="79" t="s">
        <v>176</v>
      </c>
      <c r="B103" s="79"/>
      <c r="C103" s="79"/>
      <c r="D103" s="79"/>
      <c r="E103" s="79"/>
      <c r="F103" s="79"/>
      <c r="G103" s="79"/>
      <c r="H103" s="79"/>
    </row>
    <row r="104" spans="1:8" ht="30" customHeight="1" x14ac:dyDescent="0.2">
      <c r="A104" s="79" t="s">
        <v>177</v>
      </c>
      <c r="B104" s="79"/>
      <c r="C104" s="79"/>
      <c r="D104" s="79"/>
      <c r="E104" s="79"/>
      <c r="F104" s="79"/>
      <c r="G104" s="79"/>
      <c r="H104" s="80"/>
    </row>
    <row r="105" spans="1:8" ht="13.5" x14ac:dyDescent="0.2">
      <c r="A105" s="81" t="s">
        <v>178</v>
      </c>
      <c r="B105" s="81"/>
      <c r="C105" s="81"/>
      <c r="D105" s="81"/>
      <c r="E105" s="81"/>
      <c r="F105" s="81"/>
      <c r="G105" s="81"/>
      <c r="H105" s="80"/>
    </row>
    <row r="106" spans="1:8" ht="55.5" customHeight="1" x14ac:dyDescent="0.2">
      <c r="A106" s="82" t="s">
        <v>179</v>
      </c>
      <c r="B106" s="82"/>
      <c r="C106" s="82"/>
      <c r="D106" s="82"/>
      <c r="E106" s="82"/>
      <c r="F106" s="82"/>
      <c r="G106" s="82"/>
      <c r="H106" s="80"/>
    </row>
    <row r="108" spans="1:8" ht="14.25" x14ac:dyDescent="0.3">
      <c r="A108" s="69" t="s">
        <v>195</v>
      </c>
      <c r="B108" s="45"/>
      <c r="C108" s="70"/>
      <c r="D108" s="71"/>
      <c r="E108" s="71"/>
      <c r="F108" s="72"/>
    </row>
    <row r="109" spans="1:8" ht="38.25" x14ac:dyDescent="0.25">
      <c r="A109" s="73" t="s">
        <v>196</v>
      </c>
      <c r="B109" s="74" t="s">
        <v>197</v>
      </c>
      <c r="C109" s="75" t="s">
        <v>4</v>
      </c>
      <c r="D109" s="73" t="s">
        <v>198</v>
      </c>
      <c r="E109" s="73" t="s">
        <v>199</v>
      </c>
      <c r="F109" s="73" t="s">
        <v>200</v>
      </c>
    </row>
    <row r="110" spans="1:8" ht="14.25" x14ac:dyDescent="0.3">
      <c r="A110" s="13" t="s">
        <v>228</v>
      </c>
      <c r="B110" s="14" t="s">
        <v>202</v>
      </c>
      <c r="C110" s="15">
        <v>630000</v>
      </c>
      <c r="D110" s="16">
        <v>7.1</v>
      </c>
      <c r="E110" s="16">
        <v>7.25</v>
      </c>
      <c r="F110" s="16">
        <v>14.869574999999999</v>
      </c>
      <c r="G110" s="78"/>
      <c r="H110" s="78"/>
    </row>
    <row r="111" spans="1:8" ht="14.25" x14ac:dyDescent="0.3">
      <c r="A111" s="13" t="s">
        <v>251</v>
      </c>
      <c r="B111" s="14" t="s">
        <v>202</v>
      </c>
      <c r="C111" s="15">
        <v>330000</v>
      </c>
      <c r="D111" s="16">
        <v>105.92916667</v>
      </c>
      <c r="E111" s="16">
        <v>106.65</v>
      </c>
      <c r="F111" s="16">
        <v>75.024675000000002</v>
      </c>
      <c r="H111" s="78"/>
    </row>
    <row r="112" spans="1:8" ht="14.25" x14ac:dyDescent="0.3">
      <c r="A112" s="13" t="s">
        <v>250</v>
      </c>
      <c r="B112" s="14" t="s">
        <v>202</v>
      </c>
      <c r="C112" s="15">
        <v>178875</v>
      </c>
      <c r="D112" s="16">
        <v>206.18957316000001</v>
      </c>
      <c r="E112" s="16">
        <v>213.05</v>
      </c>
      <c r="F112" s="16">
        <v>80.203674117910452</v>
      </c>
      <c r="H112" s="78"/>
    </row>
    <row r="113" spans="1:8" ht="14.25" x14ac:dyDescent="0.3">
      <c r="A113" s="13" t="s">
        <v>239</v>
      </c>
      <c r="B113" s="14" t="s">
        <v>202</v>
      </c>
      <c r="C113" s="15">
        <v>157500</v>
      </c>
      <c r="D113" s="16">
        <v>105.6357</v>
      </c>
      <c r="E113" s="16">
        <v>108.4</v>
      </c>
      <c r="F113" s="16">
        <v>36.920034416666667</v>
      </c>
      <c r="H113" s="78"/>
    </row>
    <row r="114" spans="1:8" ht="14.25" x14ac:dyDescent="0.3">
      <c r="A114" s="13" t="s">
        <v>203</v>
      </c>
      <c r="B114" s="14" t="s">
        <v>202</v>
      </c>
      <c r="C114" s="15">
        <v>88400</v>
      </c>
      <c r="D114" s="16">
        <v>198.54115293999999</v>
      </c>
      <c r="E114" s="16">
        <v>202.5</v>
      </c>
      <c r="F114" s="16">
        <v>37.76023</v>
      </c>
      <c r="H114" s="78"/>
    </row>
    <row r="115" spans="1:8" ht="14.25" x14ac:dyDescent="0.3">
      <c r="A115" s="13" t="s">
        <v>220</v>
      </c>
      <c r="B115" s="14" t="s">
        <v>202</v>
      </c>
      <c r="C115" s="15">
        <v>74000</v>
      </c>
      <c r="D115" s="16">
        <v>286.42428108000001</v>
      </c>
      <c r="E115" s="16">
        <v>284.5</v>
      </c>
      <c r="F115" s="16">
        <v>44.614872631578947</v>
      </c>
      <c r="H115" s="78"/>
    </row>
    <row r="116" spans="1:8" ht="14.25" x14ac:dyDescent="0.3">
      <c r="A116" s="13" t="s">
        <v>210</v>
      </c>
      <c r="B116" s="14" t="s">
        <v>202</v>
      </c>
      <c r="C116" s="15">
        <v>73500</v>
      </c>
      <c r="D116" s="16">
        <v>81.035714290000001</v>
      </c>
      <c r="E116" s="16">
        <v>82.35</v>
      </c>
      <c r="F116" s="16">
        <v>19.031446899999999</v>
      </c>
      <c r="H116" s="78"/>
    </row>
    <row r="117" spans="1:8" ht="14.25" x14ac:dyDescent="0.3">
      <c r="A117" s="13" t="s">
        <v>227</v>
      </c>
      <c r="B117" s="14" t="s">
        <v>202</v>
      </c>
      <c r="C117" s="15">
        <v>66500</v>
      </c>
      <c r="D117" s="16">
        <v>957.29470316000004</v>
      </c>
      <c r="E117" s="16">
        <v>955.95</v>
      </c>
      <c r="F117" s="16">
        <v>112.08708</v>
      </c>
      <c r="H117" s="78"/>
    </row>
    <row r="118" spans="1:8" ht="14.25" x14ac:dyDescent="0.3">
      <c r="A118" s="13" t="s">
        <v>235</v>
      </c>
      <c r="B118" s="14" t="s">
        <v>202</v>
      </c>
      <c r="C118" s="15">
        <v>56000</v>
      </c>
      <c r="D118" s="16">
        <v>378.33392857000001</v>
      </c>
      <c r="E118" s="16">
        <v>374.5</v>
      </c>
      <c r="F118" s="16">
        <v>44.266460000000002</v>
      </c>
      <c r="H118" s="78"/>
    </row>
    <row r="119" spans="1:8" ht="14.25" x14ac:dyDescent="0.3">
      <c r="A119" s="13" t="s">
        <v>223</v>
      </c>
      <c r="B119" s="14" t="s">
        <v>202</v>
      </c>
      <c r="C119" s="15">
        <v>49500</v>
      </c>
      <c r="D119" s="16">
        <v>1637.7923760900001</v>
      </c>
      <c r="E119" s="16">
        <v>1623.5</v>
      </c>
      <c r="F119" s="16">
        <v>142.05114</v>
      </c>
      <c r="H119" s="78"/>
    </row>
    <row r="120" spans="1:8" ht="14.25" x14ac:dyDescent="0.3">
      <c r="A120" s="13" t="s">
        <v>249</v>
      </c>
      <c r="B120" s="14" t="s">
        <v>202</v>
      </c>
      <c r="C120" s="15">
        <v>47250</v>
      </c>
      <c r="D120" s="16">
        <v>218.03215005000001</v>
      </c>
      <c r="E120" s="16">
        <v>214.65</v>
      </c>
      <c r="F120" s="16">
        <v>21.185876182089551</v>
      </c>
      <c r="H120" s="78"/>
    </row>
    <row r="121" spans="1:8" ht="14.25" x14ac:dyDescent="0.3">
      <c r="A121" s="13" t="s">
        <v>247</v>
      </c>
      <c r="B121" s="14" t="s">
        <v>202</v>
      </c>
      <c r="C121" s="15">
        <v>45500</v>
      </c>
      <c r="D121" s="16">
        <v>945.54309692000004</v>
      </c>
      <c r="E121" s="16">
        <v>982.95</v>
      </c>
      <c r="F121" s="16">
        <v>78.564281300000005</v>
      </c>
      <c r="H121" s="78"/>
    </row>
    <row r="122" spans="1:8" ht="14.25" x14ac:dyDescent="0.3">
      <c r="A122" s="13" t="s">
        <v>229</v>
      </c>
      <c r="B122" s="14" t="s">
        <v>202</v>
      </c>
      <c r="C122" s="15">
        <v>40000</v>
      </c>
      <c r="D122" s="16">
        <v>91.775000000000006</v>
      </c>
      <c r="E122" s="16">
        <v>99.6</v>
      </c>
      <c r="F122" s="16">
        <v>15.380599999999999</v>
      </c>
      <c r="H122" s="78"/>
    </row>
    <row r="123" spans="1:8" ht="14.25" x14ac:dyDescent="0.3">
      <c r="A123" s="13" t="s">
        <v>244</v>
      </c>
      <c r="B123" s="14" t="s">
        <v>202</v>
      </c>
      <c r="C123" s="15">
        <v>32000</v>
      </c>
      <c r="D123" s="16">
        <v>49.15</v>
      </c>
      <c r="E123" s="16">
        <v>51.5</v>
      </c>
      <c r="F123" s="16">
        <v>4.0107999999999997</v>
      </c>
      <c r="H123" s="78"/>
    </row>
    <row r="124" spans="1:8" ht="14.25" x14ac:dyDescent="0.3">
      <c r="A124" s="13" t="s">
        <v>240</v>
      </c>
      <c r="B124" s="14" t="s">
        <v>202</v>
      </c>
      <c r="C124" s="15">
        <v>31500</v>
      </c>
      <c r="D124" s="16">
        <v>109.7</v>
      </c>
      <c r="E124" s="16">
        <v>107.6</v>
      </c>
      <c r="F124" s="16">
        <v>7.3840068833333339</v>
      </c>
      <c r="H124" s="78"/>
    </row>
    <row r="125" spans="1:8" ht="14.25" x14ac:dyDescent="0.3">
      <c r="A125" s="13" t="s">
        <v>248</v>
      </c>
      <c r="B125" s="14" t="s">
        <v>202</v>
      </c>
      <c r="C125" s="15">
        <v>31350</v>
      </c>
      <c r="D125" s="16">
        <v>527.43181849999996</v>
      </c>
      <c r="E125" s="16">
        <v>529.15</v>
      </c>
      <c r="F125" s="16">
        <v>36.869951299999997</v>
      </c>
      <c r="H125" s="78"/>
    </row>
    <row r="126" spans="1:8" ht="14.25" x14ac:dyDescent="0.3">
      <c r="A126" s="13" t="s">
        <v>216</v>
      </c>
      <c r="B126" s="14" t="s">
        <v>202</v>
      </c>
      <c r="C126" s="15">
        <v>30800</v>
      </c>
      <c r="D126" s="16">
        <v>245.4545</v>
      </c>
      <c r="E126" s="16">
        <v>244.3</v>
      </c>
      <c r="F126" s="16">
        <v>19.093921000000002</v>
      </c>
      <c r="H126" s="78"/>
    </row>
    <row r="127" spans="1:8" ht="14.25" x14ac:dyDescent="0.3">
      <c r="A127" s="13" t="s">
        <v>212</v>
      </c>
      <c r="B127" s="14" t="s">
        <v>202</v>
      </c>
      <c r="C127" s="15">
        <v>30000</v>
      </c>
      <c r="D127" s="16">
        <v>336.46665999999999</v>
      </c>
      <c r="E127" s="16">
        <v>346.2</v>
      </c>
      <c r="F127" s="16">
        <v>25.237124999999999</v>
      </c>
      <c r="H127" s="78"/>
    </row>
    <row r="128" spans="1:8" ht="14.25" x14ac:dyDescent="0.3">
      <c r="A128" s="13" t="s">
        <v>231</v>
      </c>
      <c r="B128" s="14" t="s">
        <v>202</v>
      </c>
      <c r="C128" s="15">
        <v>29250</v>
      </c>
      <c r="D128" s="16">
        <v>86.25</v>
      </c>
      <c r="E128" s="16">
        <v>90.65</v>
      </c>
      <c r="F128" s="16">
        <v>4.6754712999999999</v>
      </c>
      <c r="H128" s="78"/>
    </row>
    <row r="129" spans="1:8" ht="14.25" x14ac:dyDescent="0.3">
      <c r="A129" s="13" t="s">
        <v>237</v>
      </c>
      <c r="B129" s="14" t="s">
        <v>202</v>
      </c>
      <c r="C129" s="15">
        <v>24375</v>
      </c>
      <c r="D129" s="16">
        <v>828.48461538000004</v>
      </c>
      <c r="E129" s="16">
        <v>887.1</v>
      </c>
      <c r="F129" s="16">
        <v>38.086305600000003</v>
      </c>
      <c r="H129" s="78"/>
    </row>
    <row r="130" spans="1:8" ht="14.25" x14ac:dyDescent="0.3">
      <c r="A130" s="13" t="s">
        <v>208</v>
      </c>
      <c r="B130" s="14" t="s">
        <v>202</v>
      </c>
      <c r="C130" s="15">
        <v>23400</v>
      </c>
      <c r="D130" s="16">
        <v>257.33077692000001</v>
      </c>
      <c r="E130" s="16">
        <v>269.14999999999998</v>
      </c>
      <c r="F130" s="16">
        <v>15.067201499999999</v>
      </c>
      <c r="H130" s="78"/>
    </row>
    <row r="131" spans="1:8" ht="14.25" x14ac:dyDescent="0.3">
      <c r="A131" s="13" t="s">
        <v>209</v>
      </c>
      <c r="B131" s="14" t="s">
        <v>202</v>
      </c>
      <c r="C131" s="15">
        <v>22800</v>
      </c>
      <c r="D131" s="16">
        <v>111.3625</v>
      </c>
      <c r="E131" s="16">
        <v>113.55</v>
      </c>
      <c r="F131" s="16">
        <v>5.1055470000000005</v>
      </c>
      <c r="H131" s="78"/>
    </row>
    <row r="132" spans="1:8" ht="14.25" x14ac:dyDescent="0.3">
      <c r="A132" s="13" t="s">
        <v>213</v>
      </c>
      <c r="B132" s="14" t="s">
        <v>202</v>
      </c>
      <c r="C132" s="15">
        <v>21600</v>
      </c>
      <c r="D132" s="16">
        <v>301.64999999999998</v>
      </c>
      <c r="E132" s="16">
        <v>311.35000000000002</v>
      </c>
      <c r="F132" s="16">
        <v>15.866982</v>
      </c>
      <c r="H132" s="78"/>
    </row>
    <row r="133" spans="1:8" ht="14.25" x14ac:dyDescent="0.3">
      <c r="A133" s="13" t="s">
        <v>236</v>
      </c>
      <c r="B133" s="14" t="s">
        <v>202</v>
      </c>
      <c r="C133" s="15">
        <v>18600</v>
      </c>
      <c r="D133" s="16">
        <v>2201.49834839</v>
      </c>
      <c r="E133" s="16">
        <v>2222.4499999999998</v>
      </c>
      <c r="F133" s="16">
        <v>72.904141500000009</v>
      </c>
      <c r="H133" s="78"/>
    </row>
    <row r="134" spans="1:8" ht="14.25" x14ac:dyDescent="0.3">
      <c r="A134" s="13" t="s">
        <v>224</v>
      </c>
      <c r="B134" s="14" t="s">
        <v>202</v>
      </c>
      <c r="C134" s="15">
        <v>14100</v>
      </c>
      <c r="D134" s="16">
        <v>2715.7073680899998</v>
      </c>
      <c r="E134" s="16">
        <v>2663.7</v>
      </c>
      <c r="F134" s="16">
        <v>66.378605300000004</v>
      </c>
      <c r="H134" s="78"/>
    </row>
    <row r="135" spans="1:8" ht="14.25" x14ac:dyDescent="0.3">
      <c r="A135" s="13" t="s">
        <v>201</v>
      </c>
      <c r="B135" s="14" t="s">
        <v>202</v>
      </c>
      <c r="C135" s="15">
        <v>13000</v>
      </c>
      <c r="D135" s="16">
        <v>203.56</v>
      </c>
      <c r="E135" s="16">
        <v>203.65</v>
      </c>
      <c r="F135" s="16">
        <v>5.552975</v>
      </c>
      <c r="H135" s="78"/>
    </row>
    <row r="136" spans="1:8" ht="14.25" x14ac:dyDescent="0.3">
      <c r="A136" s="13" t="s">
        <v>225</v>
      </c>
      <c r="B136" s="14" t="s">
        <v>202</v>
      </c>
      <c r="C136" s="15">
        <v>10500</v>
      </c>
      <c r="D136" s="16">
        <v>2628.1170942899998</v>
      </c>
      <c r="E136" s="16">
        <v>2666.65</v>
      </c>
      <c r="F136" s="16">
        <v>49.600425000000001</v>
      </c>
      <c r="H136" s="78"/>
    </row>
    <row r="137" spans="1:8" ht="14.25" x14ac:dyDescent="0.3">
      <c r="A137" s="13" t="s">
        <v>222</v>
      </c>
      <c r="B137" s="14" t="s">
        <v>202</v>
      </c>
      <c r="C137" s="15">
        <v>9800</v>
      </c>
      <c r="D137" s="16">
        <v>1119.79641429</v>
      </c>
      <c r="E137" s="16">
        <v>1150.2</v>
      </c>
      <c r="F137" s="16">
        <v>19.895298500000003</v>
      </c>
      <c r="H137" s="78"/>
    </row>
    <row r="138" spans="1:8" ht="14.25" x14ac:dyDescent="0.3">
      <c r="A138" s="13" t="s">
        <v>232</v>
      </c>
      <c r="B138" s="14" t="s">
        <v>202</v>
      </c>
      <c r="C138" s="15">
        <v>9600</v>
      </c>
      <c r="D138" s="16">
        <v>420.35</v>
      </c>
      <c r="E138" s="16">
        <v>448.8</v>
      </c>
      <c r="F138" s="16">
        <v>7.6063680000000007</v>
      </c>
      <c r="H138" s="78"/>
    </row>
    <row r="139" spans="1:8" ht="14.25" x14ac:dyDescent="0.3">
      <c r="A139" s="13" t="s">
        <v>234</v>
      </c>
      <c r="B139" s="14" t="s">
        <v>202</v>
      </c>
      <c r="C139" s="15">
        <v>8924</v>
      </c>
      <c r="D139" s="16">
        <v>100.75</v>
      </c>
      <c r="E139" s="16">
        <v>104.95</v>
      </c>
      <c r="F139" s="16">
        <v>2.0918055</v>
      </c>
      <c r="H139" s="78"/>
    </row>
    <row r="140" spans="1:8" ht="14.25" x14ac:dyDescent="0.3">
      <c r="A140" s="13" t="s">
        <v>241</v>
      </c>
      <c r="B140" s="14" t="s">
        <v>202</v>
      </c>
      <c r="C140" s="15">
        <v>8250</v>
      </c>
      <c r="D140" s="16">
        <v>754.06996000000004</v>
      </c>
      <c r="E140" s="16">
        <v>775.3</v>
      </c>
      <c r="F140" s="16">
        <v>15.220677500000001</v>
      </c>
      <c r="H140" s="78"/>
    </row>
    <row r="141" spans="1:8" ht="14.25" x14ac:dyDescent="0.3">
      <c r="A141" s="13" t="s">
        <v>233</v>
      </c>
      <c r="B141" s="14" t="s">
        <v>202</v>
      </c>
      <c r="C141" s="15">
        <v>8100</v>
      </c>
      <c r="D141" s="16">
        <v>707.53333333</v>
      </c>
      <c r="E141" s="16">
        <v>701.95</v>
      </c>
      <c r="F141" s="16">
        <v>11.159511799999999</v>
      </c>
      <c r="H141" s="78"/>
    </row>
    <row r="142" spans="1:8" ht="14.25" x14ac:dyDescent="0.3">
      <c r="A142" s="13" t="s">
        <v>242</v>
      </c>
      <c r="B142" s="14" t="s">
        <v>202</v>
      </c>
      <c r="C142" s="15">
        <v>6200</v>
      </c>
      <c r="D142" s="16">
        <v>167.3</v>
      </c>
      <c r="E142" s="16">
        <v>183.2</v>
      </c>
      <c r="F142" s="16">
        <v>2.2738964999999998</v>
      </c>
      <c r="H142" s="78"/>
    </row>
    <row r="143" spans="1:8" ht="14.25" x14ac:dyDescent="0.3">
      <c r="A143" s="13" t="s">
        <v>245</v>
      </c>
      <c r="B143" s="14" t="s">
        <v>202</v>
      </c>
      <c r="C143" s="15">
        <v>5750</v>
      </c>
      <c r="D143" s="16">
        <v>2472.3913043500002</v>
      </c>
      <c r="E143" s="16">
        <v>2489.15</v>
      </c>
      <c r="F143" s="16">
        <v>25.319434999999999</v>
      </c>
      <c r="H143" s="78"/>
    </row>
    <row r="144" spans="1:8" ht="14.25" x14ac:dyDescent="0.3">
      <c r="A144" s="13" t="s">
        <v>215</v>
      </c>
      <c r="B144" s="14" t="s">
        <v>202</v>
      </c>
      <c r="C144" s="15">
        <v>5000</v>
      </c>
      <c r="D144" s="16">
        <v>530.51250000000005</v>
      </c>
      <c r="E144" s="16">
        <v>558.25</v>
      </c>
      <c r="F144" s="16">
        <v>4.9200249999999999</v>
      </c>
      <c r="H144" s="78"/>
    </row>
    <row r="145" spans="1:8" ht="14.25" x14ac:dyDescent="0.3">
      <c r="A145" s="13" t="s">
        <v>254</v>
      </c>
      <c r="B145" s="14" t="s">
        <v>202</v>
      </c>
      <c r="C145" s="15">
        <v>4800</v>
      </c>
      <c r="D145" s="16">
        <v>1562.35</v>
      </c>
      <c r="E145" s="16">
        <v>1570.45</v>
      </c>
      <c r="F145" s="16">
        <v>14.955228</v>
      </c>
      <c r="H145" s="78"/>
    </row>
    <row r="146" spans="1:8" ht="14.25" x14ac:dyDescent="0.3">
      <c r="A146" s="13" t="s">
        <v>221</v>
      </c>
      <c r="B146" s="14" t="s">
        <v>202</v>
      </c>
      <c r="C146" s="15">
        <v>4275</v>
      </c>
      <c r="D146" s="16">
        <v>1726.96106667</v>
      </c>
      <c r="E146" s="16">
        <v>1726</v>
      </c>
      <c r="F146" s="16">
        <v>13.054700800000001</v>
      </c>
      <c r="H146" s="78"/>
    </row>
    <row r="147" spans="1:8" ht="14.25" x14ac:dyDescent="0.3">
      <c r="A147" s="13" t="s">
        <v>207</v>
      </c>
      <c r="B147" s="14" t="s">
        <v>202</v>
      </c>
      <c r="C147" s="15">
        <v>4000</v>
      </c>
      <c r="D147" s="16">
        <v>1438.8499875</v>
      </c>
      <c r="E147" s="16">
        <v>1462.75</v>
      </c>
      <c r="F147" s="16">
        <v>11.55705</v>
      </c>
      <c r="H147" s="78"/>
    </row>
    <row r="148" spans="1:8" ht="14.25" x14ac:dyDescent="0.3">
      <c r="A148" s="13" t="s">
        <v>214</v>
      </c>
      <c r="B148" s="14" t="s">
        <v>202</v>
      </c>
      <c r="C148" s="15">
        <v>4000</v>
      </c>
      <c r="D148" s="16">
        <v>654.0625</v>
      </c>
      <c r="E148" s="16">
        <v>674.9</v>
      </c>
      <c r="F148" s="16">
        <v>5.1744300000000001</v>
      </c>
      <c r="H148" s="78"/>
    </row>
    <row r="149" spans="1:8" ht="14.25" x14ac:dyDescent="0.3">
      <c r="A149" s="13" t="s">
        <v>226</v>
      </c>
      <c r="B149" s="14" t="s">
        <v>202</v>
      </c>
      <c r="C149" s="15">
        <v>4000</v>
      </c>
      <c r="D149" s="16">
        <v>115.25</v>
      </c>
      <c r="E149" s="16">
        <v>115.85</v>
      </c>
      <c r="F149" s="16">
        <v>1.6720250000000001</v>
      </c>
      <c r="H149" s="78"/>
    </row>
    <row r="150" spans="1:8" ht="14.25" x14ac:dyDescent="0.3">
      <c r="A150" s="13" t="s">
        <v>218</v>
      </c>
      <c r="B150" s="14" t="s">
        <v>202</v>
      </c>
      <c r="C150" s="15">
        <v>3600</v>
      </c>
      <c r="D150" s="16">
        <v>203.85</v>
      </c>
      <c r="E150" s="16">
        <v>212.15</v>
      </c>
      <c r="F150" s="16">
        <v>1.345734</v>
      </c>
      <c r="H150" s="78"/>
    </row>
    <row r="151" spans="1:8" ht="14.25" x14ac:dyDescent="0.3">
      <c r="A151" s="13" t="s">
        <v>246</v>
      </c>
      <c r="B151" s="14" t="s">
        <v>202</v>
      </c>
      <c r="C151" s="15">
        <v>3575</v>
      </c>
      <c r="D151" s="16">
        <v>3447.8422923100002</v>
      </c>
      <c r="E151" s="16">
        <v>3565.9</v>
      </c>
      <c r="F151" s="16">
        <v>22.875098300000001</v>
      </c>
      <c r="H151" s="78"/>
    </row>
    <row r="152" spans="1:8" ht="14.25" x14ac:dyDescent="0.3">
      <c r="A152" s="13" t="s">
        <v>243</v>
      </c>
      <c r="B152" s="14" t="s">
        <v>202</v>
      </c>
      <c r="C152" s="15">
        <v>3250</v>
      </c>
      <c r="D152" s="16">
        <v>2532.9308000000001</v>
      </c>
      <c r="E152" s="16">
        <v>2625.35</v>
      </c>
      <c r="F152" s="16">
        <v>15.0327775</v>
      </c>
      <c r="H152" s="78"/>
    </row>
    <row r="153" spans="1:8" ht="14.25" x14ac:dyDescent="0.3">
      <c r="A153" s="13" t="s">
        <v>206</v>
      </c>
      <c r="B153" s="14" t="s">
        <v>202</v>
      </c>
      <c r="C153" s="15">
        <v>2936</v>
      </c>
      <c r="D153" s="16">
        <v>1721.8187</v>
      </c>
      <c r="E153" s="16">
        <v>1830.35</v>
      </c>
      <c r="F153" s="16">
        <v>11.266534199999999</v>
      </c>
      <c r="H153" s="78"/>
    </row>
    <row r="154" spans="1:8" ht="14.25" x14ac:dyDescent="0.3">
      <c r="A154" s="13" t="s">
        <v>217</v>
      </c>
      <c r="B154" s="14" t="s">
        <v>202</v>
      </c>
      <c r="C154" s="15">
        <v>2875</v>
      </c>
      <c r="D154" s="16">
        <v>4548.2042991300004</v>
      </c>
      <c r="E154" s="16">
        <v>4538.2</v>
      </c>
      <c r="F154" s="16">
        <v>23.000790600000002</v>
      </c>
      <c r="H154" s="78"/>
    </row>
    <row r="155" spans="1:8" ht="14.25" x14ac:dyDescent="0.3">
      <c r="A155" s="13" t="s">
        <v>255</v>
      </c>
      <c r="B155" s="14" t="s">
        <v>202</v>
      </c>
      <c r="C155" s="15">
        <v>2500</v>
      </c>
      <c r="D155" s="16">
        <v>7759.0440319999998</v>
      </c>
      <c r="E155" s="16">
        <v>7899.55</v>
      </c>
      <c r="F155" s="16">
        <v>34.961256300000002</v>
      </c>
      <c r="H155" s="78"/>
    </row>
    <row r="156" spans="1:8" ht="14.25" x14ac:dyDescent="0.3">
      <c r="A156" s="13" t="s">
        <v>219</v>
      </c>
      <c r="B156" s="14" t="s">
        <v>202</v>
      </c>
      <c r="C156" s="15">
        <v>2000</v>
      </c>
      <c r="D156" s="16">
        <v>278.14999999999998</v>
      </c>
      <c r="E156" s="16">
        <v>286.05</v>
      </c>
      <c r="F156" s="16">
        <v>1.2058073684210526</v>
      </c>
      <c r="H156" s="78"/>
    </row>
    <row r="157" spans="1:8" ht="14.25" x14ac:dyDescent="0.3">
      <c r="A157" s="13" t="s">
        <v>230</v>
      </c>
      <c r="B157" s="14" t="s">
        <v>202</v>
      </c>
      <c r="C157" s="15">
        <v>1350</v>
      </c>
      <c r="D157" s="16">
        <v>1285.1666</v>
      </c>
      <c r="E157" s="16">
        <v>1283.5999999999999</v>
      </c>
      <c r="F157" s="16">
        <v>3.9348415999999999</v>
      </c>
      <c r="H157" s="78"/>
    </row>
    <row r="158" spans="1:8" ht="14.25" x14ac:dyDescent="0.3">
      <c r="A158" s="13" t="s">
        <v>204</v>
      </c>
      <c r="B158" s="14" t="s">
        <v>202</v>
      </c>
      <c r="C158" s="15">
        <v>1250</v>
      </c>
      <c r="D158" s="16">
        <v>1837.7</v>
      </c>
      <c r="E158" s="16">
        <v>1793.3</v>
      </c>
      <c r="F158" s="16">
        <v>4.6303688000000003</v>
      </c>
      <c r="H158" s="78"/>
    </row>
    <row r="159" spans="1:8" ht="14.25" x14ac:dyDescent="0.3">
      <c r="A159" s="13" t="s">
        <v>238</v>
      </c>
      <c r="B159" s="14" t="s">
        <v>202</v>
      </c>
      <c r="C159" s="15">
        <v>800</v>
      </c>
      <c r="D159" s="16">
        <v>1233.875</v>
      </c>
      <c r="E159" s="16">
        <v>1312.85</v>
      </c>
      <c r="F159" s="16">
        <v>2.4235820000000001</v>
      </c>
      <c r="H159" s="78"/>
    </row>
    <row r="160" spans="1:8" ht="14.25" x14ac:dyDescent="0.3">
      <c r="A160" s="13" t="s">
        <v>205</v>
      </c>
      <c r="B160" s="14" t="s">
        <v>202</v>
      </c>
      <c r="C160" s="15">
        <v>600</v>
      </c>
      <c r="D160" s="16">
        <v>3087.05</v>
      </c>
      <c r="E160" s="16">
        <v>3197.25</v>
      </c>
      <c r="F160" s="16">
        <v>3.3880995</v>
      </c>
      <c r="H160" s="78"/>
    </row>
    <row r="161" spans="1:8" ht="14.25" x14ac:dyDescent="0.3">
      <c r="A161" s="13" t="s">
        <v>252</v>
      </c>
      <c r="B161" s="14" t="s">
        <v>202</v>
      </c>
      <c r="C161" s="15">
        <v>600</v>
      </c>
      <c r="D161" s="16">
        <v>1078.5</v>
      </c>
      <c r="E161" s="16">
        <v>1124.55</v>
      </c>
      <c r="F161" s="16">
        <v>1.2617535</v>
      </c>
      <c r="H161" s="78"/>
    </row>
    <row r="162" spans="1:8" ht="14.25" x14ac:dyDescent="0.3">
      <c r="A162" s="13" t="s">
        <v>211</v>
      </c>
      <c r="B162" s="14" t="s">
        <v>202</v>
      </c>
      <c r="C162" s="15">
        <v>400</v>
      </c>
      <c r="D162" s="16">
        <v>4537.8500000000004</v>
      </c>
      <c r="E162" s="16">
        <v>4675.7</v>
      </c>
      <c r="F162" s="16">
        <v>3.2958729999999998</v>
      </c>
      <c r="H162" s="78"/>
    </row>
    <row r="163" spans="1:8" ht="14.25" x14ac:dyDescent="0.3">
      <c r="A163" s="13" t="s">
        <v>253</v>
      </c>
      <c r="B163" s="14" t="s">
        <v>202</v>
      </c>
      <c r="C163" s="15">
        <v>375</v>
      </c>
      <c r="D163" s="16">
        <v>2717</v>
      </c>
      <c r="E163" s="16">
        <v>2837</v>
      </c>
      <c r="F163" s="16">
        <v>1.8772063000000001</v>
      </c>
      <c r="H163" s="78"/>
    </row>
    <row r="164" spans="1:8" x14ac:dyDescent="0.2">
      <c r="H164" s="78"/>
    </row>
    <row r="165" spans="1:8" ht="14.25" x14ac:dyDescent="0.3">
      <c r="A165" s="40" t="s">
        <v>256</v>
      </c>
      <c r="B165" s="41"/>
      <c r="C165" s="42"/>
      <c r="D165" s="43"/>
      <c r="H165" s="78"/>
    </row>
    <row r="166" spans="1:8" ht="14.25" x14ac:dyDescent="0.3">
      <c r="A166" s="44"/>
      <c r="B166" s="45"/>
      <c r="C166" s="46"/>
      <c r="D166" s="43"/>
      <c r="F166" s="76"/>
      <c r="H166" s="78"/>
    </row>
    <row r="167" spans="1:8" ht="14.25" x14ac:dyDescent="0.3">
      <c r="A167" s="87" t="s">
        <v>257</v>
      </c>
      <c r="B167" s="87"/>
      <c r="C167" s="87"/>
      <c r="D167" s="47"/>
      <c r="H167" s="78"/>
    </row>
    <row r="168" spans="1:8" ht="14.25" x14ac:dyDescent="0.3">
      <c r="A168" s="48" t="s">
        <v>180</v>
      </c>
      <c r="B168" s="49"/>
      <c r="C168" s="50"/>
      <c r="D168" s="51"/>
      <c r="H168" s="78"/>
    </row>
    <row r="169" spans="1:8" ht="14.25" x14ac:dyDescent="0.3">
      <c r="A169" s="83" t="s">
        <v>181</v>
      </c>
      <c r="B169" s="83"/>
      <c r="C169" s="83"/>
      <c r="D169" s="52">
        <v>1293</v>
      </c>
      <c r="H169" s="78"/>
    </row>
    <row r="170" spans="1:8" ht="14.25" x14ac:dyDescent="0.3">
      <c r="A170" s="83" t="s">
        <v>182</v>
      </c>
      <c r="B170" s="83"/>
      <c r="C170" s="83"/>
      <c r="D170" s="77">
        <v>1384</v>
      </c>
      <c r="H170" s="78"/>
    </row>
    <row r="171" spans="1:8" ht="14.25" x14ac:dyDescent="0.3">
      <c r="A171" s="83" t="s">
        <v>183</v>
      </c>
      <c r="B171" s="83"/>
      <c r="C171" s="83"/>
      <c r="D171" s="53">
        <v>9029.49</v>
      </c>
      <c r="H171" s="78"/>
    </row>
    <row r="172" spans="1:8" ht="14.25" x14ac:dyDescent="0.3">
      <c r="A172" s="83" t="s">
        <v>184</v>
      </c>
      <c r="B172" s="83"/>
      <c r="C172" s="83"/>
      <c r="D172" s="53">
        <v>9579.09</v>
      </c>
      <c r="H172" s="78"/>
    </row>
    <row r="173" spans="1:8" ht="14.25" x14ac:dyDescent="0.3">
      <c r="A173" s="83" t="s">
        <v>185</v>
      </c>
      <c r="B173" s="83"/>
      <c r="C173" s="83"/>
      <c r="D173" s="54">
        <v>-232.95607590000009</v>
      </c>
      <c r="H173" s="78"/>
    </row>
    <row r="174" spans="1:8" ht="14.25" x14ac:dyDescent="0.3">
      <c r="A174" s="44"/>
      <c r="B174" s="45"/>
      <c r="C174" s="43"/>
      <c r="D174" s="43"/>
      <c r="H174" s="78"/>
    </row>
    <row r="175" spans="1:8" ht="14.25" x14ac:dyDescent="0.3">
      <c r="A175" s="55" t="s">
        <v>186</v>
      </c>
      <c r="B175" s="55"/>
      <c r="C175" s="55"/>
      <c r="D175" s="43"/>
      <c r="H175" s="78"/>
    </row>
    <row r="176" spans="1:8" ht="14.25" x14ac:dyDescent="0.3">
      <c r="A176" s="48" t="s">
        <v>187</v>
      </c>
      <c r="B176" s="49"/>
      <c r="C176" s="50"/>
      <c r="D176" s="51"/>
      <c r="H176" s="78"/>
    </row>
    <row r="177" spans="1:8" ht="14.25" x14ac:dyDescent="0.3">
      <c r="A177" s="83" t="s">
        <v>181</v>
      </c>
      <c r="B177" s="83"/>
      <c r="C177" s="84"/>
      <c r="D177" s="56" t="s">
        <v>188</v>
      </c>
      <c r="H177" s="78"/>
    </row>
    <row r="178" spans="1:8" ht="14.25" x14ac:dyDescent="0.3">
      <c r="A178" s="83" t="s">
        <v>182</v>
      </c>
      <c r="B178" s="83"/>
      <c r="C178" s="84"/>
      <c r="D178" s="56" t="s">
        <v>188</v>
      </c>
      <c r="H178" s="78"/>
    </row>
    <row r="179" spans="1:8" ht="14.25" x14ac:dyDescent="0.3">
      <c r="A179" s="83" t="s">
        <v>183</v>
      </c>
      <c r="B179" s="83"/>
      <c r="C179" s="84"/>
      <c r="D179" s="56" t="s">
        <v>188</v>
      </c>
      <c r="H179" s="78"/>
    </row>
    <row r="180" spans="1:8" ht="14.25" x14ac:dyDescent="0.3">
      <c r="A180" s="83" t="s">
        <v>184</v>
      </c>
      <c r="B180" s="83"/>
      <c r="C180" s="84"/>
      <c r="D180" s="56" t="s">
        <v>188</v>
      </c>
      <c r="H180" s="78"/>
    </row>
    <row r="181" spans="1:8" ht="14.25" x14ac:dyDescent="0.3">
      <c r="A181" s="83" t="s">
        <v>185</v>
      </c>
      <c r="B181" s="83"/>
      <c r="C181" s="84"/>
      <c r="D181" s="56" t="s">
        <v>188</v>
      </c>
      <c r="H181" s="78"/>
    </row>
    <row r="182" spans="1:8" ht="14.25" x14ac:dyDescent="0.3">
      <c r="A182" s="57"/>
      <c r="B182" s="41"/>
      <c r="C182" s="58"/>
      <c r="D182" s="43"/>
      <c r="H182" s="78"/>
    </row>
    <row r="183" spans="1:8" ht="14.25" x14ac:dyDescent="0.3">
      <c r="A183" s="59" t="s">
        <v>189</v>
      </c>
      <c r="B183" s="60"/>
      <c r="C183" s="60"/>
      <c r="D183" s="43"/>
      <c r="H183" s="78"/>
    </row>
    <row r="184" spans="1:8" ht="14.25" x14ac:dyDescent="0.3">
      <c r="A184" s="61" t="s">
        <v>190</v>
      </c>
      <c r="B184" s="60"/>
      <c r="C184" s="60"/>
      <c r="D184" s="43"/>
      <c r="H184" s="78"/>
    </row>
    <row r="185" spans="1:8" ht="14.25" x14ac:dyDescent="0.3">
      <c r="A185" s="61" t="s">
        <v>191</v>
      </c>
      <c r="B185" s="61"/>
      <c r="C185" s="61"/>
      <c r="D185" s="43"/>
    </row>
    <row r="186" spans="1:8" ht="14.25" x14ac:dyDescent="0.3">
      <c r="A186" s="61" t="s">
        <v>192</v>
      </c>
      <c r="B186" s="61"/>
      <c r="C186" s="61"/>
      <c r="D186" s="43"/>
    </row>
    <row r="187" spans="1:8" ht="14.25" x14ac:dyDescent="0.3">
      <c r="A187" s="61"/>
      <c r="B187" s="60"/>
      <c r="C187" s="60"/>
      <c r="D187" s="43"/>
    </row>
    <row r="188" spans="1:8" ht="14.25" x14ac:dyDescent="0.3">
      <c r="A188" s="62" t="s">
        <v>193</v>
      </c>
      <c r="B188" s="68" t="s">
        <v>194</v>
      </c>
      <c r="C188" s="68"/>
      <c r="D188" s="43"/>
    </row>
    <row r="189" spans="1:8" ht="14.25" x14ac:dyDescent="0.3">
      <c r="A189" s="60"/>
      <c r="B189" s="60"/>
      <c r="C189" s="60"/>
      <c r="D189" s="43"/>
    </row>
    <row r="190" spans="1:8" ht="14.25" x14ac:dyDescent="0.3">
      <c r="A190" s="60"/>
      <c r="B190" s="60"/>
      <c r="C190" s="60"/>
      <c r="D190" s="43"/>
    </row>
    <row r="191" spans="1:8" ht="14.25" x14ac:dyDescent="0.3">
      <c r="A191" s="60"/>
      <c r="B191" s="60"/>
      <c r="C191" s="60"/>
      <c r="D191" s="43"/>
    </row>
    <row r="192" spans="1:8" ht="14.25" x14ac:dyDescent="0.3">
      <c r="A192" s="60"/>
      <c r="B192" s="60"/>
      <c r="C192" s="60"/>
      <c r="D192" s="43"/>
    </row>
    <row r="193" spans="1:4" ht="14.25" x14ac:dyDescent="0.3">
      <c r="A193" s="60"/>
      <c r="B193" s="60"/>
      <c r="C193" s="60"/>
      <c r="D193" s="43"/>
    </row>
    <row r="194" spans="1:4" ht="14.25" x14ac:dyDescent="0.3">
      <c r="A194" s="60"/>
      <c r="B194" s="60"/>
      <c r="C194" s="60"/>
      <c r="D194" s="43"/>
    </row>
    <row r="195" spans="1:4" ht="14.25" x14ac:dyDescent="0.3">
      <c r="A195" s="60"/>
      <c r="B195" s="60"/>
      <c r="C195" s="60"/>
      <c r="D195" s="43"/>
    </row>
  </sheetData>
  <sortState ref="A110:F163">
    <sortCondition descending="1" ref="C110:C163"/>
  </sortState>
  <mergeCells count="17">
    <mergeCell ref="A181:C181"/>
    <mergeCell ref="A1:H1"/>
    <mergeCell ref="A2:H2"/>
    <mergeCell ref="A179:C179"/>
    <mergeCell ref="A180:C180"/>
    <mergeCell ref="A167:C167"/>
    <mergeCell ref="A173:C173"/>
    <mergeCell ref="A170:C170"/>
    <mergeCell ref="A171:C171"/>
    <mergeCell ref="A172:C172"/>
    <mergeCell ref="A177:C177"/>
    <mergeCell ref="A178:C178"/>
    <mergeCell ref="A103:H103"/>
    <mergeCell ref="A104:H104"/>
    <mergeCell ref="A105:H105"/>
    <mergeCell ref="A106:H106"/>
    <mergeCell ref="A169:C169"/>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Santosh Parab</cp:lastModifiedBy>
  <dcterms:created xsi:type="dcterms:W3CDTF">2023-06-01T18:16:50Z</dcterms:created>
  <dcterms:modified xsi:type="dcterms:W3CDTF">2023-06-05T05:47:14Z</dcterms:modified>
</cp:coreProperties>
</file>