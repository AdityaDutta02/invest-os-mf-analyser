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Dynamic Bond Fund" sheetId="1" r:id="rId1"/>
  </sheets>
  <externalReferences>
    <externalReference r:id="rId2"/>
  </externalReferences>
  <definedNames>
    <definedName name="_xlnm._FilterDatabase" localSheetId="0" hidden="1">'JM Dynamic Bond Fund'!$A$1:$H$122</definedName>
    <definedName name="AAAAA">#REF!</definedName>
    <definedName name="Afs">#REF!</definedName>
    <definedName name="_xlnm.Database">#REF!</definedName>
    <definedName name="EBLDB">#REF!</definedName>
    <definedName name="fl">#REF!</definedName>
    <definedName name="_xlnm.Print_Area" localSheetId="0">'JM Dynamic Bond Fund'!$A$1:$E$22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7" i="1" l="1"/>
  <c r="E26" i="1"/>
  <c r="E27" i="1" s="1"/>
  <c r="D25" i="1"/>
  <c r="E24" i="1"/>
  <c r="E25" i="1" s="1"/>
  <c r="D20" i="1"/>
  <c r="E19" i="1"/>
  <c r="E18" i="1"/>
  <c r="E17" i="1"/>
  <c r="E20" i="1" s="1"/>
  <c r="E16" i="1"/>
  <c r="E29" i="1" l="1"/>
  <c r="D29" i="1"/>
  <c r="D31" i="1" s="1"/>
  <c r="E31" i="1" s="1"/>
  <c r="E33" i="1"/>
</calcChain>
</file>

<file path=xl/sharedStrings.xml><?xml version="1.0" encoding="utf-8"?>
<sst xmlns="http://schemas.openxmlformats.org/spreadsheetml/2006/main" count="84" uniqueCount="69">
  <si>
    <t xml:space="preserve">JM Dynamic Bond Fund (An open ended dynamic debt scheme investing across duration) A relatively high interest rate risk and moderate credit risk. </t>
  </si>
  <si>
    <t>Portfolio as on 31.08.2023</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</si>
  <si>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</si>
  <si>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</si>
  <si>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</si>
  <si>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</si>
  <si>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</si>
  <si>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</si>
  <si>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</si>
  <si>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</si>
  <si>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</si>
  <si>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</si>
  <si>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</si>
  <si>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</si>
  <si>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</si>
  <si>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</si>
  <si>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</si>
  <si>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</si>
  <si>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5.63% Government of India Securities 2026 12/04/2026</t>
  </si>
  <si>
    <t>Sovereign</t>
  </si>
  <si>
    <t>IN0020210012</t>
  </si>
  <si>
    <t>7.38% Government of India Securities 2027 20/06/2027</t>
  </si>
  <si>
    <t>IN0020220037</t>
  </si>
  <si>
    <t>7.06% Government of India Securities 2028 10/04/2028</t>
  </si>
  <si>
    <t>IN0020230010</t>
  </si>
  <si>
    <t>7.26% Government of India Securities 2033 06/02/2033</t>
  </si>
  <si>
    <t>IN0020220151</t>
  </si>
  <si>
    <t>Sub Total:</t>
  </si>
  <si>
    <t>MONEY MARKET INSTRUMENTS</t>
  </si>
  <si>
    <t>Treasury Bills</t>
  </si>
  <si>
    <t>182 Days Treasury-Bill 29/02/2024</t>
  </si>
  <si>
    <t>IN002023Y235</t>
  </si>
  <si>
    <t>TREPS-Triparty Repo</t>
  </si>
  <si>
    <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</si>
  <si>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</si>
  <si>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</si>
  <si>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</si>
  <si>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</si>
  <si>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</si>
  <si>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</si>
  <si>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</si>
  <si>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</si>
  <si>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</si>
  <si>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</si>
  <si>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</si>
  <si>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</si>
  <si>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</si>
  <si>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</si>
  <si>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B-III Index</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</si>
  <si>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</si>
  <si>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</si>
  <si>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</si>
  <si>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</si>
  <si>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</si>
  <si>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</si>
  <si>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</si>
  <si>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</si>
  <si>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</si>
  <si>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</si>
  <si>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</si>
  <si>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</si>
  <si>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</si>
  <si>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t>
  </si>
  <si>
    <t>Residual Maturity</t>
  </si>
  <si>
    <t xml:space="preserve">As on (Date) </t>
  </si>
  <si>
    <t>31.08.2023</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</si>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</sst>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b/>
      <sz val="10"/>
      <color indexed="9"/>
      <name val="Century Gothic"/>
      <family val="2"/>
    </font>
    <font>
      <sz val="10"/>
      <name val="Times New Roman"/>
      <family val="1"/>
    </font>
    <font>
      <sz val="8"/>
      <name val="Century Gothic"/>
      <family val="2"/>
    </font>
    <font>
      <b/>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92">
    <xf numFmtId="0" fontId="0" fillId="0" borderId="0" xfId="0"/>
    <xf numFmtId="0" fontId="2" fillId="2" borderId="1" xfId="0" applyFont="1" applyFill="1" applyBorder="1" applyAlignment="1">
      <alignment horizontal="center" vertical="top" wrapText="1"/>
    </xf>
    <xf numFmtId="0" fontId="3" fillId="0" borderId="0" xfId="0" applyFont="1"/>
    <xf numFmtId="0" fontId="2" fillId="2" borderId="2" xfId="0" applyFont="1" applyFill="1" applyBorder="1" applyAlignment="1">
      <alignment horizontal="center" wrapText="1"/>
    </xf>
    <xf numFmtId="0" fontId="3" fillId="0" borderId="0" xfId="0" applyFont="1" applyAlignment="1">
      <alignment horizontal="center"/>
    </xf>
    <xf numFmtId="0" fontId="3" fillId="0" borderId="0" xfId="0" applyFont="1" applyFill="1"/>
    <xf numFmtId="166" fontId="4" fillId="0" borderId="3" xfId="0" applyNumberFormat="1" applyFont="1" applyFill="1" applyBorder="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4" fillId="0" borderId="0" xfId="0" applyFont="1" applyFill="1" applyBorder="1" applyAlignment="1">
      <alignment horizontal="right"/>
    </xf>
    <xf numFmtId="0" fontId="4" fillId="0" borderId="0" xfId="0" applyFont="1" applyFill="1"/>
    <xf numFmtId="0" fontId="4" fillId="0" borderId="0" xfId="0"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164" fontId="4" fillId="0" borderId="0" xfId="1" applyFont="1" applyFill="1" applyBorder="1"/>
    <xf numFmtId="0" fontId="5" fillId="0" borderId="3" xfId="0"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0" applyFont="1" applyBorder="1" applyAlignment="1">
      <alignment horizontal="center" vertical="top" wrapText="1"/>
    </xf>
    <xf numFmtId="0" fontId="5" fillId="0" borderId="3" xfId="0" applyFont="1" applyFill="1" applyBorder="1" applyAlignment="1">
      <alignment wrapText="1"/>
    </xf>
    <xf numFmtId="0" fontId="5" fillId="0" borderId="3" xfId="0" applyFont="1" applyFill="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0" fontId="4" fillId="0" borderId="3" xfId="0" applyFont="1" applyFill="1" applyBorder="1" applyAlignment="1">
      <alignment horizontal="right"/>
    </xf>
    <xf numFmtId="0" fontId="4" fillId="0" borderId="3" xfId="0" applyFont="1" applyBorder="1"/>
    <xf numFmtId="164" fontId="4" fillId="0" borderId="3" xfId="1" applyFont="1" applyFill="1" applyBorder="1" applyAlignment="1">
      <alignment horizontal="right"/>
    </xf>
    <xf numFmtId="165" fontId="5" fillId="0" borderId="3" xfId="1" applyNumberFormat="1" applyFont="1" applyFill="1" applyBorder="1" applyAlignment="1">
      <alignment horizontal="right"/>
    </xf>
    <xf numFmtId="164" fontId="4" fillId="0" borderId="3" xfId="1" applyFont="1" applyFill="1" applyBorder="1"/>
    <xf numFmtId="164" fontId="4" fillId="0" borderId="4" xfId="1" applyFont="1" applyFill="1" applyBorder="1"/>
    <xf numFmtId="4" fontId="4" fillId="0" borderId="3" xfId="0" applyNumberFormat="1" applyFont="1" applyFill="1" applyBorder="1" applyAlignment="1">
      <alignment wrapText="1"/>
    </xf>
    <xf numFmtId="0" fontId="4" fillId="0" borderId="3" xfId="0" applyFont="1" applyFill="1" applyBorder="1" applyAlignment="1">
      <alignment wrapText="1"/>
    </xf>
    <xf numFmtId="165" fontId="4" fillId="0" borderId="3" xfId="1" applyNumberFormat="1" applyFont="1" applyFill="1" applyBorder="1"/>
    <xf numFmtId="4" fontId="5" fillId="0" borderId="3" xfId="1" applyNumberFormat="1" applyFont="1" applyFill="1" applyBorder="1" applyAlignment="1">
      <alignment horizontal="right"/>
    </xf>
    <xf numFmtId="2" fontId="4" fillId="0" borderId="3" xfId="0" applyNumberFormat="1" applyFont="1" applyFill="1" applyBorder="1" applyAlignment="1">
      <alignment horizontal="right"/>
    </xf>
    <xf numFmtId="0" fontId="4" fillId="0" borderId="3" xfId="0" applyFont="1" applyFill="1" applyBorder="1" applyAlignment="1">
      <alignment horizontal="left" wrapText="1"/>
    </xf>
    <xf numFmtId="165" fontId="4" fillId="0" borderId="3" xfId="1" applyNumberFormat="1" applyFont="1" applyFill="1" applyBorder="1" applyAlignment="1">
      <alignment horizontal="right"/>
    </xf>
    <xf numFmtId="4" fontId="5" fillId="0" borderId="3" xfId="0" applyNumberFormat="1" applyFont="1" applyFill="1" applyBorder="1" applyAlignment="1">
      <alignment horizontal="right"/>
    </xf>
    <xf numFmtId="0" fontId="4" fillId="0" borderId="0" xfId="0" applyFont="1" applyFill="1" applyBorder="1" applyAlignment="1">
      <alignment wrapText="1"/>
    </xf>
    <xf numFmtId="0" fontId="4" fillId="0" borderId="0" xfId="0" applyFont="1" applyFill="1" applyAlignment="1">
      <alignment horizontal="right"/>
    </xf>
    <xf numFmtId="0" fontId="4" fillId="0" borderId="0" xfId="0" applyFont="1" applyFill="1" applyBorder="1" applyAlignment="1">
      <alignment horizontal="left" wrapText="1"/>
    </xf>
    <xf numFmtId="165" fontId="4" fillId="0" borderId="0" xfId="1" applyNumberFormat="1" applyFont="1" applyFill="1" applyBorder="1"/>
    <xf numFmtId="164" fontId="4" fillId="0" borderId="0" xfId="1" applyFont="1" applyFill="1" applyBorder="1" applyAlignment="1">
      <alignment horizontal="right"/>
    </xf>
    <xf numFmtId="0" fontId="4" fillId="0" borderId="0" xfId="0" applyFont="1" applyFill="1" applyBorder="1"/>
    <xf numFmtId="0" fontId="4" fillId="0" borderId="0" xfId="3" applyFont="1" applyAlignment="1">
      <alignment horizontal="left" vertical="top" wrapText="1"/>
    </xf>
    <xf numFmtId="0" fontId="7" fillId="0" borderId="0" xfId="4" applyFont="1" applyBorder="1" applyAlignment="1">
      <alignment horizontal="left" vertical="top" wrapText="1"/>
    </xf>
    <xf numFmtId="0" fontId="4" fillId="0" borderId="0" xfId="5" applyFont="1" applyAlignment="1">
      <alignment horizontal="left" vertical="top" wrapText="1"/>
    </xf>
    <xf numFmtId="0" fontId="8" fillId="0" borderId="0" xfId="4" applyFont="1" applyBorder="1" applyAlignment="1">
      <alignment horizontal="left" vertical="top" wrapText="1"/>
    </xf>
    <xf numFmtId="0" fontId="4" fillId="0" borderId="0" xfId="5" applyFont="1" applyFill="1" applyAlignment="1">
      <alignment wrapText="1"/>
    </xf>
    <xf numFmtId="0" fontId="4" fillId="0" borderId="0" xfId="5" applyFont="1" applyFill="1" applyAlignment="1">
      <alignment horizontal="left" wrapText="1"/>
    </xf>
    <xf numFmtId="165" fontId="4" fillId="0" borderId="0" xfId="6" applyNumberFormat="1" applyFont="1" applyFill="1"/>
    <xf numFmtId="164" fontId="4" fillId="0" borderId="0" xfId="6" applyFont="1" applyFill="1" applyAlignment="1">
      <alignment horizontal="right"/>
    </xf>
    <xf numFmtId="0" fontId="4" fillId="0" borderId="0" xfId="5" applyFont="1" applyFill="1" applyAlignment="1">
      <alignment horizontal="right"/>
    </xf>
    <xf numFmtId="0" fontId="4" fillId="0" borderId="0" xfId="5" applyFont="1"/>
    <xf numFmtId="0" fontId="9" fillId="0" borderId="0" xfId="7" applyFont="1"/>
    <xf numFmtId="0" fontId="10" fillId="0" borderId="0" xfId="5"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5" fillId="0" borderId="0" xfId="5" applyFont="1" applyFill="1" applyBorder="1" applyAlignment="1">
      <alignment horizontal="center"/>
    </xf>
    <xf numFmtId="0" fontId="9" fillId="0" borderId="0" xfId="8" applyFont="1"/>
    <xf numFmtId="0" fontId="5" fillId="0" borderId="0" xfId="5" applyFont="1" applyFill="1" applyBorder="1" applyAlignment="1"/>
    <xf numFmtId="0" fontId="9" fillId="0" borderId="5" xfId="5" applyFont="1" applyBorder="1" applyAlignment="1">
      <alignment horizontal="center" vertical="center" wrapText="1"/>
    </xf>
    <xf numFmtId="0" fontId="9" fillId="0" borderId="6" xfId="5" applyFont="1" applyBorder="1" applyAlignment="1">
      <alignment horizontal="center" vertical="center" wrapText="1"/>
    </xf>
    <xf numFmtId="0" fontId="9" fillId="0" borderId="7" xfId="5" applyFont="1" applyBorder="1" applyAlignment="1">
      <alignment horizontal="center" vertical="center" wrapText="1"/>
    </xf>
    <xf numFmtId="0" fontId="9" fillId="0" borderId="8" xfId="5" applyFont="1" applyBorder="1" applyAlignment="1">
      <alignment vertical="center" wrapText="1"/>
    </xf>
    <xf numFmtId="0" fontId="9" fillId="0" borderId="9" xfId="5" applyFont="1" applyBorder="1" applyAlignment="1">
      <alignment horizontal="left" vertical="center" wrapText="1"/>
    </xf>
    <xf numFmtId="0" fontId="9" fillId="0" borderId="9" xfId="5" applyFont="1" applyBorder="1" applyAlignment="1">
      <alignment horizontal="left" vertical="top" wrapText="1"/>
    </xf>
    <xf numFmtId="0" fontId="9" fillId="0" borderId="8" xfId="5" applyFont="1" applyBorder="1" applyAlignment="1">
      <alignment horizontal="left" vertical="center" wrapText="1"/>
    </xf>
    <xf numFmtId="0" fontId="9" fillId="0" borderId="8" xfId="5" applyFont="1" applyBorder="1" applyAlignment="1">
      <alignment horizontal="left" vertical="top" wrapText="1"/>
    </xf>
    <xf numFmtId="0" fontId="7" fillId="0" borderId="8" xfId="5" applyFont="1" applyBorder="1" applyAlignment="1">
      <alignment vertical="center" wrapText="1"/>
    </xf>
    <xf numFmtId="0" fontId="7" fillId="0" borderId="10" xfId="5" applyFont="1" applyBorder="1" applyAlignment="1">
      <alignment vertical="center" wrapText="1"/>
    </xf>
    <xf numFmtId="0" fontId="7" fillId="3" borderId="10" xfId="5" applyFont="1" applyFill="1" applyBorder="1" applyAlignment="1">
      <alignment horizontal="center" vertical="center" wrapText="1"/>
    </xf>
    <xf numFmtId="0" fontId="4" fillId="0" borderId="0" xfId="5" applyFont="1" applyAlignment="1">
      <alignment wrapText="1"/>
    </xf>
    <xf numFmtId="0" fontId="4" fillId="0" borderId="0" xfId="5" applyFont="1" applyAlignment="1">
      <alignment horizontal="left" wrapText="1"/>
    </xf>
    <xf numFmtId="0" fontId="4" fillId="0" borderId="2" xfId="5" applyFont="1" applyBorder="1" applyAlignment="1">
      <alignment horizontal="center" wrapText="1"/>
    </xf>
    <xf numFmtId="0" fontId="4" fillId="0" borderId="11" xfId="5" applyFont="1" applyBorder="1" applyAlignment="1">
      <alignment horizontal="center" wrapText="1"/>
    </xf>
    <xf numFmtId="0" fontId="4" fillId="0" borderId="3" xfId="5" applyFont="1" applyBorder="1" applyAlignment="1">
      <alignment wrapText="1"/>
    </xf>
    <xf numFmtId="0" fontId="4" fillId="0" borderId="3" xfId="5" applyFont="1" applyBorder="1" applyAlignment="1">
      <alignment horizontal="center" vertical="center" wrapText="1"/>
    </xf>
    <xf numFmtId="0" fontId="4" fillId="0" borderId="3" xfId="5" applyFont="1" applyBorder="1" applyAlignment="1">
      <alignment horizontal="left" wrapText="1"/>
    </xf>
    <xf numFmtId="10" fontId="4" fillId="0" borderId="3" xfId="2" applyNumberFormat="1" applyFont="1" applyFill="1" applyBorder="1" applyAlignment="1">
      <alignment horizontal="center" wrapText="1"/>
    </xf>
    <xf numFmtId="166" fontId="4" fillId="0" borderId="3" xfId="5" applyNumberFormat="1" applyFont="1" applyFill="1" applyBorder="1" applyAlignment="1">
      <alignment horizontal="center" wrapText="1"/>
    </xf>
    <xf numFmtId="166" fontId="4" fillId="0" borderId="3" xfId="5" applyNumberFormat="1" applyFont="1" applyBorder="1" applyAlignment="1">
      <alignment horizontal="center"/>
    </xf>
    <xf numFmtId="0" fontId="4" fillId="0" borderId="3" xfId="5" applyNumberFormat="1" applyFont="1" applyBorder="1" applyAlignment="1">
      <alignment horizontal="center"/>
    </xf>
    <xf numFmtId="0" fontId="4" fillId="0" borderId="3" xfId="5" applyFont="1" applyFill="1" applyBorder="1" applyAlignment="1">
      <alignment horizontal="left" wrapText="1"/>
    </xf>
    <xf numFmtId="0" fontId="4" fillId="0" borderId="3" xfId="5" applyFont="1" applyFill="1" applyBorder="1" applyAlignment="1">
      <alignment horizontal="center" wrapText="1"/>
    </xf>
    <xf numFmtId="0" fontId="4" fillId="0" borderId="4" xfId="5" applyFont="1" applyBorder="1" applyAlignment="1">
      <alignment horizontal="left" wrapText="1"/>
    </xf>
    <xf numFmtId="0" fontId="4" fillId="0" borderId="11" xfId="5" applyFont="1" applyBorder="1" applyAlignment="1">
      <alignment horizontal="left" wrapText="1"/>
    </xf>
    <xf numFmtId="0" fontId="11" fillId="0" borderId="0" xfId="0" applyFont="1" applyAlignment="1">
      <alignment wrapText="1"/>
    </xf>
    <xf numFmtId="0" fontId="11" fillId="0" borderId="0" xfId="0" applyFont="1" applyAlignment="1">
      <alignment horizontal="left" wrapText="1"/>
    </xf>
    <xf numFmtId="165" fontId="11" fillId="0" borderId="0" xfId="1" applyNumberFormat="1" applyFont="1"/>
    <xf numFmtId="0" fontId="11" fillId="0" borderId="0" xfId="0" applyFont="1"/>
  </cellXfs>
  <cellStyles count="9">
    <cellStyle name="Comma" xfId="1" builtinId="3"/>
    <cellStyle name="Comma 4 2" xfId="6"/>
    <cellStyle name="Normal" xfId="0" builtinId="0"/>
    <cellStyle name="Normal 2 2" xfId="5"/>
    <cellStyle name="Normal 2 3 2" xfId="3"/>
    <cellStyle name="Normal 4_FF" xfId="7"/>
    <cellStyle name="Normal 4_IF" xfId="8"/>
    <cellStyle name="Normal 4_LD" xfI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695325</xdr:colOff>
      <xdr:row>47</xdr:row>
      <xdr:rowOff>0</xdr:rowOff>
    </xdr:from>
    <xdr:to>
      <xdr:col>0</xdr:col>
      <xdr:colOff>2533650</xdr:colOff>
      <xdr:row>52</xdr:row>
      <xdr:rowOff>152400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9629775"/>
          <a:ext cx="183832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342901</xdr:colOff>
      <xdr:row>47</xdr:row>
      <xdr:rowOff>28575</xdr:rowOff>
    </xdr:from>
    <xdr:to>
      <xdr:col>3</xdr:col>
      <xdr:colOff>514351</xdr:colOff>
      <xdr:row>52</xdr:row>
      <xdr:rowOff>142875</xdr:rowOff>
    </xdr:to>
    <xdr:pic>
      <xdr:nvPicPr>
        <xdr:cNvPr id="3" name="Picture 5"/>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7551" y="9658350"/>
          <a:ext cx="18478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22"/>
  <sheetViews>
    <sheetView tabSelected="1" zoomScaleNormal="100" workbookViewId="0">
      <selection activeCell="B10" sqref="B10"/>
    </sheetView>
  </sheetViews>
  <sheetFormatPr defaultRowHeight="12.75" x14ac:dyDescent="0.2"/>
  <cols>
    <col min="1" max="1" width="43.7109375" style="88" customWidth="1"/>
    <col min="2" max="2" width="13.85546875" style="89" customWidth="1"/>
    <col min="3" max="3" width="11.28515625" style="90" customWidth="1"/>
    <col min="4" max="4" width="12.5703125" style="91" customWidth="1"/>
    <col min="5" max="5" width="9.7109375" style="91" customWidth="1"/>
    <col min="6" max="6" width="12.85546875" style="91" customWidth="1"/>
    <col min="7" max="7" width="9.5703125" style="91" bestFit="1" customWidth="1"/>
    <col min="8" max="8" width="13.85546875" style="91" customWidth="1"/>
    <col min="9" max="16384" width="9.140625" style="2"/>
  </cols>
  <sheetData>
    <row r="1" spans="1:8" ht="25.5" customHeight="1"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18" t="s">
        <v>2</v>
      </c>
      <c r="B3" s="18" t="s">
        <v>3</v>
      </c>
      <c r="C3" s="19" t="s">
        <v>4</v>
      </c>
      <c r="D3" s="18" t="s">
        <v>5</v>
      </c>
      <c r="E3" s="18" t="s">
        <v>6</v>
      </c>
      <c r="F3" s="18" t="s">
        <v>7</v>
      </c>
      <c r="G3" s="18" t="s">
        <v>8</v>
      </c>
      <c r="H3" s="20" t="s">
        <v>9</v>
      </c>
    </row>
    <row r="4" spans="1:8" s="5" customFormat="1" ht="14.25" x14ac:dyDescent="0.3">
      <c r="A4" s="21" t="s">
        <v>10</v>
      </c>
      <c r="B4" s="22"/>
      <c r="C4" s="23"/>
      <c r="D4" s="24"/>
      <c r="E4" s="24"/>
      <c r="F4" s="25"/>
      <c r="G4" s="6"/>
      <c r="H4" s="26"/>
    </row>
    <row r="5" spans="1:8" s="5" customFormat="1" ht="14.25" x14ac:dyDescent="0.3">
      <c r="A5" s="21" t="s">
        <v>11</v>
      </c>
      <c r="B5" s="22"/>
      <c r="C5" s="23"/>
      <c r="D5" s="24" t="s">
        <v>12</v>
      </c>
      <c r="E5" s="24" t="s">
        <v>12</v>
      </c>
      <c r="F5" s="27"/>
      <c r="G5" s="6"/>
      <c r="H5" s="26"/>
    </row>
    <row r="6" spans="1:8" s="5" customFormat="1" ht="14.25" x14ac:dyDescent="0.3">
      <c r="A6" s="21"/>
      <c r="B6" s="22"/>
      <c r="C6" s="28"/>
      <c r="D6" s="27"/>
      <c r="E6" s="27"/>
      <c r="F6" s="27"/>
      <c r="G6" s="6"/>
      <c r="H6" s="26"/>
    </row>
    <row r="7" spans="1:8" s="5" customFormat="1" ht="14.25" x14ac:dyDescent="0.3">
      <c r="A7" s="21" t="s">
        <v>13</v>
      </c>
      <c r="B7" s="22"/>
      <c r="C7" s="28"/>
      <c r="D7" s="24" t="s">
        <v>12</v>
      </c>
      <c r="E7" s="24" t="s">
        <v>12</v>
      </c>
      <c r="F7" s="25"/>
      <c r="G7" s="6"/>
      <c r="H7" s="26"/>
    </row>
    <row r="8" spans="1:8" s="5" customFormat="1" ht="14.25" x14ac:dyDescent="0.3">
      <c r="A8" s="21"/>
      <c r="B8" s="22"/>
      <c r="C8" s="28"/>
      <c r="D8" s="24"/>
      <c r="E8" s="24"/>
      <c r="F8" s="24"/>
      <c r="G8" s="6"/>
      <c r="H8" s="26"/>
    </row>
    <row r="9" spans="1:8" s="5" customFormat="1" ht="14.25" x14ac:dyDescent="0.3">
      <c r="A9" s="21" t="s">
        <v>14</v>
      </c>
      <c r="B9" s="22"/>
      <c r="C9" s="28"/>
      <c r="D9" s="24"/>
      <c r="E9" s="24"/>
      <c r="F9" s="24"/>
      <c r="G9" s="6"/>
      <c r="H9" s="26"/>
    </row>
    <row r="10" spans="1:8" s="5" customFormat="1" ht="14.25" x14ac:dyDescent="0.3">
      <c r="A10" s="21"/>
      <c r="B10" s="22"/>
      <c r="C10" s="28"/>
      <c r="D10" s="29"/>
      <c r="E10" s="29"/>
      <c r="F10" s="30"/>
      <c r="G10" s="6"/>
      <c r="H10" s="26"/>
    </row>
    <row r="11" spans="1:8" s="5" customFormat="1" ht="14.25" x14ac:dyDescent="0.3">
      <c r="A11" s="21" t="s">
        <v>15</v>
      </c>
      <c r="B11" s="22"/>
      <c r="C11" s="28"/>
      <c r="D11" s="24" t="s">
        <v>12</v>
      </c>
      <c r="E11" s="24" t="s">
        <v>12</v>
      </c>
      <c r="F11" s="24"/>
      <c r="G11" s="6"/>
      <c r="H11" s="26"/>
    </row>
    <row r="12" spans="1:8" s="5" customFormat="1" ht="14.25" x14ac:dyDescent="0.3">
      <c r="A12" s="21"/>
      <c r="B12" s="22"/>
      <c r="C12" s="28"/>
      <c r="D12" s="24"/>
      <c r="E12" s="24"/>
      <c r="F12" s="24"/>
      <c r="G12" s="6"/>
      <c r="H12" s="26"/>
    </row>
    <row r="13" spans="1:8" s="5" customFormat="1" ht="14.25" x14ac:dyDescent="0.3">
      <c r="A13" s="21" t="s">
        <v>16</v>
      </c>
      <c r="B13" s="22"/>
      <c r="C13" s="28"/>
      <c r="D13" s="24" t="s">
        <v>12</v>
      </c>
      <c r="E13" s="24" t="s">
        <v>12</v>
      </c>
      <c r="F13" s="24"/>
      <c r="G13" s="6"/>
      <c r="H13" s="26"/>
    </row>
    <row r="14" spans="1:8" s="5" customFormat="1" ht="14.25" x14ac:dyDescent="0.3">
      <c r="A14" s="21"/>
      <c r="B14" s="22"/>
      <c r="C14" s="28"/>
      <c r="D14" s="24"/>
      <c r="E14" s="24"/>
      <c r="F14" s="24"/>
      <c r="G14" s="6"/>
      <c r="H14" s="26"/>
    </row>
    <row r="15" spans="1:8" s="5" customFormat="1" ht="14.25" x14ac:dyDescent="0.3">
      <c r="A15" s="21" t="s">
        <v>17</v>
      </c>
      <c r="B15" s="22"/>
      <c r="C15" s="28"/>
      <c r="D15" s="24"/>
      <c r="E15" s="24"/>
      <c r="F15" s="24"/>
      <c r="G15" s="6"/>
      <c r="H15" s="26"/>
    </row>
    <row r="16" spans="1:8" s="5" customFormat="1" ht="14.25" x14ac:dyDescent="0.3">
      <c r="A16" s="31" t="s">
        <v>18</v>
      </c>
      <c r="B16" s="32" t="s">
        <v>19</v>
      </c>
      <c r="C16" s="33">
        <v>1250000</v>
      </c>
      <c r="D16" s="29">
        <v>1205.20625</v>
      </c>
      <c r="E16" s="29">
        <f>(+D16/$D$33*100)</f>
        <v>27.870306511927311</v>
      </c>
      <c r="F16" s="29" t="s">
        <v>20</v>
      </c>
      <c r="G16" s="6">
        <v>7.1536999999999997</v>
      </c>
      <c r="H16" s="26"/>
    </row>
    <row r="17" spans="1:8" s="5" customFormat="1" ht="14.25" x14ac:dyDescent="0.3">
      <c r="A17" s="31" t="s">
        <v>21</v>
      </c>
      <c r="B17" s="32" t="s">
        <v>19</v>
      </c>
      <c r="C17" s="33">
        <v>600000</v>
      </c>
      <c r="D17" s="29">
        <v>604.17359999999996</v>
      </c>
      <c r="E17" s="29">
        <f>(+D17/$D$33*100)</f>
        <v>13.971470375642813</v>
      </c>
      <c r="F17" s="29" t="s">
        <v>22</v>
      </c>
      <c r="G17" s="6">
        <v>7.1631</v>
      </c>
      <c r="H17" s="26"/>
    </row>
    <row r="18" spans="1:8" s="5" customFormat="1" ht="14.25" x14ac:dyDescent="0.3">
      <c r="A18" s="31" t="s">
        <v>23</v>
      </c>
      <c r="B18" s="32" t="s">
        <v>19</v>
      </c>
      <c r="C18" s="33">
        <v>400000</v>
      </c>
      <c r="D18" s="29">
        <v>398.47039999999998</v>
      </c>
      <c r="E18" s="29">
        <f>(+D18/$D$33*100)</f>
        <v>9.2145988986783642</v>
      </c>
      <c r="F18" s="29" t="s">
        <v>24</v>
      </c>
      <c r="G18" s="6">
        <v>7.1562000000000001</v>
      </c>
      <c r="H18" s="26"/>
    </row>
    <row r="19" spans="1:8" s="5" customFormat="1" ht="14.25" x14ac:dyDescent="0.3">
      <c r="A19" s="31" t="s">
        <v>25</v>
      </c>
      <c r="B19" s="32" t="s">
        <v>19</v>
      </c>
      <c r="C19" s="33">
        <v>100000</v>
      </c>
      <c r="D19" s="29">
        <v>100.6275</v>
      </c>
      <c r="E19" s="29">
        <f>(+D19/$D$33*100)</f>
        <v>2.3270035884139877</v>
      </c>
      <c r="F19" s="29" t="s">
        <v>26</v>
      </c>
      <c r="G19" s="6">
        <v>7.1661999999999999</v>
      </c>
      <c r="H19" s="26"/>
    </row>
    <row r="20" spans="1:8" s="5" customFormat="1" ht="14.25" x14ac:dyDescent="0.3">
      <c r="A20" s="21" t="s">
        <v>27</v>
      </c>
      <c r="B20" s="22"/>
      <c r="C20" s="28"/>
      <c r="D20" s="24">
        <f>IF(ISERROR(SUM(D16:D19)),0,SUM(D16:D19))</f>
        <v>2308.47775</v>
      </c>
      <c r="E20" s="24">
        <f>IF(ISERROR(SUM(E16:E19)),0,SUM(E16:E19))</f>
        <v>53.383379374662468</v>
      </c>
      <c r="F20" s="34"/>
      <c r="G20" s="6"/>
      <c r="H20" s="26"/>
    </row>
    <row r="21" spans="1:8" s="5" customFormat="1" ht="14.25" x14ac:dyDescent="0.3">
      <c r="A21" s="21"/>
      <c r="B21" s="22"/>
      <c r="C21" s="28"/>
      <c r="D21" s="24"/>
      <c r="E21" s="24"/>
      <c r="F21" s="24"/>
      <c r="G21" s="6"/>
      <c r="H21" s="26"/>
    </row>
    <row r="22" spans="1:8" s="5" customFormat="1" ht="14.25" x14ac:dyDescent="0.3">
      <c r="A22" s="21" t="s">
        <v>28</v>
      </c>
      <c r="B22" s="22"/>
      <c r="C22" s="28"/>
      <c r="D22" s="24"/>
      <c r="E22" s="24"/>
      <c r="F22" s="25"/>
      <c r="G22" s="6"/>
      <c r="H22" s="26"/>
    </row>
    <row r="23" spans="1:8" s="5" customFormat="1" ht="14.25" x14ac:dyDescent="0.3">
      <c r="A23" s="21" t="s">
        <v>29</v>
      </c>
      <c r="B23" s="32"/>
      <c r="C23" s="33"/>
      <c r="D23" s="29"/>
      <c r="E23" s="27"/>
      <c r="F23" s="35"/>
      <c r="G23" s="6"/>
      <c r="H23" s="26"/>
    </row>
    <row r="24" spans="1:8" s="5" customFormat="1" ht="14.25" x14ac:dyDescent="0.3">
      <c r="A24" s="31" t="s">
        <v>30</v>
      </c>
      <c r="B24" s="32" t="s">
        <v>19</v>
      </c>
      <c r="C24" s="33">
        <v>1000000</v>
      </c>
      <c r="D24" s="29">
        <v>966.51800000000003</v>
      </c>
      <c r="E24" s="29">
        <f>(+D24/$D$33*100)</f>
        <v>22.350658162696188</v>
      </c>
      <c r="F24" s="29" t="s">
        <v>31</v>
      </c>
      <c r="G24" s="6">
        <v>6.9858000000000002</v>
      </c>
      <c r="H24" s="26"/>
    </row>
    <row r="25" spans="1:8" s="5" customFormat="1" ht="14.25" x14ac:dyDescent="0.3">
      <c r="A25" s="21" t="s">
        <v>27</v>
      </c>
      <c r="B25" s="36"/>
      <c r="C25" s="37"/>
      <c r="D25" s="24">
        <f>IF(ISERROR(SUM(D24:D24)),0,SUM(D24:D24))</f>
        <v>966.51800000000003</v>
      </c>
      <c r="E25" s="24">
        <f>IF(ISERROR(SUM(E24:E24)),0,SUM(E24:E24))</f>
        <v>22.350658162696188</v>
      </c>
      <c r="F25" s="38"/>
      <c r="G25" s="6"/>
      <c r="H25" s="26"/>
    </row>
    <row r="26" spans="1:8" s="5" customFormat="1" ht="14.25" x14ac:dyDescent="0.3">
      <c r="A26" s="31" t="s">
        <v>32</v>
      </c>
      <c r="B26" s="32"/>
      <c r="C26" s="33">
        <v>0</v>
      </c>
      <c r="D26" s="29">
        <v>1865.5997398</v>
      </c>
      <c r="E26" s="29">
        <f>(+D26/$D$33*100)</f>
        <v>43.14185773331149</v>
      </c>
      <c r="F26" s="29" t="s">
        <v>33</v>
      </c>
      <c r="G26" s="6">
        <v>6.6124000000000001</v>
      </c>
      <c r="H26" s="26"/>
    </row>
    <row r="27" spans="1:8" s="5" customFormat="1" ht="14.25" x14ac:dyDescent="0.3">
      <c r="A27" s="21" t="s">
        <v>27</v>
      </c>
      <c r="B27" s="22"/>
      <c r="C27" s="28"/>
      <c r="D27" s="24">
        <f>IF(ISERROR(SUM(D26:D26)),0,SUM(D26:D26))</f>
        <v>1865.5997398</v>
      </c>
      <c r="E27" s="24">
        <f>IF(ISERROR(SUM(E26:E26)),0,SUM(E26:E26))</f>
        <v>43.14185773331149</v>
      </c>
      <c r="F27" s="29"/>
      <c r="G27" s="6"/>
      <c r="H27" s="26"/>
    </row>
    <row r="28" spans="1:8" s="5" customFormat="1" ht="14.25" x14ac:dyDescent="0.3">
      <c r="A28" s="21"/>
      <c r="B28" s="22"/>
      <c r="C28" s="28"/>
      <c r="D28" s="24"/>
      <c r="E28" s="24"/>
      <c r="F28" s="25"/>
      <c r="G28" s="6"/>
      <c r="H28" s="26"/>
    </row>
    <row r="29" spans="1:8" s="5" customFormat="1" ht="14.25" x14ac:dyDescent="0.3">
      <c r="A29" s="21" t="s">
        <v>34</v>
      </c>
      <c r="B29" s="22"/>
      <c r="C29" s="28" t="s">
        <v>35</v>
      </c>
      <c r="D29" s="24">
        <f>+IF(ISERROR(#REF!),0,#REF!)+IF(ISERROR(D27),0,D27)+IF(ISERROR(#REF!),0,#REF!)+IF(ISERROR(#REF!),0,#REF!)+IF(ISERROR(D20),0,D20)+IF(ISERROR(D25),0,D25)+IF(ISERROR(#REF!),0,#REF!)+IF(ISERROR(#REF!),0,#REF!)+IF(ISERROR(#REF!),0,#REF!)</f>
        <v>5140.5954898</v>
      </c>
      <c r="E29" s="24">
        <f>+IF(ISERROR(#REF!),0,#REF!)+IF(ISERROR(E27),0,E27)+IF(ISERROR(#REF!),0,#REF!)+IF(ISERROR(#REF!),0,#REF!)+IF(ISERROR(E20),0,E20)+IF(ISERROR(E25),0,E25)+IF(ISERROR(#REF!),0,#REF!)+IF(ISERROR(#REF!),0,#REF!)+IF(ISERROR(#REF!),0,#REF!)</f>
        <v>118.87589527067016</v>
      </c>
      <c r="F29" s="24"/>
      <c r="G29" s="6"/>
      <c r="H29" s="26"/>
    </row>
    <row r="30" spans="1:8" s="5" customFormat="1" ht="14.25" x14ac:dyDescent="0.3">
      <c r="A30" s="21"/>
      <c r="B30" s="22"/>
      <c r="C30" s="28"/>
      <c r="D30" s="24"/>
      <c r="E30" s="24"/>
      <c r="F30" s="11"/>
      <c r="G30" s="12"/>
      <c r="H30" s="13"/>
    </row>
    <row r="31" spans="1:8" s="5" customFormat="1" ht="14.25" x14ac:dyDescent="0.3">
      <c r="A31" s="21" t="s">
        <v>36</v>
      </c>
      <c r="B31" s="22"/>
      <c r="C31" s="28"/>
      <c r="D31" s="24">
        <f>+D33-D29</f>
        <v>-816.25750849999986</v>
      </c>
      <c r="E31" s="24">
        <f>D31/$D$33*100</f>
        <v>-18.875895270670149</v>
      </c>
      <c r="F31" s="11"/>
      <c r="G31" s="12"/>
      <c r="H31" s="13"/>
    </row>
    <row r="32" spans="1:8" s="5" customFormat="1" ht="14.25" x14ac:dyDescent="0.3">
      <c r="A32" s="21"/>
      <c r="B32" s="22"/>
      <c r="C32" s="28"/>
      <c r="D32" s="27"/>
      <c r="E32" s="27"/>
      <c r="F32" s="11"/>
      <c r="G32" s="12"/>
      <c r="H32" s="13"/>
    </row>
    <row r="33" spans="1:8" s="5" customFormat="1" ht="14.25" x14ac:dyDescent="0.3">
      <c r="A33" s="21" t="s">
        <v>37</v>
      </c>
      <c r="B33" s="22"/>
      <c r="C33" s="28"/>
      <c r="D33" s="24">
        <v>4324.3379813000001</v>
      </c>
      <c r="E33" s="24">
        <f>+E29+E31</f>
        <v>100</v>
      </c>
      <c r="F33" s="11"/>
      <c r="G33" s="12"/>
      <c r="H33" s="13"/>
    </row>
    <row r="34" spans="1:8" s="5" customFormat="1" ht="14.25" x14ac:dyDescent="0.3">
      <c r="A34" s="7"/>
      <c r="B34" s="8"/>
      <c r="C34" s="9"/>
      <c r="D34" s="10"/>
      <c r="E34" s="10"/>
      <c r="F34" s="11"/>
      <c r="G34" s="12"/>
      <c r="H34" s="13"/>
    </row>
    <row r="35" spans="1:8" s="5" customFormat="1" ht="14.25" x14ac:dyDescent="0.3">
      <c r="A35" s="39" t="s">
        <v>38</v>
      </c>
      <c r="B35" s="8"/>
      <c r="C35" s="9"/>
      <c r="D35" s="10"/>
      <c r="E35" s="10"/>
      <c r="F35" s="40"/>
      <c r="G35" s="12"/>
      <c r="H35" s="13"/>
    </row>
    <row r="36" spans="1:8" s="5" customFormat="1" ht="14.25" x14ac:dyDescent="0.3">
      <c r="A36" s="39"/>
      <c r="B36" s="41"/>
      <c r="C36" s="42"/>
      <c r="D36" s="43"/>
      <c r="E36" s="43"/>
      <c r="F36" s="11"/>
      <c r="G36" s="44"/>
      <c r="H36" s="44"/>
    </row>
    <row r="37" spans="1:8" s="5" customFormat="1" ht="13.5" x14ac:dyDescent="0.2">
      <c r="A37" s="45" t="s">
        <v>39</v>
      </c>
      <c r="B37" s="45"/>
      <c r="C37" s="45"/>
      <c r="D37" s="45"/>
      <c r="E37" s="45"/>
      <c r="F37" s="45"/>
      <c r="G37" s="45"/>
      <c r="H37" s="45"/>
    </row>
    <row r="38" spans="1:8" s="5" customFormat="1" ht="29.25" customHeight="1" x14ac:dyDescent="0.2">
      <c r="A38" s="45" t="s">
        <v>40</v>
      </c>
      <c r="B38" s="45"/>
      <c r="C38" s="45"/>
      <c r="D38" s="45"/>
      <c r="E38" s="45"/>
      <c r="F38" s="45"/>
      <c r="G38" s="45"/>
      <c r="H38" s="45"/>
    </row>
    <row r="39" spans="1:8" s="5" customFormat="1" ht="13.5" x14ac:dyDescent="0.2">
      <c r="A39" s="46" t="s">
        <v>41</v>
      </c>
      <c r="B39" s="47"/>
      <c r="C39" s="47"/>
      <c r="D39" s="47"/>
      <c r="E39" s="47"/>
      <c r="F39" s="47"/>
      <c r="G39" s="47"/>
      <c r="H39" s="47"/>
    </row>
    <row r="40" spans="1:8" s="5" customFormat="1" ht="65.25" customHeight="1" x14ac:dyDescent="0.2">
      <c r="A40" s="48" t="s">
        <v>42</v>
      </c>
      <c r="B40" s="48"/>
      <c r="C40" s="48"/>
      <c r="D40" s="48"/>
      <c r="E40" s="48"/>
      <c r="F40" s="48"/>
      <c r="G40" s="48"/>
      <c r="H40" s="48"/>
    </row>
    <row r="41" spans="1:8" ht="14.25" x14ac:dyDescent="0.3">
      <c r="A41" s="49"/>
      <c r="B41" s="50"/>
      <c r="C41" s="51"/>
      <c r="D41" s="52"/>
      <c r="E41" s="53"/>
      <c r="F41" s="54"/>
      <c r="G41" s="43"/>
      <c r="H41" s="43"/>
    </row>
    <row r="42" spans="1:8" ht="14.25" x14ac:dyDescent="0.3">
      <c r="A42" s="55" t="s">
        <v>43</v>
      </c>
      <c r="B42" s="56"/>
      <c r="C42" s="56"/>
      <c r="D42" s="56"/>
      <c r="E42" s="54"/>
      <c r="F42" s="54"/>
      <c r="G42" s="43"/>
      <c r="H42" s="43"/>
    </row>
    <row r="43" spans="1:8" ht="14.25" x14ac:dyDescent="0.3">
      <c r="A43" s="57" t="s">
        <v>44</v>
      </c>
      <c r="B43" s="56"/>
      <c r="C43" s="56"/>
      <c r="D43" s="56"/>
      <c r="E43" s="54"/>
      <c r="F43" s="54"/>
      <c r="G43" s="43"/>
      <c r="H43" s="43"/>
    </row>
    <row r="44" spans="1:8" ht="14.25" x14ac:dyDescent="0.3">
      <c r="A44" s="57" t="s">
        <v>45</v>
      </c>
      <c r="B44" s="56"/>
      <c r="C44" s="56"/>
      <c r="D44" s="56"/>
      <c r="E44" s="54"/>
      <c r="F44" s="54"/>
      <c r="G44" s="43"/>
      <c r="H44" s="43"/>
    </row>
    <row r="45" spans="1:8" ht="14.25" x14ac:dyDescent="0.3">
      <c r="A45" s="57" t="s">
        <v>46</v>
      </c>
      <c r="B45" s="56"/>
      <c r="C45" s="56"/>
      <c r="D45" s="56"/>
      <c r="E45" s="54"/>
      <c r="F45" s="54"/>
      <c r="G45" s="43"/>
      <c r="H45" s="43"/>
    </row>
    <row r="46" spans="1:8" ht="14.25" x14ac:dyDescent="0.3">
      <c r="A46" s="54"/>
      <c r="B46" s="54"/>
      <c r="C46" s="54"/>
      <c r="D46" s="54"/>
      <c r="E46" s="54"/>
      <c r="F46" s="54"/>
      <c r="G46" s="43"/>
      <c r="H46" s="43"/>
    </row>
    <row r="47" spans="1:8" ht="14.25" x14ac:dyDescent="0.3">
      <c r="A47" s="58" t="s">
        <v>47</v>
      </c>
      <c r="B47" s="59" t="s">
        <v>48</v>
      </c>
      <c r="C47" s="59"/>
      <c r="D47" s="59"/>
      <c r="E47" s="54"/>
      <c r="F47" s="54"/>
      <c r="G47" s="43"/>
      <c r="H47" s="43"/>
    </row>
    <row r="48" spans="1:8" ht="14.25" x14ac:dyDescent="0.3">
      <c r="A48" s="60"/>
      <c r="B48" s="56"/>
      <c r="C48" s="56"/>
      <c r="D48" s="61"/>
      <c r="E48" s="61"/>
      <c r="F48" s="61"/>
      <c r="G48" s="43"/>
      <c r="H48" s="43"/>
    </row>
    <row r="49" spans="1:8" ht="14.25" x14ac:dyDescent="0.3">
      <c r="A49" s="60"/>
      <c r="B49" s="56"/>
      <c r="C49" s="56"/>
      <c r="D49" s="61"/>
      <c r="E49" s="61"/>
      <c r="F49" s="61"/>
      <c r="G49" s="43"/>
      <c r="H49" s="43"/>
    </row>
    <row r="50" spans="1:8" ht="14.25" x14ac:dyDescent="0.3">
      <c r="A50" s="60"/>
      <c r="B50" s="56"/>
      <c r="C50" s="56"/>
      <c r="D50" s="61"/>
      <c r="E50" s="61"/>
      <c r="F50" s="61"/>
      <c r="G50" s="43"/>
      <c r="H50" s="43"/>
    </row>
    <row r="51" spans="1:8" ht="14.25" x14ac:dyDescent="0.3">
      <c r="A51" s="60"/>
      <c r="B51" s="56"/>
      <c r="C51" s="56"/>
      <c r="D51" s="61"/>
      <c r="E51" s="61"/>
      <c r="F51" s="61"/>
      <c r="G51" s="43"/>
      <c r="H51" s="43"/>
    </row>
    <row r="52" spans="1:8" ht="14.25" x14ac:dyDescent="0.3">
      <c r="A52" s="60"/>
      <c r="B52" s="56"/>
      <c r="C52" s="56"/>
      <c r="D52" s="61"/>
      <c r="E52" s="61"/>
      <c r="F52" s="61"/>
      <c r="G52" s="43"/>
      <c r="H52" s="43"/>
    </row>
    <row r="53" spans="1:8" ht="14.25" x14ac:dyDescent="0.3">
      <c r="A53" s="60"/>
      <c r="B53" s="56"/>
      <c r="C53" s="56"/>
      <c r="D53" s="61"/>
      <c r="E53" s="61"/>
      <c r="F53" s="61"/>
      <c r="G53" s="43"/>
      <c r="H53" s="43"/>
    </row>
    <row r="54" spans="1:8" ht="15" thickBot="1" x14ac:dyDescent="0.35">
      <c r="A54" s="60"/>
      <c r="B54" s="56"/>
      <c r="C54" s="56"/>
      <c r="D54" s="61"/>
      <c r="E54" s="61"/>
      <c r="F54" s="61"/>
      <c r="G54" s="43"/>
      <c r="H54" s="43"/>
    </row>
    <row r="55" spans="1:8" ht="15" thickBot="1" x14ac:dyDescent="0.35">
      <c r="A55" s="62" t="s">
        <v>49</v>
      </c>
      <c r="B55" s="63"/>
      <c r="C55" s="63"/>
      <c r="D55" s="64"/>
      <c r="E55" s="54"/>
      <c r="F55" s="54"/>
      <c r="G55" s="54"/>
      <c r="H55" s="54"/>
    </row>
    <row r="56" spans="1:8" ht="15" thickBot="1" x14ac:dyDescent="0.35">
      <c r="A56" s="65" t="s">
        <v>67</v>
      </c>
      <c r="B56" s="66" t="s">
        <v>50</v>
      </c>
      <c r="C56" s="67" t="s">
        <v>51</v>
      </c>
      <c r="D56" s="66" t="s">
        <v>52</v>
      </c>
      <c r="E56" s="54"/>
      <c r="F56" s="54"/>
      <c r="G56" s="54"/>
      <c r="H56" s="54"/>
    </row>
    <row r="57" spans="1:8" ht="15" thickBot="1" x14ac:dyDescent="0.35">
      <c r="A57" s="65" t="s">
        <v>68</v>
      </c>
      <c r="B57" s="68"/>
      <c r="C57" s="69"/>
      <c r="D57" s="68"/>
      <c r="E57" s="54"/>
      <c r="F57" s="54"/>
      <c r="G57" s="54"/>
      <c r="H57" s="54"/>
    </row>
    <row r="58" spans="1:8" ht="15" thickBot="1" x14ac:dyDescent="0.35">
      <c r="A58" s="70" t="s">
        <v>53</v>
      </c>
      <c r="B58" s="71"/>
      <c r="C58" s="71"/>
      <c r="D58" s="71"/>
      <c r="E58" s="54"/>
      <c r="F58" s="54"/>
      <c r="G58" s="54"/>
      <c r="H58" s="54"/>
    </row>
    <row r="59" spans="1:8" ht="15" thickBot="1" x14ac:dyDescent="0.35">
      <c r="A59" s="70" t="s">
        <v>54</v>
      </c>
      <c r="B59" s="71"/>
      <c r="C59" s="71"/>
      <c r="D59" s="71"/>
      <c r="E59" s="54"/>
      <c r="F59" s="54"/>
      <c r="G59" s="54"/>
      <c r="H59" s="54"/>
    </row>
    <row r="60" spans="1:8" ht="15" thickBot="1" x14ac:dyDescent="0.35">
      <c r="A60" s="70" t="s">
        <v>55</v>
      </c>
      <c r="B60" s="71"/>
      <c r="C60" s="72" t="s">
        <v>56</v>
      </c>
      <c r="D60" s="71"/>
      <c r="E60" s="54"/>
      <c r="F60" s="54"/>
      <c r="G60" s="54"/>
      <c r="H60" s="54"/>
    </row>
    <row r="61" spans="1:8" ht="14.25" x14ac:dyDescent="0.3">
      <c r="A61" s="73"/>
      <c r="B61" s="74"/>
      <c r="C61" s="16"/>
      <c r="D61" s="54"/>
      <c r="E61" s="54"/>
      <c r="F61" s="54"/>
      <c r="G61" s="54"/>
      <c r="H61" s="54"/>
    </row>
    <row r="62" spans="1:8" ht="14.25" x14ac:dyDescent="0.3">
      <c r="A62" s="75" t="s">
        <v>57</v>
      </c>
      <c r="B62" s="76"/>
      <c r="C62" s="16"/>
      <c r="D62" s="54"/>
      <c r="E62" s="54"/>
      <c r="F62" s="54"/>
      <c r="G62" s="54"/>
      <c r="H62" s="54"/>
    </row>
    <row r="63" spans="1:8" ht="27" x14ac:dyDescent="0.3">
      <c r="A63" s="77" t="s">
        <v>58</v>
      </c>
      <c r="B63" s="78" t="s">
        <v>59</v>
      </c>
      <c r="C63" s="16"/>
      <c r="D63" s="54"/>
      <c r="E63" s="54"/>
      <c r="F63" s="54"/>
      <c r="G63" s="54"/>
      <c r="H63" s="54"/>
    </row>
    <row r="64" spans="1:8" ht="14.25" x14ac:dyDescent="0.3">
      <c r="A64" s="77" t="s">
        <v>60</v>
      </c>
      <c r="B64" s="79"/>
      <c r="C64" s="16"/>
      <c r="D64" s="54"/>
      <c r="E64" s="54"/>
      <c r="F64" s="54"/>
      <c r="G64" s="54"/>
      <c r="H64" s="54"/>
    </row>
    <row r="65" spans="1:8" ht="14.25" x14ac:dyDescent="0.3">
      <c r="A65" s="77"/>
      <c r="B65" s="79"/>
      <c r="C65" s="16"/>
      <c r="D65" s="54"/>
      <c r="E65" s="54"/>
      <c r="F65" s="54"/>
      <c r="G65" s="54"/>
      <c r="H65" s="54"/>
    </row>
    <row r="66" spans="1:8" ht="14.25" x14ac:dyDescent="0.3">
      <c r="A66" s="77" t="s">
        <v>61</v>
      </c>
      <c r="B66" s="80">
        <v>7.0623850668988505E-2</v>
      </c>
      <c r="C66" s="16"/>
      <c r="D66" s="54"/>
      <c r="E66" s="54"/>
      <c r="F66" s="54"/>
      <c r="G66" s="54"/>
      <c r="H66" s="54"/>
    </row>
    <row r="67" spans="1:8" ht="14.25" x14ac:dyDescent="0.3">
      <c r="A67" s="77" t="s">
        <v>35</v>
      </c>
      <c r="B67" s="81"/>
      <c r="C67" s="16"/>
      <c r="D67" s="54"/>
      <c r="E67" s="54"/>
      <c r="F67" s="54"/>
      <c r="G67" s="54"/>
      <c r="H67" s="54"/>
    </row>
    <row r="68" spans="1:8" ht="14.25" x14ac:dyDescent="0.3">
      <c r="A68" s="77" t="s">
        <v>62</v>
      </c>
      <c r="B68" s="82">
        <v>1.8047</v>
      </c>
      <c r="C68" s="16"/>
      <c r="D68" s="54"/>
      <c r="E68" s="54"/>
      <c r="F68" s="54"/>
      <c r="G68" s="54"/>
      <c r="H68" s="54"/>
    </row>
    <row r="69" spans="1:8" ht="14.25" x14ac:dyDescent="0.3">
      <c r="A69" s="77" t="s">
        <v>63</v>
      </c>
      <c r="B69" s="83">
        <v>2.0548999999999999</v>
      </c>
      <c r="C69" s="16"/>
      <c r="D69" s="54"/>
      <c r="E69" s="54"/>
      <c r="F69" s="54"/>
      <c r="G69" s="54"/>
      <c r="H69" s="54"/>
    </row>
    <row r="70" spans="1:8" ht="14.25" x14ac:dyDescent="0.3">
      <c r="A70" s="77" t="s">
        <v>35</v>
      </c>
      <c r="B70" s="84"/>
      <c r="C70" s="16"/>
      <c r="D70" s="54"/>
      <c r="E70" s="54"/>
      <c r="F70" s="54"/>
      <c r="G70" s="54"/>
      <c r="H70" s="54"/>
    </row>
    <row r="71" spans="1:8" ht="14.25" x14ac:dyDescent="0.3">
      <c r="A71" s="77" t="s">
        <v>64</v>
      </c>
      <c r="B71" s="85" t="s">
        <v>65</v>
      </c>
      <c r="C71" s="16"/>
      <c r="D71" s="54"/>
      <c r="E71" s="54"/>
      <c r="F71" s="54"/>
      <c r="G71" s="54"/>
      <c r="H71" s="54"/>
    </row>
    <row r="72" spans="1:8" ht="14.25" x14ac:dyDescent="0.3">
      <c r="A72" s="86" t="s">
        <v>66</v>
      </c>
      <c r="B72" s="87"/>
      <c r="C72" s="16"/>
      <c r="D72" s="54"/>
      <c r="E72" s="54"/>
      <c r="F72" s="54"/>
      <c r="G72" s="54"/>
      <c r="H72" s="54"/>
    </row>
    <row r="73" spans="1:8" ht="14.25" x14ac:dyDescent="0.3">
      <c r="A73" s="14"/>
      <c r="B73" s="15"/>
      <c r="C73" s="16"/>
      <c r="D73" s="13"/>
      <c r="E73" s="17"/>
      <c r="F73" s="13"/>
      <c r="G73" s="13"/>
      <c r="H73" s="13"/>
    </row>
    <row r="74" spans="1:8" ht="14.25" x14ac:dyDescent="0.3">
      <c r="A74" s="14"/>
      <c r="B74" s="15"/>
      <c r="C74" s="16"/>
      <c r="D74" s="13"/>
      <c r="E74" s="17"/>
      <c r="F74" s="13"/>
      <c r="G74" s="13"/>
      <c r="H74" s="13"/>
    </row>
    <row r="75" spans="1:8" ht="14.25" x14ac:dyDescent="0.3">
      <c r="A75" s="14"/>
      <c r="B75" s="15"/>
      <c r="C75" s="16"/>
      <c r="D75" s="13"/>
      <c r="E75" s="17"/>
      <c r="F75" s="13"/>
      <c r="G75" s="13"/>
      <c r="H75" s="13"/>
    </row>
    <row r="76" spans="1:8" ht="14.25" x14ac:dyDescent="0.3">
      <c r="A76" s="14"/>
      <c r="B76" s="15"/>
      <c r="C76" s="16"/>
      <c r="D76" s="13"/>
      <c r="E76" s="17"/>
      <c r="F76" s="13"/>
      <c r="G76" s="13"/>
      <c r="H76" s="13"/>
    </row>
    <row r="77" spans="1:8" ht="14.25" x14ac:dyDescent="0.3">
      <c r="A77" s="14"/>
      <c r="B77" s="15"/>
      <c r="C77" s="16"/>
      <c r="D77" s="13"/>
      <c r="E77" s="17"/>
      <c r="F77" s="13"/>
      <c r="G77" s="13"/>
      <c r="H77" s="13"/>
    </row>
    <row r="78" spans="1:8" ht="14.25" x14ac:dyDescent="0.3">
      <c r="A78" s="14"/>
      <c r="B78" s="15"/>
      <c r="C78" s="16"/>
      <c r="D78" s="13"/>
      <c r="E78" s="17"/>
      <c r="F78" s="13"/>
      <c r="G78" s="13"/>
      <c r="H78" s="13"/>
    </row>
    <row r="79" spans="1:8" ht="14.25" x14ac:dyDescent="0.3">
      <c r="A79" s="14"/>
      <c r="B79" s="15"/>
      <c r="C79" s="16"/>
      <c r="D79" s="13"/>
      <c r="E79" s="17"/>
      <c r="F79" s="13"/>
      <c r="G79" s="13"/>
      <c r="H79" s="13"/>
    </row>
    <row r="80" spans="1:8" ht="14.25" x14ac:dyDescent="0.3">
      <c r="A80" s="14"/>
      <c r="B80" s="15"/>
      <c r="C80" s="16"/>
      <c r="D80" s="13"/>
      <c r="E80" s="17"/>
      <c r="F80" s="13"/>
      <c r="G80" s="13"/>
      <c r="H80" s="13"/>
    </row>
    <row r="81" spans="1:8" ht="14.25" x14ac:dyDescent="0.3">
      <c r="A81" s="14"/>
      <c r="B81" s="15"/>
      <c r="C81" s="16"/>
      <c r="D81" s="13"/>
      <c r="E81" s="17"/>
      <c r="F81" s="13"/>
      <c r="G81" s="13"/>
      <c r="H81" s="13"/>
    </row>
    <row r="82" spans="1:8" ht="14.25" x14ac:dyDescent="0.3">
      <c r="A82" s="14"/>
      <c r="B82" s="15"/>
      <c r="C82" s="16"/>
      <c r="D82" s="13"/>
      <c r="E82" s="13"/>
      <c r="F82" s="13"/>
      <c r="G82" s="13"/>
      <c r="H82" s="13"/>
    </row>
    <row r="83" spans="1:8" ht="14.25" x14ac:dyDescent="0.3">
      <c r="A83" s="14"/>
      <c r="B83" s="15"/>
      <c r="C83" s="16"/>
      <c r="D83" s="13"/>
      <c r="E83" s="13"/>
      <c r="F83" s="13"/>
      <c r="G83" s="13"/>
      <c r="H83" s="13"/>
    </row>
    <row r="84" spans="1:8" ht="14.25" x14ac:dyDescent="0.3">
      <c r="A84" s="14"/>
      <c r="B84" s="15"/>
      <c r="C84" s="16"/>
      <c r="D84" s="13"/>
      <c r="E84" s="13"/>
      <c r="F84" s="13"/>
      <c r="G84" s="13"/>
      <c r="H84" s="13"/>
    </row>
    <row r="85" spans="1:8" ht="14.25" x14ac:dyDescent="0.3">
      <c r="A85" s="14"/>
      <c r="B85" s="15"/>
      <c r="C85" s="16"/>
      <c r="D85" s="13"/>
      <c r="E85" s="13"/>
      <c r="F85" s="13"/>
      <c r="G85" s="13"/>
      <c r="H85" s="13"/>
    </row>
    <row r="86" spans="1:8" ht="14.25" x14ac:dyDescent="0.3">
      <c r="A86" s="14"/>
      <c r="B86" s="15"/>
      <c r="C86" s="16"/>
      <c r="D86" s="13"/>
      <c r="E86" s="13"/>
      <c r="F86" s="13"/>
      <c r="G86" s="13"/>
      <c r="H86" s="13"/>
    </row>
    <row r="87" spans="1:8" ht="14.25" x14ac:dyDescent="0.3">
      <c r="A87" s="14"/>
      <c r="B87" s="15"/>
      <c r="C87" s="16"/>
      <c r="D87" s="13"/>
      <c r="E87" s="13"/>
      <c r="F87" s="13"/>
      <c r="G87" s="13"/>
      <c r="H87" s="13"/>
    </row>
    <row r="88" spans="1:8" ht="14.25" x14ac:dyDescent="0.3">
      <c r="A88" s="14"/>
      <c r="B88" s="15"/>
      <c r="C88" s="16"/>
      <c r="D88" s="13"/>
      <c r="E88" s="13"/>
      <c r="F88" s="13"/>
      <c r="G88" s="13"/>
      <c r="H88" s="13"/>
    </row>
    <row r="89" spans="1:8" ht="14.25" x14ac:dyDescent="0.3">
      <c r="A89" s="14"/>
      <c r="B89" s="15"/>
      <c r="C89" s="16"/>
      <c r="D89" s="13"/>
      <c r="E89" s="13"/>
      <c r="F89" s="13"/>
      <c r="G89" s="13"/>
      <c r="H89" s="13"/>
    </row>
    <row r="90" spans="1:8" ht="14.25" x14ac:dyDescent="0.3">
      <c r="A90" s="14"/>
      <c r="B90" s="15"/>
      <c r="C90" s="16"/>
      <c r="D90" s="13"/>
      <c r="E90" s="13"/>
      <c r="F90" s="13"/>
      <c r="G90" s="13"/>
      <c r="H90" s="13"/>
    </row>
    <row r="91" spans="1:8" ht="14.25" x14ac:dyDescent="0.3">
      <c r="A91" s="14"/>
      <c r="B91" s="15"/>
      <c r="C91" s="16"/>
      <c r="D91" s="13"/>
      <c r="E91" s="13"/>
      <c r="F91" s="13"/>
      <c r="G91" s="13"/>
      <c r="H91" s="13"/>
    </row>
    <row r="92" spans="1:8" ht="14.25" x14ac:dyDescent="0.3">
      <c r="A92" s="14"/>
      <c r="B92" s="15"/>
      <c r="C92" s="16"/>
      <c r="D92" s="13"/>
      <c r="E92" s="13"/>
      <c r="F92" s="13"/>
      <c r="G92" s="13"/>
      <c r="H92" s="13"/>
    </row>
    <row r="93" spans="1:8" ht="14.25" x14ac:dyDescent="0.3">
      <c r="A93" s="14"/>
      <c r="B93" s="15"/>
      <c r="C93" s="16"/>
      <c r="D93" s="13"/>
      <c r="E93" s="13"/>
      <c r="F93" s="13"/>
      <c r="G93" s="13"/>
      <c r="H93" s="13"/>
    </row>
    <row r="94" spans="1:8" ht="14.25" x14ac:dyDescent="0.3">
      <c r="A94" s="14"/>
      <c r="B94" s="15"/>
      <c r="C94" s="16"/>
      <c r="D94" s="13"/>
      <c r="E94" s="13"/>
      <c r="F94" s="13"/>
      <c r="G94" s="13"/>
      <c r="H94" s="13"/>
    </row>
    <row r="95" spans="1:8" ht="14.25" x14ac:dyDescent="0.3">
      <c r="A95" s="14"/>
      <c r="B95" s="15"/>
      <c r="C95" s="16"/>
      <c r="D95" s="13"/>
      <c r="E95" s="13"/>
      <c r="F95" s="13"/>
      <c r="G95" s="13"/>
      <c r="H95" s="13"/>
    </row>
    <row r="96" spans="1:8" ht="14.25" x14ac:dyDescent="0.3">
      <c r="A96" s="14"/>
      <c r="B96" s="15"/>
      <c r="C96" s="16"/>
      <c r="D96" s="13"/>
      <c r="E96" s="13"/>
      <c r="F96" s="13"/>
      <c r="G96" s="13"/>
      <c r="H96" s="13"/>
    </row>
    <row r="97" spans="1:8" ht="14.25" x14ac:dyDescent="0.3">
      <c r="A97" s="14"/>
      <c r="B97" s="15"/>
      <c r="C97" s="16"/>
      <c r="D97" s="13"/>
      <c r="E97" s="13"/>
      <c r="F97" s="13"/>
      <c r="G97" s="13"/>
      <c r="H97" s="13"/>
    </row>
    <row r="98" spans="1:8" ht="14.25" x14ac:dyDescent="0.3">
      <c r="A98" s="14"/>
      <c r="B98" s="15"/>
      <c r="C98" s="16"/>
      <c r="D98" s="13"/>
      <c r="E98" s="13"/>
      <c r="F98" s="13"/>
      <c r="G98" s="13"/>
      <c r="H98" s="13"/>
    </row>
    <row r="99" spans="1:8" ht="14.25" x14ac:dyDescent="0.3">
      <c r="A99" s="14"/>
      <c r="B99" s="15"/>
      <c r="C99" s="16"/>
      <c r="D99" s="13"/>
      <c r="E99" s="13"/>
      <c r="F99" s="13"/>
      <c r="G99" s="13"/>
      <c r="H99" s="13"/>
    </row>
    <row r="100" spans="1:8" ht="14.25" x14ac:dyDescent="0.3">
      <c r="A100" s="14"/>
      <c r="B100" s="15"/>
      <c r="C100" s="16"/>
      <c r="D100" s="13"/>
      <c r="E100" s="13"/>
      <c r="F100" s="13"/>
      <c r="G100" s="13"/>
      <c r="H100" s="13"/>
    </row>
    <row r="101" spans="1:8" ht="14.25" x14ac:dyDescent="0.3">
      <c r="A101" s="14"/>
      <c r="B101" s="15"/>
      <c r="C101" s="16"/>
      <c r="D101" s="13"/>
      <c r="E101" s="13"/>
      <c r="F101" s="13"/>
      <c r="G101" s="13"/>
      <c r="H101" s="13"/>
    </row>
    <row r="102" spans="1:8" ht="14.25" x14ac:dyDescent="0.3">
      <c r="A102" s="14"/>
      <c r="B102" s="15"/>
      <c r="C102" s="16"/>
      <c r="D102" s="13"/>
      <c r="E102" s="13"/>
      <c r="F102" s="13"/>
      <c r="G102" s="13"/>
      <c r="H102" s="13"/>
    </row>
    <row r="103" spans="1:8" ht="14.25" x14ac:dyDescent="0.3">
      <c r="A103" s="14"/>
      <c r="B103" s="15"/>
      <c r="C103" s="16"/>
      <c r="D103" s="13"/>
      <c r="E103" s="13"/>
      <c r="F103" s="13"/>
      <c r="G103" s="13"/>
      <c r="H103" s="13"/>
    </row>
    <row r="104" spans="1:8" ht="14.25" x14ac:dyDescent="0.3">
      <c r="A104" s="14"/>
      <c r="B104" s="15"/>
      <c r="C104" s="16"/>
      <c r="D104" s="13"/>
      <c r="E104" s="13"/>
      <c r="F104" s="13"/>
      <c r="G104" s="13"/>
      <c r="H104" s="13"/>
    </row>
    <row r="105" spans="1:8" ht="14.25" x14ac:dyDescent="0.3">
      <c r="A105" s="14"/>
      <c r="B105" s="15"/>
      <c r="C105" s="16"/>
      <c r="D105" s="13"/>
      <c r="E105" s="13"/>
      <c r="F105" s="13"/>
      <c r="G105" s="13"/>
      <c r="H105" s="13"/>
    </row>
    <row r="106" spans="1:8" ht="14.25" x14ac:dyDescent="0.3">
      <c r="A106" s="14"/>
      <c r="B106" s="15"/>
      <c r="C106" s="16"/>
      <c r="D106" s="13"/>
      <c r="E106" s="13"/>
      <c r="F106" s="13"/>
      <c r="G106" s="13"/>
      <c r="H106" s="13"/>
    </row>
    <row r="107" spans="1:8" ht="14.25" x14ac:dyDescent="0.3">
      <c r="A107" s="14"/>
      <c r="B107" s="15"/>
      <c r="C107" s="16"/>
      <c r="D107" s="13"/>
      <c r="E107" s="13"/>
      <c r="F107" s="13"/>
      <c r="G107" s="13"/>
      <c r="H107" s="13"/>
    </row>
    <row r="108" spans="1:8" ht="14.25" x14ac:dyDescent="0.3">
      <c r="A108" s="14"/>
      <c r="B108" s="15"/>
      <c r="C108" s="16"/>
      <c r="D108" s="13"/>
      <c r="E108" s="13"/>
      <c r="F108" s="13"/>
      <c r="G108" s="13"/>
      <c r="H108" s="13"/>
    </row>
    <row r="109" spans="1:8" ht="14.25" x14ac:dyDescent="0.3">
      <c r="A109" s="14"/>
      <c r="B109" s="15"/>
      <c r="C109" s="16"/>
      <c r="D109" s="13"/>
      <c r="E109" s="13"/>
      <c r="F109" s="13"/>
      <c r="G109" s="13"/>
      <c r="H109" s="13"/>
    </row>
    <row r="110" spans="1:8" ht="14.25" x14ac:dyDescent="0.3">
      <c r="A110" s="14"/>
      <c r="B110" s="15"/>
      <c r="C110" s="16"/>
      <c r="D110" s="13"/>
      <c r="E110" s="13"/>
      <c r="F110" s="13"/>
      <c r="G110" s="13"/>
      <c r="H110" s="13"/>
    </row>
    <row r="111" spans="1:8" ht="14.25" x14ac:dyDescent="0.3">
      <c r="A111" s="14"/>
      <c r="B111" s="15"/>
      <c r="C111" s="16"/>
      <c r="D111" s="13"/>
      <c r="E111" s="13"/>
      <c r="F111" s="13"/>
      <c r="G111" s="13"/>
      <c r="H111" s="13"/>
    </row>
    <row r="112" spans="1:8" ht="14.25" x14ac:dyDescent="0.3">
      <c r="A112" s="14"/>
      <c r="B112" s="15"/>
      <c r="C112" s="16"/>
      <c r="D112" s="13"/>
      <c r="E112" s="13"/>
      <c r="F112" s="13"/>
      <c r="G112" s="13"/>
      <c r="H112" s="13"/>
    </row>
    <row r="113" spans="1:8" ht="14.25" x14ac:dyDescent="0.3">
      <c r="A113" s="14"/>
      <c r="B113" s="15"/>
      <c r="C113" s="16"/>
      <c r="D113" s="13"/>
      <c r="E113" s="13"/>
      <c r="F113" s="13"/>
      <c r="G113" s="13"/>
      <c r="H113" s="13"/>
    </row>
    <row r="114" spans="1:8" ht="14.25" x14ac:dyDescent="0.3">
      <c r="A114" s="14"/>
      <c r="B114" s="15"/>
      <c r="C114" s="16"/>
      <c r="D114" s="13"/>
      <c r="E114" s="13"/>
      <c r="F114" s="13"/>
      <c r="G114" s="13"/>
      <c r="H114" s="13"/>
    </row>
    <row r="115" spans="1:8" ht="14.25" x14ac:dyDescent="0.3">
      <c r="A115" s="14"/>
      <c r="B115" s="15"/>
      <c r="C115" s="16"/>
      <c r="D115" s="13"/>
      <c r="E115" s="13"/>
      <c r="F115" s="13"/>
      <c r="G115" s="13"/>
      <c r="H115" s="13"/>
    </row>
    <row r="116" spans="1:8" ht="14.25" x14ac:dyDescent="0.3">
      <c r="A116" s="14"/>
      <c r="B116" s="15"/>
      <c r="C116" s="16"/>
      <c r="D116" s="13"/>
      <c r="E116" s="13"/>
      <c r="F116" s="13"/>
      <c r="G116" s="13"/>
      <c r="H116" s="13"/>
    </row>
    <row r="117" spans="1:8" ht="14.25" x14ac:dyDescent="0.3">
      <c r="A117" s="14"/>
      <c r="B117" s="15"/>
      <c r="C117" s="16"/>
      <c r="D117" s="13"/>
      <c r="E117" s="13"/>
      <c r="F117" s="13"/>
      <c r="G117" s="13"/>
      <c r="H117" s="13"/>
    </row>
    <row r="118" spans="1:8" ht="14.25" x14ac:dyDescent="0.3">
      <c r="A118" s="14"/>
      <c r="B118" s="15"/>
      <c r="C118" s="16"/>
      <c r="D118" s="13"/>
      <c r="E118" s="13"/>
      <c r="F118" s="13"/>
      <c r="G118" s="13"/>
      <c r="H118" s="13"/>
    </row>
    <row r="119" spans="1:8" ht="14.25" x14ac:dyDescent="0.3">
      <c r="A119" s="14"/>
      <c r="B119" s="15"/>
      <c r="C119" s="16"/>
      <c r="D119" s="13"/>
      <c r="E119" s="13"/>
      <c r="F119" s="13"/>
      <c r="G119" s="13"/>
      <c r="H119" s="13"/>
    </row>
    <row r="120" spans="1:8" ht="14.25" x14ac:dyDescent="0.3">
      <c r="A120" s="14"/>
      <c r="B120" s="15"/>
      <c r="C120" s="16"/>
      <c r="D120" s="13"/>
      <c r="E120" s="13"/>
      <c r="F120" s="13"/>
      <c r="G120" s="13"/>
      <c r="H120" s="13"/>
    </row>
    <row r="121" spans="1:8" ht="14.25" x14ac:dyDescent="0.3">
      <c r="A121" s="14"/>
      <c r="B121" s="15"/>
      <c r="C121" s="16"/>
      <c r="D121" s="13"/>
      <c r="E121" s="13"/>
      <c r="F121" s="13"/>
      <c r="G121" s="13"/>
      <c r="H121" s="13"/>
    </row>
    <row r="122" spans="1:8" ht="14.25" x14ac:dyDescent="0.3">
      <c r="A122" s="14"/>
      <c r="B122" s="15"/>
      <c r="C122" s="16"/>
      <c r="D122" s="13"/>
      <c r="E122" s="13"/>
      <c r="F122" s="13"/>
      <c r="G122" s="13"/>
      <c r="H122" s="13"/>
    </row>
  </sheetData>
  <mergeCells count="12">
    <mergeCell ref="B47:D47"/>
    <mergeCell ref="A55:D55"/>
    <mergeCell ref="B56:B57"/>
    <mergeCell ref="C56:C57"/>
    <mergeCell ref="D56:D57"/>
    <mergeCell ref="A62:B62"/>
    <mergeCell ref="A1:H1"/>
    <mergeCell ref="A2:H2"/>
    <mergeCell ref="A37:H37"/>
    <mergeCell ref="A38:H38"/>
    <mergeCell ref="A39:H39"/>
    <mergeCell ref="A40:H4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2023-09-04T07:19:42Z</dcterms:created>
  <dcterms:modified xsi:type="dcterms:W3CDTF">2023-09-04T07:24:21Z</dcterms:modified>
</cp:coreProperties>
</file>