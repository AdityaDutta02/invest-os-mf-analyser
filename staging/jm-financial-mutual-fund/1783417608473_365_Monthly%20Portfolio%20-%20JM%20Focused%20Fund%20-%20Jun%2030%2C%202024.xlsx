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4\Monthly\Monthly sent 30.06.24\"/>
    </mc:Choice>
  </mc:AlternateContent>
  <bookViews>
    <workbookView xWindow="0" yWindow="0" windowWidth="20490" windowHeight="7770"/>
  </bookViews>
  <sheets>
    <sheet name="JM Focused Fund" sheetId="1" r:id="rId1"/>
  </sheets>
  <definedNames>
    <definedName name="_xlnm._FilterDatabase" localSheetId="0" hidden="1">'JM Focused Fund'!$A$1:$I$66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Focused Fund'!$A$1:$E$54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2" i="1" l="1"/>
</calcChain>
</file>

<file path=xl/sharedStrings.xml><?xml version="1.0" encoding="utf-8"?>
<sst xmlns="http://schemas.openxmlformats.org/spreadsheetml/2006/main" count="141" uniqueCount="120">
  <si>
    <t>JM Financial Mutual Fund</t>
  </si>
  <si>
    <t>JM Focused Fund  (An open-ended equity scheme investing in maximum of 30 stocks of large cap, mid cap and small cap companies)</t>
  </si>
  <si>
    <t>Monthly Portfolio Statement for the period ended 30.06.2024</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</si>
  <si>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</si>
  <si>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</si>
  <si>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</si>
  <si>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</si>
  <si>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</si>
  <si>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</si>
  <si>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</si>
  <si>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</si>
  <si>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</si>
  <si>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</si>
  <si>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</si>
  <si>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</si>
  <si>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</si>
  <si>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</si>
  <si>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</si>
  <si>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</si>
  <si>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JK Cement Ltd.</t>
  </si>
  <si>
    <t>Cement &amp; Cement Products</t>
  </si>
  <si>
    <t>INE823G01014</t>
  </si>
  <si>
    <t>Vedanta Ltd.</t>
  </si>
  <si>
    <t>Diversified Metals</t>
  </si>
  <si>
    <t>INE205A01025</t>
  </si>
  <si>
    <t>JSW Infrastructure Ltd.</t>
  </si>
  <si>
    <t>Transport Infrastructure</t>
  </si>
  <si>
    <t>INE880J01026</t>
  </si>
  <si>
    <t>Jubilant Foodworks Ltd.</t>
  </si>
  <si>
    <t>Leisure Services</t>
  </si>
  <si>
    <t>INE797F01020</t>
  </si>
  <si>
    <t>Larsen &amp; Toubro Ltd.</t>
  </si>
  <si>
    <t>Construction</t>
  </si>
  <si>
    <t>INE018A01030</t>
  </si>
  <si>
    <t>Trent Ltd.</t>
  </si>
  <si>
    <t>Retailing</t>
  </si>
  <si>
    <t>INE849A01020</t>
  </si>
  <si>
    <t>Tata Motors Ltd.-DVR</t>
  </si>
  <si>
    <t>Automobiles</t>
  </si>
  <si>
    <t>IN9155A01020</t>
  </si>
  <si>
    <t>Hitachi Energy India Ltd.</t>
  </si>
  <si>
    <t>Electrical Equipment</t>
  </si>
  <si>
    <t>INE07Y701011</t>
  </si>
  <si>
    <t>ICICI Bank Ltd.</t>
  </si>
  <si>
    <t>INE090A01021</t>
  </si>
  <si>
    <t>Petronet LNG Ltd.</t>
  </si>
  <si>
    <t>Gas</t>
  </si>
  <si>
    <t>INE347G01014</t>
  </si>
  <si>
    <t>InterGlobe Aviation Ltd.</t>
  </si>
  <si>
    <t>Transport Services</t>
  </si>
  <si>
    <t>INE646L01027</t>
  </si>
  <si>
    <t>Amber Enterprises India Ltd.</t>
  </si>
  <si>
    <t>Consumer Durables</t>
  </si>
  <si>
    <t>INE371P01015</t>
  </si>
  <si>
    <t>Hindustan Petroleum Corporation Ltd.</t>
  </si>
  <si>
    <t>Petroleum Products</t>
  </si>
  <si>
    <t>INE094A01015</t>
  </si>
  <si>
    <t>Schaeffler India Ltd.</t>
  </si>
  <si>
    <t>Auto Components</t>
  </si>
  <si>
    <t>INE513A01022</t>
  </si>
  <si>
    <t>SRF Ltd.</t>
  </si>
  <si>
    <t>Chemicals &amp; Petrochemicals</t>
  </si>
  <si>
    <t>INE647A01010</t>
  </si>
  <si>
    <t>Zomato Ltd.</t>
  </si>
  <si>
    <t>INE758T01015</t>
  </si>
  <si>
    <t>Honeywell Automation India Ltd.</t>
  </si>
  <si>
    <t>Industrial Manufacturing</t>
  </si>
  <si>
    <t>INE671A01010</t>
  </si>
  <si>
    <t>Mahindra &amp; Mahindra Ltd.</t>
  </si>
  <si>
    <t>INE101A01026</t>
  </si>
  <si>
    <t>Sterling and Wilson Renewable Energy Ltd.</t>
  </si>
  <si>
    <t>INE00M201021</t>
  </si>
  <si>
    <t>Deepak Fertilizers&amp; Petrochemicals Corporation Ltd</t>
  </si>
  <si>
    <t>INE501A01019</t>
  </si>
  <si>
    <t>Havells India Ltd.</t>
  </si>
  <si>
    <t>INE176B01034</t>
  </si>
  <si>
    <t>REC Ltd.</t>
  </si>
  <si>
    <t>Finance</t>
  </si>
  <si>
    <t>INE020B01018</t>
  </si>
  <si>
    <t>Hindalco Industries Ltd.</t>
  </si>
  <si>
    <t>Non - Ferrous Metals</t>
  </si>
  <si>
    <t>INE038A01020</t>
  </si>
  <si>
    <t>Poonawalla Fincorp Ltd.</t>
  </si>
  <si>
    <t>INE511C01022</t>
  </si>
  <si>
    <t>Orchid Pharma Ltd.</t>
  </si>
  <si>
    <t>Pharmaceuticals &amp; Biotechnology</t>
  </si>
  <si>
    <t>INE191A01027</t>
  </si>
  <si>
    <t>ICICI Lombard General Insurance Company Ltd.</t>
  </si>
  <si>
    <t>Insurance</t>
  </si>
  <si>
    <t>INE765G01017</t>
  </si>
  <si>
    <t>Delhivery Ltd.</t>
  </si>
  <si>
    <t>INE148O01028</t>
  </si>
  <si>
    <t>Spandana Sphoorty Financial Ltd.</t>
  </si>
  <si>
    <t>INE572J01011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</si>
  <si>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</si>
  <si>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</si>
  <si>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</si>
  <si>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</si>
  <si>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</si>
  <si>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</si>
  <si>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</si>
  <si>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</si>
  <si>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</si>
  <si>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</si>
  <si>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</si>
  <si>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</si>
  <si>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</si>
  <si>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</si>
  <si>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</si>
  <si>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</si>
  <si>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</si>
  <si>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</si>
  <si>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</si>
  <si>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</si>
  <si>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</si>
  <si>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</si>
  <si>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</si>
  <si>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</si>
  <si>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Note : The Benchmark Indices of the schenme has been revised to BSE 500 TRI with effect from June 01, 2024:</t>
  </si>
  <si>
    <t>Benchmark of the scheme -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</si>
</sst>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9">
    <xf numFmtId="0" fontId="0" fillId="0" borderId="0" xfId="0"/>
    <xf numFmtId="0" fontId="3" fillId="0" borderId="0" xfId="2" applyFont="1"/>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2" applyFont="1" applyFill="1" applyAlignment="1">
      <alignment wrapText="1"/>
    </xf>
    <xf numFmtId="0" fontId="5" fillId="0" borderId="0" xfId="2" applyFont="1" applyFill="1" applyAlignment="1">
      <alignment horizontal="left" wrapText="1"/>
    </xf>
    <xf numFmtId="165" fontId="5" fillId="0" borderId="0" xfId="5" applyNumberFormat="1" applyFont="1" applyFill="1"/>
    <xf numFmtId="0" fontId="5" fillId="0" borderId="0" xfId="2" applyFont="1" applyFill="1" applyAlignment="1">
      <alignment horizontal="right"/>
    </xf>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xf numFmtId="0" fontId="9" fillId="0" borderId="0" xfId="7" applyFont="1" applyBorder="1"/>
    <xf numFmtId="164" fontId="3" fillId="0" borderId="0" xfId="2" applyNumberFormat="1" applyFont="1" applyFill="1"/>
    <xf numFmtId="164" fontId="4" fillId="0" borderId="3" xfId="1" applyNumberFormat="1" applyFont="1" applyFill="1" applyBorder="1" applyAlignment="1">
      <alignment horizontal="right"/>
    </xf>
    <xf numFmtId="0" fontId="8" fillId="0" borderId="0" xfId="4" applyFont="1" applyBorder="1" applyAlignment="1">
      <alignment vertical="top" wrapText="1"/>
    </xf>
    <xf numFmtId="0" fontId="5" fillId="0" borderId="0" xfId="2" applyFont="1" applyAlignment="1">
      <alignment vertical="top" wrapText="1"/>
    </xf>
    <xf numFmtId="0" fontId="4" fillId="0" borderId="0" xfId="2" applyFont="1" applyFill="1" applyBorder="1" applyAlignment="1">
      <alignment horizontal="center"/>
    </xf>
    <xf numFmtId="0" fontId="2" fillId="2" borderId="1" xfId="2" applyFont="1" applyFill="1" applyBorder="1" applyAlignment="1">
      <alignment horizontal="center" vertical="center"/>
    </xf>
    <xf numFmtId="0" fontId="2" fillId="2" borderId="2" xfId="2" applyFont="1" applyFill="1" applyBorder="1" applyAlignment="1">
      <alignment horizontal="center" vertical="center" wrapText="1"/>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cellXfs>
  <cellStyles count="8">
    <cellStyle name="Comma" xfId="1" builtinId="3"/>
    <cellStyle name="Comma 4" xfId="5"/>
    <cellStyle name="Normal" xfId="0" builtinId="0"/>
    <cellStyle name="Normal 2 2 2" xfId="2"/>
    <cellStyle name="Normal 2 3 2" xfId="3"/>
    <cellStyle name="Normal 4_CR" xfId="6"/>
    <cellStyle name="Normal 4_IF" xfId="7"/>
    <cellStyle name="Normal 4_LD"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571500</xdr:colOff>
      <xdr:row>79</xdr:row>
      <xdr:rowOff>133350</xdr:rowOff>
    </xdr:from>
    <xdr:to>
      <xdr:col>0</xdr:col>
      <xdr:colOff>2838451</xdr:colOff>
      <xdr:row>82</xdr:row>
      <xdr:rowOff>114300</xdr:rowOff>
    </xdr:to>
    <xdr:sp macro="" textlink="">
      <xdr:nvSpPr>
        <xdr:cNvPr id="2" name="TextBox 1"/>
        <xdr:cNvSpPr txBox="1"/>
      </xdr:nvSpPr>
      <xdr:spPr>
        <a:xfrm>
          <a:off x="571500" y="149352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very high risk</a:t>
          </a:r>
          <a:endParaRPr lang="en-IN" sz="1100">
            <a:solidFill>
              <a:sysClr val="windowText" lastClr="000000"/>
            </a:solidFill>
          </a:endParaRPr>
        </a:p>
      </xdr:txBody>
    </xdr:sp>
    <xdr:clientData/>
  </xdr:twoCellAnchor>
  <xdr:twoCellAnchor>
    <xdr:from>
      <xdr:col>1</xdr:col>
      <xdr:colOff>209550</xdr:colOff>
      <xdr:row>79</xdr:row>
      <xdr:rowOff>161925</xdr:rowOff>
    </xdr:from>
    <xdr:to>
      <xdr:col>2</xdr:col>
      <xdr:colOff>647701</xdr:colOff>
      <xdr:row>82</xdr:row>
      <xdr:rowOff>142875</xdr:rowOff>
    </xdr:to>
    <xdr:sp macro="" textlink="">
      <xdr:nvSpPr>
        <xdr:cNvPr id="3" name="TextBox 2"/>
        <xdr:cNvSpPr txBox="1"/>
      </xdr:nvSpPr>
      <xdr:spPr>
        <a:xfrm>
          <a:off x="3333750" y="15163800"/>
          <a:ext cx="240030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very high risk</a:t>
          </a:r>
          <a:endParaRPr lang="en-IN" sz="1100">
            <a:solidFill>
              <a:sysClr val="windowText" lastClr="000000"/>
            </a:solidFill>
          </a:endParaRPr>
        </a:p>
      </xdr:txBody>
    </xdr:sp>
    <xdr:clientData/>
  </xdr:twoCellAnchor>
  <xdr:twoCellAnchor editAs="oneCell">
    <xdr:from>
      <xdr:col>0</xdr:col>
      <xdr:colOff>704850</xdr:colOff>
      <xdr:row>74</xdr:row>
      <xdr:rowOff>9525</xdr:rowOff>
    </xdr:from>
    <xdr:to>
      <xdr:col>0</xdr:col>
      <xdr:colOff>2705100</xdr:colOff>
      <xdr:row>80</xdr:row>
      <xdr:rowOff>0</xdr:rowOff>
    </xdr:to>
    <xdr:pic>
      <xdr:nvPicPr>
        <xdr:cNvPr id="4"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4850" y="14106525"/>
          <a:ext cx="20002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390525</xdr:colOff>
      <xdr:row>74</xdr:row>
      <xdr:rowOff>47625</xdr:rowOff>
    </xdr:from>
    <xdr:to>
      <xdr:col>2</xdr:col>
      <xdr:colOff>504825</xdr:colOff>
      <xdr:row>80</xdr:row>
      <xdr:rowOff>38100</xdr:rowOff>
    </xdr:to>
    <xdr:pic>
      <xdr:nvPicPr>
        <xdr:cNvPr id="5"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14725" y="14144625"/>
          <a:ext cx="207645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indexed="11"/>
    <pageSetUpPr fitToPage="1"/>
  </sheetPr>
  <dimension ref="A1:J84"/>
  <sheetViews>
    <sheetView tabSelected="1" zoomScaleNormal="100" workbookViewId="0">
      <selection sqref="A1:H1"/>
    </sheetView>
  </sheetViews>
  <sheetFormatPr defaultRowHeight="12.75" x14ac:dyDescent="0.2"/>
  <cols>
    <col min="1" max="1" width="46.85546875" style="45" customWidth="1"/>
    <col min="2" max="2" width="29.42578125" style="46" customWidth="1"/>
    <col min="3" max="3" width="13.42578125" style="47" customWidth="1"/>
    <col min="4" max="4" width="14" style="1" customWidth="1"/>
    <col min="5" max="5" width="11.140625" style="1" customWidth="1"/>
    <col min="6" max="6" width="15.28515625" style="1" customWidth="1"/>
    <col min="7" max="7" width="9.5703125" style="1" bestFit="1" customWidth="1"/>
    <col min="8" max="8" width="12.28515625" style="1" customWidth="1"/>
    <col min="9" max="16384" width="9.140625" style="1"/>
  </cols>
  <sheetData>
    <row r="1" spans="1:10" x14ac:dyDescent="0.2">
      <c r="A1" s="54" t="s">
        <v>0</v>
      </c>
      <c r="B1" s="54"/>
      <c r="C1" s="54"/>
      <c r="D1" s="54"/>
      <c r="E1" s="54"/>
      <c r="F1" s="54"/>
      <c r="G1" s="54"/>
      <c r="H1" s="54"/>
    </row>
    <row r="2" spans="1:10" x14ac:dyDescent="0.2">
      <c r="A2" s="54" t="s">
        <v>1</v>
      </c>
      <c r="B2" s="54"/>
      <c r="C2" s="54"/>
      <c r="D2" s="54"/>
      <c r="E2" s="54"/>
      <c r="F2" s="54"/>
      <c r="G2" s="54"/>
      <c r="H2" s="54"/>
    </row>
    <row r="3" spans="1:10" x14ac:dyDescent="0.2">
      <c r="A3" s="55" t="s">
        <v>2</v>
      </c>
      <c r="B3" s="55"/>
      <c r="C3" s="55"/>
      <c r="D3" s="55"/>
      <c r="E3" s="55"/>
      <c r="F3" s="55"/>
      <c r="G3" s="55"/>
      <c r="H3" s="55"/>
    </row>
    <row r="4" spans="1:10" s="4" customFormat="1" ht="25.5" x14ac:dyDescent="0.2">
      <c r="A4" s="2" t="s">
        <v>3</v>
      </c>
      <c r="B4" s="2" t="s">
        <v>4</v>
      </c>
      <c r="C4" s="3" t="s">
        <v>5</v>
      </c>
      <c r="D4" s="2" t="s">
        <v>6</v>
      </c>
      <c r="E4" s="2" t="s">
        <v>7</v>
      </c>
      <c r="F4" s="2" t="s">
        <v>8</v>
      </c>
      <c r="G4" s="2" t="s">
        <v>9</v>
      </c>
      <c r="H4" s="2" t="s">
        <v>10</v>
      </c>
    </row>
    <row r="5" spans="1:10" ht="14.25" x14ac:dyDescent="0.3">
      <c r="A5" s="5" t="s">
        <v>11</v>
      </c>
      <c r="B5" s="6"/>
      <c r="C5" s="7"/>
      <c r="D5" s="8"/>
      <c r="E5" s="8"/>
      <c r="F5" s="9"/>
      <c r="G5" s="10"/>
      <c r="H5" s="11"/>
    </row>
    <row r="6" spans="1:10" ht="14.25" x14ac:dyDescent="0.3">
      <c r="A6" s="12" t="s">
        <v>12</v>
      </c>
      <c r="B6" s="6"/>
      <c r="C6" s="7"/>
      <c r="D6" s="8"/>
      <c r="E6" s="8"/>
      <c r="F6" s="9"/>
      <c r="G6" s="10"/>
      <c r="H6" s="11"/>
    </row>
    <row r="7" spans="1:10" s="17" customFormat="1" ht="14.25" x14ac:dyDescent="0.3">
      <c r="A7" s="13" t="s">
        <v>13</v>
      </c>
      <c r="B7" s="14" t="s">
        <v>14</v>
      </c>
      <c r="C7" s="15">
        <v>55000</v>
      </c>
      <c r="D7" s="16">
        <v>926.09</v>
      </c>
      <c r="E7" s="16">
        <v>7</v>
      </c>
      <c r="F7" s="16" t="s">
        <v>15</v>
      </c>
      <c r="G7" s="11"/>
      <c r="H7" s="11"/>
      <c r="I7" s="49"/>
      <c r="J7" s="49"/>
    </row>
    <row r="8" spans="1:10" s="17" customFormat="1" ht="14.25" x14ac:dyDescent="0.3">
      <c r="A8" s="13" t="s">
        <v>16</v>
      </c>
      <c r="B8" s="14" t="s">
        <v>17</v>
      </c>
      <c r="C8" s="15">
        <v>45610</v>
      </c>
      <c r="D8" s="16">
        <v>714.59</v>
      </c>
      <c r="E8" s="16">
        <v>5.4</v>
      </c>
      <c r="F8" s="16" t="s">
        <v>18</v>
      </c>
      <c r="G8" s="11"/>
      <c r="H8" s="18"/>
      <c r="I8" s="49"/>
      <c r="J8" s="49"/>
    </row>
    <row r="9" spans="1:10" s="17" customFormat="1" ht="14.25" x14ac:dyDescent="0.3">
      <c r="A9" s="13" t="s">
        <v>19</v>
      </c>
      <c r="B9" s="14" t="s">
        <v>20</v>
      </c>
      <c r="C9" s="15">
        <v>12000</v>
      </c>
      <c r="D9" s="16">
        <v>526.67999999999995</v>
      </c>
      <c r="E9" s="16">
        <v>3.98</v>
      </c>
      <c r="F9" s="16" t="s">
        <v>21</v>
      </c>
      <c r="G9" s="11"/>
      <c r="H9" s="18"/>
      <c r="I9" s="49"/>
      <c r="J9" s="49"/>
    </row>
    <row r="10" spans="1:10" s="17" customFormat="1" ht="14.25" x14ac:dyDescent="0.3">
      <c r="A10" s="13" t="s">
        <v>22</v>
      </c>
      <c r="B10" s="14" t="s">
        <v>23</v>
      </c>
      <c r="C10" s="15">
        <v>110000</v>
      </c>
      <c r="D10" s="16">
        <v>499.4</v>
      </c>
      <c r="E10" s="16">
        <v>3.77</v>
      </c>
      <c r="F10" s="16" t="s">
        <v>24</v>
      </c>
      <c r="G10" s="11"/>
      <c r="H10" s="10"/>
      <c r="I10" s="49"/>
      <c r="J10" s="49"/>
    </row>
    <row r="11" spans="1:10" s="17" customFormat="1" ht="14.25" x14ac:dyDescent="0.3">
      <c r="A11" s="13" t="s">
        <v>25</v>
      </c>
      <c r="B11" s="14" t="s">
        <v>26</v>
      </c>
      <c r="C11" s="15">
        <v>152000</v>
      </c>
      <c r="D11" s="16">
        <v>499.17</v>
      </c>
      <c r="E11" s="16">
        <v>3.77</v>
      </c>
      <c r="F11" s="16" t="s">
        <v>27</v>
      </c>
      <c r="G11" s="11"/>
      <c r="H11" s="10"/>
      <c r="I11" s="49"/>
      <c r="J11" s="49"/>
    </row>
    <row r="12" spans="1:10" s="17" customFormat="1" ht="14.25" x14ac:dyDescent="0.3">
      <c r="A12" s="13" t="s">
        <v>28</v>
      </c>
      <c r="B12" s="14" t="s">
        <v>29</v>
      </c>
      <c r="C12" s="15">
        <v>88000</v>
      </c>
      <c r="D12" s="16">
        <v>495.66</v>
      </c>
      <c r="E12" s="16">
        <v>3.74</v>
      </c>
      <c r="F12" s="16" t="s">
        <v>30</v>
      </c>
      <c r="G12" s="11"/>
      <c r="H12" s="10"/>
      <c r="I12" s="49"/>
      <c r="J12" s="49"/>
    </row>
    <row r="13" spans="1:10" s="17" customFormat="1" ht="14.25" x14ac:dyDescent="0.3">
      <c r="A13" s="13" t="s">
        <v>31</v>
      </c>
      <c r="B13" s="14" t="s">
        <v>32</v>
      </c>
      <c r="C13" s="15">
        <v>13500</v>
      </c>
      <c r="D13" s="16">
        <v>479.04</v>
      </c>
      <c r="E13" s="16">
        <v>3.62</v>
      </c>
      <c r="F13" s="16" t="s">
        <v>33</v>
      </c>
      <c r="G13" s="11"/>
      <c r="H13" s="10"/>
      <c r="I13" s="49"/>
      <c r="J13" s="49"/>
    </row>
    <row r="14" spans="1:10" s="17" customFormat="1" ht="14.25" x14ac:dyDescent="0.3">
      <c r="A14" s="13" t="s">
        <v>34</v>
      </c>
      <c r="B14" s="14" t="s">
        <v>35</v>
      </c>
      <c r="C14" s="15">
        <v>8609</v>
      </c>
      <c r="D14" s="16">
        <v>471.76</v>
      </c>
      <c r="E14" s="16">
        <v>3.56</v>
      </c>
      <c r="F14" s="16" t="s">
        <v>36</v>
      </c>
      <c r="G14" s="11"/>
      <c r="H14" s="10"/>
      <c r="I14" s="49"/>
      <c r="J14" s="49"/>
    </row>
    <row r="15" spans="1:10" s="17" customFormat="1" ht="14.25" x14ac:dyDescent="0.3">
      <c r="A15" s="13" t="s">
        <v>37</v>
      </c>
      <c r="B15" s="14" t="s">
        <v>38</v>
      </c>
      <c r="C15" s="15">
        <v>70000</v>
      </c>
      <c r="D15" s="16">
        <v>465.92</v>
      </c>
      <c r="E15" s="16">
        <v>3.52</v>
      </c>
      <c r="F15" s="16" t="s">
        <v>39</v>
      </c>
      <c r="G15" s="11"/>
      <c r="H15" s="10"/>
      <c r="I15" s="49"/>
      <c r="J15" s="49"/>
    </row>
    <row r="16" spans="1:10" s="17" customFormat="1" ht="14.25" x14ac:dyDescent="0.3">
      <c r="A16" s="13" t="s">
        <v>40</v>
      </c>
      <c r="B16" s="14" t="s">
        <v>41</v>
      </c>
      <c r="C16" s="15">
        <v>3550</v>
      </c>
      <c r="D16" s="16">
        <v>458.36</v>
      </c>
      <c r="E16" s="16">
        <v>3.46</v>
      </c>
      <c r="F16" s="16" t="s">
        <v>42</v>
      </c>
      <c r="G16" s="11"/>
      <c r="H16" s="10"/>
      <c r="I16" s="49"/>
      <c r="J16" s="49"/>
    </row>
    <row r="17" spans="1:10" s="17" customFormat="1" ht="14.25" x14ac:dyDescent="0.3">
      <c r="A17" s="13" t="s">
        <v>43</v>
      </c>
      <c r="B17" s="14" t="s">
        <v>14</v>
      </c>
      <c r="C17" s="15">
        <v>38000</v>
      </c>
      <c r="D17" s="16">
        <v>455.85</v>
      </c>
      <c r="E17" s="16">
        <v>3.44</v>
      </c>
      <c r="F17" s="16" t="s">
        <v>44</v>
      </c>
      <c r="G17" s="11"/>
      <c r="H17" s="11"/>
      <c r="I17" s="49"/>
      <c r="J17" s="49"/>
    </row>
    <row r="18" spans="1:10" s="17" customFormat="1" ht="14.25" x14ac:dyDescent="0.3">
      <c r="A18" s="13" t="s">
        <v>45</v>
      </c>
      <c r="B18" s="14" t="s">
        <v>46</v>
      </c>
      <c r="C18" s="15">
        <v>130000</v>
      </c>
      <c r="D18" s="16">
        <v>429.33</v>
      </c>
      <c r="E18" s="16">
        <v>3.24</v>
      </c>
      <c r="F18" s="16" t="s">
        <v>47</v>
      </c>
      <c r="G18" s="11"/>
      <c r="H18" s="10"/>
      <c r="I18" s="49"/>
      <c r="J18" s="49"/>
    </row>
    <row r="19" spans="1:10" s="17" customFormat="1" ht="14.25" x14ac:dyDescent="0.3">
      <c r="A19" s="13" t="s">
        <v>48</v>
      </c>
      <c r="B19" s="14" t="s">
        <v>49</v>
      </c>
      <c r="C19" s="15">
        <v>10000</v>
      </c>
      <c r="D19" s="16">
        <v>422.83</v>
      </c>
      <c r="E19" s="16">
        <v>3.19</v>
      </c>
      <c r="F19" s="16" t="s">
        <v>50</v>
      </c>
      <c r="G19" s="11"/>
      <c r="H19" s="18"/>
      <c r="I19" s="49"/>
      <c r="J19" s="49"/>
    </row>
    <row r="20" spans="1:10" s="17" customFormat="1" ht="14.25" x14ac:dyDescent="0.3">
      <c r="A20" s="13" t="s">
        <v>51</v>
      </c>
      <c r="B20" s="14" t="s">
        <v>52</v>
      </c>
      <c r="C20" s="15">
        <v>9200</v>
      </c>
      <c r="D20" s="16">
        <v>416</v>
      </c>
      <c r="E20" s="16">
        <v>3.14</v>
      </c>
      <c r="F20" s="16" t="s">
        <v>53</v>
      </c>
      <c r="G20" s="11"/>
      <c r="H20" s="11"/>
      <c r="I20" s="49"/>
      <c r="J20" s="49"/>
    </row>
    <row r="21" spans="1:10" s="17" customFormat="1" ht="14.25" x14ac:dyDescent="0.3">
      <c r="A21" s="13" t="s">
        <v>54</v>
      </c>
      <c r="B21" s="14" t="s">
        <v>55</v>
      </c>
      <c r="C21" s="15">
        <v>124500</v>
      </c>
      <c r="D21" s="16">
        <v>413.46</v>
      </c>
      <c r="E21" s="16">
        <v>3.12</v>
      </c>
      <c r="F21" s="16" t="s">
        <v>56</v>
      </c>
      <c r="G21" s="11"/>
      <c r="H21" s="11"/>
      <c r="I21" s="49"/>
      <c r="J21" s="49"/>
    </row>
    <row r="22" spans="1:10" s="17" customFormat="1" ht="14.25" x14ac:dyDescent="0.3">
      <c r="A22" s="13" t="s">
        <v>57</v>
      </c>
      <c r="B22" s="14" t="s">
        <v>58</v>
      </c>
      <c r="C22" s="15">
        <v>8700</v>
      </c>
      <c r="D22" s="16">
        <v>412.42</v>
      </c>
      <c r="E22" s="16">
        <v>3.12</v>
      </c>
      <c r="F22" s="16" t="s">
        <v>59</v>
      </c>
      <c r="G22" s="11"/>
      <c r="H22" s="10"/>
      <c r="I22" s="49"/>
      <c r="J22" s="49"/>
    </row>
    <row r="23" spans="1:10" s="17" customFormat="1" ht="14.25" x14ac:dyDescent="0.3">
      <c r="A23" s="13" t="s">
        <v>60</v>
      </c>
      <c r="B23" s="14" t="s">
        <v>61</v>
      </c>
      <c r="C23" s="15">
        <v>16729</v>
      </c>
      <c r="D23" s="16">
        <v>407.53</v>
      </c>
      <c r="E23" s="16">
        <v>3.08</v>
      </c>
      <c r="F23" s="16" t="s">
        <v>62</v>
      </c>
      <c r="G23" s="11"/>
      <c r="H23" s="10"/>
      <c r="I23" s="49"/>
      <c r="J23" s="49"/>
    </row>
    <row r="24" spans="1:10" s="17" customFormat="1" ht="14.25" x14ac:dyDescent="0.3">
      <c r="A24" s="13" t="s">
        <v>63</v>
      </c>
      <c r="B24" s="14" t="s">
        <v>35</v>
      </c>
      <c r="C24" s="15">
        <v>200000</v>
      </c>
      <c r="D24" s="16">
        <v>401.12</v>
      </c>
      <c r="E24" s="16">
        <v>3.03</v>
      </c>
      <c r="F24" s="16" t="s">
        <v>64</v>
      </c>
      <c r="G24" s="11"/>
      <c r="H24" s="10"/>
      <c r="I24" s="49"/>
      <c r="J24" s="49"/>
    </row>
    <row r="25" spans="1:10" s="17" customFormat="1" ht="14.25" x14ac:dyDescent="0.3">
      <c r="A25" s="13" t="s">
        <v>65</v>
      </c>
      <c r="B25" s="14" t="s">
        <v>66</v>
      </c>
      <c r="C25" s="15">
        <v>700</v>
      </c>
      <c r="D25" s="16">
        <v>396.98</v>
      </c>
      <c r="E25" s="16">
        <v>3</v>
      </c>
      <c r="F25" s="16" t="s">
        <v>67</v>
      </c>
      <c r="G25" s="11"/>
      <c r="H25" s="11"/>
      <c r="I25" s="49"/>
      <c r="J25" s="49"/>
    </row>
    <row r="26" spans="1:10" s="17" customFormat="1" ht="14.25" x14ac:dyDescent="0.3">
      <c r="A26" s="13" t="s">
        <v>68</v>
      </c>
      <c r="B26" s="14" t="s">
        <v>38</v>
      </c>
      <c r="C26" s="15">
        <v>13600</v>
      </c>
      <c r="D26" s="16">
        <v>389.86</v>
      </c>
      <c r="E26" s="16">
        <v>2.95</v>
      </c>
      <c r="F26" s="16" t="s">
        <v>69</v>
      </c>
      <c r="G26" s="11"/>
      <c r="H26" s="10"/>
      <c r="I26" s="49"/>
      <c r="J26" s="49"/>
    </row>
    <row r="27" spans="1:10" s="17" customFormat="1" ht="14.25" x14ac:dyDescent="0.3">
      <c r="A27" s="13" t="s">
        <v>70</v>
      </c>
      <c r="B27" s="14" t="s">
        <v>32</v>
      </c>
      <c r="C27" s="15">
        <v>53500</v>
      </c>
      <c r="D27" s="16">
        <v>381.67</v>
      </c>
      <c r="E27" s="16">
        <v>2.88</v>
      </c>
      <c r="F27" s="16" t="s">
        <v>71</v>
      </c>
      <c r="G27" s="11"/>
      <c r="H27" s="10"/>
      <c r="I27" s="49"/>
      <c r="J27" s="49"/>
    </row>
    <row r="28" spans="1:10" s="17" customFormat="1" ht="14.25" x14ac:dyDescent="0.3">
      <c r="A28" s="13" t="s">
        <v>72</v>
      </c>
      <c r="B28" s="14" t="s">
        <v>61</v>
      </c>
      <c r="C28" s="15">
        <v>56000</v>
      </c>
      <c r="D28" s="16">
        <v>379.23</v>
      </c>
      <c r="E28" s="16">
        <v>2.87</v>
      </c>
      <c r="F28" s="16" t="s">
        <v>73</v>
      </c>
      <c r="G28" s="11"/>
      <c r="H28" s="11"/>
      <c r="I28" s="49"/>
      <c r="J28" s="49"/>
    </row>
    <row r="29" spans="1:10" s="17" customFormat="1" ht="14.25" x14ac:dyDescent="0.3">
      <c r="A29" s="13" t="s">
        <v>74</v>
      </c>
      <c r="B29" s="14" t="s">
        <v>52</v>
      </c>
      <c r="C29" s="15">
        <v>20197</v>
      </c>
      <c r="D29" s="16">
        <v>368.07</v>
      </c>
      <c r="E29" s="16">
        <v>2.78</v>
      </c>
      <c r="F29" s="16" t="s">
        <v>75</v>
      </c>
      <c r="G29" s="11"/>
      <c r="H29" s="11"/>
      <c r="I29" s="49"/>
      <c r="J29" s="49"/>
    </row>
    <row r="30" spans="1:10" s="17" customFormat="1" ht="14.25" x14ac:dyDescent="0.3">
      <c r="A30" s="13" t="s">
        <v>76</v>
      </c>
      <c r="B30" s="14" t="s">
        <v>77</v>
      </c>
      <c r="C30" s="15">
        <v>68000</v>
      </c>
      <c r="D30" s="16">
        <v>357.27</v>
      </c>
      <c r="E30" s="16">
        <v>2.7</v>
      </c>
      <c r="F30" s="16" t="s">
        <v>78</v>
      </c>
      <c r="G30" s="11"/>
      <c r="H30" s="10"/>
      <c r="I30" s="49"/>
      <c r="J30" s="49"/>
    </row>
    <row r="31" spans="1:10" s="17" customFormat="1" ht="14.25" x14ac:dyDescent="0.3">
      <c r="A31" s="13" t="s">
        <v>79</v>
      </c>
      <c r="B31" s="14" t="s">
        <v>80</v>
      </c>
      <c r="C31" s="15">
        <v>50000</v>
      </c>
      <c r="D31" s="16">
        <v>346.78</v>
      </c>
      <c r="E31" s="16">
        <v>2.62</v>
      </c>
      <c r="F31" s="16" t="s">
        <v>81</v>
      </c>
      <c r="G31" s="11"/>
      <c r="H31" s="11"/>
      <c r="I31" s="49"/>
      <c r="J31" s="49"/>
    </row>
    <row r="32" spans="1:10" s="17" customFormat="1" ht="14.25" x14ac:dyDescent="0.3">
      <c r="A32" s="13" t="s">
        <v>82</v>
      </c>
      <c r="B32" s="14" t="s">
        <v>77</v>
      </c>
      <c r="C32" s="15">
        <v>81146</v>
      </c>
      <c r="D32" s="16">
        <v>331.97</v>
      </c>
      <c r="E32" s="16">
        <v>2.5099999999999998</v>
      </c>
      <c r="F32" s="16" t="s">
        <v>83</v>
      </c>
      <c r="G32" s="11"/>
      <c r="H32" s="10"/>
      <c r="I32" s="49"/>
      <c r="J32" s="49"/>
    </row>
    <row r="33" spans="1:10" s="17" customFormat="1" ht="14.25" x14ac:dyDescent="0.3">
      <c r="A33" s="13" t="s">
        <v>84</v>
      </c>
      <c r="B33" s="14" t="s">
        <v>85</v>
      </c>
      <c r="C33" s="15">
        <v>28500</v>
      </c>
      <c r="D33" s="16">
        <v>324.60000000000002</v>
      </c>
      <c r="E33" s="16">
        <v>2.4500000000000002</v>
      </c>
      <c r="F33" s="16" t="s">
        <v>86</v>
      </c>
      <c r="G33" s="11"/>
      <c r="H33" s="10"/>
      <c r="I33" s="49"/>
      <c r="J33" s="49"/>
    </row>
    <row r="34" spans="1:10" s="17" customFormat="1" ht="14.25" x14ac:dyDescent="0.3">
      <c r="A34" s="13" t="s">
        <v>87</v>
      </c>
      <c r="B34" s="14" t="s">
        <v>88</v>
      </c>
      <c r="C34" s="15">
        <v>18000</v>
      </c>
      <c r="D34" s="16">
        <v>322.12</v>
      </c>
      <c r="E34" s="16">
        <v>2.4300000000000002</v>
      </c>
      <c r="F34" s="16" t="s">
        <v>89</v>
      </c>
      <c r="G34" s="11"/>
      <c r="H34" s="11"/>
      <c r="I34" s="49"/>
      <c r="J34" s="49"/>
    </row>
    <row r="35" spans="1:10" s="17" customFormat="1" ht="14.25" x14ac:dyDescent="0.3">
      <c r="A35" s="13" t="s">
        <v>90</v>
      </c>
      <c r="B35" s="14" t="s">
        <v>49</v>
      </c>
      <c r="C35" s="15">
        <v>75500</v>
      </c>
      <c r="D35" s="16">
        <v>302.11</v>
      </c>
      <c r="E35" s="16">
        <v>2.2799999999999998</v>
      </c>
      <c r="F35" s="16" t="s">
        <v>91</v>
      </c>
      <c r="G35" s="11"/>
      <c r="H35" s="11"/>
      <c r="I35" s="49"/>
      <c r="J35" s="49"/>
    </row>
    <row r="36" spans="1:10" s="17" customFormat="1" ht="14.25" x14ac:dyDescent="0.3">
      <c r="A36" s="13" t="s">
        <v>92</v>
      </c>
      <c r="B36" s="14" t="s">
        <v>77</v>
      </c>
      <c r="C36" s="15">
        <v>39586</v>
      </c>
      <c r="D36" s="16">
        <v>279.62</v>
      </c>
      <c r="E36" s="16">
        <v>2.11</v>
      </c>
      <c r="F36" s="16" t="s">
        <v>93</v>
      </c>
      <c r="G36" s="11"/>
      <c r="H36" s="10"/>
      <c r="I36" s="49"/>
      <c r="J36" s="49"/>
    </row>
    <row r="37" spans="1:10" s="17" customFormat="1" ht="14.25" x14ac:dyDescent="0.3">
      <c r="A37" s="12" t="s">
        <v>94</v>
      </c>
      <c r="B37" s="14"/>
      <c r="C37" s="15"/>
      <c r="D37" s="19">
        <v>13075.490000000003</v>
      </c>
      <c r="E37" s="19">
        <v>98.760000000000019</v>
      </c>
      <c r="F37" s="19"/>
      <c r="G37" s="11"/>
      <c r="H37" s="10"/>
    </row>
    <row r="38" spans="1:10" s="17" customFormat="1" ht="14.25" x14ac:dyDescent="0.3">
      <c r="A38" s="12"/>
      <c r="B38" s="12"/>
      <c r="C38" s="20"/>
      <c r="D38" s="21"/>
      <c r="E38" s="21"/>
      <c r="F38" s="21"/>
      <c r="G38" s="11"/>
      <c r="H38" s="10"/>
    </row>
    <row r="39" spans="1:10" s="17" customFormat="1" ht="14.25" x14ac:dyDescent="0.3">
      <c r="A39" s="12" t="s">
        <v>95</v>
      </c>
      <c r="B39" s="12"/>
      <c r="C39" s="20"/>
      <c r="D39" s="22" t="s">
        <v>96</v>
      </c>
      <c r="E39" s="22" t="s">
        <v>96</v>
      </c>
      <c r="F39" s="22"/>
      <c r="G39" s="11"/>
      <c r="H39" s="10"/>
    </row>
    <row r="40" spans="1:10" s="17" customFormat="1" ht="14.25" x14ac:dyDescent="0.3">
      <c r="A40" s="12"/>
      <c r="B40" s="5"/>
      <c r="C40" s="20"/>
      <c r="D40" s="22"/>
      <c r="E40" s="22"/>
      <c r="F40" s="23"/>
      <c r="G40" s="11"/>
      <c r="H40" s="10"/>
    </row>
    <row r="41" spans="1:10" s="17" customFormat="1" ht="14.25" x14ac:dyDescent="0.3">
      <c r="A41" s="12" t="s">
        <v>97</v>
      </c>
      <c r="B41" s="12"/>
      <c r="C41" s="20"/>
      <c r="D41" s="19">
        <v>13075.49</v>
      </c>
      <c r="E41" s="19">
        <v>98.760000000000019</v>
      </c>
      <c r="F41" s="24"/>
      <c r="G41" s="11"/>
      <c r="H41" s="10"/>
    </row>
    <row r="42" spans="1:10" s="17" customFormat="1" ht="14.25" x14ac:dyDescent="0.3">
      <c r="A42" s="12"/>
      <c r="B42" s="5"/>
      <c r="C42" s="20"/>
      <c r="D42" s="22"/>
      <c r="E42" s="22"/>
      <c r="F42" s="23"/>
      <c r="G42" s="11"/>
      <c r="H42" s="10"/>
    </row>
    <row r="43" spans="1:10" s="17" customFormat="1" ht="14.25" x14ac:dyDescent="0.3">
      <c r="A43" s="12" t="s">
        <v>98</v>
      </c>
      <c r="B43" s="5"/>
      <c r="C43" s="20"/>
      <c r="D43" s="22"/>
      <c r="E43" s="22"/>
      <c r="F43" s="23"/>
      <c r="G43" s="11"/>
      <c r="H43" s="10"/>
    </row>
    <row r="44" spans="1:10" s="17" customFormat="1" ht="14.25" x14ac:dyDescent="0.3">
      <c r="A44" s="12" t="s">
        <v>12</v>
      </c>
      <c r="B44" s="5"/>
      <c r="C44" s="20"/>
      <c r="D44" s="22" t="s">
        <v>96</v>
      </c>
      <c r="E44" s="22" t="s">
        <v>96</v>
      </c>
      <c r="F44" s="25"/>
      <c r="G44" s="11"/>
      <c r="H44" s="10"/>
    </row>
    <row r="45" spans="1:10" s="17" customFormat="1" ht="14.25" x14ac:dyDescent="0.3">
      <c r="A45" s="12"/>
      <c r="B45" s="5"/>
      <c r="C45" s="26"/>
      <c r="D45" s="25"/>
      <c r="E45" s="25"/>
      <c r="F45" s="25"/>
      <c r="G45" s="11"/>
      <c r="H45" s="10"/>
    </row>
    <row r="46" spans="1:10" s="17" customFormat="1" ht="14.25" x14ac:dyDescent="0.3">
      <c r="A46" s="12" t="s">
        <v>99</v>
      </c>
      <c r="B46" s="5"/>
      <c r="C46" s="26"/>
      <c r="D46" s="22" t="s">
        <v>96</v>
      </c>
      <c r="E46" s="22" t="s">
        <v>96</v>
      </c>
      <c r="F46" s="23"/>
      <c r="G46" s="11"/>
      <c r="H46" s="10"/>
    </row>
    <row r="47" spans="1:10" s="17" customFormat="1" ht="14.25" x14ac:dyDescent="0.3">
      <c r="A47" s="12"/>
      <c r="B47" s="5"/>
      <c r="C47" s="26"/>
      <c r="D47" s="22"/>
      <c r="E47" s="22"/>
      <c r="F47" s="22"/>
      <c r="G47" s="11"/>
      <c r="H47" s="10"/>
    </row>
    <row r="48" spans="1:10" s="17" customFormat="1" ht="14.25" x14ac:dyDescent="0.3">
      <c r="A48" s="12" t="s">
        <v>100</v>
      </c>
      <c r="B48" s="5"/>
      <c r="C48" s="26"/>
      <c r="D48" s="22"/>
      <c r="E48" s="22"/>
      <c r="F48" s="22"/>
      <c r="G48" s="11"/>
      <c r="H48" s="10"/>
    </row>
    <row r="49" spans="1:10" s="17" customFormat="1" ht="14.25" x14ac:dyDescent="0.3">
      <c r="A49" s="12"/>
      <c r="B49" s="5"/>
      <c r="C49" s="26"/>
      <c r="D49" s="22"/>
      <c r="E49" s="22"/>
      <c r="F49" s="22"/>
      <c r="G49" s="11"/>
      <c r="H49" s="10"/>
    </row>
    <row r="50" spans="1:10" s="17" customFormat="1" ht="14.25" x14ac:dyDescent="0.3">
      <c r="A50" s="12" t="s">
        <v>101</v>
      </c>
      <c r="B50" s="5"/>
      <c r="C50" s="26"/>
      <c r="D50" s="22" t="s">
        <v>96</v>
      </c>
      <c r="E50" s="22" t="s">
        <v>96</v>
      </c>
      <c r="F50" s="22"/>
      <c r="G50" s="11"/>
      <c r="H50" s="10"/>
    </row>
    <row r="51" spans="1:10" s="17" customFormat="1" ht="14.25" x14ac:dyDescent="0.3">
      <c r="A51" s="12"/>
      <c r="B51" s="5"/>
      <c r="C51" s="26"/>
      <c r="D51" s="22"/>
      <c r="E51" s="22"/>
      <c r="F51" s="22"/>
      <c r="G51" s="11"/>
      <c r="H51" s="10"/>
    </row>
    <row r="52" spans="1:10" s="17" customFormat="1" ht="14.25" x14ac:dyDescent="0.3">
      <c r="A52" s="12" t="s">
        <v>102</v>
      </c>
      <c r="B52" s="5"/>
      <c r="C52" s="26"/>
      <c r="D52" s="22" t="s">
        <v>96</v>
      </c>
      <c r="E52" s="22" t="s">
        <v>96</v>
      </c>
      <c r="F52" s="22"/>
      <c r="G52" s="11"/>
      <c r="H52" s="10"/>
    </row>
    <row r="53" spans="1:10" s="17" customFormat="1" ht="14.25" x14ac:dyDescent="0.3">
      <c r="A53" s="12"/>
      <c r="B53" s="5"/>
      <c r="C53" s="26"/>
      <c r="D53" s="22"/>
      <c r="E53" s="22"/>
      <c r="F53" s="22"/>
      <c r="G53" s="11"/>
      <c r="H53" s="10"/>
    </row>
    <row r="54" spans="1:10" s="17" customFormat="1" ht="14.25" x14ac:dyDescent="0.3">
      <c r="A54" s="12" t="s">
        <v>103</v>
      </c>
      <c r="B54" s="5"/>
      <c r="C54" s="26"/>
      <c r="D54" s="22"/>
      <c r="E54" s="22"/>
      <c r="F54" s="23"/>
      <c r="G54" s="11"/>
      <c r="H54" s="10"/>
    </row>
    <row r="55" spans="1:10" s="17" customFormat="1" ht="14.25" x14ac:dyDescent="0.3">
      <c r="A55" s="13" t="s">
        <v>104</v>
      </c>
      <c r="B55" s="14"/>
      <c r="C55" s="15">
        <v>0</v>
      </c>
      <c r="D55" s="16">
        <v>133.11000000000001</v>
      </c>
      <c r="E55" s="16">
        <v>1.01</v>
      </c>
      <c r="F55" s="16" t="s">
        <v>105</v>
      </c>
      <c r="G55" s="11">
        <v>6.7225000000000001</v>
      </c>
      <c r="H55" s="10"/>
      <c r="I55" s="49"/>
      <c r="J55" s="49"/>
    </row>
    <row r="56" spans="1:10" s="17" customFormat="1" ht="14.25" x14ac:dyDescent="0.3">
      <c r="A56" s="12" t="s">
        <v>94</v>
      </c>
      <c r="B56" s="5"/>
      <c r="C56" s="26"/>
      <c r="D56" s="22">
        <v>133.11000000000001</v>
      </c>
      <c r="E56" s="22">
        <v>1.01</v>
      </c>
      <c r="F56" s="16"/>
      <c r="G56" s="11"/>
      <c r="H56" s="10"/>
    </row>
    <row r="57" spans="1:10" s="17" customFormat="1" ht="14.25" x14ac:dyDescent="0.3">
      <c r="A57" s="12"/>
      <c r="B57" s="5"/>
      <c r="C57" s="26"/>
      <c r="D57" s="22"/>
      <c r="E57" s="22"/>
      <c r="F57" s="23"/>
      <c r="G57" s="11"/>
      <c r="H57" s="10"/>
    </row>
    <row r="58" spans="1:10" s="17" customFormat="1" ht="14.25" x14ac:dyDescent="0.3">
      <c r="A58" s="12" t="s">
        <v>97</v>
      </c>
      <c r="B58" s="5"/>
      <c r="C58" s="26" t="s">
        <v>106</v>
      </c>
      <c r="D58" s="22">
        <v>13208.6</v>
      </c>
      <c r="E58" s="22">
        <v>99.77</v>
      </c>
      <c r="F58" s="22"/>
      <c r="G58" s="11"/>
      <c r="H58" s="10"/>
      <c r="I58" s="49"/>
      <c r="J58" s="49"/>
    </row>
    <row r="59" spans="1:10" s="17" customFormat="1" ht="14.25" x14ac:dyDescent="0.3">
      <c r="A59" s="12"/>
      <c r="B59" s="5"/>
      <c r="C59" s="26"/>
      <c r="D59" s="22"/>
      <c r="E59" s="22"/>
      <c r="F59" s="27"/>
      <c r="G59" s="28"/>
      <c r="H59" s="29"/>
    </row>
    <row r="60" spans="1:10" s="17" customFormat="1" ht="14.25" x14ac:dyDescent="0.3">
      <c r="A60" s="12" t="s">
        <v>107</v>
      </c>
      <c r="B60" s="5"/>
      <c r="C60" s="26"/>
      <c r="D60" s="50">
        <v>28.23</v>
      </c>
      <c r="E60" s="22">
        <v>0.23</v>
      </c>
      <c r="F60" s="27"/>
      <c r="G60" s="28"/>
      <c r="H60" s="29"/>
      <c r="I60" s="49"/>
      <c r="J60" s="49"/>
    </row>
    <row r="61" spans="1:10" s="17" customFormat="1" ht="14.25" x14ac:dyDescent="0.3">
      <c r="A61" s="12"/>
      <c r="B61" s="5"/>
      <c r="C61" s="26"/>
      <c r="D61" s="25"/>
      <c r="E61" s="25"/>
      <c r="F61" s="27"/>
      <c r="G61" s="28"/>
      <c r="H61" s="29"/>
    </row>
    <row r="62" spans="1:10" s="17" customFormat="1" ht="14.25" x14ac:dyDescent="0.3">
      <c r="A62" s="12" t="s">
        <v>108</v>
      </c>
      <c r="B62" s="5"/>
      <c r="C62" s="26"/>
      <c r="D62" s="22">
        <v>13236.83</v>
      </c>
      <c r="E62" s="22">
        <f>+E58+E60</f>
        <v>100</v>
      </c>
      <c r="F62" s="27"/>
      <c r="G62" s="28"/>
      <c r="H62" s="29"/>
      <c r="I62" s="49"/>
      <c r="J62" s="49"/>
    </row>
    <row r="63" spans="1:10" s="17" customFormat="1" ht="14.25" x14ac:dyDescent="0.3">
      <c r="A63" s="30"/>
      <c r="B63" s="31"/>
      <c r="C63" s="32"/>
      <c r="D63" s="33"/>
      <c r="E63" s="33"/>
      <c r="F63" s="27"/>
      <c r="G63" s="28"/>
      <c r="H63" s="29"/>
    </row>
    <row r="64" spans="1:10" s="17" customFormat="1" ht="13.5" x14ac:dyDescent="0.2">
      <c r="A64" s="56" t="s">
        <v>109</v>
      </c>
      <c r="B64" s="56"/>
      <c r="C64" s="56"/>
      <c r="D64" s="56"/>
      <c r="E64" s="56"/>
      <c r="F64" s="56"/>
      <c r="G64" s="56"/>
      <c r="H64" s="56"/>
    </row>
    <row r="65" spans="1:8" s="17" customFormat="1" ht="26.25" customHeight="1" x14ac:dyDescent="0.2">
      <c r="A65" s="56" t="s">
        <v>110</v>
      </c>
      <c r="B65" s="56"/>
      <c r="C65" s="56"/>
      <c r="D65" s="56"/>
      <c r="E65" s="56"/>
      <c r="F65" s="57"/>
      <c r="G65" s="57"/>
      <c r="H65" s="57"/>
    </row>
    <row r="66" spans="1:8" s="17" customFormat="1" ht="13.5" x14ac:dyDescent="0.2">
      <c r="A66" s="58" t="s">
        <v>111</v>
      </c>
      <c r="B66" s="58"/>
      <c r="C66" s="58"/>
      <c r="D66" s="58"/>
      <c r="E66" s="58"/>
      <c r="F66" s="57"/>
      <c r="G66" s="57"/>
      <c r="H66" s="57"/>
    </row>
    <row r="67" spans="1:8" ht="52.5" customHeight="1" x14ac:dyDescent="0.2">
      <c r="A67" s="51" t="s">
        <v>112</v>
      </c>
      <c r="B67" s="51"/>
      <c r="C67" s="51"/>
      <c r="D67" s="51"/>
      <c r="E67" s="51"/>
      <c r="F67" s="52"/>
      <c r="G67" s="52"/>
      <c r="H67" s="52"/>
    </row>
    <row r="68" spans="1:8" ht="14.25" x14ac:dyDescent="0.3">
      <c r="A68" s="34"/>
      <c r="B68" s="35"/>
      <c r="C68" s="36"/>
      <c r="D68" s="37"/>
      <c r="E68" s="29"/>
      <c r="F68" s="29"/>
      <c r="G68" s="27"/>
      <c r="H68" s="27"/>
    </row>
    <row r="69" spans="1:8" ht="14.25" x14ac:dyDescent="0.3">
      <c r="A69" s="38" t="s">
        <v>113</v>
      </c>
      <c r="B69" s="39"/>
      <c r="C69" s="39"/>
      <c r="D69" s="29"/>
      <c r="E69" s="29"/>
      <c r="F69" s="29"/>
      <c r="G69" s="27"/>
      <c r="H69" s="27"/>
    </row>
    <row r="70" spans="1:8" ht="14.25" x14ac:dyDescent="0.3">
      <c r="A70" s="40" t="s">
        <v>114</v>
      </c>
      <c r="B70" s="39"/>
      <c r="C70" s="39"/>
      <c r="D70" s="29"/>
      <c r="E70" s="29"/>
      <c r="F70" s="29"/>
      <c r="G70" s="27"/>
      <c r="H70" s="27"/>
    </row>
    <row r="71" spans="1:8" ht="14.25" x14ac:dyDescent="0.3">
      <c r="A71" s="40" t="s">
        <v>115</v>
      </c>
      <c r="B71" s="39"/>
      <c r="C71" s="39"/>
      <c r="D71" s="29"/>
      <c r="E71" s="29"/>
      <c r="F71" s="29"/>
      <c r="G71" s="27"/>
      <c r="H71" s="27"/>
    </row>
    <row r="72" spans="1:8" ht="14.25" x14ac:dyDescent="0.3">
      <c r="A72" s="40" t="s">
        <v>116</v>
      </c>
      <c r="B72" s="39"/>
      <c r="C72" s="39"/>
      <c r="D72" s="29"/>
      <c r="E72" s="29"/>
      <c r="F72" s="29"/>
      <c r="G72" s="27"/>
      <c r="H72" s="27"/>
    </row>
    <row r="73" spans="1:8" ht="14.25" x14ac:dyDescent="0.3">
      <c r="A73" s="40"/>
      <c r="B73" s="39"/>
      <c r="C73" s="39"/>
      <c r="D73" s="29"/>
      <c r="E73" s="29"/>
      <c r="F73" s="29"/>
      <c r="G73" s="29"/>
      <c r="H73" s="29"/>
    </row>
    <row r="74" spans="1:8" ht="14.25" x14ac:dyDescent="0.3">
      <c r="A74" s="41" t="s">
        <v>117</v>
      </c>
      <c r="B74" s="53" t="s">
        <v>119</v>
      </c>
      <c r="C74" s="53"/>
      <c r="D74" s="29"/>
      <c r="E74" s="29"/>
      <c r="F74" s="29"/>
      <c r="G74" s="29"/>
      <c r="H74" s="29"/>
    </row>
    <row r="75" spans="1:8" ht="14.25" x14ac:dyDescent="0.3">
      <c r="A75" s="42"/>
      <c r="B75" s="43"/>
      <c r="C75" s="44"/>
      <c r="D75" s="29"/>
      <c r="E75" s="29"/>
      <c r="F75" s="29"/>
      <c r="G75" s="29"/>
      <c r="H75" s="29"/>
    </row>
    <row r="76" spans="1:8" ht="14.25" x14ac:dyDescent="0.3">
      <c r="A76" s="42"/>
      <c r="B76" s="43"/>
      <c r="C76" s="44"/>
      <c r="D76" s="29"/>
      <c r="E76" s="29"/>
      <c r="F76" s="29"/>
      <c r="G76" s="29"/>
      <c r="H76" s="29"/>
    </row>
    <row r="77" spans="1:8" ht="14.25" x14ac:dyDescent="0.3">
      <c r="A77" s="42"/>
      <c r="B77" s="43"/>
      <c r="C77" s="44"/>
      <c r="D77" s="29"/>
      <c r="E77" s="29"/>
      <c r="F77" s="29"/>
      <c r="G77" s="29"/>
      <c r="H77" s="29"/>
    </row>
    <row r="78" spans="1:8" ht="14.25" x14ac:dyDescent="0.3">
      <c r="A78" s="42"/>
      <c r="B78" s="43"/>
      <c r="C78" s="44"/>
      <c r="D78" s="29"/>
      <c r="E78" s="29"/>
      <c r="F78" s="29"/>
      <c r="G78" s="29"/>
      <c r="H78" s="29"/>
    </row>
    <row r="79" spans="1:8" ht="14.25" x14ac:dyDescent="0.3">
      <c r="A79" s="42"/>
      <c r="B79" s="43"/>
      <c r="C79" s="44"/>
      <c r="D79" s="29"/>
      <c r="E79" s="29"/>
      <c r="F79" s="29"/>
      <c r="G79" s="29"/>
      <c r="H79" s="29"/>
    </row>
    <row r="80" spans="1:8" ht="14.25" x14ac:dyDescent="0.3">
      <c r="A80" s="42"/>
      <c r="B80" s="43"/>
      <c r="C80" s="44"/>
      <c r="D80" s="29"/>
      <c r="E80" s="29"/>
      <c r="F80" s="29"/>
      <c r="G80" s="29"/>
      <c r="H80" s="29"/>
    </row>
    <row r="84" spans="1:1" ht="13.5" x14ac:dyDescent="0.25">
      <c r="A84" s="48" t="s">
        <v>118</v>
      </c>
    </row>
  </sheetData>
  <mergeCells count="8">
    <mergeCell ref="A67:H67"/>
    <mergeCell ref="B74:C74"/>
    <mergeCell ref="A1:H1"/>
    <mergeCell ref="A2:H2"/>
    <mergeCell ref="A3:H3"/>
    <mergeCell ref="A64:H64"/>
    <mergeCell ref="A65:H65"/>
    <mergeCell ref="A66:H66"/>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Focused Fund</vt:lpstr>
      <vt:lpstr>'JM Focused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2024-07-02T09:50:31Z</dcterms:created>
  <dcterms:modified xsi:type="dcterms:W3CDTF">2024-07-03T14:43:22Z</dcterms:modified>
</cp:coreProperties>
</file>