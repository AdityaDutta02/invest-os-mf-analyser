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3\MonthlyHalf yearly\Portfolio for sent\"/>
    </mc:Choice>
  </mc:AlternateContent>
  <bookViews>
    <workbookView xWindow="0" yWindow="0" windowWidth="20490" windowHeight="7770"/>
  </bookViews>
  <sheets>
    <sheet name="AA" sheetId="1" r:id="rId1"/>
  </sheets>
  <externalReferences>
    <externalReference r:id="rId2"/>
    <externalReference r:id="rId3"/>
    <externalReference r:id="rId4"/>
  </externalReferences>
  <definedNames>
    <definedName name="_xlnm._FilterDatabase" localSheetId="0" hidden="1">AA!$A$3:$F$96</definedName>
    <definedName name="Afs" localSheetId="0">#REF!</definedName>
    <definedName name="Afs">#REF!</definedName>
    <definedName name="_xlnm.Database">#REF!</definedName>
    <definedName name="EBLDB">#REF!</definedName>
    <definedName name="fl">#REF!</definedName>
    <definedName name="_xlnm.Print_Area" localSheetId="0">AA!$A$1:$E$53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 i="1" l="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D36" i="1"/>
  <c r="D40" i="1" s="1"/>
  <c r="D66" i="1" s="1"/>
  <c r="D68" i="1" s="1"/>
  <c r="E68" i="1" s="1"/>
  <c r="E55" i="1"/>
  <c r="E56" i="1"/>
  <c r="E57" i="1"/>
  <c r="E58" i="1"/>
  <c r="E59" i="1"/>
  <c r="E60" i="1"/>
  <c r="D61" i="1"/>
  <c r="E63" i="1"/>
  <c r="D64" i="1"/>
  <c r="E64" i="1"/>
  <c r="F66" i="1"/>
  <c r="E61" i="1" l="1"/>
  <c r="E36" i="1"/>
  <c r="E40" i="1" s="1"/>
  <c r="E66" i="1" l="1"/>
  <c r="E70" i="1" s="1"/>
</calcChain>
</file>

<file path=xl/sharedStrings.xml><?xml version="1.0" encoding="utf-8"?>
<sst xmlns="http://schemas.openxmlformats.org/spreadsheetml/2006/main" count="260" uniqueCount="182">
  <si>
    <t>Benchmark of the scheme - Nifty 50 Arbitrage Index</t>
  </si>
  <si>
    <t xml:space="preserve">         Riskometer of the scheme </t>
  </si>
  <si>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</si>
  <si>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</si>
  <si>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</si>
  <si>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</si>
  <si>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</si>
  <si>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</si>
  <si>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</si>
  <si>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</si>
  <si>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</si>
  <si>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For the period ended Mach 31, 2023, following are the non-hedging transactions through futures which have been squared off / expired :</t>
  </si>
  <si>
    <t>Total exposure due to futures (non hedging positions) was 0% of net assets as on 31/03/2023</t>
  </si>
  <si>
    <t>For the period ended March 31, 2023, following are the hedging transactions through futures which have been squared off / expired :</t>
  </si>
  <si>
    <t>Total 77.92% of existing assets hedged through futures as on 31/03/2023</t>
  </si>
  <si>
    <t>Total outstanding exposure in derivative instruments at the end of the period - Short -(Rs in Lakhs) : (4,930.21)</t>
  </si>
  <si>
    <t>Short</t>
  </si>
  <si>
    <t>Titan Company Ltd. -Apr -2023</t>
  </si>
  <si>
    <t>Tata Consultancy Services Ltd. -Apr -2023</t>
  </si>
  <si>
    <t>Tata Steel Ltd. -May -2023</t>
  </si>
  <si>
    <t>Tata Steel Ltd. -Apr -2023</t>
  </si>
  <si>
    <t>Tata Power Company Ltd. -May -2023</t>
  </si>
  <si>
    <t>Tata Power Company Ltd. -Apr -2023</t>
  </si>
  <si>
    <t>Tata Communications Ltd. -Apr -2023</t>
  </si>
  <si>
    <t>Tata Chemicals Ltd. -Apr -2023</t>
  </si>
  <si>
    <t>State Bank of India -Apr -2023</t>
  </si>
  <si>
    <t>Reliance Industries Ltd. -Apr -2023</t>
  </si>
  <si>
    <t>Piramal Enterprises Ltd. -May -2023</t>
  </si>
  <si>
    <t>Piramal Enterprises Ltd. -Apr -2023</t>
  </si>
  <si>
    <t>United Spirits Ltd. -Apr -2023</t>
  </si>
  <si>
    <t>Laurus Labs Ltd. -Apr -2023</t>
  </si>
  <si>
    <t>L&amp;T Finance Holdings Ltd. -Apr -2023</t>
  </si>
  <si>
    <t>Kotak Mahindra Bank Ltd. -Apr -2023</t>
  </si>
  <si>
    <t>IndusInd Bank Ltd. -Apr -2023</t>
  </si>
  <si>
    <t>ICICI Bank Ltd. -May -2023</t>
  </si>
  <si>
    <t>ICICI Bank Ltd. -Apr -2023</t>
  </si>
  <si>
    <t>Hindustan Unilever Ltd. -Apr -2023</t>
  </si>
  <si>
    <t>HDFC Life Insurance Company Ltd. -May -2023</t>
  </si>
  <si>
    <t>HDFC Life Insurance Company Ltd. -Apr -2023</t>
  </si>
  <si>
    <t>Housing Development Finance Corporation Ltd. -Apr -2023</t>
  </si>
  <si>
    <t>Granules India Ltd. -Apr -2023</t>
  </si>
  <si>
    <t>DLF Ltd. -Apr -2023</t>
  </si>
  <si>
    <t>Cipla Ltd. -May -2023</t>
  </si>
  <si>
    <t>Biocon Ltd. -Apr -2023</t>
  </si>
  <si>
    <t>Bata India Ltd. -Apr -2023</t>
  </si>
  <si>
    <t>Bajaj Finance Ltd. -May -2023</t>
  </si>
  <si>
    <t>Bajaj Finserv Ltd. -Apr -2023</t>
  </si>
  <si>
    <t>Axis Bank Ltd. -May -2023</t>
  </si>
  <si>
    <t>Axis Bank Ltd. -Apr -2023</t>
  </si>
  <si>
    <t>Aurobindo Pharma Ltd. -Apr -2023</t>
  </si>
  <si>
    <t>Asian Paints Ltd. -May -2023</t>
  </si>
  <si>
    <t>Asian Paints Ltd. -Apr -2023</t>
  </si>
  <si>
    <t>Ashok Leyland Ltd. -Apr -2023</t>
  </si>
  <si>
    <t>Aditya Birla Fashion and Retail Ltd. -Apr -2023</t>
  </si>
  <si>
    <t>Total Margin maintained in(Rs. In Lakhs)</t>
  </si>
  <si>
    <t>Current  price of the Contract (Rs.)</t>
  </si>
  <si>
    <t>Futures price when purchased (Rs.)</t>
  </si>
  <si>
    <t>Quantity</t>
  </si>
  <si>
    <t>Long / Short</t>
  </si>
  <si>
    <t>Underlying</t>
  </si>
  <si>
    <t>Hedging Positions through futures as on March 31, 2023</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</si>
  <si>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</si>
  <si>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</si>
  <si>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</si>
  <si>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</si>
  <si>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Net Assets</t>
  </si>
  <si>
    <t>Net Current Assets</t>
  </si>
  <si>
    <t xml:space="preserve"> </t>
  </si>
  <si>
    <t>Total:</t>
  </si>
  <si>
    <t>Sub Total:</t>
  </si>
  <si>
    <t/>
  </si>
  <si>
    <t>TREPS-Triparty Repo</t>
  </si>
  <si>
    <t>IN002022Y336</t>
  </si>
  <si>
    <t>Sovereign</t>
  </si>
  <si>
    <t>182 Days Treasury-Bill 11/05/2023</t>
  </si>
  <si>
    <t>IN002022Z242</t>
  </si>
  <si>
    <t>364 Days Treasury-Bill 14/09/2023</t>
  </si>
  <si>
    <t>IN002022X486</t>
  </si>
  <si>
    <t>91 Days Treasury-Bill 01/06/2023</t>
  </si>
  <si>
    <t>IN002022Z085</t>
  </si>
  <si>
    <t>364 Days Treasury-Bill 25/05/2023</t>
  </si>
  <si>
    <t>IN002022Y468</t>
  </si>
  <si>
    <t>182 Days Treasury-Bill 10/08/2023</t>
  </si>
  <si>
    <t>IN002022Z135</t>
  </si>
  <si>
    <t>364 Days Treasury-Bill 29/06/2023</t>
  </si>
  <si>
    <t>Treasury Bills</t>
  </si>
  <si>
    <t>MONEY MARKET INSTRUMENTS</t>
  </si>
  <si>
    <t>NIL</t>
  </si>
  <si>
    <t>Deposits (Placed as F &amp; O margin)</t>
  </si>
  <si>
    <t>Deposits (Maturity not exceeding 91 days)</t>
  </si>
  <si>
    <t>TERM DEPOSITS</t>
  </si>
  <si>
    <t>b) Privately Placed / Unlisted</t>
  </si>
  <si>
    <t>a) Listed/Awaiting Listing On  Stock Exchange</t>
  </si>
  <si>
    <t>DEBT INSTRUMENTS</t>
  </si>
  <si>
    <t>b) Unlisted</t>
  </si>
  <si>
    <t>INE092A01019</t>
  </si>
  <si>
    <t>Chemicals &amp; Petrochemicals</t>
  </si>
  <si>
    <t>Tata Chemicals Ltd.</t>
  </si>
  <si>
    <t>INE498L01015</t>
  </si>
  <si>
    <t>Finance</t>
  </si>
  <si>
    <t>L&amp;T Finance Holdings Ltd.</t>
  </si>
  <si>
    <t>INE030A01027</t>
  </si>
  <si>
    <t>Diversified FMCG</t>
  </si>
  <si>
    <t>Hindustan Unilever Ltd.</t>
  </si>
  <si>
    <t>INE406A01037</t>
  </si>
  <si>
    <t>Pharmaceuticals &amp; Biotechnology</t>
  </si>
  <si>
    <t>Aurobindo Pharma Ltd.</t>
  </si>
  <si>
    <t>INE140A01024</t>
  </si>
  <si>
    <t>Piramal Enterprises Ltd.</t>
  </si>
  <si>
    <t>INE795G01014</t>
  </si>
  <si>
    <t>Insurance</t>
  </si>
  <si>
    <t>HDFC Life Insurance Company Ltd.</t>
  </si>
  <si>
    <t>INE095A01012</t>
  </si>
  <si>
    <t>Banks</t>
  </si>
  <si>
    <t>IndusInd Bank Ltd.</t>
  </si>
  <si>
    <t>INE176A01028</t>
  </si>
  <si>
    <t>Consumer Durables</t>
  </si>
  <si>
    <t>Bata India Ltd.</t>
  </si>
  <si>
    <t>INE062A01020</t>
  </si>
  <si>
    <t>State Bank of India</t>
  </si>
  <si>
    <t>INE280A01028</t>
  </si>
  <si>
    <t>Titan Company Ltd.</t>
  </si>
  <si>
    <t>INE021A01026</t>
  </si>
  <si>
    <t>Asian Paints Ltd.</t>
  </si>
  <si>
    <t>INE151A01013</t>
  </si>
  <si>
    <t>Telecom - Services</t>
  </si>
  <si>
    <t>Tata Communications Ltd.</t>
  </si>
  <si>
    <t>INE854D01024</t>
  </si>
  <si>
    <t>Beverages</t>
  </si>
  <si>
    <t>United Spirits Ltd.</t>
  </si>
  <si>
    <t>INE208A01029</t>
  </si>
  <si>
    <t>Agricultural, Commercial &amp; Construction Vehicles</t>
  </si>
  <si>
    <t>Ashok Leyland Ltd.</t>
  </si>
  <si>
    <t>INE101D01020</t>
  </si>
  <si>
    <t>Granules India Ltd.</t>
  </si>
  <si>
    <t>INE271C01023</t>
  </si>
  <si>
    <t>Realty</t>
  </si>
  <si>
    <t>DLF Ltd.</t>
  </si>
  <si>
    <t>INE376G01013</t>
  </si>
  <si>
    <t>Biocon Ltd.</t>
  </si>
  <si>
    <t>INE001A01036</t>
  </si>
  <si>
    <t>Housing Development Finance Corporation Ltd.</t>
  </si>
  <si>
    <t>INE947Q01028</t>
  </si>
  <si>
    <t>Laurus Labs Ltd.</t>
  </si>
  <si>
    <t>INE090A01021</t>
  </si>
  <si>
    <t>ICICI Bank Ltd.</t>
  </si>
  <si>
    <t>INE059A01026</t>
  </si>
  <si>
    <t>Cipla Ltd.</t>
  </si>
  <si>
    <t>INE918I01026</t>
  </si>
  <si>
    <t>Bajaj Finserv Ltd.</t>
  </si>
  <si>
    <t>INE647O01011</t>
  </si>
  <si>
    <t>Retailing</t>
  </si>
  <si>
    <t>Aditya Birla Fashion and Retail Ltd.</t>
  </si>
  <si>
    <t>INE238A01034</t>
  </si>
  <si>
    <t>Axis Bank Ltd.</t>
  </si>
  <si>
    <t>INE245A01021</t>
  </si>
  <si>
    <t>Power</t>
  </si>
  <si>
    <t>Tata Power Company Ltd.</t>
  </si>
  <si>
    <t>INE467B01029</t>
  </si>
  <si>
    <t>IT - Software</t>
  </si>
  <si>
    <t>Tata Consultancy Services Ltd.</t>
  </si>
  <si>
    <t>INE002A01018</t>
  </si>
  <si>
    <t>Petroleum Products</t>
  </si>
  <si>
    <t>Reliance Industries Ltd.</t>
  </si>
  <si>
    <t>INE081A01020</t>
  </si>
  <si>
    <t>Ferrous Metals</t>
  </si>
  <si>
    <t>Tata Steel Ltd.</t>
  </si>
  <si>
    <t>INE237A01028</t>
  </si>
  <si>
    <t>Kotak Mahindra Bank Ltd.</t>
  </si>
  <si>
    <t>INE296A01024</t>
  </si>
  <si>
    <t>Bajaj Finance Ltd.</t>
  </si>
  <si>
    <t>EQUITY &amp; EQUITY RELATED</t>
  </si>
  <si>
    <t>^YTC (AT1/Tier 2 bonds)</t>
  </si>
  <si>
    <t>Yield %</t>
  </si>
  <si>
    <t>ISIN</t>
  </si>
  <si>
    <t>% age to NAV</t>
  </si>
  <si>
    <t>Market Value (Rs. In Lakhs)</t>
  </si>
  <si>
    <t>Industry/Rating</t>
  </si>
  <si>
    <t>Name of the Instruments</t>
  </si>
  <si>
    <t>Portfolio as on 31.03.2023</t>
  </si>
  <si>
    <t>JM Arbitrage Fund (An open ended scheme investing in arbitrage opportunities).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</si>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</sst>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sz val="10"/>
      <name val="Times New Roman"/>
      <family val="1"/>
    </font>
    <font>
      <b/>
      <sz val="10"/>
      <color indexed="9"/>
      <name val="Times New Roman"/>
      <family val="1"/>
    </font>
    <font>
      <b/>
      <sz val="10"/>
      <name val="Times New Roman"/>
      <family val="1"/>
    </font>
    <font>
      <sz val="11"/>
      <color indexed="8"/>
      <name val="Calibri"/>
      <family val="2"/>
    </font>
    <font>
      <b/>
      <sz val="11"/>
      <color indexed="8"/>
      <name val="Times New Roman"/>
      <family val="1"/>
    </font>
    <font>
      <b/>
      <sz val="11"/>
      <color indexed="8"/>
      <name val="Calibri"/>
      <family val="2"/>
    </font>
    <font>
      <i/>
      <sz val="11"/>
      <color indexed="8"/>
      <name val="Calibri"/>
      <family val="2"/>
    </font>
    <font>
      <sz val="11"/>
      <name val="Calibri"/>
      <family val="2"/>
    </font>
  </fonts>
  <fills count="5">
    <fill>
      <patternFill patternType="none"/>
    </fill>
    <fill>
      <patternFill patternType="gray125"/>
    </fill>
    <fill>
      <patternFill patternType="solid">
        <fgColor indexed="55"/>
        <bgColor indexed="64"/>
      </patternFill>
    </fill>
    <fill>
      <patternFill patternType="solid">
        <fgColor indexed="22"/>
        <bgColor indexed="64"/>
      </patternFill>
    </fill>
    <fill>
      <patternFill patternType="solid">
        <fgColor indexed="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8">
    <xf numFmtId="0" fontId="0" fillId="0" borderId="0"/>
    <xf numFmtId="164" fontId="1" fillId="0" borderId="0" applyFont="0" applyFill="0" applyBorder="0" applyAlignment="0" applyProtection="0"/>
    <xf numFmtId="0" fontId="5" fillId="0" borderId="0"/>
    <xf numFmtId="0" fontId="5" fillId="0" borderId="0"/>
    <xf numFmtId="164" fontId="1" fillId="0" borderId="0" applyFont="0" applyFill="0" applyBorder="0" applyAlignment="0" applyProtection="0"/>
    <xf numFmtId="0" fontId="1" fillId="0" borderId="0"/>
    <xf numFmtId="164" fontId="5" fillId="0" borderId="0" applyFont="0" applyFill="0" applyBorder="0" applyAlignment="0" applyProtection="0"/>
    <xf numFmtId="0" fontId="5" fillId="0" borderId="0"/>
  </cellStyleXfs>
  <cellXfs count="83">
    <xf numFmtId="0" fontId="0" fillId="0" borderId="0" xfId="0"/>
    <xf numFmtId="0" fontId="2" fillId="0" borderId="0" xfId="0" applyFont="1"/>
    <xf numFmtId="165" fontId="2" fillId="0" borderId="0" xfId="1" applyNumberFormat="1" applyFont="1"/>
    <xf numFmtId="0" fontId="2" fillId="0" borderId="0" xfId="0" applyFont="1" applyAlignment="1">
      <alignment horizontal="left" wrapText="1"/>
    </xf>
    <xf numFmtId="0" fontId="2" fillId="0" borderId="0" xfId="0" applyFont="1" applyAlignment="1">
      <alignment wrapText="1"/>
    </xf>
    <xf numFmtId="0" fontId="2" fillId="0" borderId="0" xfId="0" applyFont="1" applyBorder="1"/>
    <xf numFmtId="0" fontId="3"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2" applyFont="1"/>
    <xf numFmtId="0" fontId="5" fillId="0" borderId="0" xfId="3" applyBorder="1"/>
    <xf numFmtId="0" fontId="5" fillId="0" borderId="0" xfId="3" applyBorder="1" applyAlignment="1">
      <alignment horizontal="left" wrapText="1"/>
    </xf>
    <xf numFmtId="0" fontId="7" fillId="0" borderId="0" xfId="3" applyFont="1"/>
    <xf numFmtId="0" fontId="2" fillId="0" borderId="1" xfId="0" applyFont="1" applyBorder="1"/>
    <xf numFmtId="0" fontId="2" fillId="0" borderId="2" xfId="0" applyFont="1" applyFill="1" applyBorder="1" applyAlignment="1">
      <alignment horizontal="left"/>
    </xf>
    <xf numFmtId="0" fontId="2" fillId="0" borderId="1" xfId="0" applyFont="1" applyFill="1" applyBorder="1" applyAlignment="1">
      <alignment horizontal="left"/>
    </xf>
    <xf numFmtId="0" fontId="2" fillId="2" borderId="1" xfId="0" applyFont="1" applyFill="1" applyBorder="1"/>
    <xf numFmtId="0" fontId="4" fillId="2" borderId="3" xfId="0" applyFont="1" applyFill="1" applyBorder="1" applyAlignment="1">
      <alignment horizontal="left" wrapText="1"/>
    </xf>
    <xf numFmtId="0" fontId="4" fillId="2" borderId="2" xfId="0" applyFont="1" applyFill="1" applyBorder="1" applyAlignment="1">
      <alignment horizontal="left" wrapText="1"/>
    </xf>
    <xf numFmtId="0" fontId="4" fillId="0" borderId="0" xfId="0" applyFont="1"/>
    <xf numFmtId="0" fontId="2" fillId="0" borderId="0" xfId="0" applyFont="1" applyFill="1" applyAlignment="1">
      <alignment horizontal="left" wrapText="1"/>
    </xf>
    <xf numFmtId="0" fontId="2" fillId="0" borderId="0" xfId="0" applyFont="1" applyFill="1" applyAlignment="1">
      <alignment wrapText="1"/>
    </xf>
    <xf numFmtId="4" fontId="2" fillId="0" borderId="0" xfId="0" applyNumberFormat="1" applyFont="1"/>
    <xf numFmtId="4" fontId="2" fillId="0" borderId="1" xfId="0" applyNumberFormat="1" applyFont="1" applyBorder="1"/>
    <xf numFmtId="0" fontId="2" fillId="0" borderId="1" xfId="0" applyFont="1" applyFill="1" applyBorder="1" applyAlignment="1">
      <alignment horizontal="right"/>
    </xf>
    <xf numFmtId="164" fontId="2" fillId="0" borderId="0" xfId="0" applyNumberFormat="1" applyFont="1"/>
    <xf numFmtId="0" fontId="4" fillId="0" borderId="0" xfId="0" applyFont="1" applyFill="1" applyBorder="1" applyAlignment="1">
      <alignment horizontal="left"/>
    </xf>
    <xf numFmtId="165" fontId="2" fillId="0" borderId="0" xfId="4" applyNumberFormat="1" applyFont="1" applyFill="1"/>
    <xf numFmtId="165" fontId="2" fillId="0" borderId="0" xfId="4" applyNumberFormat="1" applyFont="1"/>
    <xf numFmtId="0" fontId="2" fillId="0" borderId="0" xfId="5" applyFont="1" applyFill="1" applyBorder="1" applyAlignment="1"/>
    <xf numFmtId="0" fontId="2" fillId="0" borderId="0" xfId="0" applyFont="1" applyFill="1"/>
    <xf numFmtId="164" fontId="2" fillId="0" borderId="0" xfId="1" applyFont="1" applyFill="1" applyBorder="1"/>
    <xf numFmtId="164" fontId="2" fillId="0" borderId="1" xfId="1" applyFont="1" applyFill="1" applyBorder="1"/>
    <xf numFmtId="165" fontId="2" fillId="0" borderId="1" xfId="1" applyNumberFormat="1" applyFont="1" applyFill="1" applyBorder="1"/>
    <xf numFmtId="0" fontId="2" fillId="0" borderId="1" xfId="0" applyFont="1" applyFill="1" applyBorder="1" applyAlignment="1">
      <alignment wrapText="1"/>
    </xf>
    <xf numFmtId="4" fontId="2" fillId="0" borderId="1" xfId="0" applyNumberFormat="1" applyFont="1" applyFill="1" applyBorder="1" applyAlignment="1">
      <alignment wrapText="1"/>
    </xf>
    <xf numFmtId="0" fontId="2" fillId="0" borderId="0" xfId="0" applyFont="1" applyFill="1" applyBorder="1" applyAlignment="1">
      <alignment horizontal="right"/>
    </xf>
    <xf numFmtId="0" fontId="4" fillId="3" borderId="2" xfId="5" applyFont="1" applyFill="1" applyBorder="1" applyAlignment="1">
      <alignment wrapText="1"/>
    </xf>
    <xf numFmtId="0" fontId="4" fillId="3" borderId="1" xfId="5" applyFont="1" applyFill="1" applyBorder="1" applyAlignment="1">
      <alignment wrapText="1"/>
    </xf>
    <xf numFmtId="165" fontId="4" fillId="3" borderId="1" xfId="6" applyNumberFormat="1" applyFont="1" applyFill="1" applyBorder="1"/>
    <xf numFmtId="0" fontId="4" fillId="3" borderId="1" xfId="0" applyFont="1" applyFill="1" applyBorder="1" applyAlignment="1">
      <alignment horizontal="left" wrapText="1"/>
    </xf>
    <xf numFmtId="0" fontId="2" fillId="0" borderId="0" xfId="0" applyFont="1" applyFill="1" applyAlignment="1">
      <alignment horizontal="right"/>
    </xf>
    <xf numFmtId="164" fontId="2" fillId="0" borderId="0" xfId="1" applyFont="1" applyFill="1" applyAlignment="1">
      <alignment horizontal="right"/>
    </xf>
    <xf numFmtId="165" fontId="2" fillId="0" borderId="0" xfId="1" applyNumberFormat="1" applyFont="1" applyFill="1"/>
    <xf numFmtId="0" fontId="4" fillId="0" borderId="0" xfId="5" applyFont="1" applyFill="1" applyAlignment="1"/>
    <xf numFmtId="0" fontId="9" fillId="0" borderId="0" xfId="5" applyFont="1" applyAlignment="1">
      <alignment horizontal="left" wrapText="1"/>
    </xf>
    <xf numFmtId="164" fontId="4" fillId="0" borderId="0" xfId="1" applyFont="1" applyFill="1" applyBorder="1" applyAlignment="1">
      <alignment horizontal="right"/>
    </xf>
    <xf numFmtId="165" fontId="4" fillId="0" borderId="0" xfId="1" applyNumberFormat="1" applyFont="1" applyFill="1" applyBorder="1" applyAlignment="1">
      <alignment horizontal="right"/>
    </xf>
    <xf numFmtId="0" fontId="4" fillId="0" borderId="0" xfId="0" applyFont="1" applyFill="1" applyBorder="1" applyAlignment="1">
      <alignment horizontal="left" wrapText="1"/>
    </xf>
    <xf numFmtId="0" fontId="4" fillId="0" borderId="0" xfId="0" applyFont="1" applyFill="1" applyBorder="1" applyAlignment="1">
      <alignment wrapText="1"/>
    </xf>
    <xf numFmtId="164" fontId="4" fillId="0" borderId="1" xfId="1" applyFont="1" applyFill="1" applyBorder="1" applyAlignment="1">
      <alignment horizontal="right"/>
    </xf>
    <xf numFmtId="165" fontId="4" fillId="0" borderId="1" xfId="1" applyNumberFormat="1" applyFont="1" applyFill="1" applyBorder="1" applyAlignment="1">
      <alignment horizontal="right"/>
    </xf>
    <xf numFmtId="0" fontId="4" fillId="0" borderId="1" xfId="0" applyFont="1" applyFill="1" applyBorder="1" applyAlignment="1">
      <alignment horizontal="left" wrapText="1"/>
    </xf>
    <xf numFmtId="0" fontId="4" fillId="0" borderId="1" xfId="0" applyFont="1" applyFill="1" applyBorder="1" applyAlignment="1">
      <alignment wrapText="1"/>
    </xf>
    <xf numFmtId="164" fontId="2" fillId="0" borderId="1" xfId="1" applyFont="1" applyFill="1" applyBorder="1" applyAlignment="1">
      <alignment horizontal="right"/>
    </xf>
    <xf numFmtId="166" fontId="2" fillId="0" borderId="1" xfId="0" applyNumberFormat="1" applyFont="1" applyFill="1" applyBorder="1"/>
    <xf numFmtId="166" fontId="2" fillId="0" borderId="1" xfId="0" applyNumberFormat="1" applyFont="1" applyBorder="1"/>
    <xf numFmtId="2" fontId="2" fillId="0" borderId="1" xfId="0" applyNumberFormat="1" applyFont="1" applyFill="1" applyBorder="1" applyAlignment="1">
      <alignment horizontal="right"/>
    </xf>
    <xf numFmtId="165" fontId="2" fillId="0" borderId="1" xfId="1" applyNumberFormat="1" applyFont="1" applyFill="1" applyBorder="1" applyAlignment="1">
      <alignment horizontal="right"/>
    </xf>
    <xf numFmtId="0" fontId="2" fillId="0" borderId="1" xfId="0" applyFont="1" applyFill="1" applyBorder="1" applyAlignment="1">
      <alignment horizontal="left" wrapText="1"/>
    </xf>
    <xf numFmtId="4" fontId="4" fillId="0" borderId="1" xfId="0" applyNumberFormat="1" applyFont="1" applyFill="1" applyBorder="1" applyAlignment="1">
      <alignment horizontal="right"/>
    </xf>
    <xf numFmtId="4" fontId="4" fillId="0" borderId="1" xfId="0" applyNumberFormat="1" applyFont="1" applyFill="1" applyBorder="1" applyAlignment="1">
      <alignment wrapText="1"/>
    </xf>
    <xf numFmtId="165" fontId="4" fillId="0" borderId="1" xfId="1" applyNumberFormat="1" applyFont="1" applyFill="1" applyBorder="1"/>
    <xf numFmtId="4" fontId="4" fillId="0" borderId="1" xfId="1" applyNumberFormat="1" applyFont="1" applyFill="1" applyBorder="1"/>
    <xf numFmtId="164" fontId="4" fillId="0" borderId="1" xfId="1" applyFont="1" applyFill="1" applyBorder="1"/>
    <xf numFmtId="164" fontId="2" fillId="0" borderId="1" xfId="1" applyFont="1" applyFill="1" applyBorder="1" applyAlignment="1">
      <alignment horizontal="center"/>
    </xf>
    <xf numFmtId="0" fontId="2" fillId="0" borderId="1" xfId="0" applyFont="1" applyFill="1" applyBorder="1" applyAlignment="1">
      <alignment horizontal="center"/>
    </xf>
    <xf numFmtId="0" fontId="4" fillId="0" borderId="1" xfId="0" applyFont="1" applyFill="1" applyBorder="1" applyAlignment="1">
      <alignment horizontal="center" wrapText="1"/>
    </xf>
    <xf numFmtId="165" fontId="2" fillId="0" borderId="1" xfId="1" applyNumberFormat="1" applyFont="1" applyFill="1" applyBorder="1" applyAlignment="1">
      <alignment horizontal="center"/>
    </xf>
    <xf numFmtId="0" fontId="2" fillId="0" borderId="1" xfId="0" applyFont="1" applyFill="1" applyBorder="1" applyAlignment="1">
      <alignment horizontal="center" wrapText="1"/>
    </xf>
    <xf numFmtId="0" fontId="2" fillId="0" borderId="0" xfId="0" applyFont="1" applyAlignment="1">
      <alignment horizontal="center"/>
    </xf>
    <xf numFmtId="0" fontId="4" fillId="0" borderId="1" xfId="0" applyFont="1" applyBorder="1" applyAlignment="1">
      <alignment horizontal="center" wrapText="1"/>
    </xf>
    <xf numFmtId="0" fontId="4" fillId="0" borderId="1" xfId="0" applyFont="1" applyBorder="1" applyAlignment="1">
      <alignment horizontal="center"/>
    </xf>
    <xf numFmtId="0" fontId="4" fillId="0" borderId="1" xfId="0" applyFont="1" applyFill="1" applyBorder="1" applyAlignment="1">
      <alignment horizontal="center" vertical="center" wrapText="1"/>
    </xf>
    <xf numFmtId="165" fontId="4" fillId="0" borderId="1" xfId="1" applyNumberFormat="1" applyFont="1" applyFill="1" applyBorder="1" applyAlignment="1">
      <alignment horizontal="center" vertical="center"/>
    </xf>
    <xf numFmtId="0" fontId="4" fillId="0" borderId="1" xfId="0" applyFont="1" applyFill="1" applyBorder="1" applyAlignment="1">
      <alignment horizontal="left" vertical="center" wrapText="1"/>
    </xf>
    <xf numFmtId="0" fontId="3" fillId="4" borderId="3" xfId="0" applyFont="1" applyFill="1" applyBorder="1" applyAlignment="1">
      <alignment horizontal="left" wrapText="1"/>
    </xf>
    <xf numFmtId="0" fontId="3" fillId="4" borderId="4" xfId="0" applyFont="1" applyFill="1" applyBorder="1" applyAlignment="1">
      <alignment horizontal="left"/>
    </xf>
    <xf numFmtId="0" fontId="0" fillId="0" borderId="0" xfId="0" applyAlignment="1">
      <alignment horizontal="left" wrapText="1"/>
    </xf>
    <xf numFmtId="0" fontId="5" fillId="0" borderId="0" xfId="7" applyBorder="1" applyAlignment="1">
      <alignment horizontal="left" wrapText="1"/>
    </xf>
    <xf numFmtId="0" fontId="8" fillId="0" borderId="0" xfId="7" applyFont="1" applyBorder="1" applyAlignment="1">
      <alignment horizontal="left" wrapText="1"/>
    </xf>
    <xf numFmtId="0" fontId="8" fillId="0" borderId="0" xfId="7" applyFont="1" applyBorder="1" applyAlignment="1">
      <alignment horizontal="left" wrapText="1"/>
    </xf>
    <xf numFmtId="0" fontId="0" fillId="0" borderId="0" xfId="0" applyAlignment="1">
      <alignment horizontal="left" wrapText="1"/>
    </xf>
    <xf numFmtId="0" fontId="2" fillId="0" borderId="1" xfId="0" applyFont="1" applyBorder="1" applyAlignment="1">
      <alignment horizontal="center"/>
    </xf>
  </cellXfs>
  <cellStyles count="8">
    <cellStyle name="Comma" xfId="1" builtinId="3"/>
    <cellStyle name="Comma 2" xfId="6"/>
    <cellStyle name="Comma 4" xfId="4"/>
    <cellStyle name="Normal" xfId="0" builtinId="0"/>
    <cellStyle name="Normal 2 3 2" xfId="5"/>
    <cellStyle name="Normal 4_AA" xfId="3"/>
    <cellStyle name="Normal 4_IF" xfId="2"/>
    <cellStyle name="Normal 4_LD"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141</xdr:row>
      <xdr:rowOff>123825</xdr:rowOff>
    </xdr:from>
    <xdr:ext cx="3609975" cy="2430235"/>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945975"/>
          <a:ext cx="3609975" cy="2430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2524125</xdr:colOff>
      <xdr:row>141</xdr:row>
      <xdr:rowOff>28575</xdr:rowOff>
    </xdr:from>
    <xdr:ext cx="3880757" cy="2430235"/>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24850725"/>
          <a:ext cx="3880757" cy="2430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indexed="11"/>
    <pageSetUpPr fitToPage="1"/>
  </sheetPr>
  <dimension ref="A1:H215"/>
  <sheetViews>
    <sheetView tabSelected="1" zoomScaleNormal="100" workbookViewId="0">
      <pane xSplit="1" ySplit="3" topLeftCell="B112" activePane="bottomRight" state="frozen"/>
      <selection activeCell="A88" sqref="A88:E89"/>
      <selection pane="topRight" activeCell="A88" sqref="A88:E89"/>
      <selection pane="bottomLeft" activeCell="A88" sqref="A88:E89"/>
      <selection pane="bottomRight" sqref="A1:H1"/>
    </sheetView>
  </sheetViews>
  <sheetFormatPr defaultRowHeight="12.75" x14ac:dyDescent="0.2"/>
  <cols>
    <col min="1" max="1" width="56.42578125" style="4" bestFit="1" customWidth="1"/>
    <col min="2" max="2" width="40.42578125" style="3" customWidth="1"/>
    <col min="3" max="3" width="14.7109375" style="2" customWidth="1"/>
    <col min="4" max="4" width="13.42578125" style="1" customWidth="1"/>
    <col min="5" max="5" width="13.85546875" style="1" customWidth="1"/>
    <col min="6" max="6" width="13.85546875" style="1" bestFit="1" customWidth="1"/>
    <col min="7" max="7" width="7.5703125" style="1" bestFit="1" customWidth="1"/>
    <col min="8" max="8" width="10.42578125" style="1" bestFit="1" customWidth="1"/>
    <col min="9" max="16384" width="9.140625" style="1"/>
  </cols>
  <sheetData>
    <row r="1" spans="1:8" x14ac:dyDescent="0.2">
      <c r="A1" s="76" t="s">
        <v>180</v>
      </c>
      <c r="B1" s="76"/>
      <c r="C1" s="76"/>
      <c r="D1" s="76"/>
      <c r="E1" s="76"/>
      <c r="F1" s="76"/>
      <c r="G1" s="76"/>
      <c r="H1" s="76"/>
    </row>
    <row r="2" spans="1:8" x14ac:dyDescent="0.2">
      <c r="A2" s="75" t="s">
        <v>179</v>
      </c>
      <c r="B2" s="75"/>
      <c r="C2" s="75"/>
      <c r="D2" s="75"/>
      <c r="E2" s="75"/>
      <c r="F2" s="75"/>
      <c r="G2" s="76"/>
      <c r="H2" s="76"/>
    </row>
    <row r="3" spans="1:8" s="69" customFormat="1" ht="38.25" x14ac:dyDescent="0.2">
      <c r="A3" s="72" t="s">
        <v>178</v>
      </c>
      <c r="B3" s="74" t="s">
        <v>177</v>
      </c>
      <c r="C3" s="73" t="s">
        <v>57</v>
      </c>
      <c r="D3" s="72" t="s">
        <v>176</v>
      </c>
      <c r="E3" s="72" t="s">
        <v>175</v>
      </c>
      <c r="F3" s="72" t="s">
        <v>174</v>
      </c>
      <c r="G3" s="71" t="s">
        <v>173</v>
      </c>
      <c r="H3" s="70" t="s">
        <v>172</v>
      </c>
    </row>
    <row r="4" spans="1:8" x14ac:dyDescent="0.2">
      <c r="A4" s="51" t="s">
        <v>171</v>
      </c>
      <c r="B4" s="68"/>
      <c r="C4" s="67"/>
      <c r="D4" s="66"/>
      <c r="E4" s="66"/>
      <c r="F4" s="65"/>
      <c r="H4" s="54"/>
    </row>
    <row r="5" spans="1:8" x14ac:dyDescent="0.2">
      <c r="A5" s="52" t="s">
        <v>92</v>
      </c>
      <c r="B5" s="68"/>
      <c r="C5" s="67"/>
      <c r="D5" s="66"/>
      <c r="E5" s="66"/>
      <c r="F5" s="65"/>
      <c r="G5" s="12"/>
      <c r="H5" s="54"/>
    </row>
    <row r="6" spans="1:8" s="29" customFormat="1" x14ac:dyDescent="0.2">
      <c r="A6" s="34" t="s">
        <v>170</v>
      </c>
      <c r="B6" s="33" t="s">
        <v>99</v>
      </c>
      <c r="C6" s="32">
        <v>8375</v>
      </c>
      <c r="D6" s="31">
        <v>470.40281249999998</v>
      </c>
      <c r="E6" s="31">
        <f>(+D6/$D$70*100)</f>
        <v>7.4348278552346185</v>
      </c>
      <c r="F6" s="31" t="s">
        <v>169</v>
      </c>
      <c r="G6" s="55"/>
      <c r="H6" s="54"/>
    </row>
    <row r="7" spans="1:8" s="29" customFormat="1" x14ac:dyDescent="0.2">
      <c r="A7" s="34" t="s">
        <v>168</v>
      </c>
      <c r="B7" s="33" t="s">
        <v>113</v>
      </c>
      <c r="C7" s="32">
        <v>26800</v>
      </c>
      <c r="D7" s="31">
        <v>464.40379999999999</v>
      </c>
      <c r="E7" s="31">
        <f>(+D7/$D$70*100)</f>
        <v>7.3400120419492749</v>
      </c>
      <c r="F7" s="31" t="s">
        <v>167</v>
      </c>
      <c r="G7" s="55"/>
      <c r="H7" s="54"/>
    </row>
    <row r="8" spans="1:8" s="29" customFormat="1" x14ac:dyDescent="0.2">
      <c r="A8" s="34" t="s">
        <v>166</v>
      </c>
      <c r="B8" s="33" t="s">
        <v>165</v>
      </c>
      <c r="C8" s="32">
        <v>440000</v>
      </c>
      <c r="D8" s="31">
        <v>459.8</v>
      </c>
      <c r="E8" s="31">
        <f>(+D8/$D$70*100)</f>
        <v>7.2672478926491912</v>
      </c>
      <c r="F8" s="31" t="s">
        <v>164</v>
      </c>
      <c r="G8" s="55"/>
      <c r="H8" s="54"/>
    </row>
    <row r="9" spans="1:8" s="29" customFormat="1" x14ac:dyDescent="0.2">
      <c r="A9" s="34" t="s">
        <v>163</v>
      </c>
      <c r="B9" s="33" t="s">
        <v>162</v>
      </c>
      <c r="C9" s="32">
        <v>19500</v>
      </c>
      <c r="D9" s="31">
        <v>454.55475000000001</v>
      </c>
      <c r="E9" s="31">
        <f>(+D9/$D$70*100)</f>
        <v>7.1843454741869941</v>
      </c>
      <c r="F9" s="31" t="s">
        <v>161</v>
      </c>
      <c r="G9" s="55"/>
      <c r="H9" s="54"/>
    </row>
    <row r="10" spans="1:8" s="29" customFormat="1" x14ac:dyDescent="0.2">
      <c r="A10" s="34" t="s">
        <v>160</v>
      </c>
      <c r="B10" s="33" t="s">
        <v>159</v>
      </c>
      <c r="C10" s="32">
        <v>8925</v>
      </c>
      <c r="D10" s="31">
        <v>286.126575</v>
      </c>
      <c r="E10" s="31">
        <f>(+D10/$D$70*100)</f>
        <v>4.522298280121098</v>
      </c>
      <c r="F10" s="31" t="s">
        <v>158</v>
      </c>
      <c r="G10" s="55"/>
      <c r="H10" s="54"/>
    </row>
    <row r="11" spans="1:8" s="29" customFormat="1" x14ac:dyDescent="0.2">
      <c r="A11" s="34" t="s">
        <v>157</v>
      </c>
      <c r="B11" s="33" t="s">
        <v>156</v>
      </c>
      <c r="C11" s="32">
        <v>145125</v>
      </c>
      <c r="D11" s="31">
        <v>276.10031249999997</v>
      </c>
      <c r="E11" s="31">
        <f>(+D11/$D$70*100)</f>
        <v>4.3638308268277681</v>
      </c>
      <c r="F11" s="31" t="s">
        <v>155</v>
      </c>
      <c r="G11" s="55"/>
      <c r="H11" s="54"/>
    </row>
    <row r="12" spans="1:8" s="29" customFormat="1" x14ac:dyDescent="0.2">
      <c r="A12" s="34" t="s">
        <v>154</v>
      </c>
      <c r="B12" s="33" t="s">
        <v>113</v>
      </c>
      <c r="C12" s="32">
        <v>31200</v>
      </c>
      <c r="D12" s="31">
        <v>267.85199999999998</v>
      </c>
      <c r="E12" s="31">
        <f>(+D12/$D$70*100)</f>
        <v>4.2334642943494361</v>
      </c>
      <c r="F12" s="31" t="s">
        <v>153</v>
      </c>
      <c r="G12" s="55"/>
      <c r="H12" s="54"/>
    </row>
    <row r="13" spans="1:8" s="29" customFormat="1" x14ac:dyDescent="0.2">
      <c r="A13" s="34" t="s">
        <v>152</v>
      </c>
      <c r="B13" s="33" t="s">
        <v>151</v>
      </c>
      <c r="C13" s="32">
        <v>117000</v>
      </c>
      <c r="D13" s="31">
        <v>250.7895</v>
      </c>
      <c r="E13" s="31">
        <f>(+D13/$D$70*100)</f>
        <v>3.9637874410037939</v>
      </c>
      <c r="F13" s="31" t="s">
        <v>150</v>
      </c>
      <c r="G13" s="55"/>
      <c r="H13" s="54"/>
    </row>
    <row r="14" spans="1:8" s="29" customFormat="1" x14ac:dyDescent="0.2">
      <c r="A14" s="34" t="s">
        <v>149</v>
      </c>
      <c r="B14" s="33" t="s">
        <v>99</v>
      </c>
      <c r="C14" s="32">
        <v>18500</v>
      </c>
      <c r="D14" s="31">
        <v>234.30250000000001</v>
      </c>
      <c r="E14" s="31">
        <f>(+D14/$D$70*100)</f>
        <v>3.7032065014515814</v>
      </c>
      <c r="F14" s="31" t="s">
        <v>148</v>
      </c>
      <c r="G14" s="55"/>
      <c r="H14" s="54"/>
    </row>
    <row r="15" spans="1:8" s="29" customFormat="1" x14ac:dyDescent="0.2">
      <c r="A15" s="34" t="s">
        <v>147</v>
      </c>
      <c r="B15" s="33" t="s">
        <v>105</v>
      </c>
      <c r="C15" s="32">
        <v>24700</v>
      </c>
      <c r="D15" s="31">
        <v>222.42349999999999</v>
      </c>
      <c r="E15" s="31">
        <f>(+D15/$D$70*100)</f>
        <v>3.5154560931941221</v>
      </c>
      <c r="F15" s="31" t="s">
        <v>146</v>
      </c>
      <c r="G15" s="55"/>
      <c r="H15" s="54"/>
    </row>
    <row r="16" spans="1:8" s="29" customFormat="1" x14ac:dyDescent="0.2">
      <c r="A16" s="34" t="s">
        <v>145</v>
      </c>
      <c r="B16" s="33" t="s">
        <v>113</v>
      </c>
      <c r="C16" s="32">
        <v>23100</v>
      </c>
      <c r="D16" s="31">
        <v>202.64474999999999</v>
      </c>
      <c r="E16" s="31">
        <f>(+D16/$D$70*100)</f>
        <v>3.2028482653195347</v>
      </c>
      <c r="F16" s="31" t="s">
        <v>144</v>
      </c>
      <c r="G16" s="55"/>
      <c r="H16" s="54"/>
    </row>
    <row r="17" spans="1:8" s="29" customFormat="1" x14ac:dyDescent="0.2">
      <c r="A17" s="34" t="s">
        <v>143</v>
      </c>
      <c r="B17" s="33" t="s">
        <v>105</v>
      </c>
      <c r="C17" s="32">
        <v>62700</v>
      </c>
      <c r="D17" s="31">
        <v>183.67965000000001</v>
      </c>
      <c r="E17" s="31">
        <f>(+D17/$D$70*100)</f>
        <v>2.903100368388519</v>
      </c>
      <c r="F17" s="31" t="s">
        <v>142</v>
      </c>
      <c r="G17" s="55"/>
      <c r="H17" s="54"/>
    </row>
    <row r="18" spans="1:8" s="29" customFormat="1" x14ac:dyDescent="0.2">
      <c r="A18" s="34" t="s">
        <v>141</v>
      </c>
      <c r="B18" s="33" t="s">
        <v>99</v>
      </c>
      <c r="C18" s="32">
        <v>6300</v>
      </c>
      <c r="D18" s="31">
        <v>165.40649999999999</v>
      </c>
      <c r="E18" s="31">
        <f>(+D18/$D$70*100)</f>
        <v>2.6142889050793356</v>
      </c>
      <c r="F18" s="31" t="s">
        <v>140</v>
      </c>
      <c r="G18" s="55"/>
      <c r="H18" s="54"/>
    </row>
    <row r="19" spans="1:8" s="29" customFormat="1" x14ac:dyDescent="0.2">
      <c r="A19" s="34" t="s">
        <v>139</v>
      </c>
      <c r="B19" s="33" t="s">
        <v>105</v>
      </c>
      <c r="C19" s="32">
        <v>62100</v>
      </c>
      <c r="D19" s="31">
        <v>128.14335</v>
      </c>
      <c r="E19" s="31">
        <f>(+D19/$D$70*100)</f>
        <v>2.0253359944421656</v>
      </c>
      <c r="F19" s="31" t="s">
        <v>138</v>
      </c>
      <c r="G19" s="55"/>
      <c r="H19" s="54"/>
    </row>
    <row r="20" spans="1:8" s="29" customFormat="1" x14ac:dyDescent="0.2">
      <c r="A20" s="34" t="s">
        <v>137</v>
      </c>
      <c r="B20" s="33" t="s">
        <v>136</v>
      </c>
      <c r="C20" s="32">
        <v>33000</v>
      </c>
      <c r="D20" s="31">
        <v>117.711</v>
      </c>
      <c r="E20" s="31">
        <f>(+D20/$D$70*100)</f>
        <v>1.8604502320392104</v>
      </c>
      <c r="F20" s="31" t="s">
        <v>135</v>
      </c>
      <c r="G20" s="55"/>
      <c r="H20" s="54"/>
    </row>
    <row r="21" spans="1:8" s="29" customFormat="1" x14ac:dyDescent="0.2">
      <c r="A21" s="34" t="s">
        <v>134</v>
      </c>
      <c r="B21" s="33" t="s">
        <v>105</v>
      </c>
      <c r="C21" s="32">
        <v>36000</v>
      </c>
      <c r="D21" s="31">
        <v>104.652</v>
      </c>
      <c r="E21" s="31">
        <f>(+D21/$D$70*100)</f>
        <v>1.6540496443269315</v>
      </c>
      <c r="F21" s="31" t="s">
        <v>133</v>
      </c>
      <c r="G21" s="55"/>
      <c r="H21" s="54"/>
    </row>
    <row r="22" spans="1:8" s="29" customFormat="1" x14ac:dyDescent="0.2">
      <c r="A22" s="34" t="s">
        <v>132</v>
      </c>
      <c r="B22" s="33" t="s">
        <v>131</v>
      </c>
      <c r="C22" s="32">
        <v>60000</v>
      </c>
      <c r="D22" s="31">
        <v>83.52</v>
      </c>
      <c r="E22" s="31">
        <f>(+D22/$D$70*100)</f>
        <v>1.3200533797173997</v>
      </c>
      <c r="F22" s="31" t="s">
        <v>130</v>
      </c>
      <c r="G22" s="55"/>
      <c r="H22" s="54"/>
    </row>
    <row r="23" spans="1:8" s="29" customFormat="1" x14ac:dyDescent="0.2">
      <c r="A23" s="34" t="s">
        <v>129</v>
      </c>
      <c r="B23" s="33" t="s">
        <v>128</v>
      </c>
      <c r="C23" s="32">
        <v>10625</v>
      </c>
      <c r="D23" s="31">
        <v>80.356875000000002</v>
      </c>
      <c r="E23" s="31">
        <f>(+D23/$D$70*100)</f>
        <v>1.2700594399817844</v>
      </c>
      <c r="F23" s="31" t="s">
        <v>127</v>
      </c>
      <c r="G23" s="55"/>
      <c r="H23" s="54"/>
    </row>
    <row r="24" spans="1:8" s="29" customFormat="1" x14ac:dyDescent="0.2">
      <c r="A24" s="34" t="s">
        <v>126</v>
      </c>
      <c r="B24" s="33" t="s">
        <v>125</v>
      </c>
      <c r="C24" s="32">
        <v>6000</v>
      </c>
      <c r="D24" s="31">
        <v>74.73</v>
      </c>
      <c r="E24" s="31">
        <f>(+D24/$D$70*100)</f>
        <v>1.1811253480158201</v>
      </c>
      <c r="F24" s="31" t="s">
        <v>124</v>
      </c>
      <c r="G24" s="55"/>
      <c r="H24" s="54"/>
    </row>
    <row r="25" spans="1:8" s="29" customFormat="1" x14ac:dyDescent="0.2">
      <c r="A25" s="34" t="s">
        <v>123</v>
      </c>
      <c r="B25" s="33" t="s">
        <v>116</v>
      </c>
      <c r="C25" s="32">
        <v>2200</v>
      </c>
      <c r="D25" s="31">
        <v>60.756300000000003</v>
      </c>
      <c r="E25" s="31">
        <f>(+D25/$D$70*100)</f>
        <v>0.96026771017869095</v>
      </c>
      <c r="F25" s="31" t="s">
        <v>122</v>
      </c>
      <c r="G25" s="55"/>
      <c r="H25" s="54"/>
    </row>
    <row r="26" spans="1:8" s="29" customFormat="1" x14ac:dyDescent="0.2">
      <c r="A26" s="34" t="s">
        <v>121</v>
      </c>
      <c r="B26" s="33" t="s">
        <v>116</v>
      </c>
      <c r="C26" s="32">
        <v>2250</v>
      </c>
      <c r="D26" s="31">
        <v>56.585250000000002</v>
      </c>
      <c r="E26" s="31">
        <f>(+D26/$D$70*100)</f>
        <v>0.8943432771151103</v>
      </c>
      <c r="F26" s="31" t="s">
        <v>120</v>
      </c>
      <c r="G26" s="55"/>
      <c r="H26" s="54"/>
    </row>
    <row r="27" spans="1:8" s="29" customFormat="1" x14ac:dyDescent="0.2">
      <c r="A27" s="34" t="s">
        <v>119</v>
      </c>
      <c r="B27" s="33" t="s">
        <v>113</v>
      </c>
      <c r="C27" s="32">
        <v>10500</v>
      </c>
      <c r="D27" s="31">
        <v>54.993749999999999</v>
      </c>
      <c r="E27" s="31">
        <f>(+D27/$D$70*100)</f>
        <v>0.8691892427063429</v>
      </c>
      <c r="F27" s="31" t="s">
        <v>118</v>
      </c>
      <c r="G27" s="55"/>
      <c r="H27" s="54"/>
    </row>
    <row r="28" spans="1:8" s="29" customFormat="1" x14ac:dyDescent="0.2">
      <c r="A28" s="34" t="s">
        <v>117</v>
      </c>
      <c r="B28" s="33" t="s">
        <v>116</v>
      </c>
      <c r="C28" s="32">
        <v>3575</v>
      </c>
      <c r="D28" s="31">
        <v>50.7060125</v>
      </c>
      <c r="E28" s="31">
        <f>(+D28/$D$70*100)</f>
        <v>0.80142053607061459</v>
      </c>
      <c r="F28" s="31" t="s">
        <v>115</v>
      </c>
      <c r="G28" s="55"/>
      <c r="H28" s="54"/>
    </row>
    <row r="29" spans="1:8" s="29" customFormat="1" x14ac:dyDescent="0.2">
      <c r="A29" s="34" t="s">
        <v>114</v>
      </c>
      <c r="B29" s="33" t="s">
        <v>113</v>
      </c>
      <c r="C29" s="32">
        <v>4050</v>
      </c>
      <c r="D29" s="31">
        <v>43.251975000000002</v>
      </c>
      <c r="E29" s="31">
        <f>(+D29/$D$70*100)</f>
        <v>0.68360770807234772</v>
      </c>
      <c r="F29" s="31" t="s">
        <v>112</v>
      </c>
      <c r="G29" s="55"/>
      <c r="H29" s="54"/>
    </row>
    <row r="30" spans="1:8" s="29" customFormat="1" x14ac:dyDescent="0.2">
      <c r="A30" s="34" t="s">
        <v>111</v>
      </c>
      <c r="B30" s="33" t="s">
        <v>110</v>
      </c>
      <c r="C30" s="32">
        <v>7700</v>
      </c>
      <c r="D30" s="31">
        <v>38.438400000000001</v>
      </c>
      <c r="E30" s="31">
        <f>(+D30/$D$70*100)</f>
        <v>0.60752801521706545</v>
      </c>
      <c r="F30" s="31" t="s">
        <v>109</v>
      </c>
      <c r="G30" s="55"/>
      <c r="H30" s="54"/>
    </row>
    <row r="31" spans="1:8" s="29" customFormat="1" x14ac:dyDescent="0.2">
      <c r="A31" s="34" t="s">
        <v>108</v>
      </c>
      <c r="B31" s="33" t="s">
        <v>99</v>
      </c>
      <c r="C31" s="32">
        <v>4400</v>
      </c>
      <c r="D31" s="31">
        <v>29.8474</v>
      </c>
      <c r="E31" s="31">
        <f>(+D31/$D$70*100)</f>
        <v>0.47174522564388316</v>
      </c>
      <c r="F31" s="31" t="s">
        <v>107</v>
      </c>
      <c r="G31" s="55"/>
      <c r="H31" s="54"/>
    </row>
    <row r="32" spans="1:8" s="29" customFormat="1" x14ac:dyDescent="0.2">
      <c r="A32" s="34" t="s">
        <v>106</v>
      </c>
      <c r="B32" s="33" t="s">
        <v>105</v>
      </c>
      <c r="C32" s="32">
        <v>2000</v>
      </c>
      <c r="D32" s="31">
        <v>10.362</v>
      </c>
      <c r="E32" s="31">
        <f>(+D32/$D$70*100)</f>
        <v>0.16377386399223776</v>
      </c>
      <c r="F32" s="31" t="s">
        <v>104</v>
      </c>
      <c r="G32" s="55"/>
      <c r="H32" s="54"/>
    </row>
    <row r="33" spans="1:8" s="29" customFormat="1" x14ac:dyDescent="0.2">
      <c r="A33" s="34" t="s">
        <v>103</v>
      </c>
      <c r="B33" s="33" t="s">
        <v>102</v>
      </c>
      <c r="C33" s="32">
        <v>300</v>
      </c>
      <c r="D33" s="31">
        <v>7.6810499999999999</v>
      </c>
      <c r="E33" s="31">
        <f>(+D33/$D$70*100)</f>
        <v>0.12140081432325592</v>
      </c>
      <c r="F33" s="31" t="s">
        <v>101</v>
      </c>
      <c r="G33" s="55"/>
      <c r="H33" s="54"/>
    </row>
    <row r="34" spans="1:8" s="29" customFormat="1" x14ac:dyDescent="0.2">
      <c r="A34" s="34" t="s">
        <v>100</v>
      </c>
      <c r="B34" s="33" t="s">
        <v>99</v>
      </c>
      <c r="C34" s="32">
        <v>8924</v>
      </c>
      <c r="D34" s="31">
        <v>7.3221419999999995</v>
      </c>
      <c r="E34" s="31">
        <f>(+D34/$D$70*100)</f>
        <v>0.11572818838446745</v>
      </c>
      <c r="F34" s="31" t="s">
        <v>98</v>
      </c>
      <c r="G34" s="55"/>
      <c r="H34" s="54"/>
    </row>
    <row r="35" spans="1:8" s="29" customFormat="1" x14ac:dyDescent="0.2">
      <c r="A35" s="34" t="s">
        <v>97</v>
      </c>
      <c r="B35" s="33" t="s">
        <v>96</v>
      </c>
      <c r="C35" s="32">
        <v>500</v>
      </c>
      <c r="D35" s="31">
        <v>4.8622500000000004</v>
      </c>
      <c r="E35" s="31">
        <f>(+D35/$D$70*100)</f>
        <v>7.6849012757793669E-2</v>
      </c>
      <c r="F35" s="31" t="s">
        <v>95</v>
      </c>
      <c r="G35" s="55"/>
      <c r="H35" s="54"/>
    </row>
    <row r="36" spans="1:8" s="29" customFormat="1" x14ac:dyDescent="0.2">
      <c r="A36" s="52" t="s">
        <v>69</v>
      </c>
      <c r="B36" s="33"/>
      <c r="C36" s="32"/>
      <c r="D36" s="63">
        <f>IF(ISERROR(SUM(D6:D35)),0,SUM(D6:D35))</f>
        <v>4892.4064044999996</v>
      </c>
      <c r="E36" s="63">
        <f>IF(ISERROR(SUM(E6:E35)),0,SUM(E6:E35))</f>
        <v>77.325641872740377</v>
      </c>
      <c r="F36" s="63"/>
      <c r="G36" s="55"/>
      <c r="H36" s="54"/>
    </row>
    <row r="37" spans="1:8" s="29" customFormat="1" x14ac:dyDescent="0.2">
      <c r="A37" s="52"/>
      <c r="B37" s="52"/>
      <c r="C37" s="61"/>
      <c r="D37" s="64"/>
      <c r="E37" s="64"/>
      <c r="F37" s="64"/>
      <c r="G37" s="55"/>
      <c r="H37" s="54"/>
    </row>
    <row r="38" spans="1:8" s="29" customFormat="1" x14ac:dyDescent="0.2">
      <c r="A38" s="52" t="s">
        <v>94</v>
      </c>
      <c r="B38" s="52"/>
      <c r="C38" s="61"/>
      <c r="D38" s="49" t="s">
        <v>87</v>
      </c>
      <c r="E38" s="49" t="s">
        <v>87</v>
      </c>
      <c r="F38" s="49"/>
      <c r="G38" s="55"/>
      <c r="H38" s="54"/>
    </row>
    <row r="39" spans="1:8" s="29" customFormat="1" x14ac:dyDescent="0.2">
      <c r="A39" s="52"/>
      <c r="B39" s="51"/>
      <c r="C39" s="61"/>
      <c r="D39" s="49"/>
      <c r="E39" s="49"/>
      <c r="F39" s="23"/>
      <c r="G39" s="55"/>
      <c r="H39" s="54"/>
    </row>
    <row r="40" spans="1:8" s="29" customFormat="1" x14ac:dyDescent="0.2">
      <c r="A40" s="52" t="s">
        <v>68</v>
      </c>
      <c r="B40" s="52"/>
      <c r="C40" s="61"/>
      <c r="D40" s="63">
        <f>IF(ISERROR(+D36),0,D36)+IF(ISERROR(+#REF!),0,#REF!)</f>
        <v>4892.4064044999996</v>
      </c>
      <c r="E40" s="63">
        <f>IF(ISERROR(+E36),0,E36)+IF(ISERROR(+#REF!),0,#REF!)</f>
        <v>77.325641872740377</v>
      </c>
      <c r="F40" s="62"/>
      <c r="G40" s="55"/>
      <c r="H40" s="54"/>
    </row>
    <row r="41" spans="1:8" s="29" customFormat="1" x14ac:dyDescent="0.2">
      <c r="A41" s="52"/>
      <c r="B41" s="51"/>
      <c r="C41" s="61"/>
      <c r="D41" s="49"/>
      <c r="E41" s="49"/>
      <c r="F41" s="23"/>
      <c r="G41" s="55"/>
      <c r="H41" s="54"/>
    </row>
    <row r="42" spans="1:8" s="29" customFormat="1" x14ac:dyDescent="0.2">
      <c r="A42" s="52" t="s">
        <v>93</v>
      </c>
      <c r="B42" s="51"/>
      <c r="C42" s="61"/>
      <c r="D42" s="49"/>
      <c r="E42" s="49"/>
      <c r="F42" s="23"/>
      <c r="G42" s="55"/>
      <c r="H42" s="54"/>
    </row>
    <row r="43" spans="1:8" s="29" customFormat="1" x14ac:dyDescent="0.2">
      <c r="A43" s="52" t="s">
        <v>92</v>
      </c>
      <c r="B43" s="51"/>
      <c r="C43" s="61"/>
      <c r="D43" s="49" t="s">
        <v>87</v>
      </c>
      <c r="E43" s="49" t="s">
        <v>87</v>
      </c>
      <c r="F43" s="53"/>
      <c r="G43" s="55"/>
      <c r="H43" s="54"/>
    </row>
    <row r="44" spans="1:8" s="29" customFormat="1" x14ac:dyDescent="0.2">
      <c r="A44" s="52"/>
      <c r="B44" s="51"/>
      <c r="C44" s="50"/>
      <c r="D44" s="53"/>
      <c r="E44" s="53"/>
      <c r="F44" s="53"/>
      <c r="G44" s="12"/>
      <c r="H44" s="54"/>
    </row>
    <row r="45" spans="1:8" s="29" customFormat="1" x14ac:dyDescent="0.2">
      <c r="A45" s="52" t="s">
        <v>91</v>
      </c>
      <c r="B45" s="51"/>
      <c r="C45" s="50"/>
      <c r="D45" s="49" t="s">
        <v>87</v>
      </c>
      <c r="E45" s="49" t="s">
        <v>87</v>
      </c>
      <c r="F45" s="23"/>
      <c r="G45" s="12"/>
      <c r="H45" s="54"/>
    </row>
    <row r="46" spans="1:8" s="29" customFormat="1" x14ac:dyDescent="0.2">
      <c r="A46" s="52"/>
      <c r="B46" s="51"/>
      <c r="C46" s="50"/>
      <c r="D46" s="49"/>
      <c r="E46" s="49"/>
      <c r="F46" s="49"/>
      <c r="G46" s="12"/>
      <c r="H46" s="54"/>
    </row>
    <row r="47" spans="1:8" s="29" customFormat="1" x14ac:dyDescent="0.2">
      <c r="A47" s="52" t="s">
        <v>90</v>
      </c>
      <c r="B47" s="51"/>
      <c r="C47" s="50"/>
      <c r="D47" s="49"/>
      <c r="E47" s="49"/>
      <c r="F47" s="49"/>
      <c r="G47" s="12"/>
      <c r="H47" s="54"/>
    </row>
    <row r="48" spans="1:8" s="29" customFormat="1" x14ac:dyDescent="0.2">
      <c r="A48" s="52"/>
      <c r="B48" s="51"/>
      <c r="C48" s="50"/>
      <c r="D48" s="49"/>
      <c r="E48" s="49"/>
      <c r="F48" s="49"/>
      <c r="G48" s="12"/>
      <c r="H48" s="54"/>
    </row>
    <row r="49" spans="1:8" s="29" customFormat="1" x14ac:dyDescent="0.2">
      <c r="A49" s="52" t="s">
        <v>89</v>
      </c>
      <c r="B49" s="51"/>
      <c r="C49" s="50"/>
      <c r="D49" s="49" t="s">
        <v>87</v>
      </c>
      <c r="E49" s="49" t="s">
        <v>87</v>
      </c>
      <c r="F49" s="49"/>
      <c r="G49" s="12"/>
      <c r="H49" s="54"/>
    </row>
    <row r="50" spans="1:8" s="29" customFormat="1" x14ac:dyDescent="0.2">
      <c r="A50" s="52"/>
      <c r="B50" s="51"/>
      <c r="C50" s="50"/>
      <c r="D50" s="49"/>
      <c r="E50" s="49"/>
      <c r="F50" s="49"/>
      <c r="G50" s="12"/>
      <c r="H50" s="54"/>
    </row>
    <row r="51" spans="1:8" s="29" customFormat="1" x14ac:dyDescent="0.2">
      <c r="A51" s="52" t="s">
        <v>88</v>
      </c>
      <c r="B51" s="51"/>
      <c r="C51" s="50"/>
      <c r="D51" s="49" t="s">
        <v>87</v>
      </c>
      <c r="E51" s="49" t="s">
        <v>87</v>
      </c>
      <c r="F51" s="49"/>
      <c r="G51" s="12"/>
      <c r="H51" s="54"/>
    </row>
    <row r="52" spans="1:8" s="29" customFormat="1" x14ac:dyDescent="0.2">
      <c r="A52" s="52"/>
      <c r="B52" s="51"/>
      <c r="C52" s="50"/>
      <c r="D52" s="49"/>
      <c r="E52" s="49"/>
      <c r="F52" s="49"/>
      <c r="G52" s="12"/>
      <c r="H52" s="54"/>
    </row>
    <row r="53" spans="1:8" s="29" customFormat="1" x14ac:dyDescent="0.2">
      <c r="A53" s="52" t="s">
        <v>86</v>
      </c>
      <c r="B53" s="51"/>
      <c r="C53" s="50"/>
      <c r="D53" s="49"/>
      <c r="E53" s="49"/>
      <c r="F53" s="23"/>
      <c r="G53" s="12"/>
      <c r="H53" s="54"/>
    </row>
    <row r="54" spans="1:8" s="29" customFormat="1" x14ac:dyDescent="0.2">
      <c r="A54" s="60" t="s">
        <v>85</v>
      </c>
      <c r="B54" s="33"/>
      <c r="C54" s="32"/>
      <c r="D54" s="31"/>
      <c r="E54" s="31"/>
      <c r="F54" s="31"/>
      <c r="G54" s="12"/>
      <c r="H54" s="54"/>
    </row>
    <row r="55" spans="1:8" s="29" customFormat="1" x14ac:dyDescent="0.2">
      <c r="A55" s="34" t="s">
        <v>84</v>
      </c>
      <c r="B55" s="33" t="s">
        <v>73</v>
      </c>
      <c r="C55" s="32">
        <v>500000</v>
      </c>
      <c r="D55" s="31">
        <v>491.76650000000001</v>
      </c>
      <c r="E55" s="31">
        <f>(+D55/$D$70*100)</f>
        <v>7.7724859956513015</v>
      </c>
      <c r="F55" s="31" t="s">
        <v>83</v>
      </c>
      <c r="G55" s="55">
        <v>6.8666</v>
      </c>
      <c r="H55" s="54"/>
    </row>
    <row r="56" spans="1:8" s="29" customFormat="1" x14ac:dyDescent="0.2">
      <c r="A56" s="34" t="s">
        <v>82</v>
      </c>
      <c r="B56" s="33" t="s">
        <v>73</v>
      </c>
      <c r="C56" s="32">
        <v>500000</v>
      </c>
      <c r="D56" s="31">
        <v>487.61700000000002</v>
      </c>
      <c r="E56" s="31">
        <f>(+D56/$D$70*100)</f>
        <v>7.706902165441325</v>
      </c>
      <c r="F56" s="31" t="s">
        <v>81</v>
      </c>
      <c r="G56" s="55">
        <v>7.0757000000000003</v>
      </c>
      <c r="H56" s="54"/>
    </row>
    <row r="57" spans="1:8" s="29" customFormat="1" x14ac:dyDescent="0.2">
      <c r="A57" s="34" t="s">
        <v>80</v>
      </c>
      <c r="B57" s="33" t="s">
        <v>73</v>
      </c>
      <c r="C57" s="32">
        <v>100000</v>
      </c>
      <c r="D57" s="31">
        <v>99.011300000000006</v>
      </c>
      <c r="E57" s="31">
        <f>(+D57/$D$70*100)</f>
        <v>1.5648970449618462</v>
      </c>
      <c r="F57" s="31" t="s">
        <v>79</v>
      </c>
      <c r="G57" s="55">
        <v>6.75</v>
      </c>
      <c r="H57" s="54"/>
    </row>
    <row r="58" spans="1:8" s="29" customFormat="1" x14ac:dyDescent="0.2">
      <c r="A58" s="34" t="s">
        <v>78</v>
      </c>
      <c r="B58" s="33" t="s">
        <v>73</v>
      </c>
      <c r="C58" s="32">
        <v>100000</v>
      </c>
      <c r="D58" s="31">
        <v>98.872299999999996</v>
      </c>
      <c r="E58" s="31">
        <f>(+D58/$D$70*100)</f>
        <v>1.5627001170430157</v>
      </c>
      <c r="F58" s="31" t="s">
        <v>77</v>
      </c>
      <c r="G58" s="55">
        <v>6.8250000000000002</v>
      </c>
      <c r="H58" s="54"/>
    </row>
    <row r="59" spans="1:8" s="29" customFormat="1" x14ac:dyDescent="0.2">
      <c r="A59" s="34" t="s">
        <v>76</v>
      </c>
      <c r="B59" s="33" t="s">
        <v>73</v>
      </c>
      <c r="C59" s="32">
        <v>100000</v>
      </c>
      <c r="D59" s="31">
        <v>96.856999999999999</v>
      </c>
      <c r="E59" s="31">
        <f>(+D59/$D$70*100)</f>
        <v>1.5308478232673395</v>
      </c>
      <c r="F59" s="31" t="s">
        <v>75</v>
      </c>
      <c r="G59" s="55">
        <v>7.1351000000000004</v>
      </c>
      <c r="H59" s="54"/>
    </row>
    <row r="60" spans="1:8" s="29" customFormat="1" x14ac:dyDescent="0.2">
      <c r="A60" s="34" t="s">
        <v>74</v>
      </c>
      <c r="B60" s="33" t="s">
        <v>73</v>
      </c>
      <c r="C60" s="32">
        <v>10000</v>
      </c>
      <c r="D60" s="31">
        <v>9.9271100000000008</v>
      </c>
      <c r="E60" s="31">
        <f>(+D60/$D$70*100)</f>
        <v>0.15690032454892719</v>
      </c>
      <c r="F60" s="31" t="s">
        <v>72</v>
      </c>
      <c r="G60" s="55">
        <v>6.7</v>
      </c>
      <c r="H60" s="54"/>
    </row>
    <row r="61" spans="1:8" s="29" customFormat="1" x14ac:dyDescent="0.2">
      <c r="A61" s="52" t="s">
        <v>69</v>
      </c>
      <c r="B61" s="58"/>
      <c r="C61" s="57"/>
      <c r="D61" s="49">
        <f>IF(ISERROR(SUM(D54:D60)),0,SUM(D54:D60))</f>
        <v>1284.0512100000001</v>
      </c>
      <c r="E61" s="49">
        <f>IF(ISERROR(SUM(E54:E60)),0,SUM(E54:E60))</f>
        <v>20.294733470913755</v>
      </c>
      <c r="F61" s="59"/>
      <c r="G61" s="12"/>
      <c r="H61" s="54"/>
    </row>
    <row r="62" spans="1:8" s="29" customFormat="1" x14ac:dyDescent="0.2">
      <c r="A62" s="52"/>
      <c r="B62" s="58"/>
      <c r="C62" s="57"/>
      <c r="D62" s="53"/>
      <c r="E62" s="53"/>
      <c r="F62" s="56"/>
      <c r="G62" s="12"/>
      <c r="H62" s="54"/>
    </row>
    <row r="63" spans="1:8" s="29" customFormat="1" x14ac:dyDescent="0.2">
      <c r="A63" s="34" t="s">
        <v>71</v>
      </c>
      <c r="B63" s="33"/>
      <c r="C63" s="32">
        <v>0</v>
      </c>
      <c r="D63" s="31">
        <v>119</v>
      </c>
      <c r="E63" s="31">
        <f>(+D63/$D$70*100)</f>
        <v>1.8808231823080768</v>
      </c>
      <c r="F63" s="31" t="s">
        <v>70</v>
      </c>
      <c r="G63" s="12">
        <v>6.7727000000000004</v>
      </c>
      <c r="H63" s="54"/>
    </row>
    <row r="64" spans="1:8" s="29" customFormat="1" x14ac:dyDescent="0.2">
      <c r="A64" s="52" t="s">
        <v>69</v>
      </c>
      <c r="B64" s="51"/>
      <c r="C64" s="50"/>
      <c r="D64" s="49">
        <f>IF(ISERROR(SUM(D63:D63)),0,SUM(D63:D63))</f>
        <v>119</v>
      </c>
      <c r="E64" s="49">
        <f>IF(ISERROR(SUM(E63:E63)),0,SUM(E63:E63))</f>
        <v>1.8808231823080768</v>
      </c>
      <c r="F64" s="31"/>
      <c r="G64" s="12"/>
      <c r="H64" s="54"/>
    </row>
    <row r="65" spans="1:8" s="29" customFormat="1" x14ac:dyDescent="0.2">
      <c r="A65" s="52"/>
      <c r="B65" s="51"/>
      <c r="C65" s="50"/>
      <c r="D65" s="49"/>
      <c r="E65" s="49"/>
      <c r="F65" s="49"/>
      <c r="G65" s="12"/>
      <c r="H65" s="54"/>
    </row>
    <row r="66" spans="1:8" s="29" customFormat="1" x14ac:dyDescent="0.2">
      <c r="A66" s="52" t="s">
        <v>68</v>
      </c>
      <c r="B66" s="51"/>
      <c r="C66" s="50" t="s">
        <v>67</v>
      </c>
      <c r="D66" s="49">
        <f>+IF(ISERROR(#REF!),0,#REF!)+IF(ISERROR(D64),0,D64)+IF(ISERROR(D40),0,D40)+IF(ISERROR(#REF!),0,#REF!)+IF(ISERROR(#REF!),0,#REF!)+IF(ISERROR(D61),0,D61)+IF(ISERROR(#REF!),0,#REF!)+IF(ISERROR(#REF!),0,#REF!)+IF(ISERROR(#REF!),0,#REF!)</f>
        <v>6295.4576144999992</v>
      </c>
      <c r="E66" s="49">
        <f>+IF(ISERROR(#REF!),0,#REF!)+IF(ISERROR(E64),0,E64)+IF(ISERROR(E40),0,E40)+IF(ISERROR(#REF!),0,#REF!)+IF(ISERROR(#REF!),0,#REF!)+IF(ISERROR(E61),0,E61)+IF(ISERROR(#REF!),0,#REF!)+IF(ISERROR(#REF!),0,#REF!)+IF(ISERROR(#REF!),0,#REF!)</f>
        <v>99.501198525962209</v>
      </c>
      <c r="F66" s="49">
        <f>+IF(ISERROR(#REF!),0,#REF!)+IF(ISERROR(F64),0,F64)+IF(ISERROR(F40),0,F40)+IF(ISERROR(#REF!),0,#REF!)+IF(ISERROR(#REF!),0,#REF!)+IF(ISERROR(F61),0,F61)+IF(ISERROR(#REF!),0,#REF!)</f>
        <v>0</v>
      </c>
      <c r="G66" s="12"/>
      <c r="H66" s="54"/>
    </row>
    <row r="67" spans="1:8" s="29" customFormat="1" x14ac:dyDescent="0.2">
      <c r="A67" s="52"/>
      <c r="B67" s="51"/>
      <c r="C67" s="50"/>
      <c r="D67" s="49"/>
      <c r="E67" s="49"/>
      <c r="F67" s="35"/>
      <c r="G67" s="35"/>
      <c r="H67" s="35"/>
    </row>
    <row r="68" spans="1:8" s="29" customFormat="1" x14ac:dyDescent="0.2">
      <c r="A68" s="52" t="s">
        <v>66</v>
      </c>
      <c r="B68" s="51"/>
      <c r="C68" s="50"/>
      <c r="D68" s="49">
        <f>+D70-D66</f>
        <v>31.559253399703266</v>
      </c>
      <c r="E68" s="49">
        <f>D68/$D$70*100</f>
        <v>0.49880147403778896</v>
      </c>
      <c r="F68" s="35"/>
      <c r="G68" s="35"/>
      <c r="H68" s="35"/>
    </row>
    <row r="69" spans="1:8" s="29" customFormat="1" x14ac:dyDescent="0.2">
      <c r="A69" s="52"/>
      <c r="B69" s="51"/>
      <c r="C69" s="50"/>
      <c r="D69" s="53"/>
      <c r="E69" s="53"/>
      <c r="F69" s="35"/>
      <c r="G69" s="35"/>
      <c r="H69" s="35"/>
    </row>
    <row r="70" spans="1:8" s="29" customFormat="1" x14ac:dyDescent="0.2">
      <c r="A70" s="52" t="s">
        <v>65</v>
      </c>
      <c r="B70" s="51"/>
      <c r="C70" s="50"/>
      <c r="D70" s="49">
        <v>6327.0168678997024</v>
      </c>
      <c r="E70" s="49">
        <f>+E66+E68</f>
        <v>100</v>
      </c>
      <c r="F70" s="35"/>
      <c r="G70" s="35"/>
      <c r="H70" s="35"/>
    </row>
    <row r="71" spans="1:8" s="29" customFormat="1" x14ac:dyDescent="0.2">
      <c r="A71" s="48"/>
      <c r="B71" s="47"/>
      <c r="C71" s="46"/>
      <c r="D71" s="45"/>
      <c r="E71" s="45"/>
      <c r="F71" s="35"/>
      <c r="G71" s="35"/>
      <c r="H71" s="35"/>
    </row>
    <row r="72" spans="1:8" s="29" customFormat="1" ht="15" customHeight="1" x14ac:dyDescent="0.25">
      <c r="A72" s="44" t="s">
        <v>64</v>
      </c>
      <c r="B72" s="44"/>
      <c r="C72" s="44"/>
      <c r="D72" s="44"/>
      <c r="E72" s="44"/>
      <c r="F72" s="44"/>
      <c r="G72" s="44"/>
      <c r="H72" s="44"/>
    </row>
    <row r="73" spans="1:8" s="29" customFormat="1" ht="31.5" customHeight="1" x14ac:dyDescent="0.25">
      <c r="A73" s="44" t="s">
        <v>63</v>
      </c>
      <c r="B73" s="44"/>
      <c r="C73" s="44"/>
      <c r="D73" s="44"/>
      <c r="E73" s="44"/>
      <c r="F73" s="77"/>
      <c r="G73" s="77"/>
      <c r="H73" s="77"/>
    </row>
    <row r="74" spans="1:8" s="29" customFormat="1" ht="15" x14ac:dyDescent="0.25">
      <c r="A74" s="78" t="s">
        <v>62</v>
      </c>
      <c r="B74" s="78"/>
      <c r="C74" s="78"/>
      <c r="D74" s="78"/>
      <c r="E74" s="78"/>
      <c r="F74" s="77"/>
      <c r="G74" s="77"/>
      <c r="H74" s="77"/>
    </row>
    <row r="75" spans="1:8" s="29" customFormat="1" ht="65.25" customHeight="1" x14ac:dyDescent="0.25">
      <c r="A75" s="79" t="s">
        <v>61</v>
      </c>
      <c r="B75" s="79"/>
      <c r="C75" s="79"/>
      <c r="D75" s="79"/>
      <c r="E75" s="79"/>
      <c r="F75" s="77"/>
      <c r="G75" s="77"/>
      <c r="H75" s="77"/>
    </row>
    <row r="76" spans="1:8" s="29" customFormat="1" ht="15" x14ac:dyDescent="0.25">
      <c r="A76" s="80"/>
      <c r="B76" s="80"/>
      <c r="C76" s="80"/>
      <c r="D76" s="80"/>
      <c r="E76" s="80"/>
      <c r="F76" s="81"/>
      <c r="G76" s="81"/>
      <c r="H76" s="81"/>
    </row>
    <row r="77" spans="1:8" s="29" customFormat="1" x14ac:dyDescent="0.2">
      <c r="A77" s="43" t="s">
        <v>60</v>
      </c>
      <c r="B77" s="19"/>
      <c r="C77" s="42"/>
      <c r="D77" s="41"/>
      <c r="E77" s="40"/>
      <c r="F77" s="35"/>
      <c r="G77" s="35"/>
      <c r="H77" s="35"/>
    </row>
    <row r="78" spans="1:8" s="29" customFormat="1" ht="38.25" x14ac:dyDescent="0.2">
      <c r="A78" s="37" t="s">
        <v>59</v>
      </c>
      <c r="B78" s="39" t="s">
        <v>58</v>
      </c>
      <c r="C78" s="38" t="s">
        <v>57</v>
      </c>
      <c r="D78" s="37" t="s">
        <v>56</v>
      </c>
      <c r="E78" s="37" t="s">
        <v>55</v>
      </c>
      <c r="F78" s="36" t="s">
        <v>54</v>
      </c>
      <c r="G78" s="35"/>
      <c r="H78" s="35"/>
    </row>
    <row r="79" spans="1:8" s="29" customFormat="1" x14ac:dyDescent="0.2">
      <c r="A79" s="34" t="s">
        <v>53</v>
      </c>
      <c r="B79" s="33" t="s">
        <v>16</v>
      </c>
      <c r="C79" s="32">
        <v>117000</v>
      </c>
      <c r="D79" s="31">
        <v>235.32403153999999</v>
      </c>
      <c r="E79" s="31">
        <v>215.7</v>
      </c>
      <c r="F79" s="31">
        <v>53.664097499999997</v>
      </c>
      <c r="G79" s="35"/>
      <c r="H79" s="35"/>
    </row>
    <row r="80" spans="1:8" s="29" customFormat="1" x14ac:dyDescent="0.2">
      <c r="A80" s="34" t="s">
        <v>52</v>
      </c>
      <c r="B80" s="33" t="s">
        <v>16</v>
      </c>
      <c r="C80" s="32">
        <v>60000</v>
      </c>
      <c r="D80" s="31">
        <v>142.42155</v>
      </c>
      <c r="E80" s="31">
        <v>139.75</v>
      </c>
      <c r="F80" s="31">
        <v>17.753699999999998</v>
      </c>
      <c r="G80" s="35"/>
      <c r="H80" s="35"/>
    </row>
    <row r="81" spans="1:8" s="29" customFormat="1" x14ac:dyDescent="0.2">
      <c r="A81" s="34" t="s">
        <v>51</v>
      </c>
      <c r="B81" s="33" t="s">
        <v>16</v>
      </c>
      <c r="C81" s="32">
        <v>1200</v>
      </c>
      <c r="D81" s="31">
        <v>2817.7698</v>
      </c>
      <c r="E81" s="31">
        <v>2781.75</v>
      </c>
      <c r="F81" s="31">
        <v>5.9042127272727267</v>
      </c>
      <c r="G81" s="35"/>
      <c r="H81" s="35"/>
    </row>
    <row r="82" spans="1:8" s="29" customFormat="1" x14ac:dyDescent="0.2">
      <c r="A82" s="34" t="s">
        <v>50</v>
      </c>
      <c r="B82" s="33" t="s">
        <v>16</v>
      </c>
      <c r="C82" s="32">
        <v>1000</v>
      </c>
      <c r="D82" s="31">
        <v>2798.6001000000001</v>
      </c>
      <c r="E82" s="31">
        <v>2800.45</v>
      </c>
      <c r="F82" s="31">
        <v>4.9201772727272726</v>
      </c>
      <c r="G82" s="30"/>
      <c r="H82" s="30"/>
    </row>
    <row r="83" spans="1:8" s="29" customFormat="1" x14ac:dyDescent="0.2">
      <c r="A83" s="34" t="s">
        <v>49</v>
      </c>
      <c r="B83" s="33" t="s">
        <v>16</v>
      </c>
      <c r="C83" s="32">
        <v>2000</v>
      </c>
      <c r="D83" s="31">
        <v>464.65710000000001</v>
      </c>
      <c r="E83" s="31">
        <v>520.35</v>
      </c>
      <c r="F83" s="31">
        <v>2.1745549999999998</v>
      </c>
      <c r="G83" s="30"/>
      <c r="H83" s="30"/>
    </row>
    <row r="84" spans="1:8" s="29" customFormat="1" x14ac:dyDescent="0.2">
      <c r="A84" s="34" t="s">
        <v>48</v>
      </c>
      <c r="B84" s="33" t="s">
        <v>16</v>
      </c>
      <c r="C84" s="32">
        <v>13200</v>
      </c>
      <c r="D84" s="31">
        <v>856.11061212000004</v>
      </c>
      <c r="E84" s="31">
        <v>862.25</v>
      </c>
      <c r="F84" s="31">
        <v>21.100100999999995</v>
      </c>
      <c r="G84" s="30"/>
      <c r="H84" s="30"/>
    </row>
    <row r="85" spans="1:8" s="29" customFormat="1" x14ac:dyDescent="0.2">
      <c r="A85" s="34" t="s">
        <v>47</v>
      </c>
      <c r="B85" s="33" t="s">
        <v>16</v>
      </c>
      <c r="C85" s="32">
        <v>18000</v>
      </c>
      <c r="D85" s="31">
        <v>843.28138110999998</v>
      </c>
      <c r="E85" s="31">
        <v>867.4</v>
      </c>
      <c r="F85" s="31">
        <v>28.772864999999999</v>
      </c>
      <c r="G85" s="30"/>
      <c r="H85" s="30"/>
    </row>
    <row r="86" spans="1:8" s="29" customFormat="1" x14ac:dyDescent="0.2">
      <c r="A86" s="34" t="s">
        <v>46</v>
      </c>
      <c r="B86" s="33" t="s">
        <v>16</v>
      </c>
      <c r="C86" s="32">
        <v>18500</v>
      </c>
      <c r="D86" s="31">
        <v>1376.88955405</v>
      </c>
      <c r="E86" s="31">
        <v>1272.75</v>
      </c>
      <c r="F86" s="31">
        <v>49.227528800000002</v>
      </c>
      <c r="G86" s="30"/>
      <c r="H86" s="30"/>
    </row>
    <row r="87" spans="1:8" s="29" customFormat="1" x14ac:dyDescent="0.2">
      <c r="A87" s="34" t="s">
        <v>45</v>
      </c>
      <c r="B87" s="33" t="s">
        <v>16</v>
      </c>
      <c r="C87" s="32">
        <v>8375</v>
      </c>
      <c r="D87" s="31">
        <v>5758.7741313400002</v>
      </c>
      <c r="E87" s="31">
        <v>5692.6</v>
      </c>
      <c r="F87" s="31">
        <v>98.099282799999997</v>
      </c>
      <c r="G87" s="30"/>
      <c r="H87" s="30"/>
    </row>
    <row r="88" spans="1:8" s="29" customFormat="1" x14ac:dyDescent="0.2">
      <c r="A88" s="34" t="s">
        <v>44</v>
      </c>
      <c r="B88" s="33" t="s">
        <v>16</v>
      </c>
      <c r="C88" s="32">
        <v>3575</v>
      </c>
      <c r="D88" s="31">
        <v>1437.7009230799999</v>
      </c>
      <c r="E88" s="31">
        <v>1428.75</v>
      </c>
      <c r="F88" s="31">
        <v>8.9861582999999996</v>
      </c>
      <c r="G88" s="30"/>
      <c r="H88" s="30"/>
    </row>
    <row r="89" spans="1:8" s="29" customFormat="1" x14ac:dyDescent="0.2">
      <c r="A89" s="34" t="s">
        <v>43</v>
      </c>
      <c r="B89" s="33" t="s">
        <v>16</v>
      </c>
      <c r="C89" s="32">
        <v>62100</v>
      </c>
      <c r="D89" s="31">
        <v>225.89010741000001</v>
      </c>
      <c r="E89" s="31">
        <v>207.5</v>
      </c>
      <c r="F89" s="31">
        <v>26.589512299999999</v>
      </c>
      <c r="G89" s="30"/>
      <c r="H89" s="30"/>
    </row>
    <row r="90" spans="1:8" s="29" customFormat="1" x14ac:dyDescent="0.2">
      <c r="A90" s="34" t="s">
        <v>42</v>
      </c>
      <c r="B90" s="33" t="s">
        <v>16</v>
      </c>
      <c r="C90" s="32">
        <v>24700</v>
      </c>
      <c r="D90" s="31">
        <v>896.89034130000005</v>
      </c>
      <c r="E90" s="31">
        <v>911.05</v>
      </c>
      <c r="F90" s="31">
        <v>39.628865300000001</v>
      </c>
      <c r="G90" s="30"/>
      <c r="H90" s="30"/>
    </row>
    <row r="91" spans="1:8" s="29" customFormat="1" x14ac:dyDescent="0.2">
      <c r="A91" s="34" t="s">
        <v>41</v>
      </c>
      <c r="B91" s="33" t="s">
        <v>16</v>
      </c>
      <c r="C91" s="32">
        <v>33000</v>
      </c>
      <c r="D91" s="31">
        <v>355.14899847999999</v>
      </c>
      <c r="E91" s="31">
        <v>358.4</v>
      </c>
      <c r="F91" s="31">
        <v>26.282602499999999</v>
      </c>
      <c r="G91" s="30"/>
      <c r="H91" s="30"/>
    </row>
    <row r="92" spans="1:8" s="29" customFormat="1" x14ac:dyDescent="0.2">
      <c r="A92" s="34" t="s">
        <v>40</v>
      </c>
      <c r="B92" s="33" t="s">
        <v>16</v>
      </c>
      <c r="C92" s="32">
        <v>36000</v>
      </c>
      <c r="D92" s="31">
        <v>277.52499999999998</v>
      </c>
      <c r="E92" s="31">
        <v>292.45</v>
      </c>
      <c r="F92" s="31">
        <v>23.261939999999999</v>
      </c>
      <c r="G92" s="30"/>
      <c r="H92" s="30"/>
    </row>
    <row r="93" spans="1:8" s="29" customFormat="1" x14ac:dyDescent="0.2">
      <c r="A93" s="34" t="s">
        <v>39</v>
      </c>
      <c r="B93" s="33" t="s">
        <v>16</v>
      </c>
      <c r="C93" s="32">
        <v>6300</v>
      </c>
      <c r="D93" s="31">
        <v>2595.3760761899998</v>
      </c>
      <c r="E93" s="31">
        <v>2638.8</v>
      </c>
      <c r="F93" s="31">
        <v>29.3198063</v>
      </c>
      <c r="G93" s="30"/>
      <c r="H93" s="30"/>
    </row>
    <row r="94" spans="1:8" s="29" customFormat="1" x14ac:dyDescent="0.2">
      <c r="A94" s="34" t="s">
        <v>38</v>
      </c>
      <c r="B94" s="33" t="s">
        <v>16</v>
      </c>
      <c r="C94" s="32">
        <v>3300</v>
      </c>
      <c r="D94" s="31">
        <v>489.20231211999999</v>
      </c>
      <c r="E94" s="31">
        <v>502.3</v>
      </c>
      <c r="F94" s="31">
        <v>3.1604312142857141</v>
      </c>
      <c r="G94" s="30"/>
      <c r="H94" s="30"/>
    </row>
    <row r="95" spans="1:8" s="29" customFormat="1" x14ac:dyDescent="0.2">
      <c r="A95" s="34" t="s">
        <v>37</v>
      </c>
      <c r="B95" s="33" t="s">
        <v>16</v>
      </c>
      <c r="C95" s="32">
        <v>4400</v>
      </c>
      <c r="D95" s="31">
        <v>492.65148182000001</v>
      </c>
      <c r="E95" s="31">
        <v>505.4</v>
      </c>
      <c r="F95" s="31">
        <v>4.2139082857142851</v>
      </c>
      <c r="G95" s="30"/>
      <c r="H95" s="30"/>
    </row>
    <row r="96" spans="1:8" s="29" customFormat="1" x14ac:dyDescent="0.2">
      <c r="A96" s="34" t="s">
        <v>36</v>
      </c>
      <c r="B96" s="33" t="s">
        <v>16</v>
      </c>
      <c r="C96" s="32">
        <v>300</v>
      </c>
      <c r="D96" s="31">
        <v>2556.3784000000001</v>
      </c>
      <c r="E96" s="31">
        <v>2570.25</v>
      </c>
      <c r="F96" s="31">
        <v>1.3603703</v>
      </c>
      <c r="G96" s="30"/>
      <c r="H96" s="30"/>
    </row>
    <row r="97" spans="1:8" s="29" customFormat="1" x14ac:dyDescent="0.2">
      <c r="A97" s="34" t="s">
        <v>35</v>
      </c>
      <c r="B97" s="33" t="s">
        <v>16</v>
      </c>
      <c r="C97" s="32">
        <v>20300</v>
      </c>
      <c r="D97" s="31">
        <v>855.94084877</v>
      </c>
      <c r="E97" s="31">
        <v>883.5</v>
      </c>
      <c r="F97" s="31">
        <v>31.47016727272727</v>
      </c>
      <c r="G97" s="30"/>
      <c r="H97" s="30"/>
    </row>
    <row r="98" spans="1:8" s="29" customFormat="1" x14ac:dyDescent="0.2">
      <c r="A98" s="34" t="s">
        <v>34</v>
      </c>
      <c r="B98" s="33" t="s">
        <v>16</v>
      </c>
      <c r="C98" s="32">
        <v>2800</v>
      </c>
      <c r="D98" s="31">
        <v>855.74128571000006</v>
      </c>
      <c r="E98" s="31">
        <v>887.05</v>
      </c>
      <c r="F98" s="31">
        <v>4.3407127272727273</v>
      </c>
      <c r="G98" s="30"/>
      <c r="H98" s="30"/>
    </row>
    <row r="99" spans="1:8" s="29" customFormat="1" x14ac:dyDescent="0.2">
      <c r="A99" s="34" t="s">
        <v>33</v>
      </c>
      <c r="B99" s="33" t="s">
        <v>16</v>
      </c>
      <c r="C99" s="32">
        <v>4050</v>
      </c>
      <c r="D99" s="31">
        <v>1081.9447629599999</v>
      </c>
      <c r="E99" s="31">
        <v>1072.25</v>
      </c>
      <c r="F99" s="31">
        <v>10.1682995</v>
      </c>
      <c r="G99" s="30"/>
      <c r="H99" s="30"/>
    </row>
    <row r="100" spans="1:8" s="29" customFormat="1" x14ac:dyDescent="0.2">
      <c r="A100" s="34" t="s">
        <v>32</v>
      </c>
      <c r="B100" s="33" t="s">
        <v>16</v>
      </c>
      <c r="C100" s="32">
        <v>26800</v>
      </c>
      <c r="D100" s="31">
        <v>1738.65891455</v>
      </c>
      <c r="E100" s="31">
        <v>1743.95</v>
      </c>
      <c r="F100" s="31">
        <v>82.339984999999999</v>
      </c>
      <c r="G100" s="30"/>
      <c r="H100" s="30"/>
    </row>
    <row r="101" spans="1:8" s="29" customFormat="1" x14ac:dyDescent="0.2">
      <c r="A101" s="34" t="s">
        <v>31</v>
      </c>
      <c r="B101" s="33" t="s">
        <v>16</v>
      </c>
      <c r="C101" s="32">
        <v>8924</v>
      </c>
      <c r="D101" s="31">
        <v>90.231922900000001</v>
      </c>
      <c r="E101" s="31">
        <v>82.7</v>
      </c>
      <c r="F101" s="31">
        <v>1.7216201</v>
      </c>
      <c r="G101" s="30"/>
      <c r="H101" s="30"/>
    </row>
    <row r="102" spans="1:8" s="29" customFormat="1" x14ac:dyDescent="0.2">
      <c r="A102" s="34" t="s">
        <v>30</v>
      </c>
      <c r="B102" s="33" t="s">
        <v>16</v>
      </c>
      <c r="C102" s="32">
        <v>62700</v>
      </c>
      <c r="D102" s="31">
        <v>327.38013716</v>
      </c>
      <c r="E102" s="31">
        <v>295.2</v>
      </c>
      <c r="F102" s="31">
        <v>39.4619693</v>
      </c>
      <c r="G102" s="30"/>
      <c r="H102" s="30"/>
    </row>
    <row r="103" spans="1:8" s="29" customFormat="1" x14ac:dyDescent="0.2">
      <c r="A103" s="34" t="s">
        <v>29</v>
      </c>
      <c r="B103" s="33" t="s">
        <v>16</v>
      </c>
      <c r="C103" s="32">
        <v>10625</v>
      </c>
      <c r="D103" s="31">
        <v>748.56207058999996</v>
      </c>
      <c r="E103" s="31">
        <v>760.85</v>
      </c>
      <c r="F103" s="31">
        <v>14.655381299999998</v>
      </c>
      <c r="G103" s="30"/>
      <c r="H103" s="30"/>
    </row>
    <row r="104" spans="1:8" s="29" customFormat="1" x14ac:dyDescent="0.2">
      <c r="A104" s="34" t="s">
        <v>28</v>
      </c>
      <c r="B104" s="33" t="s">
        <v>16</v>
      </c>
      <c r="C104" s="32">
        <v>550</v>
      </c>
      <c r="D104" s="31">
        <v>806.33939999999996</v>
      </c>
      <c r="E104" s="31">
        <v>681.15</v>
      </c>
      <c r="F104" s="31">
        <v>0.94912841250000002</v>
      </c>
      <c r="G104" s="30"/>
      <c r="H104" s="30"/>
    </row>
    <row r="105" spans="1:8" s="29" customFormat="1" x14ac:dyDescent="0.2">
      <c r="A105" s="34" t="s">
        <v>27</v>
      </c>
      <c r="B105" s="33" t="s">
        <v>16</v>
      </c>
      <c r="C105" s="32">
        <v>3850</v>
      </c>
      <c r="D105" s="31">
        <v>644.48538441999995</v>
      </c>
      <c r="E105" s="31">
        <v>685.2</v>
      </c>
      <c r="F105" s="31">
        <v>6.6438988875000007</v>
      </c>
      <c r="G105" s="30"/>
      <c r="H105" s="30"/>
    </row>
    <row r="106" spans="1:8" s="29" customFormat="1" x14ac:dyDescent="0.2">
      <c r="A106" s="34" t="s">
        <v>26</v>
      </c>
      <c r="B106" s="33" t="s">
        <v>16</v>
      </c>
      <c r="C106" s="32">
        <v>19500</v>
      </c>
      <c r="D106" s="31">
        <v>2289.4074240999998</v>
      </c>
      <c r="E106" s="31">
        <v>2341.25</v>
      </c>
      <c r="F106" s="31">
        <v>80.080698799999993</v>
      </c>
      <c r="G106" s="30"/>
      <c r="H106" s="30"/>
    </row>
    <row r="107" spans="1:8" s="29" customFormat="1" x14ac:dyDescent="0.2">
      <c r="A107" s="34" t="s">
        <v>25</v>
      </c>
      <c r="B107" s="33" t="s">
        <v>16</v>
      </c>
      <c r="C107" s="32">
        <v>10500</v>
      </c>
      <c r="D107" s="31">
        <v>540.24199999999996</v>
      </c>
      <c r="E107" s="31">
        <v>525.9</v>
      </c>
      <c r="F107" s="31">
        <v>10.193714999999999</v>
      </c>
      <c r="G107" s="30"/>
      <c r="H107" s="30"/>
    </row>
    <row r="108" spans="1:8" s="29" customFormat="1" x14ac:dyDescent="0.2">
      <c r="A108" s="34" t="s">
        <v>24</v>
      </c>
      <c r="B108" s="33" t="s">
        <v>16</v>
      </c>
      <c r="C108" s="32">
        <v>500</v>
      </c>
      <c r="D108" s="31">
        <v>974.05457999999999</v>
      </c>
      <c r="E108" s="31">
        <v>979.65</v>
      </c>
      <c r="F108" s="31">
        <v>1.0315399999999999</v>
      </c>
      <c r="G108" s="30"/>
      <c r="H108" s="30"/>
    </row>
    <row r="109" spans="1:8" s="29" customFormat="1" x14ac:dyDescent="0.2">
      <c r="A109" s="34" t="s">
        <v>23</v>
      </c>
      <c r="B109" s="33" t="s">
        <v>16</v>
      </c>
      <c r="C109" s="32">
        <v>6000</v>
      </c>
      <c r="D109" s="31">
        <v>1230.0831499999999</v>
      </c>
      <c r="E109" s="31">
        <v>1255.75</v>
      </c>
      <c r="F109" s="31">
        <v>15.735900000000001</v>
      </c>
      <c r="G109" s="30"/>
      <c r="H109" s="30"/>
    </row>
    <row r="110" spans="1:8" s="29" customFormat="1" x14ac:dyDescent="0.2">
      <c r="A110" s="34" t="s">
        <v>22</v>
      </c>
      <c r="B110" s="33" t="s">
        <v>16</v>
      </c>
      <c r="C110" s="32">
        <v>47250</v>
      </c>
      <c r="D110" s="31">
        <v>204.80902814999999</v>
      </c>
      <c r="E110" s="31">
        <v>191.45</v>
      </c>
      <c r="F110" s="31">
        <v>20.050468004651162</v>
      </c>
      <c r="G110" s="30"/>
      <c r="H110" s="30"/>
    </row>
    <row r="111" spans="1:8" s="29" customFormat="1" x14ac:dyDescent="0.2">
      <c r="A111" s="34" t="s">
        <v>21</v>
      </c>
      <c r="B111" s="33" t="s">
        <v>16</v>
      </c>
      <c r="C111" s="32">
        <v>97875</v>
      </c>
      <c r="D111" s="31">
        <v>203.3576094</v>
      </c>
      <c r="E111" s="31">
        <v>192.7</v>
      </c>
      <c r="F111" s="31">
        <v>41.533112295348836</v>
      </c>
      <c r="G111" s="30"/>
      <c r="H111" s="30"/>
    </row>
    <row r="112" spans="1:8" s="29" customFormat="1" x14ac:dyDescent="0.2">
      <c r="A112" s="34" t="s">
        <v>20</v>
      </c>
      <c r="B112" s="33" t="s">
        <v>16</v>
      </c>
      <c r="C112" s="32">
        <v>110000</v>
      </c>
      <c r="D112" s="31">
        <v>110.58040345000001</v>
      </c>
      <c r="E112" s="31">
        <v>105.2</v>
      </c>
      <c r="F112" s="31">
        <v>26.418356249999999</v>
      </c>
      <c r="G112" s="30"/>
      <c r="H112" s="30"/>
    </row>
    <row r="113" spans="1:8" s="29" customFormat="1" x14ac:dyDescent="0.2">
      <c r="A113" s="34" t="s">
        <v>19</v>
      </c>
      <c r="B113" s="33" t="s">
        <v>16</v>
      </c>
      <c r="C113" s="32">
        <v>330000</v>
      </c>
      <c r="D113" s="31">
        <v>107.31026970000001</v>
      </c>
      <c r="E113" s="31">
        <v>105.85</v>
      </c>
      <c r="F113" s="31">
        <v>79.255068750000007</v>
      </c>
      <c r="G113" s="30"/>
      <c r="H113" s="30"/>
    </row>
    <row r="114" spans="1:8" s="29" customFormat="1" x14ac:dyDescent="0.2">
      <c r="A114" s="34" t="s">
        <v>18</v>
      </c>
      <c r="B114" s="33" t="s">
        <v>16</v>
      </c>
      <c r="C114" s="32">
        <v>8925</v>
      </c>
      <c r="D114" s="31">
        <v>3474.95094006</v>
      </c>
      <c r="E114" s="31">
        <v>3218.35</v>
      </c>
      <c r="F114" s="31">
        <v>50.588704800000002</v>
      </c>
      <c r="G114" s="30"/>
      <c r="H114" s="30"/>
    </row>
    <row r="115" spans="1:8" s="29" customFormat="1" x14ac:dyDescent="0.2">
      <c r="A115" s="34" t="s">
        <v>17</v>
      </c>
      <c r="B115" s="33" t="s">
        <v>16</v>
      </c>
      <c r="C115" s="32">
        <v>2250</v>
      </c>
      <c r="D115" s="31">
        <v>2448.2023688899999</v>
      </c>
      <c r="E115" s="31">
        <v>2532.5500000000002</v>
      </c>
      <c r="F115" s="31">
        <v>10.0457488</v>
      </c>
      <c r="G115" s="30"/>
      <c r="H115" s="30"/>
    </row>
    <row r="116" spans="1:8" x14ac:dyDescent="0.2">
      <c r="D116" s="24"/>
      <c r="G116" s="5"/>
      <c r="H116" s="5"/>
    </row>
    <row r="117" spans="1:8" x14ac:dyDescent="0.2">
      <c r="A117" s="28" t="s">
        <v>15</v>
      </c>
      <c r="C117" s="27"/>
      <c r="D117" s="21"/>
      <c r="F117" s="21"/>
      <c r="G117" s="5"/>
      <c r="H117" s="5"/>
    </row>
    <row r="118" spans="1:8" x14ac:dyDescent="0.2">
      <c r="A118" s="20"/>
      <c r="B118" s="19"/>
      <c r="C118" s="26"/>
      <c r="D118" s="21"/>
      <c r="G118" s="5"/>
      <c r="H118" s="5"/>
    </row>
    <row r="119" spans="1:8" x14ac:dyDescent="0.2">
      <c r="A119" s="25" t="s">
        <v>14</v>
      </c>
      <c r="B119" s="25"/>
      <c r="C119" s="25"/>
      <c r="E119" s="24"/>
      <c r="G119" s="5"/>
      <c r="H119" s="5"/>
    </row>
    <row r="120" spans="1:8" x14ac:dyDescent="0.2">
      <c r="A120" s="17" t="s">
        <v>13</v>
      </c>
      <c r="B120" s="16"/>
      <c r="C120" s="16"/>
      <c r="D120" s="15"/>
      <c r="G120" s="5"/>
      <c r="H120" s="5"/>
    </row>
    <row r="121" spans="1:8" x14ac:dyDescent="0.2">
      <c r="A121" s="14" t="s">
        <v>10</v>
      </c>
      <c r="B121" s="14"/>
      <c r="C121" s="14"/>
      <c r="D121" s="23">
        <v>361</v>
      </c>
      <c r="E121" s="21"/>
      <c r="G121" s="5"/>
      <c r="H121" s="5"/>
    </row>
    <row r="122" spans="1:8" x14ac:dyDescent="0.2">
      <c r="A122" s="14" t="s">
        <v>9</v>
      </c>
      <c r="B122" s="14"/>
      <c r="C122" s="14"/>
      <c r="D122" s="12">
        <v>437</v>
      </c>
      <c r="G122" s="5"/>
      <c r="H122" s="5"/>
    </row>
    <row r="123" spans="1:8" x14ac:dyDescent="0.2">
      <c r="A123" s="14" t="s">
        <v>8</v>
      </c>
      <c r="B123" s="14"/>
      <c r="C123" s="14"/>
      <c r="D123" s="22">
        <v>2265.5136010000001</v>
      </c>
      <c r="G123" s="5"/>
      <c r="H123" s="5"/>
    </row>
    <row r="124" spans="1:8" x14ac:dyDescent="0.2">
      <c r="A124" s="14" t="s">
        <v>7</v>
      </c>
      <c r="B124" s="14"/>
      <c r="C124" s="14"/>
      <c r="D124" s="22">
        <v>2758.1867217000004</v>
      </c>
      <c r="G124" s="5"/>
      <c r="H124" s="5"/>
    </row>
    <row r="125" spans="1:8" x14ac:dyDescent="0.2">
      <c r="A125" s="14" t="s">
        <v>6</v>
      </c>
      <c r="B125" s="14"/>
      <c r="C125" s="14"/>
      <c r="D125" s="22">
        <v>47.067252199999992</v>
      </c>
      <c r="E125" s="21"/>
      <c r="G125" s="5"/>
      <c r="H125" s="5"/>
    </row>
    <row r="126" spans="1:8" x14ac:dyDescent="0.2">
      <c r="A126" s="20"/>
      <c r="B126" s="19"/>
      <c r="C126" s="1"/>
      <c r="G126" s="5"/>
      <c r="H126" s="5"/>
    </row>
    <row r="127" spans="1:8" x14ac:dyDescent="0.2">
      <c r="A127" s="18" t="s">
        <v>12</v>
      </c>
      <c r="B127" s="18"/>
      <c r="C127" s="18"/>
      <c r="D127" s="18"/>
      <c r="G127" s="5"/>
      <c r="H127" s="5"/>
    </row>
    <row r="128" spans="1:8" x14ac:dyDescent="0.2">
      <c r="A128" s="17" t="s">
        <v>11</v>
      </c>
      <c r="B128" s="16"/>
      <c r="C128" s="16"/>
      <c r="D128" s="15"/>
      <c r="G128" s="5"/>
      <c r="H128" s="5"/>
    </row>
    <row r="129" spans="1:8" x14ac:dyDescent="0.2">
      <c r="A129" s="14" t="s">
        <v>10</v>
      </c>
      <c r="B129" s="14"/>
      <c r="C129" s="13"/>
      <c r="D129" s="82" t="s">
        <v>181</v>
      </c>
      <c r="G129" s="5"/>
      <c r="H129" s="5"/>
    </row>
    <row r="130" spans="1:8" x14ac:dyDescent="0.2">
      <c r="A130" s="14" t="s">
        <v>9</v>
      </c>
      <c r="B130" s="14"/>
      <c r="C130" s="13"/>
      <c r="D130" s="82" t="s">
        <v>181</v>
      </c>
      <c r="G130" s="5"/>
      <c r="H130" s="5"/>
    </row>
    <row r="131" spans="1:8" x14ac:dyDescent="0.2">
      <c r="A131" s="14" t="s">
        <v>8</v>
      </c>
      <c r="B131" s="14"/>
      <c r="C131" s="13"/>
      <c r="D131" s="82" t="s">
        <v>181</v>
      </c>
      <c r="G131" s="5"/>
      <c r="H131" s="5"/>
    </row>
    <row r="132" spans="1:8" x14ac:dyDescent="0.2">
      <c r="A132" s="14" t="s">
        <v>7</v>
      </c>
      <c r="B132" s="14"/>
      <c r="C132" s="13"/>
      <c r="D132" s="82" t="s">
        <v>181</v>
      </c>
      <c r="G132" s="5"/>
      <c r="H132" s="5"/>
    </row>
    <row r="133" spans="1:8" x14ac:dyDescent="0.2">
      <c r="A133" s="14" t="s">
        <v>6</v>
      </c>
      <c r="B133" s="14"/>
      <c r="C133" s="13"/>
      <c r="D133" s="82" t="s">
        <v>181</v>
      </c>
      <c r="G133" s="5"/>
      <c r="H133" s="5"/>
    </row>
    <row r="134" spans="1:8" x14ac:dyDescent="0.2">
      <c r="G134" s="5"/>
      <c r="H134" s="5"/>
    </row>
    <row r="135" spans="1:8" ht="15" x14ac:dyDescent="0.25">
      <c r="A135" s="11" t="s">
        <v>5</v>
      </c>
      <c r="B135" s="6"/>
      <c r="C135" s="6"/>
      <c r="G135" s="5"/>
      <c r="H135" s="5"/>
    </row>
    <row r="136" spans="1:8" ht="15" x14ac:dyDescent="0.25">
      <c r="A136" s="9" t="s">
        <v>4</v>
      </c>
      <c r="B136" s="6"/>
      <c r="C136" s="6"/>
      <c r="G136" s="5"/>
      <c r="H136" s="5"/>
    </row>
    <row r="137" spans="1:8" ht="15" x14ac:dyDescent="0.25">
      <c r="A137" s="10" t="s">
        <v>3</v>
      </c>
      <c r="B137" s="10"/>
      <c r="C137" s="10"/>
      <c r="G137" s="5"/>
      <c r="H137" s="5"/>
    </row>
    <row r="138" spans="1:8" ht="15" x14ac:dyDescent="0.25">
      <c r="A138" s="9" t="s">
        <v>2</v>
      </c>
      <c r="B138" s="6"/>
      <c r="C138" s="6"/>
      <c r="G138" s="5"/>
      <c r="H138" s="5"/>
    </row>
    <row r="139" spans="1:8" ht="15" x14ac:dyDescent="0.25">
      <c r="A139" s="9"/>
      <c r="B139" s="6"/>
      <c r="C139" s="6"/>
      <c r="G139" s="5"/>
      <c r="H139" s="5"/>
    </row>
    <row r="140" spans="1:8" ht="14.25" x14ac:dyDescent="0.2">
      <c r="A140" s="8" t="s">
        <v>1</v>
      </c>
      <c r="B140" s="6"/>
      <c r="C140" s="7" t="s">
        <v>0</v>
      </c>
      <c r="G140" s="5"/>
      <c r="H140" s="5"/>
    </row>
    <row r="141" spans="1:8" x14ac:dyDescent="0.2">
      <c r="A141" s="6"/>
      <c r="B141" s="6"/>
      <c r="C141" s="6"/>
      <c r="G141" s="5"/>
      <c r="H141" s="5"/>
    </row>
    <row r="142" spans="1:8" x14ac:dyDescent="0.2">
      <c r="A142" s="6"/>
      <c r="B142" s="6"/>
      <c r="C142" s="6"/>
      <c r="G142" s="5"/>
      <c r="H142" s="5"/>
    </row>
    <row r="143" spans="1:8" x14ac:dyDescent="0.2">
      <c r="A143" s="6"/>
      <c r="B143" s="6"/>
      <c r="C143" s="6"/>
      <c r="G143" s="5"/>
      <c r="H143" s="5"/>
    </row>
    <row r="144" spans="1:8" x14ac:dyDescent="0.2">
      <c r="A144" s="6"/>
      <c r="B144" s="6"/>
      <c r="C144" s="6"/>
      <c r="G144" s="5"/>
      <c r="H144" s="5"/>
    </row>
    <row r="145" spans="1:8" x14ac:dyDescent="0.2">
      <c r="A145" s="6"/>
      <c r="B145" s="6"/>
      <c r="C145" s="6"/>
      <c r="G145" s="5"/>
      <c r="H145" s="5"/>
    </row>
    <row r="146" spans="1:8" x14ac:dyDescent="0.2">
      <c r="A146" s="6"/>
      <c r="B146" s="6"/>
      <c r="C146" s="6"/>
      <c r="G146" s="5"/>
      <c r="H146" s="5"/>
    </row>
    <row r="147" spans="1:8" x14ac:dyDescent="0.2">
      <c r="A147" s="6"/>
      <c r="B147" s="6"/>
      <c r="C147" s="6"/>
      <c r="G147" s="5"/>
      <c r="H147" s="5"/>
    </row>
    <row r="148" spans="1:8" x14ac:dyDescent="0.2">
      <c r="A148" s="6"/>
      <c r="B148" s="6"/>
      <c r="C148" s="6"/>
      <c r="G148" s="5"/>
      <c r="H148" s="5"/>
    </row>
    <row r="149" spans="1:8" x14ac:dyDescent="0.2">
      <c r="A149" s="6"/>
      <c r="B149" s="6"/>
      <c r="C149" s="6"/>
      <c r="G149" s="5"/>
      <c r="H149" s="5"/>
    </row>
    <row r="150" spans="1:8" x14ac:dyDescent="0.2">
      <c r="A150" s="6"/>
      <c r="B150" s="6"/>
      <c r="C150" s="6"/>
      <c r="G150" s="5"/>
      <c r="H150" s="5"/>
    </row>
    <row r="151" spans="1:8" x14ac:dyDescent="0.2">
      <c r="A151" s="6"/>
      <c r="B151" s="6"/>
      <c r="C151" s="6"/>
      <c r="G151" s="5"/>
      <c r="H151" s="5"/>
    </row>
    <row r="152" spans="1:8" x14ac:dyDescent="0.2">
      <c r="A152" s="6"/>
      <c r="B152" s="6"/>
      <c r="C152" s="6"/>
      <c r="G152" s="5"/>
      <c r="H152" s="5"/>
    </row>
    <row r="153" spans="1:8" x14ac:dyDescent="0.2">
      <c r="A153" s="6"/>
      <c r="B153" s="6"/>
      <c r="C153" s="6"/>
      <c r="G153" s="5"/>
      <c r="H153" s="5"/>
    </row>
    <row r="154" spans="1:8" x14ac:dyDescent="0.2">
      <c r="A154" s="6"/>
      <c r="B154" s="6"/>
      <c r="C154" s="6"/>
      <c r="G154" s="5"/>
      <c r="H154" s="5"/>
    </row>
    <row r="155" spans="1:8" x14ac:dyDescent="0.2">
      <c r="G155" s="5"/>
      <c r="H155" s="5"/>
    </row>
    <row r="156" spans="1:8" x14ac:dyDescent="0.2">
      <c r="G156" s="5"/>
      <c r="H156" s="5"/>
    </row>
    <row r="157" spans="1:8" x14ac:dyDescent="0.2">
      <c r="G157" s="5"/>
      <c r="H157" s="5"/>
    </row>
    <row r="158" spans="1:8" x14ac:dyDescent="0.2">
      <c r="G158" s="5"/>
      <c r="H158" s="5"/>
    </row>
    <row r="159" spans="1:8" x14ac:dyDescent="0.2">
      <c r="G159" s="5"/>
      <c r="H159" s="5"/>
    </row>
    <row r="160" spans="1:8" x14ac:dyDescent="0.2">
      <c r="G160" s="5"/>
      <c r="H160" s="5"/>
    </row>
    <row r="161" spans="7:8" x14ac:dyDescent="0.2">
      <c r="G161" s="5"/>
      <c r="H161" s="5"/>
    </row>
    <row r="162" spans="7:8" x14ac:dyDescent="0.2">
      <c r="G162" s="5"/>
      <c r="H162" s="5"/>
    </row>
    <row r="163" spans="7:8" x14ac:dyDescent="0.2">
      <c r="G163" s="5"/>
      <c r="H163" s="5"/>
    </row>
    <row r="164" spans="7:8" x14ac:dyDescent="0.2">
      <c r="G164" s="5"/>
      <c r="H164" s="5"/>
    </row>
    <row r="165" spans="7:8" x14ac:dyDescent="0.2">
      <c r="G165" s="5"/>
      <c r="H165" s="5"/>
    </row>
    <row r="166" spans="7:8" x14ac:dyDescent="0.2">
      <c r="G166" s="5"/>
      <c r="H166" s="5"/>
    </row>
    <row r="167" spans="7:8" x14ac:dyDescent="0.2">
      <c r="G167" s="5"/>
      <c r="H167" s="5"/>
    </row>
    <row r="168" spans="7:8" x14ac:dyDescent="0.2">
      <c r="G168" s="5"/>
      <c r="H168" s="5"/>
    </row>
    <row r="169" spans="7:8" x14ac:dyDescent="0.2">
      <c r="G169" s="5"/>
      <c r="H169" s="5"/>
    </row>
    <row r="170" spans="7:8" x14ac:dyDescent="0.2">
      <c r="G170" s="5"/>
      <c r="H170" s="5"/>
    </row>
    <row r="171" spans="7:8" x14ac:dyDescent="0.2">
      <c r="G171" s="5"/>
      <c r="H171" s="5"/>
    </row>
    <row r="172" spans="7:8" x14ac:dyDescent="0.2">
      <c r="G172" s="5"/>
      <c r="H172" s="5"/>
    </row>
    <row r="173" spans="7:8" x14ac:dyDescent="0.2">
      <c r="G173" s="5"/>
      <c r="H173" s="5"/>
    </row>
    <row r="174" spans="7:8" x14ac:dyDescent="0.2">
      <c r="G174" s="5"/>
      <c r="H174" s="5"/>
    </row>
    <row r="175" spans="7:8" x14ac:dyDescent="0.2">
      <c r="G175" s="5"/>
      <c r="H175" s="5"/>
    </row>
    <row r="176" spans="7:8" x14ac:dyDescent="0.2">
      <c r="G176" s="5"/>
      <c r="H176" s="5"/>
    </row>
    <row r="177" spans="7:8" x14ac:dyDescent="0.2">
      <c r="G177" s="5"/>
      <c r="H177" s="5"/>
    </row>
    <row r="178" spans="7:8" x14ac:dyDescent="0.2">
      <c r="G178" s="5"/>
      <c r="H178" s="5"/>
    </row>
    <row r="179" spans="7:8" x14ac:dyDescent="0.2">
      <c r="G179" s="5"/>
      <c r="H179" s="5"/>
    </row>
    <row r="180" spans="7:8" x14ac:dyDescent="0.2">
      <c r="G180" s="5"/>
      <c r="H180" s="5"/>
    </row>
    <row r="181" spans="7:8" x14ac:dyDescent="0.2">
      <c r="G181" s="5"/>
      <c r="H181" s="5"/>
    </row>
    <row r="182" spans="7:8" x14ac:dyDescent="0.2">
      <c r="G182" s="5"/>
      <c r="H182" s="5"/>
    </row>
    <row r="183" spans="7:8" x14ac:dyDescent="0.2">
      <c r="G183" s="5"/>
      <c r="H183" s="5"/>
    </row>
    <row r="184" spans="7:8" x14ac:dyDescent="0.2">
      <c r="G184" s="5"/>
      <c r="H184" s="5"/>
    </row>
    <row r="185" spans="7:8" x14ac:dyDescent="0.2">
      <c r="G185" s="5"/>
      <c r="H185" s="5"/>
    </row>
    <row r="186" spans="7:8" x14ac:dyDescent="0.2">
      <c r="G186" s="5"/>
      <c r="H186" s="5"/>
    </row>
    <row r="187" spans="7:8" x14ac:dyDescent="0.2">
      <c r="G187" s="5"/>
      <c r="H187" s="5"/>
    </row>
    <row r="188" spans="7:8" x14ac:dyDescent="0.2">
      <c r="G188" s="5"/>
      <c r="H188" s="5"/>
    </row>
    <row r="189" spans="7:8" x14ac:dyDescent="0.2">
      <c r="G189" s="5"/>
      <c r="H189" s="5"/>
    </row>
    <row r="190" spans="7:8" x14ac:dyDescent="0.2">
      <c r="G190" s="5"/>
      <c r="H190" s="5"/>
    </row>
    <row r="191" spans="7:8" x14ac:dyDescent="0.2">
      <c r="G191" s="5"/>
      <c r="H191" s="5"/>
    </row>
    <row r="192" spans="7:8" x14ac:dyDescent="0.2">
      <c r="G192" s="5"/>
      <c r="H192" s="5"/>
    </row>
    <row r="193" spans="7:8" x14ac:dyDescent="0.2">
      <c r="G193" s="5"/>
      <c r="H193" s="5"/>
    </row>
    <row r="194" spans="7:8" x14ac:dyDescent="0.2">
      <c r="G194" s="5"/>
      <c r="H194" s="5"/>
    </row>
    <row r="195" spans="7:8" x14ac:dyDescent="0.2">
      <c r="G195" s="5"/>
      <c r="H195" s="5"/>
    </row>
    <row r="196" spans="7:8" x14ac:dyDescent="0.2">
      <c r="G196" s="5"/>
      <c r="H196" s="5"/>
    </row>
    <row r="197" spans="7:8" x14ac:dyDescent="0.2">
      <c r="G197" s="5"/>
      <c r="H197" s="5"/>
    </row>
    <row r="198" spans="7:8" x14ac:dyDescent="0.2">
      <c r="G198" s="5"/>
      <c r="H198" s="5"/>
    </row>
    <row r="199" spans="7:8" x14ac:dyDescent="0.2">
      <c r="G199" s="5"/>
      <c r="H199" s="5"/>
    </row>
    <row r="200" spans="7:8" x14ac:dyDescent="0.2">
      <c r="G200" s="5"/>
      <c r="H200" s="5"/>
    </row>
    <row r="201" spans="7:8" x14ac:dyDescent="0.2">
      <c r="G201" s="5"/>
      <c r="H201" s="5"/>
    </row>
    <row r="202" spans="7:8" x14ac:dyDescent="0.2">
      <c r="G202" s="5"/>
      <c r="H202" s="5"/>
    </row>
    <row r="203" spans="7:8" x14ac:dyDescent="0.2">
      <c r="G203" s="5"/>
      <c r="H203" s="5"/>
    </row>
    <row r="204" spans="7:8" x14ac:dyDescent="0.2">
      <c r="G204" s="5"/>
      <c r="H204" s="5"/>
    </row>
    <row r="205" spans="7:8" x14ac:dyDescent="0.2">
      <c r="G205" s="5"/>
      <c r="H205" s="5"/>
    </row>
    <row r="206" spans="7:8" x14ac:dyDescent="0.2">
      <c r="G206" s="5"/>
      <c r="H206" s="5"/>
    </row>
    <row r="207" spans="7:8" x14ac:dyDescent="0.2">
      <c r="G207" s="5"/>
      <c r="H207" s="5"/>
    </row>
    <row r="208" spans="7:8" x14ac:dyDescent="0.2">
      <c r="G208" s="5"/>
      <c r="H208" s="5"/>
    </row>
    <row r="209" spans="7:8" x14ac:dyDescent="0.2">
      <c r="G209" s="5"/>
      <c r="H209" s="5"/>
    </row>
    <row r="210" spans="7:8" x14ac:dyDescent="0.2">
      <c r="G210" s="5"/>
      <c r="H210" s="5"/>
    </row>
    <row r="211" spans="7:8" x14ac:dyDescent="0.2">
      <c r="G211" s="5"/>
      <c r="H211" s="5"/>
    </row>
    <row r="212" spans="7:8" x14ac:dyDescent="0.2">
      <c r="G212" s="5"/>
      <c r="H212" s="5"/>
    </row>
    <row r="213" spans="7:8" x14ac:dyDescent="0.2">
      <c r="G213" s="5"/>
      <c r="H213" s="5"/>
    </row>
    <row r="214" spans="7:8" x14ac:dyDescent="0.2">
      <c r="G214" s="5"/>
      <c r="H214" s="5"/>
    </row>
    <row r="215" spans="7:8" x14ac:dyDescent="0.2">
      <c r="G215" s="5"/>
      <c r="H215" s="5"/>
    </row>
  </sheetData>
  <mergeCells count="21">
    <mergeCell ref="A75:H75"/>
    <mergeCell ref="A1:H1"/>
    <mergeCell ref="A2:F2"/>
    <mergeCell ref="G2:H2"/>
    <mergeCell ref="A72:H72"/>
    <mergeCell ref="A73:H73"/>
    <mergeCell ref="A74:H74"/>
    <mergeCell ref="A119:C119"/>
    <mergeCell ref="A120:C120"/>
    <mergeCell ref="A121:C121"/>
    <mergeCell ref="A122:C122"/>
    <mergeCell ref="A123:C123"/>
    <mergeCell ref="A124:C124"/>
    <mergeCell ref="A133:C133"/>
    <mergeCell ref="A137:C137"/>
    <mergeCell ref="A125:C125"/>
    <mergeCell ref="A128:C128"/>
    <mergeCell ref="A129:C129"/>
    <mergeCell ref="A130:C130"/>
    <mergeCell ref="A131:C131"/>
    <mergeCell ref="A132:C132"/>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2023-04-05T07:09:13Z</dcterms:created>
  <dcterms:modified xsi:type="dcterms:W3CDTF">2023-04-05T07:30:14Z</dcterms:modified>
</cp:coreProperties>
</file>