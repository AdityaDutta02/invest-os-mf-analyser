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March 2025\Monthly\Monthly portfolio - sent\"/>
    </mc:Choice>
  </mc:AlternateContent>
  <bookViews>
    <workbookView xWindow="-105" yWindow="-105" windowWidth="19425" windowHeight="10425"/>
  </bookViews>
  <sheets>
    <sheet name="JM Dynamic Bond Fund" sheetId="1" r:id="rId1"/>
  </sheets>
  <definedNames>
    <definedName name="_xlnm._FilterDatabase" localSheetId="0" hidden="1">'JM Dynamic Bond Fund'!$A$4:$H$37</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Dynamic Bond Fund'!$A$1:$E$25</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1" l="1"/>
  <c r="D32" i="1"/>
  <c r="E28" i="1"/>
  <c r="D28" i="1"/>
  <c r="E36" i="1"/>
  <c r="D36" i="1"/>
  <c r="E21" i="1"/>
  <c r="D21" i="1"/>
  <c r="E10" i="1"/>
  <c r="D10" i="1"/>
  <c r="E22" i="1" l="1"/>
  <c r="E37" i="1" s="1"/>
  <c r="D22" i="1"/>
  <c r="D37" i="1" s="1"/>
</calcChain>
</file>

<file path=xl/sharedStrings.xml><?xml version="1.0" encoding="utf-8"?>
<sst xmlns="http://schemas.openxmlformats.org/spreadsheetml/2006/main" count="111" uniqueCount="89">
  <si>
    <t>JM Financial Mutual Fund</t>
  </si>
  <si>
    <t>JM Dynamic Bond Fund (An open ended dynamic debt scheme investing across duration. A relatively high interest rate risk and moderate credit risk.)</t>
  </si>
  <si>
    <t>Name of the Instruments</t>
  </si>
  <si>
    <t>Industry/Rating</t>
  </si>
  <si>
    <t>Market Value (Rs. In Lakhs)</t>
  </si>
  <si>
    <t>% age to NAV</t>
  </si>
  <si>
    <t>ISIN</t>
  </si>
  <si>
    <t>Yield %</t>
  </si>
  <si>
    <t>^YTC (AT1/Tier 2 bonds)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</si>
  <si>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</si>
  <si>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</si>
  <si>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</si>
  <si>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</si>
  <si>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</si>
  <si>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</si>
  <si>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</si>
  <si>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</si>
  <si>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</si>
  <si>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 xml:space="preserve">               CRISIL Dynamic Bond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</si>
  <si>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</si>
  <si>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</si>
  <si>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</si>
  <si>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</si>
  <si>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</si>
  <si>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</si>
  <si>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</si>
  <si>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</si>
  <si>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</si>
  <si>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</si>
  <si>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</si>
  <si>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</si>
  <si>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</si>
  <si>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</si>
  <si>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</si>
  <si>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</si>
  <si>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</si>
  <si>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</si>
  <si>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</si>
  <si>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Residual Maturity ( Years )</t>
  </si>
  <si>
    <t xml:space="preserve">As on (Date) </t>
  </si>
  <si>
    <t xml:space="preserve">* in case of semi annual YTM,  it will be annualised </t>
  </si>
  <si>
    <t>DEBT INSTRUMENTS</t>
  </si>
  <si>
    <t>(a) Listed / awaiting listing on Stock Exchanges</t>
  </si>
  <si>
    <t>NIL</t>
  </si>
  <si>
    <t>Sub Total</t>
  </si>
  <si>
    <t>(b) Privately placed / Unlisted</t>
  </si>
  <si>
    <t>(c) Securitized Debt Instruments</t>
  </si>
  <si>
    <t>(d) Government Securities / SDL</t>
  </si>
  <si>
    <t>6.92% GOI  18-Nov-2039</t>
  </si>
  <si>
    <t>SOVEREIGN</t>
  </si>
  <si>
    <t>IN0020240134</t>
  </si>
  <si>
    <t>6.79% GOI - 07-OCT-2034</t>
  </si>
  <si>
    <t>IN0020240126</t>
  </si>
  <si>
    <t>7.32% GOI - 13-Nov-2030</t>
  </si>
  <si>
    <t>IN0020230135</t>
  </si>
  <si>
    <t>6.69%</t>
  </si>
  <si>
    <t>Total</t>
  </si>
  <si>
    <t>MONEY MARKET INSTRUMENTS</t>
  </si>
  <si>
    <t>Alternative Investment Fund Units</t>
  </si>
  <si>
    <t>INF0RQ622028</t>
  </si>
  <si>
    <t>TREPS / Reverse Repo Investments / Corporate Debt Repo</t>
  </si>
  <si>
    <t>CCIL</t>
  </si>
  <si>
    <t>Cash &amp; Cash Equivalents</t>
  </si>
  <si>
    <t>Net Receivable/Payable</t>
  </si>
  <si>
    <t>Grand Total</t>
  </si>
  <si>
    <t>Corporate Debt Market Development Fund - Class A2 Units</t>
  </si>
  <si>
    <t>Quantity/Face Value</t>
  </si>
  <si>
    <t>7.45% REC Limited 31-AUG-2035**</t>
  </si>
  <si>
    <t>CARE AAA</t>
  </si>
  <si>
    <t>7.2% Power Finance Corporation Limited 10-AUG-2035**</t>
  </si>
  <si>
    <t>7.15% Indian Railway Finance Corporation Ltd 27-DEC-2034**</t>
  </si>
  <si>
    <t>INE020B08FG9</t>
  </si>
  <si>
    <t>INE134E08LA3</t>
  </si>
  <si>
    <t>INE053F08452</t>
  </si>
  <si>
    <t>7.13%</t>
  </si>
  <si>
    <t>7.1%</t>
  </si>
  <si>
    <t>7.08%</t>
  </si>
  <si>
    <t>7.21% Gujrat SDL - 05-Mar-2035</t>
  </si>
  <si>
    <t>6.75% GOI 23-Dec-2029</t>
  </si>
  <si>
    <t>IN1520240277</t>
  </si>
  <si>
    <t>IN0020240183</t>
  </si>
  <si>
    <t>6.58%</t>
  </si>
  <si>
    <t>6.94%</t>
  </si>
  <si>
    <t>6.49%</t>
  </si>
  <si>
    <t>6.45%</t>
  </si>
  <si>
    <t>31.03.2025</t>
  </si>
  <si>
    <t>** Non Traded.</t>
  </si>
  <si>
    <t>Note - Traded Securities (Debt) as on March 28, 2025</t>
  </si>
  <si>
    <t>Monthly Portfolio Statement for the period ended 31.03.2025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</si>
</sst>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_(* #,##0.00_);_(* \(#,##0.00\);_(* &quot;-&quot;??_);_(@_)"/>
    <numFmt numFmtId="165" formatCode="_(* #,##0_);_(* \(#,##0\);_(* &quot;-&quot;??_);_(@_)"/>
    <numFmt numFmtId="166" formatCode="0.0000%"/>
    <numFmt numFmtId="167" formatCode="0.0000"/>
  </numFmts>
  <fonts count="14"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
      <b/>
      <sz val="10"/>
      <color indexed="72"/>
      <name val="Tahoma"/>
      <family val="2"/>
    </font>
    <font>
      <sz val="10"/>
      <color indexed="8"/>
      <name val="Tahoma"/>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0" fontId="6" fillId="0" borderId="0"/>
    <xf numFmtId="0" fontId="1" fillId="0" borderId="0"/>
  </cellStyleXfs>
  <cellXfs count="84">
    <xf numFmtId="0" fontId="0" fillId="0" borderId="0" xfId="0"/>
    <xf numFmtId="0" fontId="3" fillId="0" borderId="0" xfId="0" applyFont="1"/>
    <xf numFmtId="0" fontId="4" fillId="0" borderId="3" xfId="0" applyFont="1" applyBorder="1" applyAlignment="1">
      <alignment horizontal="center" vertical="center" wrapText="1"/>
    </xf>
    <xf numFmtId="0" fontId="4" fillId="0" borderId="3" xfId="0"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Border="1" applyAlignment="1">
      <alignment wrapText="1"/>
    </xf>
    <xf numFmtId="0" fontId="4" fillId="0" borderId="3" xfId="0" applyFont="1" applyBorder="1" applyAlignment="1">
      <alignment horizontal="left" wrapText="1"/>
    </xf>
    <xf numFmtId="164" fontId="4" fillId="0" borderId="3" xfId="1" applyFont="1" applyFill="1" applyBorder="1" applyAlignment="1">
      <alignment horizontal="right"/>
    </xf>
    <xf numFmtId="10" fontId="4" fillId="0" borderId="3" xfId="1" applyNumberFormat="1" applyFont="1" applyFill="1" applyBorder="1" applyAlignment="1">
      <alignment horizontal="right"/>
    </xf>
    <xf numFmtId="0" fontId="5" fillId="0" borderId="3" xfId="0" applyFont="1" applyBorder="1"/>
    <xf numFmtId="0" fontId="4" fillId="0" borderId="0" xfId="0" applyFont="1" applyAlignment="1">
      <alignment wrapText="1"/>
    </xf>
    <xf numFmtId="0" fontId="4" fillId="0" borderId="0" xfId="0"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Alignment="1">
      <alignment horizontal="right"/>
    </xf>
    <xf numFmtId="0" fontId="5" fillId="0" borderId="0" xfId="0" applyFont="1"/>
    <xf numFmtId="0" fontId="9" fillId="0" borderId="0" xfId="6" applyFont="1"/>
    <xf numFmtId="0" fontId="10" fillId="0" borderId="0" xfId="3" applyFont="1" applyAlignment="1">
      <alignment horizontal="left" wrapText="1"/>
    </xf>
    <xf numFmtId="0" fontId="5" fillId="0" borderId="0" xfId="3" applyFont="1"/>
    <xf numFmtId="164" fontId="5" fillId="0" borderId="0" xfId="1" applyFont="1" applyFill="1" applyBorder="1" applyAlignment="1">
      <alignment horizontal="right"/>
    </xf>
    <xf numFmtId="0" fontId="7" fillId="0" borderId="0" xfId="6" applyFont="1"/>
    <xf numFmtId="0" fontId="9" fillId="0" borderId="0" xfId="7" applyFont="1" applyAlignment="1">
      <alignment horizontal="center"/>
    </xf>
    <xf numFmtId="0" fontId="9" fillId="0" borderId="0" xfId="7" applyFont="1"/>
    <xf numFmtId="0" fontId="4" fillId="0" borderId="0" xfId="3" applyFont="1"/>
    <xf numFmtId="0" fontId="11" fillId="0" borderId="0" xfId="3" applyFont="1" applyAlignment="1">
      <alignment horizontal="center" wrapText="1"/>
    </xf>
    <xf numFmtId="0" fontId="7" fillId="0" borderId="0" xfId="7" applyFont="1"/>
    <xf numFmtId="0" fontId="9" fillId="0" borderId="7" xfId="3" applyFont="1" applyBorder="1" applyAlignment="1">
      <alignment vertical="center" wrapText="1"/>
    </xf>
    <xf numFmtId="0" fontId="7" fillId="0" borderId="7" xfId="3" applyFont="1" applyBorder="1" applyAlignment="1">
      <alignment vertical="center" wrapText="1"/>
    </xf>
    <xf numFmtId="0" fontId="7" fillId="0" borderId="9" xfId="3" applyFont="1" applyBorder="1" applyAlignment="1">
      <alignment vertical="center" wrapText="1"/>
    </xf>
    <xf numFmtId="0" fontId="7" fillId="3" borderId="9" xfId="3" applyFont="1" applyFill="1" applyBorder="1" applyAlignment="1">
      <alignment horizontal="center" vertical="center" wrapText="1"/>
    </xf>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5" fillId="0" borderId="3" xfId="3" applyFont="1" applyBorder="1" applyAlignment="1">
      <alignment wrapText="1"/>
    </xf>
    <xf numFmtId="0" fontId="5" fillId="0" borderId="3" xfId="3" applyFont="1" applyBorder="1" applyAlignment="1">
      <alignment horizontal="center" vertic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7" fontId="5" fillId="0" borderId="3" xfId="3" applyNumberFormat="1" applyFont="1" applyBorder="1" applyAlignment="1">
      <alignment horizontal="center" wrapText="1"/>
    </xf>
    <xf numFmtId="167" fontId="5" fillId="0" borderId="3" xfId="3" applyNumberFormat="1" applyFont="1" applyBorder="1" applyAlignment="1">
      <alignment horizontal="center"/>
    </xf>
    <xf numFmtId="14" fontId="5" fillId="0" borderId="3" xfId="3" applyNumberFormat="1" applyFont="1" applyBorder="1" applyAlignment="1">
      <alignment horizontal="center" wrapText="1"/>
    </xf>
    <xf numFmtId="0" fontId="5" fillId="0" borderId="11" xfId="3" applyFont="1" applyBorder="1" applyAlignment="1">
      <alignment horizontal="left" wrapText="1"/>
    </xf>
    <xf numFmtId="0" fontId="5" fillId="0" borderId="10" xfId="3" applyFont="1"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5" fillId="0" borderId="3" xfId="0" applyFont="1" applyBorder="1" applyAlignment="1">
      <alignment wrapText="1"/>
    </xf>
    <xf numFmtId="0" fontId="5" fillId="0" borderId="3" xfId="0" applyFont="1" applyBorder="1" applyAlignment="1">
      <alignment horizontal="left" wrapText="1"/>
    </xf>
    <xf numFmtId="164" fontId="5" fillId="0" borderId="3" xfId="1" applyFont="1" applyFill="1" applyBorder="1" applyAlignment="1">
      <alignment horizontal="right"/>
    </xf>
    <xf numFmtId="10" fontId="5" fillId="0" borderId="3" xfId="1" applyNumberFormat="1" applyFont="1" applyFill="1" applyBorder="1" applyAlignment="1">
      <alignment horizontal="right"/>
    </xf>
    <xf numFmtId="4" fontId="5" fillId="0" borderId="3" xfId="8" applyNumberFormat="1" applyFont="1" applyFill="1" applyBorder="1" applyAlignment="1">
      <alignment wrapText="1"/>
    </xf>
    <xf numFmtId="0" fontId="5" fillId="0" borderId="3" xfId="0" applyFont="1" applyBorder="1" applyAlignment="1">
      <alignment horizontal="left"/>
    </xf>
    <xf numFmtId="166" fontId="5" fillId="0" borderId="3" xfId="0" applyNumberFormat="1" applyFont="1" applyBorder="1" applyAlignment="1">
      <alignment horizontal="center"/>
    </xf>
    <xf numFmtId="10" fontId="5" fillId="0" borderId="3" xfId="0" applyNumberFormat="1" applyFont="1" applyBorder="1" applyAlignment="1">
      <alignment horizontal="center"/>
    </xf>
    <xf numFmtId="0" fontId="12" fillId="0" borderId="3" xfId="0" applyFont="1" applyBorder="1" applyAlignment="1">
      <alignment horizontal="left" vertical="top"/>
    </xf>
    <xf numFmtId="0" fontId="13" fillId="0" borderId="3" xfId="0" applyFont="1" applyBorder="1"/>
    <xf numFmtId="4" fontId="13" fillId="0" borderId="3" xfId="0" applyNumberFormat="1" applyFont="1" applyBorder="1"/>
    <xf numFmtId="4" fontId="12" fillId="0" borderId="3" xfId="0" applyNumberFormat="1" applyFont="1" applyBorder="1" applyAlignment="1">
      <alignment horizontal="right" vertical="top"/>
    </xf>
    <xf numFmtId="10" fontId="12" fillId="0" borderId="3" xfId="2" applyNumberFormat="1" applyFont="1" applyBorder="1" applyAlignment="1">
      <alignment horizontal="right" vertical="top"/>
    </xf>
    <xf numFmtId="10" fontId="4" fillId="0" borderId="3" xfId="2" applyNumberFormat="1" applyFont="1" applyFill="1" applyBorder="1" applyAlignment="1">
      <alignment horizontal="right"/>
    </xf>
    <xf numFmtId="0" fontId="4" fillId="0" borderId="0" xfId="0" applyFont="1" applyBorder="1" applyAlignment="1">
      <alignment wrapText="1"/>
    </xf>
    <xf numFmtId="0" fontId="4" fillId="0" borderId="0" xfId="0" applyFont="1" applyBorder="1" applyAlignment="1">
      <alignment horizontal="left" wrapText="1"/>
    </xf>
    <xf numFmtId="10" fontId="4" fillId="0" borderId="0" xfId="2" applyNumberFormat="1" applyFont="1" applyFill="1" applyBorder="1" applyAlignment="1">
      <alignment horizontal="right"/>
    </xf>
    <xf numFmtId="0" fontId="5" fillId="0" borderId="0" xfId="0" applyFont="1" applyBorder="1" applyAlignment="1">
      <alignment horizontal="left"/>
    </xf>
    <xf numFmtId="166" fontId="5" fillId="0" borderId="0" xfId="0" applyNumberFormat="1" applyFont="1" applyBorder="1" applyAlignment="1">
      <alignment horizontal="center"/>
    </xf>
    <xf numFmtId="0" fontId="5" fillId="0" borderId="0" xfId="0" applyFont="1" applyBorder="1"/>
    <xf numFmtId="0" fontId="7" fillId="0" borderId="0" xfId="7" applyFont="1" applyBorder="1"/>
    <xf numFmtId="0" fontId="7" fillId="0" borderId="0" xfId="5" applyFont="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wrapText="1"/>
    </xf>
    <xf numFmtId="0" fontId="5" fillId="0" borderId="2" xfId="3" applyFont="1" applyBorder="1" applyAlignment="1">
      <alignment horizontal="center" wrapText="1"/>
    </xf>
    <xf numFmtId="0" fontId="5" fillId="0" borderId="10" xfId="3" applyFont="1" applyBorder="1" applyAlignment="1">
      <alignment horizontal="center" wrapText="1"/>
    </xf>
    <xf numFmtId="0" fontId="8" fillId="0" borderId="0" xfId="5" applyFont="1" applyAlignment="1">
      <alignment horizontal="left" vertical="top" wrapText="1"/>
    </xf>
    <xf numFmtId="0" fontId="4" fillId="0" borderId="0" xfId="3" applyFont="1" applyAlignment="1">
      <alignment horizontal="center" wrapText="1"/>
    </xf>
    <xf numFmtId="0" fontId="4" fillId="0" borderId="0" xfId="3" applyFont="1" applyAlignment="1">
      <alignment horizontal="center"/>
    </xf>
    <xf numFmtId="0" fontId="11" fillId="0" borderId="0" xfId="3" applyFont="1" applyAlignment="1">
      <alignment horizont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8" xfId="3" applyFont="1" applyBorder="1" applyAlignment="1">
      <alignment horizontal="left" vertical="center" wrapText="1"/>
    </xf>
    <xf numFmtId="0" fontId="9" fillId="0" borderId="7" xfId="3" applyFont="1" applyBorder="1" applyAlignment="1">
      <alignment horizontal="left" vertical="center" wrapText="1"/>
    </xf>
  </cellXfs>
  <cellStyles count="9">
    <cellStyle name="Comma" xfId="1" builtinId="3"/>
    <cellStyle name="Normal" xfId="0" builtinId="0"/>
    <cellStyle name="Normal 2 2 2" xfId="3"/>
    <cellStyle name="Normal 2 2_Template Portfolio Disclosure -31.01 2025" xfId="8"/>
    <cellStyle name="Normal 2 3 2" xfId="4"/>
    <cellStyle name="Normal 4_FF" xfId="6"/>
    <cellStyle name="Normal 4_IF" xfId="7"/>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657225</xdr:colOff>
      <xdr:row>52</xdr:row>
      <xdr:rowOff>28575</xdr:rowOff>
    </xdr:from>
    <xdr:to>
      <xdr:col>0</xdr:col>
      <xdr:colOff>3190875</xdr:colOff>
      <xdr:row>60</xdr:row>
      <xdr:rowOff>161925</xdr:rowOff>
    </xdr:to>
    <xdr:pic>
      <xdr:nvPicPr>
        <xdr:cNvPr id="2" name="Picture 5">
          <a:extLst>
            <a:ext uri="{FF2B5EF4-FFF2-40B4-BE49-F238E27FC236}">
              <a16:creationId xmlns:a16="http://schemas.microsoft.com/office/drawing/2014/main" id="{87A18D9A-E382-419C-8E9C-EE51195B2C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7225" y="8397875"/>
          <a:ext cx="2533650" cy="1454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647700</xdr:colOff>
      <xdr:row>52</xdr:row>
      <xdr:rowOff>9525</xdr:rowOff>
    </xdr:from>
    <xdr:to>
      <xdr:col>4</xdr:col>
      <xdr:colOff>200025</xdr:colOff>
      <xdr:row>61</xdr:row>
      <xdr:rowOff>133350</xdr:rowOff>
    </xdr:to>
    <xdr:pic>
      <xdr:nvPicPr>
        <xdr:cNvPr id="3" name="Picture 6">
          <a:extLst>
            <a:ext uri="{FF2B5EF4-FFF2-40B4-BE49-F238E27FC236}">
              <a16:creationId xmlns:a16="http://schemas.microsoft.com/office/drawing/2014/main" id="{216F7E0D-1C50-4474-970F-F0FD76987F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40250" y="8378825"/>
          <a:ext cx="2968625"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4"/>
  <sheetViews>
    <sheetView tabSelected="1" topLeftCell="A46" zoomScaleNormal="100" workbookViewId="0">
      <selection activeCell="A41" sqref="A41"/>
    </sheetView>
  </sheetViews>
  <sheetFormatPr defaultColWidth="9.140625" defaultRowHeight="12.75" x14ac:dyDescent="0.2"/>
  <cols>
    <col min="1" max="1" width="55.7109375" style="43" customWidth="1"/>
    <col min="2" max="2" width="21.42578125" style="44" bestFit="1" customWidth="1"/>
    <col min="3" max="3" width="13.42578125" style="45" customWidth="1"/>
    <col min="4" max="4" width="14"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69" t="s">
        <v>0</v>
      </c>
      <c r="B1" s="69"/>
      <c r="C1" s="69"/>
      <c r="D1" s="69"/>
      <c r="E1" s="69"/>
      <c r="F1" s="69"/>
      <c r="G1" s="69"/>
      <c r="H1" s="69"/>
    </row>
    <row r="2" spans="1:8" ht="12.95" customHeight="1" x14ac:dyDescent="0.2">
      <c r="A2" s="70" t="s">
        <v>1</v>
      </c>
      <c r="B2" s="70"/>
      <c r="C2" s="70"/>
      <c r="D2" s="70"/>
      <c r="E2" s="70"/>
      <c r="F2" s="70"/>
      <c r="G2" s="70"/>
      <c r="H2" s="70"/>
    </row>
    <row r="3" spans="1:8" ht="12.75" customHeight="1" x14ac:dyDescent="0.2">
      <c r="A3" s="71" t="s">
        <v>88</v>
      </c>
      <c r="B3" s="71"/>
      <c r="C3" s="71"/>
      <c r="D3" s="71"/>
      <c r="E3" s="71"/>
      <c r="F3" s="71"/>
      <c r="G3" s="71"/>
      <c r="H3" s="71"/>
    </row>
    <row r="4" spans="1:8" s="5" customFormat="1" ht="25.5" x14ac:dyDescent="0.2">
      <c r="A4" s="2" t="s">
        <v>2</v>
      </c>
      <c r="B4" s="3" t="s">
        <v>3</v>
      </c>
      <c r="C4" s="4" t="s">
        <v>66</v>
      </c>
      <c r="D4" s="2" t="s">
        <v>4</v>
      </c>
      <c r="E4" s="2" t="s">
        <v>5</v>
      </c>
      <c r="F4" s="2" t="s">
        <v>6</v>
      </c>
      <c r="G4" s="2" t="s">
        <v>7</v>
      </c>
      <c r="H4" s="2" t="s">
        <v>8</v>
      </c>
    </row>
    <row r="5" spans="1:8" ht="14.25" x14ac:dyDescent="0.3">
      <c r="A5" s="6" t="s">
        <v>41</v>
      </c>
      <c r="B5" s="7"/>
      <c r="C5" s="7"/>
      <c r="D5" s="8"/>
      <c r="E5" s="9"/>
      <c r="F5" s="51"/>
      <c r="G5" s="52"/>
      <c r="H5" s="10"/>
    </row>
    <row r="6" spans="1:8" ht="14.25" x14ac:dyDescent="0.3">
      <c r="A6" s="6" t="s">
        <v>42</v>
      </c>
      <c r="B6" s="7"/>
      <c r="C6" s="7"/>
      <c r="D6" s="8"/>
      <c r="E6" s="9"/>
      <c r="F6" s="51"/>
      <c r="G6" s="52"/>
      <c r="H6" s="10"/>
    </row>
    <row r="7" spans="1:8" ht="14.25" x14ac:dyDescent="0.3">
      <c r="A7" s="46" t="s">
        <v>67</v>
      </c>
      <c r="B7" s="47" t="s">
        <v>68</v>
      </c>
      <c r="C7" s="47">
        <v>300000</v>
      </c>
      <c r="D7" s="48">
        <v>306.67919999999998</v>
      </c>
      <c r="E7" s="49">
        <v>6.8458489338579828E-2</v>
      </c>
      <c r="F7" s="51" t="s">
        <v>71</v>
      </c>
      <c r="G7" s="52" t="s">
        <v>74</v>
      </c>
      <c r="H7" s="10"/>
    </row>
    <row r="8" spans="1:8" ht="14.25" x14ac:dyDescent="0.3">
      <c r="A8" s="46" t="s">
        <v>69</v>
      </c>
      <c r="B8" s="47" t="s">
        <v>68</v>
      </c>
      <c r="C8" s="47">
        <v>300000</v>
      </c>
      <c r="D8" s="48">
        <v>302.03219999999999</v>
      </c>
      <c r="E8" s="49">
        <v>6.7421162385997518E-2</v>
      </c>
      <c r="F8" s="51" t="s">
        <v>72</v>
      </c>
      <c r="G8" s="52" t="s">
        <v>75</v>
      </c>
      <c r="H8" s="10"/>
    </row>
    <row r="9" spans="1:8" ht="14.25" x14ac:dyDescent="0.3">
      <c r="A9" s="46" t="s">
        <v>70</v>
      </c>
      <c r="B9" s="47" t="s">
        <v>68</v>
      </c>
      <c r="C9" s="47">
        <v>300000</v>
      </c>
      <c r="D9" s="48">
        <v>301.53390000000002</v>
      </c>
      <c r="E9" s="49">
        <v>6.7309929328009194E-2</v>
      </c>
      <c r="F9" s="51" t="s">
        <v>73</v>
      </c>
      <c r="G9" s="52" t="s">
        <v>76</v>
      </c>
      <c r="H9" s="10"/>
    </row>
    <row r="10" spans="1:8" ht="14.25" x14ac:dyDescent="0.3">
      <c r="A10" s="54" t="s">
        <v>44</v>
      </c>
      <c r="B10" s="55"/>
      <c r="C10" s="56"/>
      <c r="D10" s="57">
        <f>SUM(D7:D9)</f>
        <v>910.24529999999993</v>
      </c>
      <c r="E10" s="58">
        <f>SUM(E7:E9)</f>
        <v>0.20318958105258653</v>
      </c>
      <c r="F10" s="51"/>
      <c r="G10" s="52"/>
      <c r="H10" s="10"/>
    </row>
    <row r="11" spans="1:8" ht="14.25" x14ac:dyDescent="0.3">
      <c r="A11" s="6" t="s">
        <v>45</v>
      </c>
      <c r="B11" s="7"/>
      <c r="C11" s="7"/>
      <c r="D11" s="8" t="s">
        <v>43</v>
      </c>
      <c r="E11" s="9" t="s">
        <v>43</v>
      </c>
      <c r="F11" s="51"/>
      <c r="G11" s="52"/>
      <c r="H11" s="10"/>
    </row>
    <row r="12" spans="1:8" ht="14.25" x14ac:dyDescent="0.3">
      <c r="A12" s="6" t="s">
        <v>44</v>
      </c>
      <c r="B12" s="7"/>
      <c r="C12" s="7"/>
      <c r="D12" s="8" t="s">
        <v>43</v>
      </c>
      <c r="E12" s="9" t="s">
        <v>43</v>
      </c>
      <c r="F12" s="51"/>
      <c r="G12" s="52"/>
      <c r="H12" s="10"/>
    </row>
    <row r="13" spans="1:8" ht="14.25" x14ac:dyDescent="0.3">
      <c r="A13" s="6" t="s">
        <v>46</v>
      </c>
      <c r="B13" s="7"/>
      <c r="C13" s="7"/>
      <c r="D13" s="8" t="s">
        <v>43</v>
      </c>
      <c r="E13" s="9" t="s">
        <v>43</v>
      </c>
      <c r="F13" s="51"/>
      <c r="G13" s="52"/>
      <c r="H13" s="10"/>
    </row>
    <row r="14" spans="1:8" ht="14.25" x14ac:dyDescent="0.3">
      <c r="A14" s="6" t="s">
        <v>44</v>
      </c>
      <c r="B14" s="7"/>
      <c r="C14" s="7"/>
      <c r="D14" s="8" t="s">
        <v>43</v>
      </c>
      <c r="E14" s="9" t="s">
        <v>43</v>
      </c>
      <c r="F14" s="51"/>
      <c r="G14" s="52"/>
      <c r="H14" s="10"/>
    </row>
    <row r="15" spans="1:8" ht="14.25" x14ac:dyDescent="0.3">
      <c r="A15" s="6" t="s">
        <v>47</v>
      </c>
      <c r="B15" s="7"/>
      <c r="C15" s="7"/>
      <c r="D15" s="8"/>
      <c r="E15" s="9"/>
      <c r="F15" s="51"/>
      <c r="G15" s="52"/>
      <c r="H15" s="10"/>
    </row>
    <row r="16" spans="1:8" ht="14.25" x14ac:dyDescent="0.3">
      <c r="A16" s="46" t="s">
        <v>48</v>
      </c>
      <c r="B16" s="47" t="s">
        <v>49</v>
      </c>
      <c r="C16" s="47">
        <v>1275000</v>
      </c>
      <c r="D16" s="48">
        <v>1302.4571249999999</v>
      </c>
      <c r="E16" s="49">
        <v>0.29074109755656674</v>
      </c>
      <c r="F16" s="51" t="s">
        <v>50</v>
      </c>
      <c r="G16" s="52" t="s">
        <v>55</v>
      </c>
      <c r="H16" s="10"/>
    </row>
    <row r="17" spans="1:8" ht="14.25" x14ac:dyDescent="0.3">
      <c r="A17" s="46" t="s">
        <v>51</v>
      </c>
      <c r="B17" s="47" t="s">
        <v>49</v>
      </c>
      <c r="C17" s="47">
        <v>1000000</v>
      </c>
      <c r="D17" s="48">
        <v>1014.74</v>
      </c>
      <c r="E17" s="49">
        <v>0.22651541895058583</v>
      </c>
      <c r="F17" s="51" t="s">
        <v>52</v>
      </c>
      <c r="G17" s="52" t="s">
        <v>81</v>
      </c>
      <c r="H17" s="10"/>
    </row>
    <row r="18" spans="1:8" ht="14.25" x14ac:dyDescent="0.3">
      <c r="A18" s="46" t="s">
        <v>77</v>
      </c>
      <c r="B18" s="47" t="s">
        <v>49</v>
      </c>
      <c r="C18" s="47">
        <v>500000</v>
      </c>
      <c r="D18" s="48">
        <v>509.52050000000003</v>
      </c>
      <c r="E18" s="49">
        <v>0.11373775501252731</v>
      </c>
      <c r="F18" s="51" t="s">
        <v>79</v>
      </c>
      <c r="G18" s="52" t="s">
        <v>82</v>
      </c>
      <c r="H18" s="10"/>
    </row>
    <row r="19" spans="1:8" ht="14.25" x14ac:dyDescent="0.3">
      <c r="A19" s="46" t="s">
        <v>53</v>
      </c>
      <c r="B19" s="47" t="s">
        <v>49</v>
      </c>
      <c r="C19" s="47">
        <v>325000</v>
      </c>
      <c r="D19" s="48">
        <v>337.44197500000001</v>
      </c>
      <c r="E19" s="49">
        <v>7.5325512287520061E-2</v>
      </c>
      <c r="F19" s="51" t="s">
        <v>54</v>
      </c>
      <c r="G19" s="52" t="s">
        <v>83</v>
      </c>
      <c r="H19" s="10"/>
    </row>
    <row r="20" spans="1:8" ht="14.25" x14ac:dyDescent="0.3">
      <c r="A20" s="46" t="s">
        <v>78</v>
      </c>
      <c r="B20" s="47" t="s">
        <v>49</v>
      </c>
      <c r="C20" s="47">
        <v>150000</v>
      </c>
      <c r="D20" s="48">
        <v>151.76519999999999</v>
      </c>
      <c r="E20" s="49">
        <v>3.3877799101365319E-2</v>
      </c>
      <c r="F20" s="51" t="s">
        <v>80</v>
      </c>
      <c r="G20" s="52" t="s">
        <v>84</v>
      </c>
      <c r="H20" s="10"/>
    </row>
    <row r="21" spans="1:8" ht="14.25" x14ac:dyDescent="0.3">
      <c r="A21" s="6" t="s">
        <v>44</v>
      </c>
      <c r="B21" s="7"/>
      <c r="C21" s="7"/>
      <c r="D21" s="8">
        <f>SUM(D16:D20)</f>
        <v>3315.9247999999998</v>
      </c>
      <c r="E21" s="8">
        <f>SUM(E16:E20)</f>
        <v>0.7401975829085653</v>
      </c>
      <c r="F21" s="51"/>
      <c r="G21" s="52"/>
      <c r="H21" s="10"/>
    </row>
    <row r="22" spans="1:8" ht="14.25" x14ac:dyDescent="0.3">
      <c r="A22" s="6" t="s">
        <v>56</v>
      </c>
      <c r="B22" s="7"/>
      <c r="C22" s="7"/>
      <c r="D22" s="8">
        <f>+D21+D10</f>
        <v>4226.1700999999994</v>
      </c>
      <c r="E22" s="59">
        <f>+E21+E10</f>
        <v>0.94338716396115185</v>
      </c>
      <c r="F22" s="51"/>
      <c r="G22" s="52"/>
      <c r="H22" s="10"/>
    </row>
    <row r="23" spans="1:8" ht="14.25" x14ac:dyDescent="0.3">
      <c r="A23" s="6"/>
      <c r="B23" s="7"/>
      <c r="C23" s="7"/>
      <c r="D23" s="8"/>
      <c r="E23" s="9"/>
      <c r="F23" s="51"/>
      <c r="G23" s="52"/>
      <c r="H23" s="10"/>
    </row>
    <row r="24" spans="1:8" ht="14.25" x14ac:dyDescent="0.3">
      <c r="A24" s="6" t="s">
        <v>57</v>
      </c>
      <c r="B24" s="7"/>
      <c r="C24" s="7"/>
      <c r="D24" s="8" t="s">
        <v>43</v>
      </c>
      <c r="E24" s="9" t="s">
        <v>43</v>
      </c>
      <c r="F24" s="51"/>
      <c r="G24" s="52"/>
      <c r="H24" s="10"/>
    </row>
    <row r="25" spans="1:8" ht="14.25" x14ac:dyDescent="0.3">
      <c r="A25" s="6"/>
      <c r="B25" s="7"/>
      <c r="C25" s="7"/>
      <c r="D25" s="8"/>
      <c r="E25" s="9"/>
      <c r="F25" s="51"/>
      <c r="G25" s="52"/>
      <c r="H25" s="10"/>
    </row>
    <row r="26" spans="1:8" ht="14.25" x14ac:dyDescent="0.3">
      <c r="A26" s="6" t="s">
        <v>58</v>
      </c>
      <c r="B26" s="7"/>
      <c r="C26" s="7"/>
      <c r="D26" s="8"/>
      <c r="E26" s="9"/>
      <c r="F26" s="51"/>
      <c r="G26" s="52"/>
      <c r="H26" s="10"/>
    </row>
    <row r="27" spans="1:8" ht="14.25" x14ac:dyDescent="0.3">
      <c r="A27" s="50" t="s">
        <v>65</v>
      </c>
      <c r="B27" s="47"/>
      <c r="C27" s="47">
        <v>110.895</v>
      </c>
      <c r="D27" s="48">
        <v>12.2368542</v>
      </c>
      <c r="E27" s="49">
        <v>2.7315727730751085E-3</v>
      </c>
      <c r="F27" s="51" t="s">
        <v>59</v>
      </c>
      <c r="G27" s="53">
        <v>6.4600000000000005E-2</v>
      </c>
      <c r="H27" s="10"/>
    </row>
    <row r="28" spans="1:8" ht="14.25" x14ac:dyDescent="0.3">
      <c r="A28" s="6" t="s">
        <v>56</v>
      </c>
      <c r="B28" s="7"/>
      <c r="C28" s="7"/>
      <c r="D28" s="8">
        <f>+D27</f>
        <v>12.2368542</v>
      </c>
      <c r="E28" s="59">
        <f>+E27</f>
        <v>2.7315727730751085E-3</v>
      </c>
      <c r="F28" s="51"/>
      <c r="G28" s="52"/>
      <c r="H28" s="10"/>
    </row>
    <row r="29" spans="1:8" ht="14.25" x14ac:dyDescent="0.3">
      <c r="A29" s="6"/>
      <c r="B29" s="7"/>
      <c r="C29" s="7"/>
      <c r="D29" s="8"/>
      <c r="E29" s="9"/>
      <c r="F29" s="51"/>
      <c r="G29" s="52"/>
      <c r="H29" s="10"/>
    </row>
    <row r="30" spans="1:8" ht="14.25" x14ac:dyDescent="0.3">
      <c r="A30" s="6" t="s">
        <v>60</v>
      </c>
      <c r="B30" s="7"/>
      <c r="C30" s="7"/>
      <c r="D30" s="8"/>
      <c r="E30" s="9"/>
      <c r="F30" s="51"/>
      <c r="G30" s="52"/>
      <c r="H30" s="10"/>
    </row>
    <row r="31" spans="1:8" ht="14.25" x14ac:dyDescent="0.3">
      <c r="A31" s="46" t="s">
        <v>61</v>
      </c>
      <c r="B31" s="47"/>
      <c r="C31" s="47">
        <v>1184.5314000000001</v>
      </c>
      <c r="D31" s="48">
        <v>118.4315126</v>
      </c>
      <c r="E31" s="49">
        <v>2.6436884023040959E-2</v>
      </c>
      <c r="F31" s="51"/>
      <c r="G31" s="53">
        <v>6.6703239999999997E-2</v>
      </c>
      <c r="H31" s="10"/>
    </row>
    <row r="32" spans="1:8" ht="14.25" x14ac:dyDescent="0.3">
      <c r="A32" s="6" t="s">
        <v>56</v>
      </c>
      <c r="B32" s="7"/>
      <c r="C32" s="7"/>
      <c r="D32" s="8">
        <f>+D31</f>
        <v>118.4315126</v>
      </c>
      <c r="E32" s="59">
        <f>+E31</f>
        <v>2.6436884023040959E-2</v>
      </c>
      <c r="F32" s="51"/>
      <c r="G32" s="52"/>
      <c r="H32" s="10"/>
    </row>
    <row r="33" spans="1:8" ht="14.25" x14ac:dyDescent="0.3">
      <c r="A33" s="6"/>
      <c r="B33" s="7"/>
      <c r="C33" s="7"/>
      <c r="D33" s="8"/>
      <c r="E33" s="9"/>
      <c r="F33" s="51"/>
      <c r="G33" s="52"/>
      <c r="H33" s="10"/>
    </row>
    <row r="34" spans="1:8" ht="14.25" x14ac:dyDescent="0.3">
      <c r="A34" s="6" t="s">
        <v>62</v>
      </c>
      <c r="B34" s="7"/>
      <c r="C34" s="7"/>
      <c r="D34" s="8"/>
      <c r="E34" s="9"/>
      <c r="F34" s="51"/>
      <c r="G34" s="52"/>
      <c r="H34" s="10"/>
    </row>
    <row r="35" spans="1:8" ht="14.25" x14ac:dyDescent="0.3">
      <c r="A35" s="46" t="s">
        <v>63</v>
      </c>
      <c r="B35" s="47"/>
      <c r="C35" s="47"/>
      <c r="D35" s="48">
        <v>122.94487289999999</v>
      </c>
      <c r="E35" s="49">
        <v>2.7444379242732152E-2</v>
      </c>
      <c r="F35" s="51"/>
      <c r="G35" s="52"/>
      <c r="H35" s="10"/>
    </row>
    <row r="36" spans="1:8" ht="14.25" x14ac:dyDescent="0.3">
      <c r="A36" s="6" t="s">
        <v>56</v>
      </c>
      <c r="B36" s="7"/>
      <c r="C36" s="7"/>
      <c r="D36" s="8">
        <f>+D35</f>
        <v>122.94487289999999</v>
      </c>
      <c r="E36" s="59">
        <f>+E35</f>
        <v>2.7444379242732152E-2</v>
      </c>
      <c r="F36" s="51"/>
      <c r="G36" s="52"/>
      <c r="H36" s="10"/>
    </row>
    <row r="37" spans="1:8" ht="14.25" x14ac:dyDescent="0.3">
      <c r="A37" s="6" t="s">
        <v>64</v>
      </c>
      <c r="B37" s="7"/>
      <c r="C37" s="7"/>
      <c r="D37" s="8">
        <f>+D36+D32+D28+D22</f>
        <v>4479.7833396999995</v>
      </c>
      <c r="E37" s="59">
        <f>+E36+E32+E28+E22</f>
        <v>1</v>
      </c>
      <c r="F37" s="51"/>
      <c r="G37" s="52"/>
      <c r="H37" s="10"/>
    </row>
    <row r="38" spans="1:8" ht="14.25" x14ac:dyDescent="0.3">
      <c r="A38" s="60"/>
      <c r="B38" s="61"/>
      <c r="C38" s="61"/>
      <c r="D38" s="14"/>
      <c r="E38" s="62"/>
      <c r="F38" s="63"/>
      <c r="G38" s="64"/>
      <c r="H38" s="65"/>
    </row>
    <row r="39" spans="1:8" ht="14.25" x14ac:dyDescent="0.3">
      <c r="A39" s="31" t="s">
        <v>86</v>
      </c>
      <c r="B39" s="61"/>
      <c r="C39" s="61"/>
      <c r="D39" s="14"/>
      <c r="E39" s="62"/>
      <c r="F39" s="63"/>
      <c r="G39" s="64"/>
      <c r="H39" s="65"/>
    </row>
    <row r="40" spans="1:8" ht="14.25" x14ac:dyDescent="0.3">
      <c r="A40" s="31"/>
      <c r="B40" s="61"/>
      <c r="C40" s="61"/>
      <c r="D40" s="14"/>
      <c r="E40" s="62"/>
      <c r="F40" s="63"/>
      <c r="G40" s="64"/>
      <c r="H40" s="65"/>
    </row>
    <row r="41" spans="1:8" ht="14.25" x14ac:dyDescent="0.3">
      <c r="A41" s="66" t="s">
        <v>87</v>
      </c>
      <c r="B41" s="61"/>
      <c r="C41" s="61"/>
      <c r="D41" s="14"/>
      <c r="E41" s="62"/>
      <c r="F41" s="63"/>
      <c r="G41" s="64"/>
      <c r="H41" s="65"/>
    </row>
    <row r="42" spans="1:8" ht="14.25" x14ac:dyDescent="0.3">
      <c r="A42" s="11"/>
      <c r="B42" s="12"/>
      <c r="C42" s="13"/>
      <c r="D42" s="14"/>
      <c r="E42" s="14"/>
      <c r="F42" s="15"/>
      <c r="G42" s="16"/>
      <c r="H42" s="16"/>
    </row>
    <row r="43" spans="1:8" ht="12.95" customHeight="1" x14ac:dyDescent="0.2">
      <c r="A43" s="72" t="s">
        <v>9</v>
      </c>
      <c r="B43" s="72"/>
      <c r="C43" s="72"/>
      <c r="D43" s="72"/>
      <c r="E43" s="72"/>
      <c r="F43" s="72"/>
      <c r="G43" s="72"/>
      <c r="H43" s="72"/>
    </row>
    <row r="44" spans="1:8" ht="12.95" customHeight="1" x14ac:dyDescent="0.2">
      <c r="A44" s="72" t="s">
        <v>10</v>
      </c>
      <c r="B44" s="72"/>
      <c r="C44" s="72"/>
      <c r="D44" s="72"/>
      <c r="E44" s="72"/>
      <c r="F44" s="72"/>
      <c r="G44" s="72"/>
      <c r="H44" s="72"/>
    </row>
    <row r="45" spans="1:8" ht="12.95" customHeight="1" x14ac:dyDescent="0.2">
      <c r="A45" s="67" t="s">
        <v>11</v>
      </c>
      <c r="B45" s="68"/>
      <c r="C45" s="68"/>
      <c r="D45" s="68"/>
      <c r="E45" s="68"/>
      <c r="F45" s="68"/>
      <c r="G45" s="68"/>
      <c r="H45" s="68"/>
    </row>
    <row r="46" spans="1:8" ht="54.75" customHeight="1" x14ac:dyDescent="0.2">
      <c r="A46" s="75" t="s">
        <v>12</v>
      </c>
      <c r="B46" s="75"/>
      <c r="C46" s="75"/>
      <c r="D46" s="75"/>
      <c r="E46" s="75"/>
      <c r="F46" s="75"/>
      <c r="G46" s="75"/>
      <c r="H46" s="75"/>
    </row>
    <row r="47" spans="1:8" ht="14.25" x14ac:dyDescent="0.3">
      <c r="A47" s="17" t="s">
        <v>13</v>
      </c>
      <c r="B47" s="18"/>
      <c r="C47" s="18"/>
      <c r="D47" s="18"/>
      <c r="E47" s="19"/>
      <c r="F47" s="19"/>
      <c r="G47" s="20"/>
      <c r="H47" s="20"/>
    </row>
    <row r="48" spans="1:8" ht="14.25" x14ac:dyDescent="0.3">
      <c r="A48" s="21" t="s">
        <v>14</v>
      </c>
      <c r="B48" s="18"/>
      <c r="C48" s="18"/>
      <c r="D48" s="18"/>
      <c r="E48" s="19"/>
      <c r="F48" s="19"/>
      <c r="G48" s="20"/>
      <c r="H48" s="20"/>
    </row>
    <row r="49" spans="1:8" ht="14.25" x14ac:dyDescent="0.3">
      <c r="A49" s="21" t="s">
        <v>15</v>
      </c>
      <c r="B49" s="18"/>
      <c r="C49" s="18"/>
      <c r="D49" s="18"/>
      <c r="E49" s="19"/>
      <c r="F49" s="19"/>
      <c r="G49" s="20"/>
      <c r="H49" s="20"/>
    </row>
    <row r="50" spans="1:8" ht="14.25" x14ac:dyDescent="0.3">
      <c r="A50" s="21" t="s">
        <v>16</v>
      </c>
      <c r="B50" s="18"/>
      <c r="C50" s="18"/>
      <c r="D50" s="18"/>
      <c r="E50" s="19"/>
      <c r="F50" s="19"/>
      <c r="G50" s="20"/>
      <c r="H50" s="20"/>
    </row>
    <row r="51" spans="1:8" ht="14.25" x14ac:dyDescent="0.3">
      <c r="A51" s="19"/>
      <c r="B51" s="19"/>
      <c r="C51" s="19"/>
      <c r="D51" s="19"/>
      <c r="E51" s="19"/>
      <c r="F51" s="19"/>
      <c r="G51" s="20"/>
      <c r="H51" s="20"/>
    </row>
    <row r="52" spans="1:8" ht="12.95" customHeight="1" x14ac:dyDescent="0.3">
      <c r="A52" s="22" t="s">
        <v>17</v>
      </c>
      <c r="B52" s="76" t="s">
        <v>18</v>
      </c>
      <c r="C52" s="77"/>
      <c r="D52" s="77"/>
      <c r="E52" s="19"/>
      <c r="F52" s="19"/>
      <c r="G52" s="20"/>
      <c r="H52" s="20"/>
    </row>
    <row r="53" spans="1:8" ht="14.25" x14ac:dyDescent="0.3">
      <c r="A53" s="23"/>
      <c r="B53" s="18"/>
      <c r="C53" s="18"/>
      <c r="D53" s="24"/>
      <c r="E53" s="24"/>
      <c r="F53" s="24"/>
      <c r="G53" s="20"/>
      <c r="H53" s="20"/>
    </row>
    <row r="54" spans="1:8" ht="14.25" x14ac:dyDescent="0.3">
      <c r="A54" s="23"/>
      <c r="B54" s="18"/>
      <c r="C54" s="18"/>
      <c r="D54" s="24"/>
      <c r="E54" s="24"/>
      <c r="F54" s="24"/>
      <c r="G54" s="20"/>
      <c r="H54" s="20"/>
    </row>
    <row r="55" spans="1:8" ht="14.25" x14ac:dyDescent="0.3">
      <c r="A55" s="23"/>
      <c r="B55" s="18"/>
      <c r="C55" s="18"/>
      <c r="D55" s="24"/>
      <c r="E55" s="24"/>
      <c r="F55" s="24"/>
      <c r="G55" s="20"/>
      <c r="H55" s="20"/>
    </row>
    <row r="56" spans="1:8" ht="14.25" x14ac:dyDescent="0.3">
      <c r="A56" s="23"/>
      <c r="B56" s="18"/>
      <c r="C56" s="18"/>
      <c r="D56" s="24"/>
      <c r="E56" s="24"/>
      <c r="F56" s="24"/>
      <c r="G56" s="20"/>
      <c r="H56" s="20"/>
    </row>
    <row r="57" spans="1:8" ht="14.25" x14ac:dyDescent="0.3">
      <c r="A57" s="23"/>
      <c r="B57" s="18"/>
      <c r="C57" s="18"/>
      <c r="D57" s="24"/>
      <c r="E57" s="24"/>
      <c r="F57" s="24"/>
      <c r="G57" s="20"/>
      <c r="H57" s="20"/>
    </row>
    <row r="58" spans="1:8" ht="14.25" x14ac:dyDescent="0.3">
      <c r="A58" s="23"/>
      <c r="B58" s="18"/>
      <c r="C58" s="18"/>
      <c r="D58" s="24"/>
      <c r="E58" s="24"/>
      <c r="F58" s="24"/>
      <c r="G58" s="20"/>
      <c r="H58" s="20"/>
    </row>
    <row r="59" spans="1:8" ht="14.25" x14ac:dyDescent="0.3">
      <c r="A59" s="23"/>
      <c r="B59" s="18"/>
      <c r="C59" s="18"/>
      <c r="D59" s="24"/>
      <c r="E59" s="24"/>
      <c r="F59" s="24"/>
      <c r="G59" s="20"/>
      <c r="H59" s="20"/>
    </row>
    <row r="60" spans="1:8" ht="14.25" x14ac:dyDescent="0.3">
      <c r="A60" s="23"/>
      <c r="B60" s="18"/>
      <c r="C60" s="18"/>
      <c r="D60" s="24"/>
      <c r="E60" s="24"/>
      <c r="F60" s="24"/>
      <c r="G60" s="20"/>
      <c r="H60" s="20"/>
    </row>
    <row r="61" spans="1:8" ht="14.25" x14ac:dyDescent="0.3">
      <c r="A61" s="23"/>
      <c r="B61" s="18"/>
      <c r="C61" s="18"/>
      <c r="D61" s="24"/>
      <c r="E61" s="24"/>
      <c r="F61" s="24"/>
      <c r="G61" s="20"/>
      <c r="H61" s="20"/>
    </row>
    <row r="62" spans="1:8" ht="14.25" x14ac:dyDescent="0.3">
      <c r="A62" s="23"/>
      <c r="B62" s="18"/>
      <c r="C62" s="18"/>
      <c r="D62" s="24"/>
      <c r="E62" s="24"/>
      <c r="F62" s="24"/>
      <c r="G62" s="20"/>
      <c r="H62" s="20"/>
    </row>
    <row r="63" spans="1:8" ht="12.95" customHeight="1" x14ac:dyDescent="0.3">
      <c r="A63" s="23"/>
      <c r="B63" s="18"/>
      <c r="C63" s="18"/>
      <c r="D63" s="24"/>
      <c r="E63" s="24"/>
      <c r="F63" s="24"/>
      <c r="G63" s="20"/>
      <c r="H63" s="20"/>
    </row>
    <row r="64" spans="1:8" ht="14.25" x14ac:dyDescent="0.3">
      <c r="A64" s="25" t="s">
        <v>19</v>
      </c>
      <c r="B64" s="78" t="s">
        <v>20</v>
      </c>
      <c r="C64" s="78"/>
      <c r="D64" s="78"/>
      <c r="E64" s="78"/>
      <c r="F64" s="24"/>
      <c r="G64" s="20"/>
      <c r="H64" s="20"/>
    </row>
    <row r="65" spans="1:8" ht="14.25" x14ac:dyDescent="0.3">
      <c r="A65" s="25"/>
      <c r="B65" s="25"/>
      <c r="C65" s="25"/>
      <c r="D65" s="25"/>
      <c r="E65" s="25"/>
      <c r="F65" s="24"/>
      <c r="G65" s="20"/>
      <c r="H65" s="20"/>
    </row>
    <row r="66" spans="1:8" ht="15" thickBot="1" x14ac:dyDescent="0.35">
      <c r="A66" s="26"/>
      <c r="B66" s="18"/>
      <c r="C66" s="18"/>
      <c r="D66" s="24"/>
      <c r="E66" s="24"/>
      <c r="F66" s="24"/>
      <c r="G66" s="20"/>
      <c r="H66" s="20"/>
    </row>
    <row r="67" spans="1:8" ht="15" thickBot="1" x14ac:dyDescent="0.35">
      <c r="A67" s="79" t="s">
        <v>21</v>
      </c>
      <c r="B67" s="80"/>
      <c r="C67" s="80"/>
      <c r="D67" s="81"/>
      <c r="E67" s="19"/>
      <c r="F67" s="19"/>
      <c r="G67" s="19"/>
      <c r="H67" s="19"/>
    </row>
    <row r="68" spans="1:8" ht="15" thickBot="1" x14ac:dyDescent="0.35">
      <c r="A68" s="27" t="s">
        <v>22</v>
      </c>
      <c r="B68" s="82" t="s">
        <v>23</v>
      </c>
      <c r="C68" s="82" t="s">
        <v>24</v>
      </c>
      <c r="D68" s="82" t="s">
        <v>25</v>
      </c>
      <c r="E68" s="19"/>
      <c r="F68" s="19"/>
      <c r="G68" s="19"/>
      <c r="H68" s="19"/>
    </row>
    <row r="69" spans="1:8" ht="15" thickBot="1" x14ac:dyDescent="0.35">
      <c r="A69" s="27" t="s">
        <v>26</v>
      </c>
      <c r="B69" s="83"/>
      <c r="C69" s="83"/>
      <c r="D69" s="83"/>
      <c r="E69" s="19"/>
      <c r="F69" s="19"/>
      <c r="G69" s="19"/>
      <c r="H69" s="19"/>
    </row>
    <row r="70" spans="1:8" ht="15" thickBot="1" x14ac:dyDescent="0.35">
      <c r="A70" s="28" t="s">
        <v>27</v>
      </c>
      <c r="B70" s="29"/>
      <c r="C70" s="29"/>
      <c r="D70" s="29"/>
      <c r="E70" s="19"/>
      <c r="F70" s="19"/>
      <c r="G70" s="19"/>
      <c r="H70" s="19"/>
    </row>
    <row r="71" spans="1:8" ht="15" thickBot="1" x14ac:dyDescent="0.35">
      <c r="A71" s="28" t="s">
        <v>28</v>
      </c>
      <c r="B71" s="29"/>
      <c r="C71" s="29"/>
      <c r="D71" s="29"/>
      <c r="E71" s="19"/>
      <c r="F71" s="19"/>
      <c r="G71" s="19"/>
      <c r="H71" s="19"/>
    </row>
    <row r="72" spans="1:8" ht="15" thickBot="1" x14ac:dyDescent="0.35">
      <c r="A72" s="28" t="s">
        <v>29</v>
      </c>
      <c r="B72" s="29"/>
      <c r="C72" s="30" t="s">
        <v>30</v>
      </c>
      <c r="D72" s="29"/>
      <c r="E72" s="19"/>
      <c r="F72" s="19"/>
      <c r="G72" s="19"/>
      <c r="H72" s="19"/>
    </row>
    <row r="73" spans="1:8" ht="14.25" x14ac:dyDescent="0.3">
      <c r="A73" s="31"/>
      <c r="B73" s="32"/>
      <c r="C73" s="33"/>
      <c r="D73" s="19"/>
      <c r="E73" s="19"/>
      <c r="F73" s="19"/>
      <c r="G73" s="19"/>
      <c r="H73" s="19"/>
    </row>
    <row r="74" spans="1:8" ht="14.25" x14ac:dyDescent="0.3">
      <c r="A74" s="73" t="s">
        <v>31</v>
      </c>
      <c r="B74" s="74"/>
      <c r="C74" s="33"/>
      <c r="D74" s="19"/>
      <c r="E74" s="19"/>
      <c r="F74" s="19"/>
      <c r="G74" s="19"/>
      <c r="H74" s="19"/>
    </row>
    <row r="75" spans="1:8" ht="14.25" x14ac:dyDescent="0.3">
      <c r="A75" s="34" t="s">
        <v>32</v>
      </c>
      <c r="B75" s="35" t="s">
        <v>33</v>
      </c>
      <c r="C75" s="33"/>
      <c r="D75" s="19"/>
      <c r="E75" s="19"/>
      <c r="F75" s="19"/>
      <c r="G75" s="19"/>
      <c r="H75" s="19"/>
    </row>
    <row r="76" spans="1:8" ht="14.25" x14ac:dyDescent="0.3">
      <c r="A76" s="34" t="s">
        <v>34</v>
      </c>
      <c r="B76" s="36"/>
      <c r="C76" s="33"/>
      <c r="D76" s="19"/>
      <c r="E76" s="19"/>
      <c r="F76" s="19"/>
      <c r="G76" s="19"/>
      <c r="H76" s="19"/>
    </row>
    <row r="77" spans="1:8" ht="14.25" x14ac:dyDescent="0.3">
      <c r="A77" s="34"/>
      <c r="B77" s="36"/>
      <c r="C77" s="33"/>
      <c r="D77" s="19"/>
      <c r="E77" s="19"/>
      <c r="F77" s="19"/>
      <c r="G77" s="19"/>
      <c r="H77" s="19"/>
    </row>
    <row r="78" spans="1:8" ht="14.25" x14ac:dyDescent="0.3">
      <c r="A78" s="34" t="s">
        <v>35</v>
      </c>
      <c r="B78" s="37">
        <v>6.8400000000000002E-2</v>
      </c>
      <c r="C78" s="33"/>
      <c r="D78" s="19"/>
      <c r="E78" s="19"/>
      <c r="F78" s="19"/>
      <c r="G78" s="19"/>
      <c r="H78" s="19"/>
    </row>
    <row r="79" spans="1:8" ht="14.25" x14ac:dyDescent="0.3">
      <c r="A79" s="34" t="s">
        <v>36</v>
      </c>
      <c r="B79" s="38"/>
      <c r="C79" s="33"/>
      <c r="D79" s="19"/>
      <c r="E79" s="19"/>
      <c r="F79" s="19"/>
      <c r="G79" s="19"/>
      <c r="H79" s="19"/>
    </row>
    <row r="80" spans="1:8" ht="14.25" x14ac:dyDescent="0.3">
      <c r="A80" s="34" t="s">
        <v>37</v>
      </c>
      <c r="B80" s="39">
        <v>7.2645999999999997</v>
      </c>
      <c r="C80" s="33"/>
      <c r="D80" s="19"/>
      <c r="E80" s="19"/>
      <c r="F80" s="19"/>
      <c r="G80" s="19"/>
      <c r="H80" s="19"/>
    </row>
    <row r="81" spans="1:8" ht="14.25" x14ac:dyDescent="0.3">
      <c r="A81" s="34" t="s">
        <v>38</v>
      </c>
      <c r="B81" s="39">
        <v>10.498100000000001</v>
      </c>
      <c r="C81" s="33"/>
      <c r="D81" s="19"/>
      <c r="E81" s="19"/>
      <c r="F81" s="19"/>
      <c r="G81" s="19"/>
      <c r="H81" s="19"/>
    </row>
    <row r="82" spans="1:8" ht="14.25" x14ac:dyDescent="0.3">
      <c r="A82" s="34" t="s">
        <v>36</v>
      </c>
      <c r="B82" s="36"/>
      <c r="C82" s="33"/>
      <c r="D82" s="19"/>
      <c r="E82" s="19"/>
      <c r="F82" s="19"/>
      <c r="G82" s="19"/>
      <c r="H82" s="19"/>
    </row>
    <row r="83" spans="1:8" ht="14.25" x14ac:dyDescent="0.3">
      <c r="A83" s="34" t="s">
        <v>39</v>
      </c>
      <c r="B83" s="40" t="s">
        <v>85</v>
      </c>
      <c r="C83" s="33"/>
      <c r="D83" s="19"/>
      <c r="E83" s="19"/>
      <c r="F83" s="19"/>
      <c r="G83" s="19"/>
      <c r="H83" s="19"/>
    </row>
    <row r="84" spans="1:8" ht="14.25" x14ac:dyDescent="0.3">
      <c r="A84" s="41" t="s">
        <v>40</v>
      </c>
      <c r="B84" s="42"/>
      <c r="C84" s="33"/>
      <c r="D84" s="19"/>
      <c r="E84" s="19"/>
      <c r="F84" s="19"/>
      <c r="G84" s="19"/>
      <c r="H84" s="19"/>
    </row>
  </sheetData>
  <sortState ref="A16:H20">
    <sortCondition descending="1" ref="D16:D20"/>
  </sortState>
  <mergeCells count="14">
    <mergeCell ref="A74:B74"/>
    <mergeCell ref="A46:H46"/>
    <mergeCell ref="B52:D52"/>
    <mergeCell ref="B64:E64"/>
    <mergeCell ref="A67:D67"/>
    <mergeCell ref="B68:B69"/>
    <mergeCell ref="C68:C69"/>
    <mergeCell ref="D68:D69"/>
    <mergeCell ref="A45:H45"/>
    <mergeCell ref="A1:H1"/>
    <mergeCell ref="A2:H2"/>
    <mergeCell ref="A3:H3"/>
    <mergeCell ref="A43:H43"/>
    <mergeCell ref="A44:H44"/>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Dynamic Bond Fund</vt:lpstr>
      <vt:lpstr>'JM Dynamic Bond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2025-02-17T08:24:02Z</dcterms:created>
  <dcterms:modified xsi:type="dcterms:W3CDTF">2025-04-08T06:47:03Z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2025-02-17T08:25:06Z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64b3cb9c-f4a3-4776-8b0f-1386189fd3de</vt:lpwstr>
  </property>
  <property fmtid="{D5CDD505-2E9C-101B-9397-08002B2CF9AE}" pid="8" name="MSIP_Label_e3ba8fb0-bbb8-454c-aa98-661329b3f27f_ContentBits">
    <vt:lpwstr>3</vt:lpwstr>
  </property>
</Properties>
</file>