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Overnight Fund" sheetId="1" r:id="rId1"/>
  </sheets>
  <definedNames>
    <definedName name="_xlnm._FilterDatabase" localSheetId="0" hidden="1">'JM Overnight Fund'!$A$1:$J$25</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22" i="1" s="1"/>
  <c r="E17" i="1"/>
  <c r="E18" i="1" s="1"/>
  <c r="E20" i="1" s="1"/>
  <c r="E24" i="1" l="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<sst xmlns="http://schemas.openxmlformats.org/spreadsheetml/2006/main" count="66" uniqueCount="56">
  <si>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</si>
  <si>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</si>
  <si>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</si>
  <si>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</si>
  <si>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</si>
  <si>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</si>
  <si>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</si>
  <si>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</si>
  <si>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</si>
  <si>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</si>
  <si>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</si>
  <si>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</si>
  <si>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</si>
  <si>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</si>
  <si>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</si>
  <si>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</si>
  <si>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</si>
  <si>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</si>
  <si>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</si>
  <si>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</si>
  <si>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</si>
  <si>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</si>
  <si>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</si>
  <si>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</si>
  <si>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</si>
  <si>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</si>
  <si>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</si>
  <si>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</si>
  <si>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</si>
  <si>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</si>
  <si>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</si>
  <si>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</si>
  <si>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</si>
  <si>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</si>
  <si>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</si>
  <si>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</si>
  <si>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</si>
  <si>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</si>
  <si>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</si>
  <si>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</si>
  <si>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</si>
  <si>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</si>
  <si>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</si>
  <si>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</si>
  <si>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</si>
  <si>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</si>
  <si>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</si>
  <si>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</si>
  <si>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</si>
  <si>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</si>
  <si>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 (in days)</t>
  </si>
  <si>
    <t>Residual Maturity (in days)</t>
  </si>
  <si>
    <t xml:space="preserve">As on (Date) </t>
  </si>
  <si>
    <t>30.04.2024</t>
  </si>
  <si>
    <t xml:space="preserve">* in case of semi annual YTM,  it will be annualised </t>
  </si>
  <si>
    <t>Monthly Portfolio Statement for the period ended 30.04.2024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</si>
</sst>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0">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43"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2" fontId="5" fillId="0" borderId="3" xfId="3" applyNumberFormat="1" applyFont="1" applyBorder="1" applyAlignment="1">
      <alignment horizontal="center"/>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495300</xdr:colOff>
      <xdr:row>36</xdr:row>
      <xdr:rowOff>66675</xdr:rowOff>
    </xdr:from>
    <xdr:to>
      <xdr:col>0</xdr:col>
      <xdr:colOff>2628900</xdr:colOff>
      <xdr:row>42</xdr:row>
      <xdr:rowOff>123825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7143750"/>
          <a:ext cx="21336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523875</xdr:colOff>
      <xdr:row>36</xdr:row>
      <xdr:rowOff>66674</xdr:rowOff>
    </xdr:from>
    <xdr:to>
      <xdr:col>3</xdr:col>
      <xdr:colOff>295275</xdr:colOff>
      <xdr:row>42</xdr:row>
      <xdr:rowOff>114299</xdr:rowOff>
    </xdr:to>
    <xdr:pic>
      <xdr:nvPicPr>
        <xdr:cNvPr id="3"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0" y="7334249"/>
          <a:ext cx="20955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400050</xdr:colOff>
      <xdr:row>42</xdr:row>
      <xdr:rowOff>142875</xdr:rowOff>
    </xdr:from>
    <xdr:to>
      <xdr:col>0</xdr:col>
      <xdr:colOff>2667001</xdr:colOff>
      <xdr:row>45</xdr:row>
      <xdr:rowOff>85725</xdr:rowOff>
    </xdr:to>
    <xdr:sp macro="" textlink="">
      <xdr:nvSpPr>
        <xdr:cNvPr id="4" name="TextBox 3"/>
        <xdr:cNvSpPr txBox="1"/>
      </xdr:nvSpPr>
      <xdr:spPr>
        <a:xfrm>
          <a:off x="400050" y="84963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476250</xdr:colOff>
      <xdr:row>42</xdr:row>
      <xdr:rowOff>123825</xdr:rowOff>
    </xdr:from>
    <xdr:to>
      <xdr:col>3</xdr:col>
      <xdr:colOff>419101</xdr:colOff>
      <xdr:row>45</xdr:row>
      <xdr:rowOff>66675</xdr:rowOff>
    </xdr:to>
    <xdr:sp macro="" textlink="">
      <xdr:nvSpPr>
        <xdr:cNvPr id="5" name="TextBox 4"/>
        <xdr:cNvSpPr txBox="1"/>
      </xdr:nvSpPr>
      <xdr:spPr>
        <a:xfrm>
          <a:off x="3381375" y="84772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H64"/>
  <sheetViews>
    <sheetView tabSelected="1" zoomScaleNormal="100" workbookViewId="0">
      <selection activeCell="A3" sqref="A3:H3"/>
    </sheetView>
  </sheetViews>
  <sheetFormatPr defaultRowHeight="12.75" x14ac:dyDescent="0.2"/>
  <cols>
    <col min="1" max="1" width="43.5703125" style="58" customWidth="1"/>
    <col min="2" max="2" width="21.42578125" style="59" bestFit="1" customWidth="1"/>
    <col min="3" max="3" width="13.42578125" style="60"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8" x14ac:dyDescent="0.2">
      <c r="A1" s="75" t="s">
        <v>0</v>
      </c>
      <c r="B1" s="75"/>
      <c r="C1" s="75"/>
      <c r="D1" s="75"/>
      <c r="E1" s="75"/>
      <c r="F1" s="75"/>
      <c r="G1" s="75"/>
      <c r="H1" s="75"/>
    </row>
    <row r="2" spans="1:8" x14ac:dyDescent="0.2">
      <c r="A2" s="76" t="s">
        <v>1</v>
      </c>
      <c r="B2" s="76"/>
      <c r="C2" s="76"/>
      <c r="D2" s="76"/>
      <c r="E2" s="76"/>
      <c r="F2" s="76"/>
      <c r="G2" s="76"/>
      <c r="H2" s="76"/>
    </row>
    <row r="3" spans="1:8" ht="12.75" customHeight="1" x14ac:dyDescent="0.2">
      <c r="A3" s="77" t="s">
        <v>55</v>
      </c>
      <c r="B3" s="77"/>
      <c r="C3" s="77"/>
      <c r="D3" s="77"/>
      <c r="E3" s="77"/>
      <c r="F3" s="77"/>
      <c r="G3" s="77"/>
      <c r="H3" s="77"/>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8" t="s">
        <v>12</v>
      </c>
      <c r="E6" s="8" t="s">
        <v>12</v>
      </c>
      <c r="F6" s="13"/>
      <c r="G6" s="10"/>
      <c r="H6" s="11"/>
    </row>
    <row r="7" spans="1:8" s="12" customFormat="1" ht="14.25" x14ac:dyDescent="0.3">
      <c r="A7" s="5"/>
      <c r="B7" s="6"/>
      <c r="C7" s="14"/>
      <c r="D7" s="13"/>
      <c r="E7" s="13"/>
      <c r="F7" s="13"/>
      <c r="G7" s="10"/>
      <c r="H7" s="11"/>
    </row>
    <row r="8" spans="1:8" s="12" customFormat="1" ht="14.25" x14ac:dyDescent="0.3">
      <c r="A8" s="5" t="s">
        <v>13</v>
      </c>
      <c r="B8" s="6"/>
      <c r="C8" s="14"/>
      <c r="D8" s="8" t="s">
        <v>12</v>
      </c>
      <c r="E8" s="8" t="s">
        <v>12</v>
      </c>
      <c r="F8" s="9"/>
      <c r="G8" s="10"/>
      <c r="H8" s="11"/>
    </row>
    <row r="9" spans="1:8" s="12" customFormat="1" ht="14.25" x14ac:dyDescent="0.3">
      <c r="A9" s="5"/>
      <c r="B9" s="6"/>
      <c r="C9" s="14"/>
      <c r="D9" s="8"/>
      <c r="E9" s="8"/>
      <c r="F9" s="8"/>
      <c r="G9" s="10"/>
      <c r="H9" s="11"/>
    </row>
    <row r="10" spans="1:8" s="12" customFormat="1" ht="14.25" x14ac:dyDescent="0.3">
      <c r="A10" s="5" t="s">
        <v>14</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15</v>
      </c>
      <c r="B12" s="6"/>
      <c r="C12" s="14"/>
      <c r="D12" s="8" t="s">
        <v>12</v>
      </c>
      <c r="E12" s="8" t="s">
        <v>12</v>
      </c>
      <c r="F12" s="8"/>
      <c r="G12" s="10"/>
      <c r="H12" s="11"/>
    </row>
    <row r="13" spans="1:8" s="12" customFormat="1" ht="14.25" x14ac:dyDescent="0.3">
      <c r="A13" s="5"/>
      <c r="B13" s="6"/>
      <c r="C13" s="14"/>
      <c r="D13" s="8"/>
      <c r="E13" s="8"/>
      <c r="F13" s="8"/>
      <c r="G13" s="10"/>
      <c r="H13" s="11"/>
    </row>
    <row r="14" spans="1:8" s="12" customFormat="1" ht="14.25" x14ac:dyDescent="0.3">
      <c r="A14" s="5" t="s">
        <v>16</v>
      </c>
      <c r="B14" s="6"/>
      <c r="C14" s="14"/>
      <c r="D14" s="8" t="s">
        <v>12</v>
      </c>
      <c r="E14" s="8" t="s">
        <v>12</v>
      </c>
      <c r="F14" s="8"/>
      <c r="G14" s="10"/>
      <c r="H14" s="11"/>
    </row>
    <row r="15" spans="1:8" s="12" customFormat="1" ht="14.25" x14ac:dyDescent="0.3">
      <c r="A15" s="5"/>
      <c r="B15" s="6"/>
      <c r="C15" s="14"/>
      <c r="D15" s="8"/>
      <c r="E15" s="8"/>
      <c r="F15" s="8"/>
      <c r="G15" s="10"/>
      <c r="H15" s="11"/>
    </row>
    <row r="16" spans="1:8" s="12" customFormat="1" ht="14.25" x14ac:dyDescent="0.3">
      <c r="A16" s="5" t="s">
        <v>17</v>
      </c>
      <c r="B16" s="6"/>
      <c r="C16" s="14"/>
      <c r="D16" s="8"/>
      <c r="E16" s="8"/>
      <c r="F16" s="9"/>
      <c r="G16" s="10"/>
      <c r="H16" s="11"/>
    </row>
    <row r="17" spans="1:8" s="12" customFormat="1" ht="14.25" x14ac:dyDescent="0.3">
      <c r="A17" s="17" t="s">
        <v>18</v>
      </c>
      <c r="B17" s="18"/>
      <c r="C17" s="19">
        <v>0</v>
      </c>
      <c r="D17" s="15">
        <v>28566.704226399997</v>
      </c>
      <c r="E17" s="15">
        <f>(+D17/$D$24*100)</f>
        <v>99.838390826946494</v>
      </c>
      <c r="F17" s="15" t="s">
        <v>19</v>
      </c>
      <c r="G17" s="10">
        <v>6.6440000000000001</v>
      </c>
      <c r="H17" s="11"/>
    </row>
    <row r="18" spans="1:8" s="12" customFormat="1" ht="14.25" x14ac:dyDescent="0.3">
      <c r="A18" s="5" t="s">
        <v>20</v>
      </c>
      <c r="B18" s="6"/>
      <c r="C18" s="14"/>
      <c r="D18" s="8">
        <f>IF(ISERROR(SUM(D17:D17)),0,SUM(D17:D17))</f>
        <v>28566.704226399997</v>
      </c>
      <c r="E18" s="8">
        <f>IF(ISERROR(SUM(E17:E17)),0,SUM(E17:E17))</f>
        <v>99.838390826946494</v>
      </c>
      <c r="F18" s="15"/>
      <c r="G18" s="10"/>
      <c r="H18" s="11"/>
    </row>
    <row r="19" spans="1:8" s="12" customFormat="1" ht="14.25" x14ac:dyDescent="0.3">
      <c r="A19" s="5"/>
      <c r="B19" s="6"/>
      <c r="C19" s="14"/>
      <c r="D19" s="8"/>
      <c r="E19" s="8"/>
      <c r="F19" s="9"/>
      <c r="G19" s="10"/>
      <c r="H19" s="11"/>
    </row>
    <row r="20" spans="1:8" s="12" customFormat="1" ht="14.25" x14ac:dyDescent="0.3">
      <c r="A20" s="5" t="s">
        <v>21</v>
      </c>
      <c r="B20" s="6"/>
      <c r="C20" s="14" t="s">
        <v>22</v>
      </c>
      <c r="D20" s="8">
        <f>+IF(ISERROR(#REF!),0,#REF!)+IF(ISERROR(D18),0,D18)+IF(ISERROR(#REF!),0,#REF!)+IF(ISERROR(#REF!),0,#REF!)+IF(ISERROR(#REF!),0,#REF!)+IF(ISERROR(#REF!),0,#REF!)+IF(ISERROR(#REF!),0,#REF!)+IF(ISERROR(#REF!),0,#REF!)+IF(ISERROR(#REF!),0,#REF!)+IF(ISERROR(#REF!),0,#REF!)</f>
        <v>28566.704226399997</v>
      </c>
      <c r="E20" s="8">
        <f>+IF(ISERROR(#REF!),0,#REF!)+IF(ISERROR(E18),0,E18)+IF(ISERROR(#REF!),0,#REF!)+IF(ISERROR(#REF!),0,#REF!)+IF(ISERROR(#REF!),0,#REF!)+IF(ISERROR(#REF!),0,#REF!)+IF(ISERROR(#REF!),0,#REF!)+IF(ISERROR(#REF!),0,#REF!)+IF(ISERROR(#REF!),0,#REF!)+IF(ISERROR(#REF!),0,#REF!)</f>
        <v>99.838390826946494</v>
      </c>
      <c r="F20" s="8"/>
      <c r="G20" s="10"/>
      <c r="H20" s="11"/>
    </row>
    <row r="21" spans="1:8" s="12" customFormat="1" ht="14.25" x14ac:dyDescent="0.3">
      <c r="A21" s="5"/>
      <c r="B21" s="6"/>
      <c r="C21" s="14"/>
      <c r="D21" s="8"/>
      <c r="E21" s="8"/>
      <c r="F21" s="20"/>
      <c r="G21" s="21"/>
      <c r="H21" s="22"/>
    </row>
    <row r="22" spans="1:8" s="12" customFormat="1" ht="14.25" x14ac:dyDescent="0.3">
      <c r="A22" s="5" t="s">
        <v>23</v>
      </c>
      <c r="B22" s="6"/>
      <c r="C22" s="14"/>
      <c r="D22" s="8">
        <f>+D24-D20</f>
        <v>46.241144400002668</v>
      </c>
      <c r="E22" s="8">
        <f>D22/$D$24*100</f>
        <v>0.16160917305351075</v>
      </c>
      <c r="F22" s="23"/>
      <c r="G22" s="21"/>
      <c r="H22" s="22"/>
    </row>
    <row r="23" spans="1:8" s="12" customFormat="1" ht="14.25" x14ac:dyDescent="0.3">
      <c r="A23" s="5"/>
      <c r="B23" s="6"/>
      <c r="C23" s="14"/>
      <c r="D23" s="13"/>
      <c r="E23" s="13"/>
      <c r="F23" s="20"/>
      <c r="G23" s="21"/>
      <c r="H23" s="22"/>
    </row>
    <row r="24" spans="1:8" s="12" customFormat="1" ht="14.25" x14ac:dyDescent="0.3">
      <c r="A24" s="5" t="s">
        <v>24</v>
      </c>
      <c r="B24" s="6"/>
      <c r="C24" s="14"/>
      <c r="D24" s="8">
        <v>28612.9453708</v>
      </c>
      <c r="E24" s="8">
        <f>+E20+E22</f>
        <v>100</v>
      </c>
      <c r="F24" s="20"/>
      <c r="G24" s="21"/>
      <c r="H24" s="22"/>
    </row>
    <row r="25" spans="1:8" s="12" customFormat="1" ht="14.25" x14ac:dyDescent="0.3">
      <c r="A25" s="24"/>
      <c r="B25" s="25"/>
      <c r="C25" s="26"/>
      <c r="D25" s="27"/>
      <c r="E25" s="27"/>
      <c r="F25" s="20"/>
      <c r="G25" s="21"/>
      <c r="H25" s="22"/>
    </row>
    <row r="26" spans="1:8" ht="13.5" x14ac:dyDescent="0.2">
      <c r="A26" s="78" t="s">
        <v>25</v>
      </c>
      <c r="B26" s="78"/>
      <c r="C26" s="78"/>
      <c r="D26" s="78"/>
      <c r="E26" s="78"/>
      <c r="F26" s="78"/>
      <c r="G26" s="78"/>
      <c r="H26" s="78"/>
    </row>
    <row r="27" spans="1:8" ht="28.5" customHeight="1" x14ac:dyDescent="0.2">
      <c r="A27" s="79" t="s">
        <v>26</v>
      </c>
      <c r="B27" s="79"/>
      <c r="C27" s="79"/>
      <c r="D27" s="79"/>
      <c r="E27" s="79"/>
      <c r="F27" s="79"/>
      <c r="G27" s="79"/>
      <c r="H27" s="79"/>
    </row>
    <row r="28" spans="1:8" ht="13.5" x14ac:dyDescent="0.2">
      <c r="A28" s="73" t="s">
        <v>27</v>
      </c>
      <c r="B28" s="73"/>
      <c r="C28" s="73"/>
      <c r="D28" s="73"/>
      <c r="E28" s="73"/>
      <c r="F28" s="73"/>
      <c r="G28" s="74"/>
      <c r="H28" s="74"/>
    </row>
    <row r="29" spans="1:8" ht="54" customHeight="1" x14ac:dyDescent="0.2">
      <c r="A29" s="64" t="s">
        <v>28</v>
      </c>
      <c r="B29" s="64"/>
      <c r="C29" s="64"/>
      <c r="D29" s="64"/>
      <c r="E29" s="64"/>
      <c r="F29" s="64"/>
      <c r="G29" s="65"/>
      <c r="H29" s="65"/>
    </row>
    <row r="30" spans="1:8" ht="14.25" x14ac:dyDescent="0.3">
      <c r="A30" s="28"/>
      <c r="B30" s="29"/>
      <c r="C30" s="30"/>
      <c r="D30" s="31"/>
      <c r="E30" s="32"/>
      <c r="F30" s="22"/>
      <c r="G30" s="33"/>
      <c r="H30" s="33"/>
    </row>
    <row r="31" spans="1:8" ht="14.25" x14ac:dyDescent="0.3">
      <c r="A31" s="34" t="s">
        <v>29</v>
      </c>
      <c r="B31" s="35"/>
      <c r="C31" s="35"/>
      <c r="D31" s="66"/>
      <c r="E31" s="66"/>
      <c r="F31" s="22"/>
      <c r="G31" s="33"/>
      <c r="H31" s="33"/>
    </row>
    <row r="32" spans="1:8" ht="14.25" x14ac:dyDescent="0.3">
      <c r="A32" s="36" t="s">
        <v>30</v>
      </c>
      <c r="B32" s="35"/>
      <c r="C32" s="35"/>
      <c r="D32" s="35"/>
      <c r="E32" s="22"/>
      <c r="F32" s="22"/>
      <c r="G32" s="22"/>
      <c r="H32" s="22"/>
    </row>
    <row r="33" spans="1:8" ht="14.25" x14ac:dyDescent="0.3">
      <c r="A33" s="36" t="s">
        <v>31</v>
      </c>
      <c r="B33" s="35"/>
      <c r="C33" s="35"/>
      <c r="D33" s="35"/>
      <c r="E33" s="22"/>
      <c r="F33" s="22"/>
      <c r="G33" s="22"/>
      <c r="H33" s="22"/>
    </row>
    <row r="34" spans="1:8" ht="14.25" x14ac:dyDescent="0.3">
      <c r="A34" s="36" t="s">
        <v>32</v>
      </c>
      <c r="B34" s="35"/>
      <c r="C34" s="35"/>
      <c r="D34" s="35"/>
      <c r="E34" s="22"/>
      <c r="F34" s="22"/>
      <c r="G34" s="22"/>
      <c r="H34" s="22"/>
    </row>
    <row r="35" spans="1:8" ht="14.25" x14ac:dyDescent="0.3">
      <c r="A35" s="36"/>
      <c r="B35" s="35"/>
      <c r="C35" s="35"/>
      <c r="D35" s="37"/>
      <c r="E35" s="37"/>
      <c r="F35" s="22"/>
      <c r="G35" s="22"/>
      <c r="H35" s="22"/>
    </row>
    <row r="36" spans="1:8" ht="14.25" x14ac:dyDescent="0.3">
      <c r="A36" s="38" t="s">
        <v>33</v>
      </c>
      <c r="B36" s="67" t="s">
        <v>34</v>
      </c>
      <c r="C36" s="67"/>
      <c r="D36" s="67"/>
      <c r="E36" s="22"/>
      <c r="F36" s="38"/>
      <c r="G36" s="22"/>
      <c r="H36" s="22"/>
    </row>
    <row r="37" spans="1:8" ht="14.25" x14ac:dyDescent="0.3">
      <c r="A37" s="39"/>
      <c r="B37" s="35"/>
      <c r="C37" s="35"/>
      <c r="D37" s="35"/>
      <c r="E37" s="22"/>
      <c r="F37" s="22"/>
      <c r="G37" s="22"/>
      <c r="H37" s="22"/>
    </row>
    <row r="38" spans="1:8" ht="14.25" x14ac:dyDescent="0.3">
      <c r="A38" s="35"/>
      <c r="B38" s="35"/>
      <c r="C38" s="35"/>
      <c r="D38" s="35"/>
      <c r="E38" s="22"/>
      <c r="F38" s="22"/>
      <c r="G38" s="22"/>
      <c r="H38" s="22"/>
    </row>
    <row r="39" spans="1:8" ht="14.25" x14ac:dyDescent="0.3">
      <c r="A39" s="40"/>
      <c r="B39" s="41"/>
      <c r="C39" s="42"/>
      <c r="D39" s="22"/>
      <c r="E39" s="22"/>
      <c r="F39" s="22"/>
      <c r="G39" s="22"/>
      <c r="H39" s="22"/>
    </row>
    <row r="40" spans="1:8" ht="14.25" x14ac:dyDescent="0.3">
      <c r="A40" s="40"/>
      <c r="B40" s="41"/>
      <c r="C40" s="42"/>
      <c r="D40" s="22"/>
      <c r="E40" s="22"/>
      <c r="F40" s="22"/>
      <c r="G40" s="22"/>
      <c r="H40" s="22"/>
    </row>
    <row r="41" spans="1:8" ht="14.25" x14ac:dyDescent="0.3">
      <c r="A41" s="40"/>
      <c r="B41" s="41"/>
      <c r="C41" s="42"/>
      <c r="D41" s="22"/>
      <c r="E41" s="22"/>
      <c r="F41" s="22"/>
      <c r="G41" s="22"/>
      <c r="H41" s="22"/>
    </row>
    <row r="42" spans="1:8" ht="14.25" x14ac:dyDescent="0.3">
      <c r="A42" s="40"/>
      <c r="B42" s="41"/>
      <c r="C42" s="42"/>
      <c r="D42" s="22"/>
      <c r="E42" s="22"/>
      <c r="F42" s="22"/>
      <c r="G42" s="22"/>
      <c r="H42" s="22"/>
    </row>
    <row r="43" spans="1:8" ht="14.25" x14ac:dyDescent="0.3">
      <c r="A43" s="40"/>
      <c r="B43" s="41"/>
      <c r="C43" s="42"/>
      <c r="D43" s="22"/>
      <c r="E43" s="22"/>
      <c r="F43" s="22"/>
      <c r="G43" s="22"/>
      <c r="H43" s="22"/>
    </row>
    <row r="44" spans="1:8" ht="14.25" x14ac:dyDescent="0.3">
      <c r="A44" s="40"/>
      <c r="B44" s="41"/>
      <c r="C44" s="42"/>
      <c r="D44" s="22"/>
      <c r="E44" s="22"/>
      <c r="F44" s="22"/>
      <c r="G44" s="22"/>
      <c r="H44" s="22"/>
    </row>
    <row r="45" spans="1:8" ht="14.25" x14ac:dyDescent="0.3">
      <c r="A45" s="40"/>
      <c r="B45" s="41"/>
      <c r="C45" s="42"/>
      <c r="D45" s="22"/>
      <c r="E45" s="22"/>
      <c r="F45" s="22"/>
      <c r="G45" s="22"/>
      <c r="H45" s="22"/>
    </row>
    <row r="46" spans="1:8" ht="15" thickBot="1" x14ac:dyDescent="0.35">
      <c r="A46" s="40"/>
      <c r="B46" s="41"/>
      <c r="C46" s="42"/>
      <c r="D46" s="22"/>
      <c r="E46" s="22"/>
      <c r="F46" s="22"/>
      <c r="G46" s="22"/>
      <c r="H46" s="22"/>
    </row>
    <row r="47" spans="1:8" ht="15" thickBot="1" x14ac:dyDescent="0.35">
      <c r="A47" s="68" t="s">
        <v>35</v>
      </c>
      <c r="B47" s="69"/>
      <c r="C47" s="69"/>
      <c r="D47" s="70"/>
      <c r="E47" s="22"/>
      <c r="F47" s="22"/>
      <c r="G47" s="22"/>
      <c r="H47" s="22"/>
    </row>
    <row r="48" spans="1:8" ht="15" thickBot="1" x14ac:dyDescent="0.35">
      <c r="A48" s="43" t="s">
        <v>36</v>
      </c>
      <c r="B48" s="71" t="s">
        <v>37</v>
      </c>
      <c r="C48" s="71" t="s">
        <v>38</v>
      </c>
      <c r="D48" s="71" t="s">
        <v>39</v>
      </c>
      <c r="E48" s="22"/>
      <c r="F48" s="22"/>
      <c r="G48" s="22"/>
      <c r="H48" s="22"/>
    </row>
    <row r="49" spans="1:8" ht="15" thickBot="1" x14ac:dyDescent="0.35">
      <c r="A49" s="43" t="s">
        <v>40</v>
      </c>
      <c r="B49" s="72"/>
      <c r="C49" s="72"/>
      <c r="D49" s="72"/>
      <c r="E49" s="22"/>
      <c r="F49" s="22"/>
      <c r="G49" s="22"/>
      <c r="H49" s="22"/>
    </row>
    <row r="50" spans="1:8" ht="15" thickBot="1" x14ac:dyDescent="0.35">
      <c r="A50" s="44" t="s">
        <v>41</v>
      </c>
      <c r="B50" s="45" t="s">
        <v>42</v>
      </c>
      <c r="C50" s="46"/>
      <c r="D50" s="46"/>
      <c r="E50" s="22"/>
      <c r="F50" s="22"/>
      <c r="G50" s="22"/>
      <c r="H50" s="22"/>
    </row>
    <row r="51" spans="1:8" ht="15" thickBot="1" x14ac:dyDescent="0.35">
      <c r="A51" s="44" t="s">
        <v>43</v>
      </c>
      <c r="B51" s="46"/>
      <c r="C51" s="46"/>
      <c r="D51" s="46"/>
      <c r="E51" s="22"/>
      <c r="F51" s="22"/>
      <c r="G51" s="22"/>
      <c r="H51" s="22"/>
    </row>
    <row r="52" spans="1:8" ht="15" thickBot="1" x14ac:dyDescent="0.35">
      <c r="A52" s="44" t="s">
        <v>44</v>
      </c>
      <c r="B52" s="46"/>
      <c r="C52" s="46"/>
      <c r="D52" s="46"/>
      <c r="E52" s="22"/>
      <c r="F52" s="22"/>
      <c r="G52" s="22"/>
      <c r="H52" s="22"/>
    </row>
    <row r="53" spans="1:8" ht="14.25" x14ac:dyDescent="0.3">
      <c r="A53" s="40"/>
      <c r="B53" s="41"/>
      <c r="C53" s="42"/>
      <c r="D53" s="22"/>
      <c r="E53" s="22"/>
      <c r="F53" s="22"/>
      <c r="G53" s="22"/>
      <c r="H53" s="22"/>
    </row>
    <row r="54" spans="1:8" ht="14.25" x14ac:dyDescent="0.3">
      <c r="A54" s="62" t="s">
        <v>45</v>
      </c>
      <c r="B54" s="63"/>
      <c r="C54" s="22"/>
      <c r="D54" s="22"/>
      <c r="E54" s="22"/>
      <c r="F54" s="22"/>
      <c r="G54" s="22"/>
      <c r="H54" s="22"/>
    </row>
    <row r="55" spans="1:8" ht="14.25" x14ac:dyDescent="0.3">
      <c r="A55" s="47" t="s">
        <v>46</v>
      </c>
      <c r="B55" s="48" t="s">
        <v>47</v>
      </c>
      <c r="C55" s="42"/>
      <c r="D55" s="22"/>
      <c r="E55" s="22"/>
      <c r="F55" s="22"/>
      <c r="G55" s="22"/>
      <c r="H55" s="22"/>
    </row>
    <row r="56" spans="1:8" ht="14.25" x14ac:dyDescent="0.3">
      <c r="A56" s="47" t="s">
        <v>48</v>
      </c>
      <c r="B56" s="49"/>
      <c r="C56" s="42"/>
      <c r="D56" s="22"/>
      <c r="E56" s="22"/>
      <c r="F56" s="22"/>
      <c r="G56" s="22"/>
      <c r="H56" s="22"/>
    </row>
    <row r="57" spans="1:8" ht="14.25" x14ac:dyDescent="0.3">
      <c r="A57" s="47"/>
      <c r="B57" s="49" t="s">
        <v>22</v>
      </c>
      <c r="C57" s="42"/>
      <c r="D57" s="22"/>
      <c r="E57" s="22"/>
      <c r="F57" s="22"/>
      <c r="G57" s="22"/>
      <c r="H57" s="22"/>
    </row>
    <row r="58" spans="1:8" ht="14.25" x14ac:dyDescent="0.3">
      <c r="A58" s="47" t="s">
        <v>49</v>
      </c>
      <c r="B58" s="50">
        <v>6.6400000000000001E-2</v>
      </c>
      <c r="C58" s="42"/>
      <c r="D58" s="22"/>
      <c r="E58" s="22"/>
      <c r="F58" s="22"/>
      <c r="G58" s="22"/>
      <c r="H58" s="22"/>
    </row>
    <row r="59" spans="1:8" ht="14.25" x14ac:dyDescent="0.3">
      <c r="A59" s="47" t="s">
        <v>22</v>
      </c>
      <c r="B59" s="51"/>
      <c r="C59" s="42"/>
      <c r="D59" s="22"/>
      <c r="E59" s="22"/>
      <c r="F59" s="22"/>
      <c r="G59" s="22"/>
      <c r="H59" s="22"/>
    </row>
    <row r="60" spans="1:8" ht="14.25" x14ac:dyDescent="0.3">
      <c r="A60" s="47" t="s">
        <v>50</v>
      </c>
      <c r="B60" s="61">
        <v>2.0099999999999998</v>
      </c>
      <c r="C60" s="42"/>
      <c r="D60" s="22"/>
      <c r="E60" s="22"/>
      <c r="F60" s="22"/>
      <c r="G60" s="52"/>
      <c r="H60" s="22"/>
    </row>
    <row r="61" spans="1:8" ht="14.25" x14ac:dyDescent="0.3">
      <c r="A61" s="47" t="s">
        <v>51</v>
      </c>
      <c r="B61" s="61">
        <v>2.0099999999999998</v>
      </c>
      <c r="C61" s="42"/>
      <c r="D61" s="52"/>
      <c r="E61" s="22"/>
      <c r="F61" s="53"/>
      <c r="G61" s="22"/>
      <c r="H61" s="22"/>
    </row>
    <row r="62" spans="1:8" ht="14.25" x14ac:dyDescent="0.3">
      <c r="A62" s="47" t="s">
        <v>22</v>
      </c>
      <c r="B62" s="54"/>
      <c r="C62" s="42"/>
      <c r="D62" s="53"/>
      <c r="E62" s="22"/>
      <c r="F62" s="53"/>
      <c r="G62" s="52"/>
      <c r="H62" s="22"/>
    </row>
    <row r="63" spans="1:8" ht="14.25" x14ac:dyDescent="0.3">
      <c r="A63" s="47" t="s">
        <v>52</v>
      </c>
      <c r="B63" s="55" t="s">
        <v>53</v>
      </c>
      <c r="C63" s="42"/>
      <c r="D63" s="22"/>
      <c r="E63" s="22"/>
      <c r="F63" s="53"/>
      <c r="G63" s="22"/>
      <c r="H63" s="22"/>
    </row>
    <row r="64" spans="1:8" ht="14.25" x14ac:dyDescent="0.3">
      <c r="A64" s="56" t="s">
        <v>54</v>
      </c>
      <c r="B64" s="57"/>
      <c r="C64" s="42"/>
      <c r="D64" s="22"/>
      <c r="E64" s="22"/>
      <c r="F64" s="53"/>
      <c r="G64" s="22"/>
      <c r="H64" s="22"/>
    </row>
  </sheetData>
  <mergeCells count="14">
    <mergeCell ref="A28:H28"/>
    <mergeCell ref="A1:H1"/>
    <mergeCell ref="A2:H2"/>
    <mergeCell ref="A3:H3"/>
    <mergeCell ref="A26:H26"/>
    <mergeCell ref="A27:H27"/>
    <mergeCell ref="A54:B54"/>
    <mergeCell ref="A29:H29"/>
    <mergeCell ref="D31:E31"/>
    <mergeCell ref="B36:D36"/>
    <mergeCell ref="A47:D47"/>
    <mergeCell ref="B48:B49"/>
    <mergeCell ref="C48:C49"/>
    <mergeCell ref="D48:D4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2024-05-02T06:56:03Z</dcterms:created>
  <dcterms:modified xsi:type="dcterms:W3CDTF">2024-05-06T07:12:06Z</dcterms:modified>
</cp:coreProperties>
</file>