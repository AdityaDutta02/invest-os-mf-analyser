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6977FEAD-E802-4E70-989D-E04C075EDDFF}"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2" i="1" l="1"/>
  <c r="E82" i="1"/>
  <c r="E91" i="1" s="1"/>
  <c r="F62" i="1" l="1"/>
  <c r="F65" i="1" s="1"/>
  <c r="E62" i="1"/>
  <c r="E65" i="1" l="1"/>
</calcChain>
</file>

<file path=xl/sharedStrings.xml><?xml version="1.0" encoding="utf-8"?>
<sst xmlns="http://schemas.openxmlformats.org/spreadsheetml/2006/main" count="251" uniqueCount="191">
  <si>
    <t>Quantity</t>
  </si>
  <si>
    <t>JM Financial Mutual Fund</t>
  </si>
  <si>
    <t>NIL</t>
  </si>
  <si>
    <t>Total</t>
  </si>
  <si>
    <t>(b) Privately placed / Unlisted</t>
  </si>
  <si>
    <t>Cash &amp; Cash Equivalents</t>
  </si>
  <si>
    <t>Net Receivable/Payable</t>
  </si>
  <si>
    <t>CCIL</t>
  </si>
  <si>
    <t>Marico Limited</t>
  </si>
  <si>
    <t>Fortis Healthcare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</si>
  <si>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</si>
  <si>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</si>
  <si>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</si>
  <si>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</si>
  <si>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</si>
  <si>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</si>
  <si>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</si>
  <si>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</si>
  <si>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</si>
  <si>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</si>
  <si>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</si>
  <si>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</si>
  <si>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</si>
  <si>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</si>
  <si>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</si>
  <si>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</si>
  <si>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</si>
  <si>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</si>
  <si>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INE935N01020</t>
  </si>
  <si>
    <t>INE196A01026</t>
  </si>
  <si>
    <t>INE061F01013</t>
  </si>
  <si>
    <t>INE338I01027</t>
  </si>
  <si>
    <t>INE377N01017</t>
  </si>
  <si>
    <t>ISIN</t>
  </si>
  <si>
    <t>INE118H01025</t>
  </si>
  <si>
    <t>BSE Ltd</t>
  </si>
  <si>
    <t>Coforge Limited</t>
  </si>
  <si>
    <t>INE200A01026</t>
  </si>
  <si>
    <t>GE Vernova T&amp;D India Limited</t>
  </si>
  <si>
    <t>INE371P01015</t>
  </si>
  <si>
    <t>Amber Enterprises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</si>
  <si>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</si>
  <si>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</si>
  <si>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</si>
  <si>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</si>
  <si>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</si>
  <si>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</si>
  <si>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</si>
  <si>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</si>
  <si>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</si>
  <si>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</si>
  <si>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</si>
  <si>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</si>
  <si>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</si>
  <si>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</si>
  <si>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</si>
  <si>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</si>
  <si>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</si>
  <si>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</si>
  <si>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</si>
  <si>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</si>
  <si>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</si>
  <si>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</si>
  <si>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</si>
  <si>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</si>
  <si>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</si>
  <si>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</si>
  <si>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</si>
  <si>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</si>
  <si>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</si>
  <si>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</si>
  <si>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</si>
  <si>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</si>
  <si>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</si>
  <si>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</si>
  <si>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</si>
  <si>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</si>
  <si>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</si>
  <si>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INE271C01023</t>
  </si>
  <si>
    <t>DLF Limited</t>
  </si>
  <si>
    <t>INE849A01020</t>
  </si>
  <si>
    <t>Trent Limited</t>
  </si>
  <si>
    <t>JM Large and Midcap Fund (An open ended equity scheme predominantly investing in large and mid cap stocks.)</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</si>
  <si>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</si>
  <si>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</si>
  <si>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</si>
  <si>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</si>
  <si>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</si>
  <si>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</si>
  <si>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</si>
  <si>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</si>
  <si>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</si>
  <si>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</si>
  <si>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</si>
  <si>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</si>
  <si>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</si>
  <si>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</si>
  <si>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INE148O01028</t>
  </si>
  <si>
    <t>Delhivery Limited</t>
  </si>
  <si>
    <t>INE158A01026</t>
  </si>
  <si>
    <t>Hero MotoCorp Limited</t>
  </si>
  <si>
    <t>INE066F01020</t>
  </si>
  <si>
    <t>INE121E01018</t>
  </si>
  <si>
    <t>JSW Energy Limited</t>
  </si>
  <si>
    <t>Power</t>
  </si>
  <si>
    <t>Motilal Oswal Financial Services</t>
  </si>
  <si>
    <t>INE290S01011</t>
  </si>
  <si>
    <t>CarTrade Tech Limited</t>
  </si>
  <si>
    <t>INE585B01010</t>
  </si>
  <si>
    <t>Maruti Suzuki India Limited</t>
  </si>
  <si>
    <t>Banks</t>
  </si>
  <si>
    <t>Telecom - Services</t>
  </si>
  <si>
    <t>IT - Software</t>
  </si>
  <si>
    <t>Finance</t>
  </si>
  <si>
    <t>Financial Technology (Fintech)</t>
  </si>
  <si>
    <t>Automobiles</t>
  </si>
  <si>
    <t>Electrical Equipment</t>
  </si>
  <si>
    <t>Industrial Products</t>
  </si>
  <si>
    <t>Transport Services</t>
  </si>
  <si>
    <t>Beverages</t>
  </si>
  <si>
    <t>Capital Markets</t>
  </si>
  <si>
    <t>Consumer Durables</t>
  </si>
  <si>
    <t>Insurance</t>
  </si>
  <si>
    <t>Pharmaceuticals &amp; Biotechnology</t>
  </si>
  <si>
    <t>Aerospace &amp; Defense</t>
  </si>
  <si>
    <t>Cement &amp; Cement Products</t>
  </si>
  <si>
    <t>Agricultural Food &amp; other Products</t>
  </si>
  <si>
    <t>Transport Infrastructure</t>
  </si>
  <si>
    <t>Retailing</t>
  </si>
  <si>
    <t>Realty</t>
  </si>
  <si>
    <t>INE324D01010</t>
  </si>
  <si>
    <t>LG Electronics India Limited</t>
  </si>
  <si>
    <t>INE169A01031</t>
  </si>
  <si>
    <t>Coromandel International Limited</t>
  </si>
  <si>
    <t>INE749A01030</t>
  </si>
  <si>
    <t>Jindal Steel &amp; Power Limited</t>
  </si>
  <si>
    <t>INE085001019</t>
  </si>
  <si>
    <t>WeWork India Management Limited</t>
  </si>
  <si>
    <t>Fertilizers &amp; Agrochemicals</t>
  </si>
  <si>
    <t>Ferrous Metals</t>
  </si>
  <si>
    <t>Commercial Services &amp; Supplies</t>
  </si>
  <si>
    <t>^YTC (AT1/Tier 2 bonds)</t>
  </si>
  <si>
    <t># awaiting listing on Stock Exchanges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</si>
  <si>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</si>
  <si>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</si>
  <si>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</si>
  <si>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</si>
  <si>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</si>
  <si>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</si>
  <si>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</si>
  <si>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</si>
  <si>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</si>
  <si>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</si>
  <si>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</si>
  <si>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</si>
  <si>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</si>
  <si>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</si>
  <si>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</si>
  <si>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</si>
  <si>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INE205A01025</t>
  </si>
  <si>
    <t>Vedanta Limited</t>
  </si>
  <si>
    <t>Hindustan Aeronautics Limited</t>
  </si>
  <si>
    <t>Petroleum Products</t>
  </si>
  <si>
    <t>Diversified Metals</t>
  </si>
  <si>
    <t>INE092T01019</t>
  </si>
  <si>
    <t>IDFC First Bank Limited</t>
  </si>
  <si>
    <t>INE346A01027</t>
  </si>
  <si>
    <t>ICICI Prudential AMC Ltd</t>
  </si>
  <si>
    <t>(b) Unlisted</t>
  </si>
  <si>
    <t>INE494B04019</t>
  </si>
  <si>
    <t>CARE A1+</t>
  </si>
  <si>
    <t>INE274J01014</t>
  </si>
  <si>
    <t>Oil India Limited</t>
  </si>
  <si>
    <t>Oil</t>
  </si>
  <si>
    <t>INE774D01024</t>
  </si>
  <si>
    <t>Mahindra &amp; Mahindra Financial Serv Ltd.</t>
  </si>
  <si>
    <t>INE878B01027</t>
  </si>
  <si>
    <t>KEI Industries Limited</t>
  </si>
  <si>
    <t>INE211B01039</t>
  </si>
  <si>
    <t>The Phoenix Mills Limited</t>
  </si>
  <si>
    <t>Monthly Portfolio Statement for the period ended 28.02.2026</t>
  </si>
  <si>
    <t>INE154A01025</t>
  </si>
  <si>
    <t>ITC Limited</t>
  </si>
  <si>
    <t>INE298J01013</t>
  </si>
  <si>
    <t>Nippon Life India Asset Management Ltd</t>
  </si>
  <si>
    <t>INE930H01031</t>
  </si>
  <si>
    <t>K.P.R. Mill Ltd</t>
  </si>
  <si>
    <t>Diversified FMCG</t>
  </si>
  <si>
    <t>Textiles &amp; Apparels</t>
  </si>
  <si>
    <t>02-MAR-2026</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</si>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</sst>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
  </numFmts>
  <fonts count="18">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b/>
      <sz val="8"/>
      <color indexed="72"/>
      <name val="Century Gothic"/>
      <family val="2"/>
    </font>
    <font>
      <sz val="8"/>
      <color indexed="72"/>
      <name val="Century Gothic"/>
      <family val="2"/>
    </font>
    <font>
      <sz val="8"/>
      <name val="Times New Roman"/>
      <family val="1"/>
    </font>
    <font>
      <sz val="9"/>
      <color rgb="FF000000"/>
      <name val="SourceSansPro-Regular"/>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cellStyleXfs>
  <cellXfs count="9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11" fillId="0" borderId="0" xfId="8" applyFont="1" applyAlignment="1">
      <alignment horizontal="left" vertical="top" wrapText="1"/>
    </xf>
    <xf numFmtId="0" fontId="3" fillId="0" borderId="0" xfId="2" applyFont="1" applyAlignment="1">
      <alignment horizontal="righ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10" fillId="0" borderId="0" xfId="0" applyFont="1" applyAlignment="1">
      <alignment wrapText="1"/>
    </xf>
    <xf numFmtId="4" fontId="13" fillId="0" borderId="0" xfId="0" applyNumberFormat="1" applyFont="1"/>
    <xf numFmtId="171" fontId="13" fillId="0" borderId="0" xfId="0" applyNumberFormat="1" applyFont="1"/>
    <xf numFmtId="4" fontId="3" fillId="0" borderId="0" xfId="0" applyNumberFormat="1" applyFont="1" applyAlignment="1">
      <alignment horizontal="right"/>
    </xf>
    <xf numFmtId="10" fontId="3" fillId="0" borderId="0" xfId="6" applyNumberFormat="1" applyFont="1"/>
    <xf numFmtId="166" fontId="10" fillId="0" borderId="0" xfId="0" applyNumberFormat="1" applyFont="1" applyAlignment="1">
      <alignment horizontal="right" vertical="top"/>
    </xf>
    <xf numFmtId="0" fontId="3" fillId="0" borderId="0" xfId="0" applyFont="1" applyAlignment="1">
      <alignment horizontal="right"/>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1" fillId="0" borderId="0" xfId="0" applyFont="1" applyAlignment="1">
      <alignment horizontal="center"/>
    </xf>
    <xf numFmtId="0" fontId="12" fillId="0" borderId="1" xfId="0" applyFont="1" applyBorder="1"/>
    <xf numFmtId="0" fontId="14"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6" applyNumberFormat="1" applyFont="1" applyFill="1" applyBorder="1" applyAlignment="1" applyProtection="1">
      <alignment horizontal="right" vertical="top"/>
    </xf>
    <xf numFmtId="4" fontId="10" fillId="0" borderId="1" xfId="0" applyNumberFormat="1" applyFont="1" applyBorder="1" applyAlignment="1">
      <alignment horizontal="right" vertical="top"/>
    </xf>
    <xf numFmtId="9" fontId="10" fillId="0" borderId="1" xfId="6" applyFont="1" applyBorder="1" applyAlignment="1">
      <alignment horizontal="right" vertical="top"/>
    </xf>
    <xf numFmtId="15" fontId="3" fillId="0" borderId="1" xfId="6" applyNumberFormat="1" applyFont="1" applyFill="1" applyBorder="1" applyAlignment="1" applyProtection="1">
      <alignment horizontal="right" vertical="top"/>
    </xf>
    <xf numFmtId="10" fontId="15"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left" vertical="top"/>
    </xf>
    <xf numFmtId="167" fontId="10"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0" fontId="10" fillId="0" borderId="1" xfId="0" applyFont="1" applyBorder="1" applyAlignment="1">
      <alignment wrapText="1"/>
    </xf>
    <xf numFmtId="10" fontId="3" fillId="0" borderId="4" xfId="6" applyNumberFormat="1" applyFont="1" applyBorder="1" applyAlignment="1">
      <alignment horizontal="right"/>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0" fontId="3" fillId="0" borderId="0" xfId="0" applyFont="1" applyAlignment="1">
      <alignment wrapText="1"/>
    </xf>
    <xf numFmtId="10" fontId="10" fillId="0" borderId="1" xfId="6" applyNumberFormat="1" applyFont="1" applyBorder="1" applyAlignment="1">
      <alignment horizontal="right" vertical="top"/>
    </xf>
    <xf numFmtId="0" fontId="16" fillId="0" borderId="0" xfId="0" applyFont="1"/>
    <xf numFmtId="0" fontId="13" fillId="0" borderId="1" xfId="0" applyFont="1" applyBorder="1" applyAlignment="1">
      <alignment vertical="center" wrapText="1"/>
    </xf>
    <xf numFmtId="4" fontId="17" fillId="0" borderId="0" xfId="0" applyNumberFormat="1" applyFont="1"/>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0" fillId="0" borderId="0" xfId="2" applyFont="1"/>
    <xf numFmtId="0" fontId="10" fillId="0" borderId="0" xfId="0" applyFont="1"/>
    <xf numFmtId="0" fontId="10" fillId="0" borderId="0" xfId="2" applyFont="1" applyAlignment="1">
      <alignment horizontal="center" wrapText="1"/>
    </xf>
  </cellXfs>
  <cellStyles count="10">
    <cellStyle name="Comma" xfId="1" builtinId="3"/>
    <cellStyle name="Comma 4" xfId="4" xr:uid="{00000000-0005-0000-0000-000001000000}"/>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106</xdr:row>
      <xdr:rowOff>19050</xdr:rowOff>
    </xdr:from>
    <xdr:ext cx="2651125" cy="1466850"/>
    <xdr:pic>
      <xdr:nvPicPr>
        <xdr:cNvPr id="2" name="Picture 5">
          <a:extLst>
            <a:ext uri="{FF2B5EF4-FFF2-40B4-BE49-F238E27FC236}">
              <a16:creationId xmlns:a16="http://schemas.microsoft.com/office/drawing/2014/main" id="{45875E3F-3A26-4D9F-8092-8F16B32AC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96405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105</xdr:row>
      <xdr:rowOff>142875</xdr:rowOff>
    </xdr:from>
    <xdr:ext cx="2686050" cy="1466850"/>
    <xdr:pic>
      <xdr:nvPicPr>
        <xdr:cNvPr id="3" name="Picture 6">
          <a:extLst>
            <a:ext uri="{FF2B5EF4-FFF2-40B4-BE49-F238E27FC236}">
              <a16:creationId xmlns:a16="http://schemas.microsoft.com/office/drawing/2014/main" id="{53485722-C231-4981-A697-482A7F51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07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120"/>
  <sheetViews>
    <sheetView tabSelected="1" topLeftCell="A103" zoomScaleNormal="100" workbookViewId="0">
      <selection activeCell="C105" sqref="C105:F105"/>
    </sheetView>
  </sheetViews>
  <sheetFormatPr defaultColWidth="9.140625" defaultRowHeight="12.75"/>
  <cols>
    <col min="1" max="1" width="14.42578125"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c r="A1" s="8"/>
      <c r="B1" s="86" t="s">
        <v>1</v>
      </c>
      <c r="C1" s="86"/>
      <c r="D1" s="86"/>
      <c r="E1" s="86"/>
      <c r="F1" s="86"/>
      <c r="G1" s="86"/>
      <c r="H1" s="86"/>
      <c r="I1" s="86"/>
      <c r="J1" s="9"/>
    </row>
    <row r="2" spans="1:11" ht="13.5">
      <c r="A2" s="8"/>
      <c r="B2" s="87" t="s">
        <v>82</v>
      </c>
      <c r="C2" s="87"/>
      <c r="D2" s="87"/>
      <c r="E2" s="87"/>
      <c r="F2" s="87"/>
      <c r="G2" s="87"/>
      <c r="H2" s="87"/>
      <c r="I2" s="87"/>
      <c r="J2" s="9"/>
    </row>
    <row r="3" spans="1:11" ht="12.75" customHeight="1">
      <c r="A3" s="8"/>
      <c r="B3" s="88" t="s">
        <v>180</v>
      </c>
      <c r="C3" s="88"/>
      <c r="D3" s="88"/>
      <c r="E3" s="88"/>
      <c r="F3" s="88"/>
      <c r="G3" s="88"/>
      <c r="H3" s="88"/>
      <c r="I3" s="88"/>
      <c r="J3" s="9"/>
    </row>
    <row r="4" spans="1:11" s="42" customFormat="1" ht="25.5">
      <c r="A4" s="36" t="s">
        <v>33</v>
      </c>
      <c r="B4" s="37" t="s">
        <v>21</v>
      </c>
      <c r="C4" s="38" t="s">
        <v>22</v>
      </c>
      <c r="D4" s="39" t="s">
        <v>0</v>
      </c>
      <c r="E4" s="40" t="s">
        <v>23</v>
      </c>
      <c r="F4" s="41" t="s">
        <v>24</v>
      </c>
      <c r="G4" s="36" t="s">
        <v>25</v>
      </c>
      <c r="H4" s="36" t="s">
        <v>26</v>
      </c>
      <c r="I4" s="36" t="s">
        <v>27</v>
      </c>
      <c r="J4" s="36" t="s">
        <v>141</v>
      </c>
    </row>
    <row r="5" spans="1:11" ht="14.25">
      <c r="A5" s="43"/>
      <c r="B5" s="44" t="s">
        <v>10</v>
      </c>
      <c r="C5" s="43"/>
      <c r="D5" s="45"/>
      <c r="E5" s="46"/>
      <c r="F5" s="46"/>
      <c r="G5" s="47"/>
      <c r="H5" s="48"/>
      <c r="I5" s="49"/>
      <c r="J5" s="10"/>
      <c r="K5" s="13"/>
    </row>
    <row r="6" spans="1:11" ht="14.25">
      <c r="A6" s="50" t="s">
        <v>44</v>
      </c>
      <c r="B6" s="50" t="s">
        <v>45</v>
      </c>
      <c r="C6" s="50" t="s">
        <v>110</v>
      </c>
      <c r="D6" s="51">
        <v>119000</v>
      </c>
      <c r="E6" s="51">
        <v>1640.8910000000001</v>
      </c>
      <c r="F6" s="52">
        <v>4.0372820549760428E-2</v>
      </c>
      <c r="G6" s="53"/>
      <c r="H6" s="53"/>
      <c r="I6" s="49"/>
      <c r="J6" s="10"/>
      <c r="K6" s="13"/>
    </row>
    <row r="7" spans="1:11" ht="14.25">
      <c r="A7" s="50" t="s">
        <v>46</v>
      </c>
      <c r="B7" s="50" t="s">
        <v>47</v>
      </c>
      <c r="C7" s="50" t="s">
        <v>110</v>
      </c>
      <c r="D7" s="51">
        <v>168000</v>
      </c>
      <c r="E7" s="51">
        <v>1491.42</v>
      </c>
      <c r="F7" s="52">
        <v>3.6695205241739824E-2</v>
      </c>
      <c r="G7" s="53"/>
      <c r="H7" s="53"/>
      <c r="I7" s="49"/>
      <c r="J7" s="11"/>
      <c r="K7" s="13"/>
    </row>
    <row r="8" spans="1:11" ht="14.25">
      <c r="A8" s="50" t="s">
        <v>48</v>
      </c>
      <c r="B8" s="50" t="s">
        <v>49</v>
      </c>
      <c r="C8" s="50" t="s">
        <v>111</v>
      </c>
      <c r="D8" s="51">
        <v>66000</v>
      </c>
      <c r="E8" s="51">
        <v>1240.338</v>
      </c>
      <c r="F8" s="52">
        <v>3.0517531935423347E-2</v>
      </c>
      <c r="G8" s="53"/>
      <c r="H8" s="53"/>
      <c r="I8" s="49"/>
      <c r="J8" s="11"/>
      <c r="K8" s="13"/>
    </row>
    <row r="9" spans="1:11" ht="14.25">
      <c r="A9" s="50" t="s">
        <v>52</v>
      </c>
      <c r="B9" s="50" t="s">
        <v>53</v>
      </c>
      <c r="C9" s="50" t="s">
        <v>113</v>
      </c>
      <c r="D9" s="51">
        <v>117000</v>
      </c>
      <c r="E9" s="51">
        <v>1165.203</v>
      </c>
      <c r="F9" s="52">
        <v>2.8668894901027857E-2</v>
      </c>
      <c r="G9" s="53"/>
      <c r="H9" s="53"/>
      <c r="I9" s="49"/>
      <c r="J9" s="10"/>
      <c r="K9" s="13"/>
    </row>
    <row r="10" spans="1:11" ht="14.25">
      <c r="A10" s="50" t="s">
        <v>157</v>
      </c>
      <c r="B10" s="50" t="s">
        <v>158</v>
      </c>
      <c r="C10" s="50" t="s">
        <v>162</v>
      </c>
      <c r="D10" s="51">
        <v>81400</v>
      </c>
      <c r="E10" s="51">
        <v>1134.6346000000001</v>
      </c>
      <c r="F10" s="52">
        <v>2.791678368358971E-2</v>
      </c>
      <c r="G10" s="53"/>
      <c r="H10" s="53"/>
      <c r="I10" s="49"/>
      <c r="J10" s="10"/>
      <c r="K10" s="13"/>
    </row>
    <row r="11" spans="1:11" ht="14.25">
      <c r="A11" s="50" t="s">
        <v>30</v>
      </c>
      <c r="B11" s="50" t="s">
        <v>9</v>
      </c>
      <c r="C11" s="50" t="s">
        <v>57</v>
      </c>
      <c r="D11" s="51">
        <v>120000</v>
      </c>
      <c r="E11" s="51">
        <v>1131.18</v>
      </c>
      <c r="F11" s="52">
        <v>2.7831785992779533E-2</v>
      </c>
      <c r="G11" s="53"/>
      <c r="H11" s="53"/>
      <c r="I11" s="49"/>
      <c r="J11" s="11"/>
      <c r="K11" s="13"/>
    </row>
    <row r="12" spans="1:11" ht="14.25">
      <c r="A12" s="50" t="s">
        <v>130</v>
      </c>
      <c r="B12" s="50" t="s">
        <v>131</v>
      </c>
      <c r="C12" s="50" t="s">
        <v>121</v>
      </c>
      <c r="D12" s="51">
        <v>68288</v>
      </c>
      <c r="E12" s="51">
        <v>1085.0963200000001</v>
      </c>
      <c r="F12" s="52">
        <v>2.6697933626648827E-2</v>
      </c>
      <c r="G12" s="53"/>
      <c r="H12" s="53"/>
      <c r="I12" s="49"/>
      <c r="J12" s="11"/>
      <c r="K12" s="13"/>
    </row>
    <row r="13" spans="1:11" ht="14.25">
      <c r="A13" s="50" t="s">
        <v>91</v>
      </c>
      <c r="B13" s="50" t="s">
        <v>92</v>
      </c>
      <c r="C13" s="50" t="s">
        <v>122</v>
      </c>
      <c r="D13" s="51">
        <v>58998</v>
      </c>
      <c r="E13" s="51">
        <v>1069.8697320000001</v>
      </c>
      <c r="F13" s="52">
        <v>2.6323295515458544E-2</v>
      </c>
      <c r="G13" s="53"/>
      <c r="H13" s="53"/>
      <c r="I13" s="49"/>
      <c r="J13" s="11"/>
      <c r="K13" s="13"/>
    </row>
    <row r="14" spans="1:11" ht="14.25">
      <c r="A14" s="50" t="s">
        <v>85</v>
      </c>
      <c r="B14" s="50" t="s">
        <v>86</v>
      </c>
      <c r="C14" s="50" t="s">
        <v>110</v>
      </c>
      <c r="D14" s="51">
        <v>82000</v>
      </c>
      <c r="E14" s="51">
        <v>985.39400000000001</v>
      </c>
      <c r="F14" s="52">
        <v>2.4244837184682365E-2</v>
      </c>
      <c r="G14" s="53"/>
      <c r="H14" s="53"/>
      <c r="I14" s="49"/>
      <c r="J14" s="11"/>
      <c r="K14" s="13"/>
    </row>
    <row r="15" spans="1:11" ht="14.25">
      <c r="A15" s="50" t="s">
        <v>159</v>
      </c>
      <c r="B15" s="50" t="s">
        <v>160</v>
      </c>
      <c r="C15" s="50" t="s">
        <v>163</v>
      </c>
      <c r="D15" s="51">
        <v>131000</v>
      </c>
      <c r="E15" s="51">
        <v>941.10400000000004</v>
      </c>
      <c r="F15" s="52">
        <v>2.3155116891165676E-2</v>
      </c>
      <c r="G15" s="53"/>
      <c r="H15" s="53"/>
      <c r="I15" s="49"/>
      <c r="J15" s="10"/>
      <c r="K15" s="13"/>
    </row>
    <row r="16" spans="1:11" ht="14.25">
      <c r="A16" s="50" t="s">
        <v>68</v>
      </c>
      <c r="B16" s="50" t="s">
        <v>69</v>
      </c>
      <c r="C16" s="50" t="s">
        <v>113</v>
      </c>
      <c r="D16" s="51">
        <v>83000</v>
      </c>
      <c r="E16" s="51">
        <v>895.90200000000004</v>
      </c>
      <c r="F16" s="52">
        <v>2.2042957561575673E-2</v>
      </c>
      <c r="G16" s="53"/>
      <c r="H16" s="53"/>
      <c r="I16" s="49"/>
      <c r="J16" s="11"/>
      <c r="K16" s="13"/>
    </row>
    <row r="17" spans="1:11" ht="14.25">
      <c r="A17" s="50" t="s">
        <v>70</v>
      </c>
      <c r="B17" s="50" t="s">
        <v>71</v>
      </c>
      <c r="C17" s="50" t="s">
        <v>123</v>
      </c>
      <c r="D17" s="51">
        <v>20602</v>
      </c>
      <c r="E17" s="51">
        <v>892.74646600000005</v>
      </c>
      <c r="F17" s="52">
        <v>2.1965318152303109E-2</v>
      </c>
      <c r="G17" s="53"/>
      <c r="H17" s="53"/>
      <c r="I17" s="49"/>
      <c r="J17" s="11"/>
      <c r="K17" s="13"/>
    </row>
    <row r="18" spans="1:11" ht="14.25">
      <c r="A18" s="50" t="s">
        <v>134</v>
      </c>
      <c r="B18" s="50" t="s">
        <v>135</v>
      </c>
      <c r="C18" s="50" t="s">
        <v>139</v>
      </c>
      <c r="D18" s="51">
        <v>70800</v>
      </c>
      <c r="E18" s="51">
        <v>880.89359999999999</v>
      </c>
      <c r="F18" s="52">
        <v>2.1673687792932279E-2</v>
      </c>
      <c r="G18" s="53"/>
      <c r="H18" s="53"/>
      <c r="I18" s="49"/>
      <c r="J18" s="11"/>
      <c r="K18" s="13"/>
    </row>
    <row r="19" spans="1:11" ht="14.25">
      <c r="A19" s="50" t="s">
        <v>164</v>
      </c>
      <c r="B19" s="50" t="s">
        <v>165</v>
      </c>
      <c r="C19" s="50" t="s">
        <v>110</v>
      </c>
      <c r="D19" s="51">
        <v>1190000</v>
      </c>
      <c r="E19" s="51">
        <v>874.41200000000003</v>
      </c>
      <c r="F19" s="52">
        <v>2.1514213169891917E-2</v>
      </c>
      <c r="G19" s="53"/>
      <c r="H19" s="53"/>
      <c r="I19" s="49"/>
      <c r="J19" s="11"/>
      <c r="K19" s="13"/>
    </row>
    <row r="20" spans="1:11" ht="14.25">
      <c r="A20" s="50" t="s">
        <v>34</v>
      </c>
      <c r="B20" s="50" t="s">
        <v>35</v>
      </c>
      <c r="C20" s="50" t="s">
        <v>120</v>
      </c>
      <c r="D20" s="51">
        <v>31999</v>
      </c>
      <c r="E20" s="51">
        <v>866.24492899999996</v>
      </c>
      <c r="F20" s="52">
        <v>2.1313268870788469E-2</v>
      </c>
      <c r="G20" s="53"/>
      <c r="H20" s="53"/>
      <c r="I20" s="49"/>
      <c r="J20" s="10"/>
      <c r="K20" s="13"/>
    </row>
    <row r="21" spans="1:11" ht="14.25">
      <c r="A21" s="50" t="s">
        <v>132</v>
      </c>
      <c r="B21" s="50" t="s">
        <v>133</v>
      </c>
      <c r="C21" s="50" t="s">
        <v>138</v>
      </c>
      <c r="D21" s="51">
        <v>37972</v>
      </c>
      <c r="E21" s="51">
        <v>842.97839999999997</v>
      </c>
      <c r="F21" s="52">
        <v>2.0740814393231582E-2</v>
      </c>
      <c r="G21" s="53"/>
      <c r="H21" s="53"/>
      <c r="I21" s="49"/>
      <c r="J21" s="11"/>
      <c r="K21" s="13"/>
    </row>
    <row r="22" spans="1:11" ht="14.25">
      <c r="A22" s="50" t="s">
        <v>50</v>
      </c>
      <c r="B22" s="50" t="s">
        <v>51</v>
      </c>
      <c r="C22" s="50" t="s">
        <v>112</v>
      </c>
      <c r="D22" s="51">
        <v>17800</v>
      </c>
      <c r="E22" s="51">
        <v>842.47400000000005</v>
      </c>
      <c r="F22" s="52">
        <v>2.0728404031613842E-2</v>
      </c>
      <c r="G22" s="53"/>
      <c r="H22" s="53"/>
      <c r="I22" s="49"/>
      <c r="J22" s="11"/>
      <c r="K22" s="13"/>
    </row>
    <row r="23" spans="1:11" ht="14.25">
      <c r="A23" s="50" t="s">
        <v>72</v>
      </c>
      <c r="B23" s="50" t="s">
        <v>73</v>
      </c>
      <c r="C23" s="50" t="s">
        <v>115</v>
      </c>
      <c r="D23" s="51">
        <v>24400</v>
      </c>
      <c r="E23" s="51">
        <v>828.96559999999999</v>
      </c>
      <c r="F23" s="52">
        <v>2.0396040572301564E-2</v>
      </c>
      <c r="G23" s="53"/>
      <c r="H23" s="53"/>
      <c r="I23" s="49"/>
      <c r="J23" s="11"/>
      <c r="K23" s="13"/>
    </row>
    <row r="24" spans="1:11" ht="14.25">
      <c r="A24" s="50" t="s">
        <v>41</v>
      </c>
      <c r="B24" s="50" t="s">
        <v>42</v>
      </c>
      <c r="C24" s="50" t="s">
        <v>114</v>
      </c>
      <c r="D24" s="51">
        <v>68284</v>
      </c>
      <c r="E24" s="51">
        <v>749.96317199999999</v>
      </c>
      <c r="F24" s="52">
        <v>1.8452248541850198E-2</v>
      </c>
      <c r="G24" s="53"/>
      <c r="H24" s="53"/>
      <c r="I24" s="49"/>
      <c r="J24" s="11"/>
      <c r="K24" s="13"/>
    </row>
    <row r="25" spans="1:11" ht="14.25">
      <c r="A25" s="50" t="s">
        <v>43</v>
      </c>
      <c r="B25" s="50" t="s">
        <v>36</v>
      </c>
      <c r="C25" s="50" t="s">
        <v>112</v>
      </c>
      <c r="D25" s="51">
        <v>61000</v>
      </c>
      <c r="E25" s="51">
        <v>723.33799999999997</v>
      </c>
      <c r="F25" s="52">
        <v>1.7797157319299459E-2</v>
      </c>
      <c r="G25" s="53"/>
      <c r="H25" s="53"/>
      <c r="I25" s="49"/>
      <c r="J25" s="10"/>
      <c r="K25" s="13"/>
    </row>
    <row r="26" spans="1:11" ht="14.25">
      <c r="A26" s="50" t="s">
        <v>58</v>
      </c>
      <c r="B26" s="50" t="s">
        <v>59</v>
      </c>
      <c r="C26" s="50" t="s">
        <v>118</v>
      </c>
      <c r="D26" s="51">
        <v>14900</v>
      </c>
      <c r="E26" s="51">
        <v>719.25279999999998</v>
      </c>
      <c r="F26" s="52">
        <v>1.769664421604648E-2</v>
      </c>
      <c r="G26" s="53"/>
      <c r="H26" s="53"/>
      <c r="I26" s="49"/>
      <c r="J26" s="11"/>
      <c r="K26" s="13"/>
    </row>
    <row r="27" spans="1:11" ht="14.25">
      <c r="A27" s="50" t="s">
        <v>54</v>
      </c>
      <c r="B27" s="50" t="s">
        <v>55</v>
      </c>
      <c r="C27" s="50" t="s">
        <v>56</v>
      </c>
      <c r="D27" s="51">
        <v>16300</v>
      </c>
      <c r="E27" s="51">
        <v>697.36289999999997</v>
      </c>
      <c r="F27" s="52">
        <v>1.715806060229505E-2</v>
      </c>
      <c r="G27" s="53"/>
      <c r="H27" s="53"/>
      <c r="I27" s="49"/>
      <c r="J27" s="10"/>
      <c r="K27" s="13"/>
    </row>
    <row r="28" spans="1:11" ht="14.25">
      <c r="A28" s="50" t="s">
        <v>174</v>
      </c>
      <c r="B28" s="50" t="s">
        <v>175</v>
      </c>
      <c r="C28" s="50" t="s">
        <v>113</v>
      </c>
      <c r="D28" s="51">
        <v>184545</v>
      </c>
      <c r="E28" s="51">
        <v>690.751935</v>
      </c>
      <c r="F28" s="52">
        <v>1.699540305611694E-2</v>
      </c>
      <c r="G28" s="53"/>
      <c r="H28" s="53"/>
      <c r="I28" s="49"/>
      <c r="J28" s="11"/>
      <c r="K28" s="13"/>
    </row>
    <row r="29" spans="1:11" ht="14.25">
      <c r="A29" s="50" t="s">
        <v>102</v>
      </c>
      <c r="B29" s="50" t="s">
        <v>103</v>
      </c>
      <c r="C29" s="50" t="s">
        <v>104</v>
      </c>
      <c r="D29" s="51">
        <v>134000</v>
      </c>
      <c r="E29" s="51">
        <v>653.58500000000004</v>
      </c>
      <c r="F29" s="52">
        <v>1.6080940122784007E-2</v>
      </c>
      <c r="G29" s="53"/>
      <c r="H29" s="53"/>
      <c r="I29" s="49"/>
      <c r="J29" s="10"/>
      <c r="K29" s="13"/>
    </row>
    <row r="30" spans="1:11" ht="14.25">
      <c r="A30" s="50" t="s">
        <v>74</v>
      </c>
      <c r="B30" s="50" t="s">
        <v>75</v>
      </c>
      <c r="C30" s="50" t="s">
        <v>127</v>
      </c>
      <c r="D30" s="51">
        <v>42400</v>
      </c>
      <c r="E30" s="51">
        <v>644.904</v>
      </c>
      <c r="F30" s="52">
        <v>1.5867351008581741E-2</v>
      </c>
      <c r="G30" s="53"/>
      <c r="H30" s="53"/>
      <c r="I30" s="49"/>
      <c r="J30" s="10"/>
      <c r="K30" s="13"/>
    </row>
    <row r="31" spans="1:11" ht="14.25">
      <c r="A31" s="50" t="s">
        <v>64</v>
      </c>
      <c r="B31" s="50" t="s">
        <v>65</v>
      </c>
      <c r="C31" s="50" t="s">
        <v>123</v>
      </c>
      <c r="D31" s="51">
        <v>49850</v>
      </c>
      <c r="E31" s="51">
        <v>641.22055</v>
      </c>
      <c r="F31" s="52">
        <v>1.5776722645177946E-2</v>
      </c>
      <c r="G31" s="53"/>
      <c r="H31" s="53"/>
      <c r="I31" s="49"/>
      <c r="J31" s="10"/>
      <c r="K31" s="13"/>
    </row>
    <row r="32" spans="1:11" ht="14.25">
      <c r="A32" s="50" t="s">
        <v>171</v>
      </c>
      <c r="B32" s="50" t="s">
        <v>172</v>
      </c>
      <c r="C32" s="50" t="s">
        <v>173</v>
      </c>
      <c r="D32" s="51">
        <v>132010</v>
      </c>
      <c r="E32" s="51">
        <v>638.79638999999997</v>
      </c>
      <c r="F32" s="52">
        <v>1.5717078112625869E-2</v>
      </c>
      <c r="G32" s="53"/>
      <c r="H32" s="53"/>
      <c r="I32" s="49"/>
      <c r="J32" s="10"/>
      <c r="K32" s="13"/>
    </row>
    <row r="33" spans="1:11" ht="14.25">
      <c r="A33" s="50" t="s">
        <v>97</v>
      </c>
      <c r="B33" s="50" t="s">
        <v>98</v>
      </c>
      <c r="C33" s="50" t="s">
        <v>118</v>
      </c>
      <c r="D33" s="51">
        <v>142500</v>
      </c>
      <c r="E33" s="51">
        <v>617.59500000000003</v>
      </c>
      <c r="F33" s="52">
        <v>1.5195434740899481E-2</v>
      </c>
      <c r="G33" s="53"/>
      <c r="H33" s="53"/>
      <c r="I33" s="49"/>
      <c r="J33" s="11"/>
      <c r="K33" s="13"/>
    </row>
    <row r="34" spans="1:11" ht="14.25">
      <c r="A34" s="50" t="s">
        <v>89</v>
      </c>
      <c r="B34" s="50" t="s">
        <v>90</v>
      </c>
      <c r="C34" s="50" t="s">
        <v>124</v>
      </c>
      <c r="D34" s="51">
        <v>137351</v>
      </c>
      <c r="E34" s="51">
        <v>610.79989699999999</v>
      </c>
      <c r="F34" s="52">
        <v>1.5028246625396296E-2</v>
      </c>
      <c r="G34" s="53"/>
      <c r="H34" s="53"/>
      <c r="I34" s="49"/>
      <c r="J34" s="10"/>
      <c r="K34" s="13"/>
    </row>
    <row r="35" spans="1:11" ht="14.25">
      <c r="A35" s="50" t="s">
        <v>32</v>
      </c>
      <c r="B35" s="50" t="s">
        <v>12</v>
      </c>
      <c r="C35" s="50" t="s">
        <v>116</v>
      </c>
      <c r="D35" s="51">
        <v>21800</v>
      </c>
      <c r="E35" s="51">
        <v>590.62739999999997</v>
      </c>
      <c r="F35" s="52">
        <v>1.4531918349220987E-2</v>
      </c>
      <c r="G35" s="53"/>
      <c r="H35" s="53"/>
      <c r="I35" s="49"/>
      <c r="J35" s="11"/>
      <c r="K35" s="13"/>
    </row>
    <row r="36" spans="1:11" ht="14.25">
      <c r="A36" s="50" t="s">
        <v>99</v>
      </c>
      <c r="B36" s="50" t="s">
        <v>100</v>
      </c>
      <c r="C36" s="50" t="s">
        <v>115</v>
      </c>
      <c r="D36" s="51">
        <v>10250</v>
      </c>
      <c r="E36" s="51">
        <v>585.27499999999998</v>
      </c>
      <c r="F36" s="52">
        <v>1.4400226795845083E-2</v>
      </c>
      <c r="G36" s="53"/>
      <c r="H36" s="53"/>
      <c r="I36" s="49"/>
      <c r="J36" s="11"/>
      <c r="K36" s="13"/>
    </row>
    <row r="37" spans="1:11" ht="14.25">
      <c r="A37" s="50" t="s">
        <v>29</v>
      </c>
      <c r="B37" s="50" t="s">
        <v>8</v>
      </c>
      <c r="C37" s="50" t="s">
        <v>126</v>
      </c>
      <c r="D37" s="51">
        <v>73500</v>
      </c>
      <c r="E37" s="51">
        <v>579.65774999999996</v>
      </c>
      <c r="F37" s="52">
        <v>1.4262018818451617E-2</v>
      </c>
      <c r="G37" s="53"/>
      <c r="H37" s="53"/>
      <c r="I37" s="49"/>
      <c r="J37" s="11"/>
      <c r="K37" s="13"/>
    </row>
    <row r="38" spans="1:11" ht="14.25">
      <c r="A38" s="50" t="s">
        <v>66</v>
      </c>
      <c r="B38" s="50" t="s">
        <v>67</v>
      </c>
      <c r="C38" s="50" t="s">
        <v>119</v>
      </c>
      <c r="D38" s="51">
        <v>21849</v>
      </c>
      <c r="E38" s="51">
        <v>578.88925500000005</v>
      </c>
      <c r="F38" s="52">
        <v>1.4243110608992008E-2</v>
      </c>
      <c r="G38" s="53"/>
      <c r="H38" s="53"/>
      <c r="I38" s="49"/>
      <c r="J38" s="11"/>
      <c r="K38" s="13"/>
    </row>
    <row r="39" spans="1:11" ht="14.25">
      <c r="A39" s="50" t="s">
        <v>39</v>
      </c>
      <c r="B39" s="50" t="s">
        <v>40</v>
      </c>
      <c r="C39" s="50" t="s">
        <v>121</v>
      </c>
      <c r="D39" s="51">
        <v>7249</v>
      </c>
      <c r="E39" s="51">
        <v>578.03525999999999</v>
      </c>
      <c r="F39" s="52">
        <v>1.4222098739900525E-2</v>
      </c>
      <c r="G39" s="53"/>
      <c r="H39" s="53"/>
      <c r="I39" s="49"/>
      <c r="J39" s="11"/>
      <c r="K39" s="13"/>
    </row>
    <row r="40" spans="1:11" ht="14.25">
      <c r="A40" s="50" t="s">
        <v>176</v>
      </c>
      <c r="B40" s="50" t="s">
        <v>177</v>
      </c>
      <c r="C40" s="50" t="s">
        <v>117</v>
      </c>
      <c r="D40" s="51">
        <v>11308</v>
      </c>
      <c r="E40" s="51">
        <v>574.49163199999998</v>
      </c>
      <c r="F40" s="52">
        <v>1.4134910585818927E-2</v>
      </c>
      <c r="G40" s="53"/>
      <c r="H40" s="53"/>
      <c r="I40" s="49"/>
      <c r="J40" s="11"/>
      <c r="K40" s="13"/>
    </row>
    <row r="41" spans="1:11" ht="14.25">
      <c r="A41" s="50" t="s">
        <v>181</v>
      </c>
      <c r="B41" s="50" t="s">
        <v>182</v>
      </c>
      <c r="C41" s="50" t="s">
        <v>187</v>
      </c>
      <c r="D41" s="51">
        <v>180000</v>
      </c>
      <c r="E41" s="51">
        <v>564.48</v>
      </c>
      <c r="F41" s="52">
        <v>1.3888582327484742E-2</v>
      </c>
      <c r="G41" s="53"/>
      <c r="H41" s="53"/>
      <c r="I41" s="49"/>
      <c r="J41" s="11"/>
      <c r="K41" s="13"/>
    </row>
    <row r="42" spans="1:11" ht="14.25">
      <c r="A42" s="50" t="s">
        <v>183</v>
      </c>
      <c r="B42" s="50" t="s">
        <v>184</v>
      </c>
      <c r="C42" s="50" t="s">
        <v>120</v>
      </c>
      <c r="D42" s="51">
        <v>59477</v>
      </c>
      <c r="E42" s="51">
        <v>553.84982400000001</v>
      </c>
      <c r="F42" s="52">
        <v>1.3627035285017955E-2</v>
      </c>
      <c r="G42" s="53"/>
      <c r="H42" s="53"/>
      <c r="I42" s="49"/>
      <c r="J42" s="11"/>
      <c r="K42" s="13"/>
    </row>
    <row r="43" spans="1:11" ht="14.25">
      <c r="A43" s="50" t="s">
        <v>83</v>
      </c>
      <c r="B43" s="50" t="s">
        <v>84</v>
      </c>
      <c r="C43" s="50" t="s">
        <v>125</v>
      </c>
      <c r="D43" s="51">
        <v>135221</v>
      </c>
      <c r="E43" s="51">
        <v>548.99725999999998</v>
      </c>
      <c r="F43" s="52">
        <v>1.3507641799662604E-2</v>
      </c>
      <c r="G43" s="53"/>
      <c r="H43" s="53"/>
      <c r="I43" s="49"/>
      <c r="J43" s="11"/>
      <c r="K43" s="13"/>
    </row>
    <row r="44" spans="1:11" ht="14.25">
      <c r="A44" s="50" t="s">
        <v>87</v>
      </c>
      <c r="B44" s="50" t="s">
        <v>88</v>
      </c>
      <c r="C44" s="50" t="s">
        <v>114</v>
      </c>
      <c r="D44" s="51">
        <v>35650</v>
      </c>
      <c r="E44" s="51">
        <v>528.19039999999995</v>
      </c>
      <c r="F44" s="52">
        <v>1.2995705525416484E-2</v>
      </c>
      <c r="G44" s="53"/>
      <c r="H44" s="53"/>
      <c r="I44" s="49"/>
      <c r="J44" s="11"/>
      <c r="K44" s="13"/>
    </row>
    <row r="45" spans="1:11" ht="14.25">
      <c r="A45" s="50" t="s">
        <v>76</v>
      </c>
      <c r="B45" s="50" t="s">
        <v>77</v>
      </c>
      <c r="C45" s="50" t="s">
        <v>128</v>
      </c>
      <c r="D45" s="51">
        <v>213000</v>
      </c>
      <c r="E45" s="51">
        <v>524.61900000000003</v>
      </c>
      <c r="F45" s="52">
        <v>1.2907834063319724E-2</v>
      </c>
      <c r="G45" s="53"/>
      <c r="H45" s="53"/>
      <c r="I45" s="49"/>
      <c r="J45" s="11"/>
      <c r="K45" s="13"/>
    </row>
    <row r="46" spans="1:11" ht="14.25">
      <c r="A46" s="50" t="s">
        <v>166</v>
      </c>
      <c r="B46" s="50" t="s">
        <v>167</v>
      </c>
      <c r="C46" s="50" t="s">
        <v>120</v>
      </c>
      <c r="D46" s="51">
        <v>16821</v>
      </c>
      <c r="E46" s="51">
        <v>523.48634100000004</v>
      </c>
      <c r="F46" s="52">
        <v>1.2879965887705945E-2</v>
      </c>
      <c r="G46" s="53"/>
      <c r="H46" s="53"/>
      <c r="I46" s="49"/>
      <c r="J46" s="10"/>
      <c r="K46" s="13"/>
    </row>
    <row r="47" spans="1:11" ht="14.25">
      <c r="A47" s="50" t="s">
        <v>95</v>
      </c>
      <c r="B47" s="50" t="s">
        <v>96</v>
      </c>
      <c r="C47" s="50" t="s">
        <v>123</v>
      </c>
      <c r="D47" s="51">
        <v>38649</v>
      </c>
      <c r="E47" s="51">
        <v>520.52473199999997</v>
      </c>
      <c r="F47" s="52">
        <v>1.2807097849124737E-2</v>
      </c>
      <c r="G47" s="53"/>
      <c r="H47" s="53"/>
      <c r="I47" s="49"/>
      <c r="J47" s="10"/>
      <c r="K47" s="13"/>
    </row>
    <row r="48" spans="1:11" ht="14.25">
      <c r="A48" s="50" t="s">
        <v>60</v>
      </c>
      <c r="B48" s="50" t="s">
        <v>61</v>
      </c>
      <c r="C48" s="50" t="s">
        <v>115</v>
      </c>
      <c r="D48" s="51">
        <v>13300</v>
      </c>
      <c r="E48" s="51">
        <v>514.67010000000005</v>
      </c>
      <c r="F48" s="52">
        <v>1.266304927605018E-2</v>
      </c>
      <c r="G48" s="53"/>
      <c r="H48" s="53"/>
      <c r="I48" s="49"/>
      <c r="J48" s="11"/>
      <c r="K48" s="13"/>
    </row>
    <row r="49" spans="1:11" ht="14.25">
      <c r="A49" s="50" t="s">
        <v>37</v>
      </c>
      <c r="B49" s="50" t="s">
        <v>38</v>
      </c>
      <c r="C49" s="50" t="s">
        <v>116</v>
      </c>
      <c r="D49" s="51">
        <v>12949</v>
      </c>
      <c r="E49" s="51">
        <v>498.56239799999997</v>
      </c>
      <c r="F49" s="52">
        <v>1.2266732054299912E-2</v>
      </c>
      <c r="G49" s="53"/>
      <c r="H49" s="53"/>
      <c r="I49" s="49"/>
      <c r="J49" s="10"/>
      <c r="K49" s="13"/>
    </row>
    <row r="50" spans="1:11" ht="14.25">
      <c r="A50" s="50" t="s">
        <v>28</v>
      </c>
      <c r="B50" s="50" t="s">
        <v>11</v>
      </c>
      <c r="C50" s="50" t="s">
        <v>121</v>
      </c>
      <c r="D50" s="51">
        <v>4450</v>
      </c>
      <c r="E50" s="51">
        <v>468.49599999999998</v>
      </c>
      <c r="F50" s="52">
        <v>1.1526972197592992E-2</v>
      </c>
      <c r="G50" s="53"/>
      <c r="H50" s="53"/>
      <c r="I50" s="49"/>
      <c r="J50" s="11"/>
      <c r="K50" s="13"/>
    </row>
    <row r="51" spans="1:11" ht="14.25">
      <c r="A51" s="50" t="s">
        <v>106</v>
      </c>
      <c r="B51" s="50" t="s">
        <v>107</v>
      </c>
      <c r="C51" s="50" t="s">
        <v>128</v>
      </c>
      <c r="D51" s="51">
        <v>25631</v>
      </c>
      <c r="E51" s="51">
        <v>461.61430999999999</v>
      </c>
      <c r="F51" s="52">
        <v>1.1357653677685771E-2</v>
      </c>
      <c r="G51" s="53"/>
      <c r="H51" s="53"/>
      <c r="I51" s="49"/>
      <c r="J51" s="10"/>
      <c r="K51" s="13"/>
    </row>
    <row r="52" spans="1:11" ht="14.25">
      <c r="A52" s="50" t="s">
        <v>136</v>
      </c>
      <c r="B52" s="50" t="s">
        <v>137</v>
      </c>
      <c r="C52" s="50" t="s">
        <v>140</v>
      </c>
      <c r="D52" s="51">
        <v>90776</v>
      </c>
      <c r="E52" s="51">
        <v>450.52128800000003</v>
      </c>
      <c r="F52" s="52">
        <v>1.1084718676786537E-2</v>
      </c>
      <c r="G52" s="53"/>
      <c r="H52" s="53"/>
      <c r="I52" s="49"/>
      <c r="J52" s="11"/>
      <c r="K52" s="13"/>
    </row>
    <row r="53" spans="1:11" ht="14.25">
      <c r="A53" s="50" t="s">
        <v>185</v>
      </c>
      <c r="B53" s="50" t="s">
        <v>186</v>
      </c>
      <c r="C53" s="50" t="s">
        <v>188</v>
      </c>
      <c r="D53" s="51">
        <v>50000</v>
      </c>
      <c r="E53" s="51">
        <v>448.9</v>
      </c>
      <c r="F53" s="52">
        <v>1.1044828172491321E-2</v>
      </c>
      <c r="G53" s="53"/>
      <c r="H53" s="53"/>
      <c r="I53" s="49"/>
      <c r="J53" s="10"/>
      <c r="K53" s="13"/>
    </row>
    <row r="54" spans="1:11" ht="14.25">
      <c r="A54" s="50" t="s">
        <v>31</v>
      </c>
      <c r="B54" s="50" t="s">
        <v>105</v>
      </c>
      <c r="C54" s="50" t="s">
        <v>120</v>
      </c>
      <c r="D54" s="51">
        <v>61700</v>
      </c>
      <c r="E54" s="51">
        <v>447.41755000000001</v>
      </c>
      <c r="F54" s="52">
        <v>1.1008353666979382E-2</v>
      </c>
      <c r="G54" s="53"/>
      <c r="H54" s="53"/>
      <c r="I54" s="49"/>
      <c r="J54" s="11"/>
      <c r="K54" s="13"/>
    </row>
    <row r="55" spans="1:11" ht="14.25">
      <c r="A55" s="50" t="s">
        <v>108</v>
      </c>
      <c r="B55" s="50" t="s">
        <v>109</v>
      </c>
      <c r="C55" s="50" t="s">
        <v>115</v>
      </c>
      <c r="D55" s="51">
        <v>3000</v>
      </c>
      <c r="E55" s="51">
        <v>445.71</v>
      </c>
      <c r="F55" s="52">
        <v>1.0966340754647152E-2</v>
      </c>
      <c r="G55" s="53"/>
      <c r="H55" s="53"/>
      <c r="I55" s="49"/>
      <c r="J55" s="11"/>
      <c r="K55" s="13"/>
    </row>
    <row r="56" spans="1:11" ht="14.25">
      <c r="A56" s="50" t="s">
        <v>101</v>
      </c>
      <c r="B56" s="50" t="s">
        <v>161</v>
      </c>
      <c r="C56" s="50" t="s">
        <v>124</v>
      </c>
      <c r="D56" s="51">
        <v>11300</v>
      </c>
      <c r="E56" s="51">
        <v>442.19159999999999</v>
      </c>
      <c r="F56" s="52">
        <v>1.0879773315480092E-2</v>
      </c>
      <c r="G56" s="53"/>
      <c r="H56" s="53"/>
      <c r="I56" s="49"/>
      <c r="J56" s="10"/>
      <c r="K56" s="13"/>
    </row>
    <row r="57" spans="1:11" ht="14.25">
      <c r="A57" s="50" t="s">
        <v>93</v>
      </c>
      <c r="B57" s="50" t="s">
        <v>94</v>
      </c>
      <c r="C57" s="50" t="s">
        <v>112</v>
      </c>
      <c r="D57" s="51">
        <v>31300</v>
      </c>
      <c r="E57" s="51">
        <v>424.9914</v>
      </c>
      <c r="F57" s="52">
        <v>1.0456576047642076E-2</v>
      </c>
      <c r="G57" s="53"/>
      <c r="H57" s="53"/>
      <c r="I57" s="49"/>
      <c r="J57" s="11"/>
      <c r="K57" s="13"/>
    </row>
    <row r="58" spans="1:11" ht="14.25">
      <c r="A58" s="50" t="s">
        <v>62</v>
      </c>
      <c r="B58" s="50" t="s">
        <v>63</v>
      </c>
      <c r="C58" s="50" t="s">
        <v>119</v>
      </c>
      <c r="D58" s="51">
        <v>90000</v>
      </c>
      <c r="E58" s="51">
        <v>406.26</v>
      </c>
      <c r="F58" s="52">
        <v>9.9957048192388601E-3</v>
      </c>
      <c r="G58" s="53"/>
      <c r="H58" s="53"/>
      <c r="I58" s="49"/>
      <c r="J58" s="10"/>
      <c r="K58" s="13"/>
    </row>
    <row r="59" spans="1:11" ht="14.25">
      <c r="A59" s="50" t="s">
        <v>178</v>
      </c>
      <c r="B59" s="50" t="s">
        <v>179</v>
      </c>
      <c r="C59" s="50" t="s">
        <v>129</v>
      </c>
      <c r="D59" s="51">
        <v>24000</v>
      </c>
      <c r="E59" s="51">
        <v>398.06400000000002</v>
      </c>
      <c r="F59" s="52">
        <v>9.7940487450536538E-3</v>
      </c>
      <c r="G59" s="53"/>
      <c r="H59" s="53"/>
      <c r="I59" s="49"/>
      <c r="J59" s="11"/>
      <c r="K59" s="13"/>
    </row>
    <row r="60" spans="1:11" ht="14.25">
      <c r="A60" s="50" t="s">
        <v>80</v>
      </c>
      <c r="B60" s="50" t="s">
        <v>81</v>
      </c>
      <c r="C60" s="50" t="s">
        <v>128</v>
      </c>
      <c r="D60" s="51">
        <v>8700</v>
      </c>
      <c r="E60" s="51">
        <v>339.25650000000002</v>
      </c>
      <c r="F60" s="52">
        <v>8.3471368877273376E-3</v>
      </c>
      <c r="G60" s="53"/>
      <c r="H60" s="53"/>
      <c r="I60" s="49"/>
      <c r="J60" s="11"/>
      <c r="K60" s="13"/>
    </row>
    <row r="61" spans="1:11" ht="14.25">
      <c r="A61" s="50" t="s">
        <v>78</v>
      </c>
      <c r="B61" s="50" t="s">
        <v>79</v>
      </c>
      <c r="C61" s="50" t="s">
        <v>129</v>
      </c>
      <c r="D61" s="51">
        <v>47000</v>
      </c>
      <c r="E61" s="51">
        <v>283.80950000000001</v>
      </c>
      <c r="F61" s="52">
        <v>6.9829074654058267E-3</v>
      </c>
      <c r="G61" s="53"/>
      <c r="H61" s="53"/>
      <c r="I61" s="49"/>
      <c r="J61" s="11"/>
      <c r="K61" s="13"/>
    </row>
    <row r="62" spans="1:11" ht="14.25">
      <c r="A62" s="50"/>
      <c r="B62" s="44" t="s">
        <v>13</v>
      </c>
      <c r="C62" s="50"/>
      <c r="D62" s="51"/>
      <c r="E62" s="54">
        <f>SUM(E5:E61)</f>
        <v>39478.905790999997</v>
      </c>
      <c r="F62" s="55">
        <f>SUM(F5:F61)</f>
        <v>0.97134713945103035</v>
      </c>
      <c r="G62" s="55"/>
      <c r="H62" s="53"/>
      <c r="I62" s="49"/>
      <c r="J62" s="11"/>
      <c r="K62" s="13"/>
    </row>
    <row r="63" spans="1:11" ht="14.25">
      <c r="A63" s="50"/>
      <c r="B63" s="44" t="s">
        <v>168</v>
      </c>
      <c r="C63" s="50"/>
      <c r="D63" s="51"/>
      <c r="E63" s="54" t="s">
        <v>2</v>
      </c>
      <c r="F63" s="62" t="s">
        <v>2</v>
      </c>
      <c r="G63" s="53"/>
      <c r="H63" s="53"/>
      <c r="I63" s="49"/>
      <c r="J63" s="11"/>
      <c r="K63" s="13"/>
    </row>
    <row r="64" spans="1:11" ht="14.25">
      <c r="A64" s="50"/>
      <c r="B64" s="44" t="s">
        <v>13</v>
      </c>
      <c r="C64" s="50"/>
      <c r="D64" s="51"/>
      <c r="E64" s="54" t="s">
        <v>2</v>
      </c>
      <c r="F64" s="62" t="s">
        <v>2</v>
      </c>
      <c r="G64" s="53"/>
      <c r="H64" s="53"/>
      <c r="I64" s="49"/>
      <c r="J64" s="11"/>
      <c r="K64" s="13"/>
    </row>
    <row r="65" spans="1:11" ht="14.25">
      <c r="A65" s="50"/>
      <c r="B65" s="44" t="s">
        <v>3</v>
      </c>
      <c r="C65" s="50"/>
      <c r="D65" s="51"/>
      <c r="E65" s="54">
        <f>E62</f>
        <v>39478.905790999997</v>
      </c>
      <c r="F65" s="82">
        <f>F62</f>
        <v>0.97134713945103035</v>
      </c>
      <c r="G65" s="53"/>
      <c r="H65" s="53"/>
      <c r="I65" s="49"/>
      <c r="J65" s="11"/>
      <c r="K65" s="13"/>
    </row>
    <row r="66" spans="1:11" ht="14.25">
      <c r="A66" s="50"/>
      <c r="B66" s="44"/>
      <c r="C66" s="50"/>
      <c r="D66" s="51"/>
      <c r="E66" s="54"/>
      <c r="F66" s="58"/>
      <c r="G66" s="53"/>
      <c r="H66" s="53"/>
      <c r="I66" s="49"/>
      <c r="J66" s="11"/>
      <c r="K66" s="13"/>
    </row>
    <row r="67" spans="1:11" ht="14.25">
      <c r="A67" s="43"/>
      <c r="B67" s="44" t="s">
        <v>14</v>
      </c>
      <c r="C67" s="43"/>
      <c r="D67" s="43"/>
      <c r="E67" s="43"/>
      <c r="F67" s="59"/>
      <c r="G67" s="60"/>
      <c r="H67" s="43"/>
      <c r="I67" s="49"/>
      <c r="J67" s="11"/>
      <c r="K67" s="13"/>
    </row>
    <row r="68" spans="1:11" ht="14.25">
      <c r="A68" s="50"/>
      <c r="B68" s="44" t="s">
        <v>15</v>
      </c>
      <c r="C68" s="50"/>
      <c r="D68" s="61"/>
      <c r="E68" s="54" t="s">
        <v>2</v>
      </c>
      <c r="F68" s="62" t="s">
        <v>2</v>
      </c>
      <c r="G68" s="49"/>
      <c r="H68" s="50"/>
      <c r="I68" s="49"/>
      <c r="J68" s="11"/>
      <c r="K68" s="13"/>
    </row>
    <row r="69" spans="1:11" ht="14.25">
      <c r="A69" s="43"/>
      <c r="B69" s="44" t="s">
        <v>13</v>
      </c>
      <c r="C69" s="43"/>
      <c r="D69" s="45"/>
      <c r="E69" s="63" t="s">
        <v>2</v>
      </c>
      <c r="F69" s="58" t="s">
        <v>2</v>
      </c>
      <c r="G69" s="64"/>
      <c r="H69" s="58"/>
      <c r="I69" s="49"/>
      <c r="J69" s="11"/>
      <c r="K69" s="13"/>
    </row>
    <row r="70" spans="1:11" ht="14.25">
      <c r="A70" s="65"/>
      <c r="B70" s="44" t="s">
        <v>4</v>
      </c>
      <c r="C70" s="65"/>
      <c r="D70" s="66"/>
      <c r="E70" s="46" t="s">
        <v>2</v>
      </c>
      <c r="F70" s="46" t="s">
        <v>2</v>
      </c>
      <c r="G70" s="64"/>
      <c r="H70" s="58"/>
      <c r="I70" s="49"/>
      <c r="J70" s="11"/>
      <c r="K70" s="13"/>
    </row>
    <row r="71" spans="1:11" ht="14.25">
      <c r="A71" s="67"/>
      <c r="B71" s="44" t="s">
        <v>13</v>
      </c>
      <c r="C71" s="67"/>
      <c r="D71" s="67"/>
      <c r="E71" s="63" t="s">
        <v>2</v>
      </c>
      <c r="F71" s="58" t="s">
        <v>2</v>
      </c>
      <c r="G71" s="68"/>
      <c r="H71" s="67"/>
      <c r="I71" s="49"/>
      <c r="J71" s="11"/>
      <c r="K71" s="13"/>
    </row>
    <row r="72" spans="1:11" ht="14.25">
      <c r="A72" s="67"/>
      <c r="B72" s="44" t="s">
        <v>16</v>
      </c>
      <c r="C72" s="67"/>
      <c r="D72" s="68"/>
      <c r="E72" s="46" t="s">
        <v>2</v>
      </c>
      <c r="F72" s="46" t="s">
        <v>2</v>
      </c>
      <c r="G72" s="69"/>
      <c r="H72" s="69"/>
      <c r="I72" s="49"/>
      <c r="J72" s="11"/>
      <c r="K72" s="13"/>
    </row>
    <row r="73" spans="1:11" ht="14.25">
      <c r="A73" s="65"/>
      <c r="B73" s="44" t="s">
        <v>13</v>
      </c>
      <c r="C73" s="65"/>
      <c r="D73" s="66"/>
      <c r="E73" s="63" t="s">
        <v>2</v>
      </c>
      <c r="F73" s="58" t="s">
        <v>2</v>
      </c>
      <c r="G73" s="70"/>
      <c r="H73" s="71"/>
      <c r="I73" s="49"/>
      <c r="J73" s="11"/>
      <c r="K73" s="13"/>
    </row>
    <row r="74" spans="1:11" ht="14.25">
      <c r="A74" s="65"/>
      <c r="B74" s="44" t="s">
        <v>17</v>
      </c>
      <c r="C74" s="65"/>
      <c r="D74" s="66"/>
      <c r="E74" s="46" t="s">
        <v>2</v>
      </c>
      <c r="F74" s="46" t="s">
        <v>2</v>
      </c>
      <c r="G74" s="70"/>
      <c r="H74" s="71"/>
      <c r="I74" s="49"/>
      <c r="J74" s="11"/>
      <c r="K74" s="13"/>
    </row>
    <row r="75" spans="1:11" ht="14.25">
      <c r="A75" s="65"/>
      <c r="B75" s="44" t="s">
        <v>13</v>
      </c>
      <c r="C75" s="65"/>
      <c r="D75" s="66"/>
      <c r="E75" s="63" t="s">
        <v>2</v>
      </c>
      <c r="F75" s="58" t="s">
        <v>2</v>
      </c>
      <c r="G75" s="64"/>
      <c r="H75" s="58"/>
      <c r="I75" s="49"/>
      <c r="J75" s="11"/>
      <c r="K75" s="13"/>
    </row>
    <row r="76" spans="1:11" ht="14.25">
      <c r="A76" s="65"/>
      <c r="B76" s="72" t="s">
        <v>3</v>
      </c>
      <c r="C76" s="65"/>
      <c r="D76" s="66"/>
      <c r="E76" s="63" t="s">
        <v>2</v>
      </c>
      <c r="F76" s="58" t="s">
        <v>2</v>
      </c>
      <c r="G76" s="64"/>
      <c r="H76" s="58"/>
      <c r="I76" s="49"/>
      <c r="J76" s="11"/>
      <c r="K76" s="13"/>
    </row>
    <row r="77" spans="1:11" ht="14.25">
      <c r="A77" s="67"/>
      <c r="B77" s="67"/>
      <c r="C77" s="67"/>
      <c r="D77" s="73"/>
      <c r="E77" s="73"/>
      <c r="F77" s="74"/>
      <c r="G77" s="69"/>
      <c r="H77" s="69"/>
      <c r="I77" s="49"/>
      <c r="J77" s="11"/>
      <c r="K77" s="13"/>
    </row>
    <row r="78" spans="1:11" ht="13.5" customHeight="1">
      <c r="A78" s="65"/>
      <c r="B78" s="44" t="s">
        <v>18</v>
      </c>
      <c r="C78" s="85"/>
      <c r="D78" s="66"/>
      <c r="E78" s="54" t="s">
        <v>2</v>
      </c>
      <c r="F78" s="58" t="s">
        <v>2</v>
      </c>
      <c r="G78" s="64"/>
      <c r="H78" s="58"/>
      <c r="I78" s="49"/>
      <c r="J78" s="11"/>
      <c r="K78" s="13"/>
    </row>
    <row r="79" spans="1:11" ht="13.5" customHeight="1">
      <c r="A79" s="65"/>
      <c r="B79" s="65" t="s">
        <v>3</v>
      </c>
      <c r="C79" s="66"/>
      <c r="D79" s="66"/>
      <c r="E79" s="54" t="s">
        <v>2</v>
      </c>
      <c r="F79" s="58" t="s">
        <v>2</v>
      </c>
      <c r="G79" s="64"/>
      <c r="H79" s="58"/>
      <c r="I79" s="49"/>
      <c r="J79" s="11"/>
      <c r="K79" s="13"/>
    </row>
    <row r="80" spans="1:11" ht="13.5" customHeight="1">
      <c r="A80" s="65"/>
      <c r="B80" s="65"/>
      <c r="C80" s="65"/>
      <c r="D80" s="66"/>
      <c r="E80" s="54"/>
      <c r="F80" s="58"/>
      <c r="G80" s="64"/>
      <c r="H80" s="58"/>
      <c r="I80" s="49"/>
      <c r="J80" s="11"/>
      <c r="K80" s="13"/>
    </row>
    <row r="81" spans="1:12" ht="38.25">
      <c r="A81" s="50" t="s">
        <v>169</v>
      </c>
      <c r="B81" s="84" t="s">
        <v>190</v>
      </c>
      <c r="C81" s="50" t="s">
        <v>170</v>
      </c>
      <c r="D81" s="51">
        <v>84000</v>
      </c>
      <c r="E81" s="51">
        <v>8.6287319999999994</v>
      </c>
      <c r="F81" s="52">
        <v>2.0000000000000001E-4</v>
      </c>
      <c r="G81" s="56">
        <v>46266</v>
      </c>
      <c r="H81" s="53"/>
      <c r="I81" s="57">
        <v>6.3299999999999995E-2</v>
      </c>
      <c r="J81" s="11"/>
      <c r="K81" s="13"/>
    </row>
    <row r="82" spans="1:12" ht="13.5" customHeight="1">
      <c r="A82" s="65"/>
      <c r="B82" s="44" t="s">
        <v>13</v>
      </c>
      <c r="C82" s="65"/>
      <c r="D82" s="66"/>
      <c r="E82" s="54">
        <f>+E81</f>
        <v>8.6287319999999994</v>
      </c>
      <c r="F82" s="82">
        <f>+F81</f>
        <v>2.0000000000000001E-4</v>
      </c>
      <c r="G82" s="64"/>
      <c r="H82" s="58"/>
      <c r="I82" s="49"/>
      <c r="J82" s="11"/>
      <c r="K82" s="13"/>
      <c r="L82" s="83"/>
    </row>
    <row r="83" spans="1:12" ht="13.5" customHeight="1">
      <c r="A83" s="65"/>
      <c r="B83" s="65"/>
      <c r="C83" s="65"/>
      <c r="D83" s="66"/>
      <c r="E83" s="66"/>
      <c r="F83" s="62"/>
      <c r="G83" s="64"/>
      <c r="H83" s="58"/>
      <c r="I83" s="49"/>
      <c r="J83" s="11"/>
      <c r="K83" s="13"/>
    </row>
    <row r="84" spans="1:12" ht="14.25">
      <c r="A84" s="65"/>
      <c r="B84" s="75" t="s">
        <v>19</v>
      </c>
      <c r="C84" s="65"/>
      <c r="D84" s="66"/>
      <c r="E84" s="66"/>
      <c r="F84" s="62"/>
      <c r="G84" s="64"/>
      <c r="H84" s="58"/>
      <c r="I84" s="49"/>
      <c r="J84" s="11"/>
      <c r="K84" s="13"/>
    </row>
    <row r="85" spans="1:12" ht="14.25">
      <c r="A85" s="50"/>
      <c r="B85" s="50" t="s">
        <v>7</v>
      </c>
      <c r="C85" s="50"/>
      <c r="D85" s="51">
        <v>7166.7272000000003</v>
      </c>
      <c r="E85" s="51">
        <v>716.57621540000002</v>
      </c>
      <c r="F85" s="52">
        <v>1.7630788976580818E-2</v>
      </c>
      <c r="G85" s="64" t="s">
        <v>189</v>
      </c>
      <c r="H85" s="58"/>
      <c r="I85" s="76">
        <v>4.916943E-2</v>
      </c>
      <c r="J85" s="12"/>
      <c r="K85" s="13"/>
    </row>
    <row r="86" spans="1:12" ht="14.25">
      <c r="A86" s="65"/>
      <c r="B86" s="75" t="s">
        <v>3</v>
      </c>
      <c r="C86" s="65"/>
      <c r="D86" s="66"/>
      <c r="E86" s="54">
        <v>716.57621540000002</v>
      </c>
      <c r="F86" s="58">
        <v>1.7630788976580818E-2</v>
      </c>
      <c r="G86" s="64"/>
      <c r="H86" s="58"/>
      <c r="I86" s="49"/>
      <c r="J86" s="12"/>
      <c r="K86" s="13"/>
    </row>
    <row r="87" spans="1:12" ht="14.25">
      <c r="A87" s="65"/>
      <c r="B87" s="75"/>
      <c r="C87" s="65"/>
      <c r="D87" s="66"/>
      <c r="E87" s="66"/>
      <c r="F87" s="62"/>
      <c r="G87" s="64"/>
      <c r="H87" s="58"/>
      <c r="I87" s="49"/>
      <c r="J87" s="12"/>
      <c r="K87" s="13"/>
    </row>
    <row r="88" spans="1:12" ht="14.25">
      <c r="A88" s="65"/>
      <c r="B88" s="75" t="s">
        <v>5</v>
      </c>
      <c r="C88" s="65"/>
      <c r="D88" s="66"/>
      <c r="E88" s="66"/>
      <c r="F88" s="62"/>
      <c r="G88" s="64"/>
      <c r="H88" s="58"/>
      <c r="I88" s="49"/>
      <c r="J88" s="12"/>
      <c r="K88" s="13"/>
    </row>
    <row r="89" spans="1:12" ht="14.25">
      <c r="A89" s="43"/>
      <c r="B89" s="75" t="s">
        <v>6</v>
      </c>
      <c r="C89" s="43"/>
      <c r="D89" s="45"/>
      <c r="E89" s="45">
        <v>439.34636110000002</v>
      </c>
      <c r="F89" s="52">
        <v>1.0809768470837214E-2</v>
      </c>
      <c r="G89" s="64"/>
      <c r="H89" s="64"/>
      <c r="I89" s="49"/>
      <c r="J89" s="11"/>
      <c r="K89" s="13"/>
    </row>
    <row r="90" spans="1:12" ht="14.25">
      <c r="A90" s="65"/>
      <c r="B90" s="75" t="s">
        <v>3</v>
      </c>
      <c r="C90" s="65"/>
      <c r="D90" s="66"/>
      <c r="E90" s="66">
        <v>439.34636110000002</v>
      </c>
      <c r="F90" s="58">
        <v>1.0809768470837214E-2</v>
      </c>
      <c r="G90" s="77"/>
      <c r="H90" s="78"/>
      <c r="I90" s="49"/>
      <c r="J90" s="11"/>
      <c r="K90" s="13"/>
    </row>
    <row r="91" spans="1:12" ht="14.25">
      <c r="A91" s="79"/>
      <c r="B91" s="75" t="s">
        <v>20</v>
      </c>
      <c r="C91" s="79"/>
      <c r="D91" s="79"/>
      <c r="E91" s="66">
        <f>E65+E86+E90+E82</f>
        <v>40643.457099499989</v>
      </c>
      <c r="F91" s="58">
        <v>1</v>
      </c>
      <c r="G91" s="80"/>
      <c r="H91" s="79"/>
      <c r="I91" s="49"/>
      <c r="J91" s="11"/>
      <c r="K91" s="13"/>
    </row>
    <row r="92" spans="1:12" ht="14.25">
      <c r="A92" s="13"/>
      <c r="B92" s="7"/>
      <c r="C92" s="7"/>
      <c r="D92" s="7"/>
      <c r="E92" s="6"/>
      <c r="F92" s="6"/>
      <c r="G92" s="7"/>
      <c r="H92" s="7"/>
      <c r="I92" s="6"/>
      <c r="J92" s="6"/>
      <c r="K92" s="13"/>
    </row>
    <row r="93" spans="1:12" ht="14.25">
      <c r="A93" s="13" t="s">
        <v>142</v>
      </c>
      <c r="B93" s="20"/>
      <c r="C93" s="13"/>
      <c r="D93" s="13"/>
      <c r="E93" s="21"/>
      <c r="F93" s="22"/>
      <c r="G93" s="23"/>
      <c r="H93" s="24"/>
      <c r="I93" s="6"/>
      <c r="J93" s="6"/>
      <c r="K93" s="13"/>
    </row>
    <row r="94" spans="1:12" ht="14.25">
      <c r="A94" s="13"/>
      <c r="B94" s="20"/>
      <c r="C94" s="13"/>
      <c r="D94" s="13"/>
      <c r="E94" s="21"/>
      <c r="F94" s="25"/>
      <c r="G94" s="26"/>
      <c r="H94" s="13"/>
      <c r="I94" s="6"/>
      <c r="J94" s="6"/>
      <c r="K94" s="13"/>
    </row>
    <row r="95" spans="1:12" ht="14.25">
      <c r="A95" s="27" t="s">
        <v>143</v>
      </c>
      <c r="B95" s="27"/>
      <c r="C95" s="27"/>
      <c r="D95" s="27"/>
      <c r="E95" s="27"/>
      <c r="F95" s="27"/>
      <c r="G95" s="27"/>
      <c r="H95" s="27"/>
      <c r="I95" s="6"/>
      <c r="J95" s="13"/>
      <c r="K95" s="13"/>
    </row>
    <row r="96" spans="1:12" ht="14.25">
      <c r="A96" s="27" t="s">
        <v>144</v>
      </c>
      <c r="B96" s="27"/>
      <c r="C96" s="27"/>
      <c r="D96" s="27"/>
      <c r="E96" s="27"/>
      <c r="F96" s="27"/>
      <c r="G96" s="27"/>
      <c r="H96" s="27"/>
      <c r="I96" s="6"/>
      <c r="J96" s="6"/>
      <c r="K96" s="13"/>
    </row>
    <row r="97" spans="1:11" ht="14.25">
      <c r="A97" s="28" t="s">
        <v>145</v>
      </c>
      <c r="B97" s="28"/>
      <c r="C97" s="28"/>
      <c r="D97" s="28"/>
      <c r="E97" s="28"/>
      <c r="F97" s="28"/>
      <c r="G97" s="29"/>
      <c r="H97" s="29"/>
      <c r="I97" s="6"/>
      <c r="J97" s="6"/>
      <c r="K97" s="13"/>
    </row>
    <row r="98" spans="1:11" ht="62.25" customHeight="1">
      <c r="A98" s="89" t="s">
        <v>146</v>
      </c>
      <c r="B98" s="89"/>
      <c r="C98" s="89"/>
      <c r="D98" s="89"/>
      <c r="E98" s="89"/>
      <c r="F98" s="89"/>
      <c r="G98" s="89"/>
      <c r="H98" s="89"/>
      <c r="I98" s="6"/>
      <c r="J98" s="6"/>
      <c r="K98" s="13"/>
    </row>
    <row r="99" spans="1:11" ht="14.25">
      <c r="A99" s="30"/>
      <c r="B99" s="30"/>
      <c r="C99" s="30"/>
      <c r="D99" s="30"/>
      <c r="E99" s="30"/>
      <c r="F99" s="30"/>
      <c r="G99" s="29"/>
      <c r="H99" s="29"/>
      <c r="I99" s="6"/>
      <c r="J99" s="6"/>
      <c r="K99" s="13"/>
    </row>
    <row r="100" spans="1:11" ht="14.25">
      <c r="A100" s="31" t="s">
        <v>147</v>
      </c>
      <c r="B100" s="32"/>
      <c r="C100" s="6"/>
      <c r="D100" s="32"/>
      <c r="E100" s="6"/>
      <c r="F100" s="6"/>
      <c r="G100" s="6"/>
      <c r="H100" s="6"/>
      <c r="I100" s="6"/>
      <c r="J100" s="6"/>
      <c r="K100" s="13"/>
    </row>
    <row r="101" spans="1:11" ht="14.25">
      <c r="A101" s="33" t="s">
        <v>148</v>
      </c>
      <c r="B101" s="32"/>
      <c r="C101" s="32"/>
      <c r="D101" s="32"/>
      <c r="E101" s="6"/>
      <c r="F101" s="6"/>
      <c r="G101" s="6"/>
      <c r="H101" s="6"/>
      <c r="I101" s="6"/>
      <c r="J101" s="13"/>
      <c r="K101" s="13"/>
    </row>
    <row r="102" spans="1:11" ht="14.25">
      <c r="A102" s="33" t="s">
        <v>149</v>
      </c>
      <c r="B102" s="32"/>
      <c r="C102" s="32"/>
      <c r="D102" s="32"/>
      <c r="E102" s="6"/>
      <c r="F102" s="6"/>
      <c r="G102" s="6"/>
      <c r="H102" s="6"/>
      <c r="I102" s="13"/>
      <c r="J102" s="13"/>
      <c r="K102" s="13"/>
    </row>
    <row r="103" spans="1:11" ht="14.25">
      <c r="A103" s="33" t="s">
        <v>150</v>
      </c>
      <c r="B103" s="32"/>
      <c r="C103" s="32"/>
      <c r="D103" s="32"/>
      <c r="E103" s="6"/>
      <c r="F103" s="6"/>
      <c r="G103" s="6"/>
      <c r="H103" s="6"/>
      <c r="I103" s="13"/>
      <c r="J103" s="13"/>
      <c r="K103" s="13"/>
    </row>
    <row r="104" spans="1:11" ht="14.25">
      <c r="A104" s="13"/>
      <c r="B104" s="16"/>
      <c r="C104" s="17"/>
      <c r="D104" s="18"/>
      <c r="E104" s="6"/>
      <c r="F104" s="6"/>
      <c r="G104" s="6"/>
      <c r="H104" s="6"/>
      <c r="I104" s="13"/>
      <c r="J104" s="13"/>
      <c r="K104" s="13"/>
    </row>
    <row r="105" spans="1:11" ht="14.25">
      <c r="A105" s="93" t="s">
        <v>155</v>
      </c>
      <c r="B105" s="93"/>
      <c r="C105" s="90" t="s">
        <v>151</v>
      </c>
      <c r="D105" s="90"/>
      <c r="E105" s="91"/>
      <c r="F105" s="91"/>
      <c r="G105" s="6"/>
      <c r="H105" s="6"/>
      <c r="I105" s="13"/>
      <c r="J105" s="14"/>
      <c r="K105" s="13"/>
    </row>
    <row r="106" spans="1:11" ht="14.25">
      <c r="A106" s="13"/>
      <c r="B106" s="34"/>
      <c r="C106" s="17"/>
      <c r="D106" s="18"/>
      <c r="E106" s="6"/>
      <c r="F106" s="6"/>
      <c r="G106" s="6"/>
      <c r="H106" s="6"/>
      <c r="I106" s="13"/>
      <c r="J106" s="15"/>
      <c r="K106" s="13"/>
    </row>
    <row r="107" spans="1:11" ht="14.25">
      <c r="A107" s="13"/>
      <c r="B107" s="16"/>
      <c r="C107" s="17"/>
      <c r="D107" s="18"/>
      <c r="E107" s="6"/>
      <c r="F107" s="6"/>
      <c r="G107" s="6"/>
      <c r="H107" s="6"/>
      <c r="I107" s="13"/>
      <c r="J107" s="15"/>
      <c r="K107" s="13"/>
    </row>
    <row r="108" spans="1:11" ht="14.25">
      <c r="A108" s="13"/>
      <c r="B108" s="16"/>
      <c r="C108" s="17"/>
      <c r="D108" s="18"/>
      <c r="E108" s="6"/>
      <c r="F108" s="6"/>
      <c r="G108" s="6"/>
      <c r="H108" s="6"/>
      <c r="I108" s="13"/>
      <c r="J108" s="15"/>
      <c r="K108" s="13"/>
    </row>
    <row r="109" spans="1:11" ht="14.25">
      <c r="A109" s="13"/>
      <c r="B109" s="16"/>
      <c r="C109" s="17"/>
      <c r="D109" s="18"/>
      <c r="E109" s="6"/>
      <c r="F109" s="6"/>
      <c r="G109" s="6"/>
      <c r="H109" s="6"/>
      <c r="I109" s="13"/>
      <c r="J109" s="15"/>
      <c r="K109" s="13"/>
    </row>
    <row r="110" spans="1:11" ht="14.25">
      <c r="A110" s="13"/>
      <c r="B110" s="16"/>
      <c r="C110" s="17"/>
      <c r="D110" s="18"/>
      <c r="E110" s="6"/>
      <c r="F110" s="6"/>
      <c r="G110" s="6"/>
      <c r="H110" s="6"/>
      <c r="I110" s="13"/>
      <c r="J110" s="15"/>
      <c r="K110" s="13"/>
    </row>
    <row r="111" spans="1:11" ht="14.25">
      <c r="A111" s="13"/>
      <c r="B111" s="16"/>
      <c r="C111" s="17"/>
      <c r="D111" s="18"/>
      <c r="E111" s="6"/>
      <c r="F111" s="6"/>
      <c r="G111" s="6"/>
      <c r="H111" s="6"/>
      <c r="I111" s="13"/>
      <c r="J111" s="15"/>
      <c r="K111" s="13"/>
    </row>
    <row r="112" spans="1:11" ht="14.25">
      <c r="A112" s="13"/>
      <c r="B112" s="16"/>
      <c r="C112" s="17"/>
      <c r="D112" s="18"/>
      <c r="E112" s="6"/>
      <c r="F112" s="6"/>
      <c r="G112" s="6"/>
      <c r="H112" s="6"/>
      <c r="I112" s="13"/>
      <c r="J112" s="15"/>
      <c r="K112" s="13"/>
    </row>
    <row r="113" spans="1:11" ht="14.25">
      <c r="A113" s="13"/>
      <c r="B113" s="16"/>
      <c r="C113" s="17"/>
      <c r="D113" s="18"/>
      <c r="E113" s="6"/>
      <c r="F113" s="6"/>
      <c r="G113" s="6"/>
      <c r="H113" s="6"/>
      <c r="I113" s="13"/>
      <c r="J113" s="6"/>
      <c r="K113" s="13"/>
    </row>
    <row r="114" spans="1:11" ht="14.25">
      <c r="A114" s="13"/>
      <c r="B114" s="16"/>
      <c r="C114" s="17"/>
      <c r="D114" s="18"/>
      <c r="E114" s="6"/>
      <c r="F114" s="6"/>
      <c r="G114" s="6"/>
      <c r="H114" s="6"/>
      <c r="I114" s="13"/>
      <c r="J114" s="6"/>
      <c r="K114" s="13"/>
    </row>
    <row r="115" spans="1:11" ht="14.25">
      <c r="A115" s="13"/>
      <c r="B115" s="16"/>
      <c r="C115" s="17"/>
      <c r="D115" s="18"/>
      <c r="E115" s="6"/>
      <c r="F115" s="6"/>
      <c r="G115" s="6"/>
      <c r="H115" s="6"/>
      <c r="I115" s="13"/>
      <c r="J115" s="6"/>
      <c r="K115" s="13"/>
    </row>
    <row r="116" spans="1:11" ht="14.25">
      <c r="A116" s="93" t="s">
        <v>154</v>
      </c>
      <c r="B116" s="93"/>
      <c r="C116" s="94" t="s">
        <v>152</v>
      </c>
      <c r="D116" s="94"/>
      <c r="E116" s="94"/>
      <c r="F116" s="94"/>
      <c r="G116" s="6"/>
      <c r="H116" s="6"/>
      <c r="I116" s="13"/>
      <c r="J116" s="6"/>
      <c r="K116" s="13"/>
    </row>
    <row r="117" spans="1:11" ht="14.25">
      <c r="A117" s="13"/>
      <c r="B117" s="16"/>
      <c r="C117" s="17"/>
      <c r="D117" s="18"/>
      <c r="E117" s="6"/>
      <c r="F117" s="6"/>
      <c r="G117" s="6"/>
      <c r="H117" s="6"/>
      <c r="I117" s="13"/>
      <c r="J117" s="6"/>
      <c r="K117" s="13"/>
    </row>
    <row r="118" spans="1:11" ht="14.25">
      <c r="A118" s="92"/>
      <c r="B118" s="93"/>
      <c r="C118" s="19"/>
      <c r="D118" s="18"/>
      <c r="E118" s="13"/>
      <c r="F118" s="13"/>
      <c r="G118" s="13"/>
      <c r="H118" s="13"/>
      <c r="I118" s="13"/>
      <c r="J118" s="6"/>
      <c r="K118" s="13"/>
    </row>
    <row r="119" spans="1:11" ht="14.25">
      <c r="A119" s="92" t="s">
        <v>153</v>
      </c>
      <c r="B119" s="93"/>
      <c r="C119" s="19"/>
      <c r="D119" s="18"/>
      <c r="E119" s="13"/>
      <c r="F119" s="13"/>
      <c r="G119" s="13"/>
      <c r="H119" s="13"/>
      <c r="I119" s="13"/>
      <c r="J119" s="6"/>
    </row>
    <row r="120" spans="1:11" ht="14.25">
      <c r="A120" s="35" t="s">
        <v>156</v>
      </c>
      <c r="B120" s="81"/>
      <c r="C120" s="19"/>
      <c r="D120" s="18"/>
      <c r="E120" s="13"/>
      <c r="F120" s="13"/>
      <c r="G120" s="13"/>
      <c r="H120" s="13"/>
      <c r="I120" s="13"/>
      <c r="J120" s="6"/>
    </row>
  </sheetData>
  <mergeCells count="10">
    <mergeCell ref="A119:B119"/>
    <mergeCell ref="C116:F116"/>
    <mergeCell ref="A105:B105"/>
    <mergeCell ref="A116:B116"/>
    <mergeCell ref="A118:B118"/>
    <mergeCell ref="B1:I1"/>
    <mergeCell ref="B2:I2"/>
    <mergeCell ref="B3:I3"/>
    <mergeCell ref="A98:H98"/>
    <mergeCell ref="C105:F10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2026-03-07T11:58:48Z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