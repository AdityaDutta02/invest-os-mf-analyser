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Arbitrage Fund" sheetId="1" r:id="rId1"/>
  </sheets>
  <definedNames>
    <definedName name="_xlnm._FilterDatabase" localSheetId="0" hidden="1">'JM Arbitrage Fund'!$A$4:$H$138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Fund'!$A$1:$E$98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4" i="1" l="1"/>
  <c r="D94" i="1"/>
  <c r="D136" i="1" l="1"/>
  <c r="D129" i="1"/>
  <c r="E129" i="1"/>
  <c r="D126" i="1" l="1"/>
  <c r="E126" i="1"/>
  <c r="D122" i="1"/>
  <c r="D123" i="1" s="1"/>
  <c r="D138" i="1" s="1"/>
  <c r="E122" i="1"/>
  <c r="E123" i="1" s="1"/>
  <c r="E102" i="1"/>
  <c r="D102" i="1"/>
  <c r="E136" i="1" l="1"/>
  <c r="E138" i="1" s="1"/>
</calcChain>
</file>

<file path=xl/sharedStrings.xml><?xml version="1.0" encoding="utf-8"?>
<sst xmlns="http://schemas.openxmlformats.org/spreadsheetml/2006/main" count="583" uniqueCount="393">
  <si>
    <t xml:space="preserve">                The risk of the benchmark is Low</t>
  </si>
  <si>
    <t>The risk of the scheme is Low</t>
  </si>
  <si>
    <t xml:space="preserve">                                                                                                           Benchmark of the scheme - Nifty 50 Arbitrage Index</t>
  </si>
  <si>
    <t xml:space="preserve">         Riskometer of the scheme </t>
  </si>
  <si>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</si>
  <si>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</si>
  <si>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</si>
  <si>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</si>
  <si>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</si>
  <si>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</si>
  <si>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</si>
  <si>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</si>
  <si>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</si>
  <si>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</si>
  <si>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</si>
  <si>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</si>
  <si>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</si>
  <si>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</si>
  <si>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</si>
  <si>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</si>
  <si>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</si>
  <si>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</si>
  <si>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</si>
  <si>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</si>
  <si>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</si>
  <si>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^YTC (AT1/Tier 2 bonds)</t>
  </si>
  <si>
    <t>Yield %</t>
  </si>
  <si>
    <t>ISIN</t>
  </si>
  <si>
    <t>% age to NAV</t>
  </si>
  <si>
    <t>Market Value (Rs. In Lakhs)</t>
  </si>
  <si>
    <t>Industry/Rating</t>
  </si>
  <si>
    <t>Name of the Instruments</t>
  </si>
  <si>
    <t>JM Arbitrage Fund (An open ended scheme investing in arbitrage opportunities.)</t>
  </si>
  <si>
    <t>JM Financial Mutual Fund</t>
  </si>
  <si>
    <t>Equity &amp; Equity related</t>
  </si>
  <si>
    <t>a) Listed / awaiting listing on Stock Exchanges</t>
  </si>
  <si>
    <t>INE002A01018</t>
  </si>
  <si>
    <t>INE121J01017</t>
  </si>
  <si>
    <t>INE263A01024</t>
  </si>
  <si>
    <t>INE062A01020</t>
  </si>
  <si>
    <t>INE376G01013</t>
  </si>
  <si>
    <t>INE022Q01020</t>
  </si>
  <si>
    <t>INE669E01016</t>
  </si>
  <si>
    <t>INE467B01029</t>
  </si>
  <si>
    <t>Power</t>
  </si>
  <si>
    <t>INE245A01021</t>
  </si>
  <si>
    <t>INE028A01039</t>
  </si>
  <si>
    <t>INE733E01010</t>
  </si>
  <si>
    <t>INE271C01023</t>
  </si>
  <si>
    <t>INE160A01022</t>
  </si>
  <si>
    <t>INE242A01010</t>
  </si>
  <si>
    <t>Healthcare Services</t>
  </si>
  <si>
    <t>INE437A01024</t>
  </si>
  <si>
    <t>INE476A01022</t>
  </si>
  <si>
    <t>INE545U01014</t>
  </si>
  <si>
    <t>INE059A01026</t>
  </si>
  <si>
    <t>INE238A01034</t>
  </si>
  <si>
    <t>Construction</t>
  </si>
  <si>
    <t>INE018A01030</t>
  </si>
  <si>
    <t>INE081A01020</t>
  </si>
  <si>
    <t>INE397D01024</t>
  </si>
  <si>
    <t>INE066F01020</t>
  </si>
  <si>
    <t>Gas</t>
  </si>
  <si>
    <t>INE347G01014</t>
  </si>
  <si>
    <t>INE280A01028</t>
  </si>
  <si>
    <t>INE423A01024</t>
  </si>
  <si>
    <t>INE918I01026</t>
  </si>
  <si>
    <t>INE115A01026</t>
  </si>
  <si>
    <t>INE101A01026</t>
  </si>
  <si>
    <t>INE947Q01028</t>
  </si>
  <si>
    <t>INE776C01039</t>
  </si>
  <si>
    <t>INE647O01011</t>
  </si>
  <si>
    <t>INE127D01025</t>
  </si>
  <si>
    <t>INE009A01021</t>
  </si>
  <si>
    <t>INE155A01022</t>
  </si>
  <si>
    <t>INE038A01020</t>
  </si>
  <si>
    <t>INE849A01020</t>
  </si>
  <si>
    <t>INE019A01038</t>
  </si>
  <si>
    <t>INE769A01020</t>
  </si>
  <si>
    <t>INE030A01027</t>
  </si>
  <si>
    <t>INE299U01018</t>
  </si>
  <si>
    <t>INE042A01014</t>
  </si>
  <si>
    <t>INE749A01030</t>
  </si>
  <si>
    <t>INE318A01026</t>
  </si>
  <si>
    <t>INE745G01035</t>
  </si>
  <si>
    <t>INE726G01019</t>
  </si>
  <si>
    <t>INE584A01023</t>
  </si>
  <si>
    <t>Subtotal</t>
  </si>
  <si>
    <t>(b) UNLISTED</t>
  </si>
  <si>
    <t>NIL</t>
  </si>
  <si>
    <t>Preference Shares</t>
  </si>
  <si>
    <t>Total</t>
  </si>
  <si>
    <t>Debt Instruments</t>
  </si>
  <si>
    <t>(a) Listed / awaiting listing on Stock Exchange</t>
  </si>
  <si>
    <t>(b) Privately placed / Unlisted</t>
  </si>
  <si>
    <t>(c) Securitised Debt</t>
  </si>
  <si>
    <t>Money Market Instruments</t>
  </si>
  <si>
    <t>Mutual Fund Units</t>
  </si>
  <si>
    <t>INF192K01CM6</t>
  </si>
  <si>
    <t>Treasury Bills</t>
  </si>
  <si>
    <t>SOVEREIGN</t>
  </si>
  <si>
    <t>91 Days Treasury Bill 17-Apr-2025</t>
  </si>
  <si>
    <t>IN002024X417</t>
  </si>
  <si>
    <t>91 Days Treasury Bill 24-Apr-2025</t>
  </si>
  <si>
    <t>IN002024X425</t>
  </si>
  <si>
    <t>182 Days Treasury Bill 12-Jun-2025</t>
  </si>
  <si>
    <t>IN002024Y357</t>
  </si>
  <si>
    <t>Tri Party Repo (TREPs)</t>
  </si>
  <si>
    <t>Others</t>
  </si>
  <si>
    <t>GRAND TOTAL</t>
  </si>
  <si>
    <t>b) Unlisted</t>
  </si>
  <si>
    <t>JM Liquid Fund - Direct Growth</t>
  </si>
  <si>
    <t>Cash &amp; Cash Equivalents</t>
  </si>
  <si>
    <t>Net Receivable/Payable</t>
  </si>
  <si>
    <t>INE040A01034</t>
  </si>
  <si>
    <t>INE158A01026</t>
  </si>
  <si>
    <t>INE016A01026</t>
  </si>
  <si>
    <t>INE136B01020</t>
  </si>
  <si>
    <t>INE029A01011</t>
  </si>
  <si>
    <t>INE111A01025</t>
  </si>
  <si>
    <t>INE117A01022</t>
  </si>
  <si>
    <t>364 Days Treasury Bill  11-Apr-2025</t>
  </si>
  <si>
    <t>91 Days Treasury Bill 30-May-2025</t>
  </si>
  <si>
    <t>IN002024X474</t>
  </si>
  <si>
    <t>IN002024Z024</t>
  </si>
  <si>
    <t>Reliance Industries Limited</t>
  </si>
  <si>
    <t>Tata Consultancy Services Limited</t>
  </si>
  <si>
    <t>Bharti Airtel Limited</t>
  </si>
  <si>
    <t>Indus Towers Limited</t>
  </si>
  <si>
    <t>Bharat Electronics Limited</t>
  </si>
  <si>
    <t>Infosys Limited</t>
  </si>
  <si>
    <t>Axis Bank Limited</t>
  </si>
  <si>
    <t>Larsen &amp; Toubro Limited</t>
  </si>
  <si>
    <t>Tata Power Company Limited</t>
  </si>
  <si>
    <t>Indian Energy Exchange Limited</t>
  </si>
  <si>
    <t>DLF Limited</t>
  </si>
  <si>
    <t>Bank of Baroda</t>
  </si>
  <si>
    <t>Vodafone Idea Ltd</t>
  </si>
  <si>
    <t>Indian Oil Corporation Limited</t>
  </si>
  <si>
    <t>NTPC Limited</t>
  </si>
  <si>
    <t>Tata Motors Limited</t>
  </si>
  <si>
    <t>Apollo Hospitals Enterprise Limited</t>
  </si>
  <si>
    <t>Hindustan Aeronautics Ltd</t>
  </si>
  <si>
    <t>Cipla Limited</t>
  </si>
  <si>
    <t>Bandhan Bank Limited</t>
  </si>
  <si>
    <t>Tata Steel Limited</t>
  </si>
  <si>
    <t>Biocon Limited</t>
  </si>
  <si>
    <t>Punjab National Bank</t>
  </si>
  <si>
    <t>LIC Housing Finance Limited</t>
  </si>
  <si>
    <t>Bajaj Finserv Limited</t>
  </si>
  <si>
    <t>Canara Bank</t>
  </si>
  <si>
    <t>Petronet LNG Limited</t>
  </si>
  <si>
    <t>Titan Company Limited</t>
  </si>
  <si>
    <t>Adani Enterprises Limited</t>
  </si>
  <si>
    <t>Hindustan Unilever Limited</t>
  </si>
  <si>
    <t>Laurus Labs Limited</t>
  </si>
  <si>
    <t>GMR AIRPORTS LIMITED</t>
  </si>
  <si>
    <t>ABB India Limited</t>
  </si>
  <si>
    <t>HDFC Asset Management Company Limited</t>
  </si>
  <si>
    <t>Aditya Birla Fashion and Retail Limited</t>
  </si>
  <si>
    <t>Container Corporation of India Limited</t>
  </si>
  <si>
    <t>Mahindra &amp; Mahindra Limited</t>
  </si>
  <si>
    <t>Hindalco Industries Limited</t>
  </si>
  <si>
    <t>Hero MotoCorp Limited</t>
  </si>
  <si>
    <t>ICICI Prudential Life Insurance Company</t>
  </si>
  <si>
    <t>Crompton Greaves Consumer Electrical Ltd</t>
  </si>
  <si>
    <t>Bharat Petroleum Corporation Limited</t>
  </si>
  <si>
    <t>Trent Limited</t>
  </si>
  <si>
    <t>JSW Steel Limited</t>
  </si>
  <si>
    <t>Aarti Industries Limited</t>
  </si>
  <si>
    <t>Escorts Kubota Limited</t>
  </si>
  <si>
    <t>Dabur India Limited</t>
  </si>
  <si>
    <t>HDFC Bank Limited</t>
  </si>
  <si>
    <t>Cyient Limited</t>
  </si>
  <si>
    <t>Jindal Steel &amp; Power Limited</t>
  </si>
  <si>
    <t>Pidilite Industries Limited</t>
  </si>
  <si>
    <t>State Bank of India</t>
  </si>
  <si>
    <t>Multi Commodity Exchange of India Ltd.</t>
  </si>
  <si>
    <t>NMDC Limited</t>
  </si>
  <si>
    <t>6.35%</t>
  </si>
  <si>
    <t>CCIL</t>
  </si>
  <si>
    <t>Banks</t>
  </si>
  <si>
    <t>Petroleum Products</t>
  </si>
  <si>
    <t>IT - Software</t>
  </si>
  <si>
    <t>Telecom - Services</t>
  </si>
  <si>
    <t>Aerospace &amp; Defense</t>
  </si>
  <si>
    <t>Capital Markets</t>
  </si>
  <si>
    <t>Realty</t>
  </si>
  <si>
    <t>Automobiles</t>
  </si>
  <si>
    <t>Pharmaceuticals &amp; Biotechnology</t>
  </si>
  <si>
    <t>Ferrous Metals</t>
  </si>
  <si>
    <t>Finance</t>
  </si>
  <si>
    <t>Insurance</t>
  </si>
  <si>
    <t>Retailing</t>
  </si>
  <si>
    <t>Consumer Durables</t>
  </si>
  <si>
    <t>Metals &amp; Minerals Trading</t>
  </si>
  <si>
    <t>Diversified FMCG</t>
  </si>
  <si>
    <t>Transport Infrastructure</t>
  </si>
  <si>
    <t>Leisure Services</t>
  </si>
  <si>
    <t>Electrical Equipment</t>
  </si>
  <si>
    <t>Transport Services</t>
  </si>
  <si>
    <t>Non - Ferrous Metals</t>
  </si>
  <si>
    <t>Chemicals &amp; Petrochemicals</t>
  </si>
  <si>
    <t>Agricultural, Commercial &amp; Construction Vehicles</t>
  </si>
  <si>
    <t>Personal Products</t>
  </si>
  <si>
    <t>IT - Services</t>
  </si>
  <si>
    <t>Minerals &amp; Mining</t>
  </si>
  <si>
    <t>Monthly Portfolio Statement for the period ended 31.03.2025</t>
  </si>
  <si>
    <t>Aarti Industries Ltd.Apr-2025</t>
  </si>
  <si>
    <t>ABB India Ltd.Apr-2025</t>
  </si>
  <si>
    <t>Aditya Birla Fashion and Retail Ltd.Apr-2025</t>
  </si>
  <si>
    <t>Adani Enterprises Ltd.Apr-2025</t>
  </si>
  <si>
    <t>Adani Green Energy LimitedApr-2025</t>
  </si>
  <si>
    <t>Adani Ports and Special Economic Zone LimitedApr-2025</t>
  </si>
  <si>
    <t>Apollo Hospitals Enterprise Ltd.Apr-2025</t>
  </si>
  <si>
    <t>Asian Paints LimitedApr-2025</t>
  </si>
  <si>
    <t>Aurobindo Pharma Ltd.Apr-2025</t>
  </si>
  <si>
    <t>AXIS Bank Ltd.Apr-2025</t>
  </si>
  <si>
    <t>Bajaj Auto Ltd.Apr-2025</t>
  </si>
  <si>
    <t>Bajaj Finserv Ltd.Apr-2025</t>
  </si>
  <si>
    <t>Bandhan Bank Ltd.Apr-2025</t>
  </si>
  <si>
    <t>Bank of BarodaApr-2025</t>
  </si>
  <si>
    <t>Bank of IndiaApr-2025</t>
  </si>
  <si>
    <t>Bharat Electronics Ltd.Apr-2025</t>
  </si>
  <si>
    <t>Bharti Airtel Ltd.Apr-2025</t>
  </si>
  <si>
    <t>Biocon Ltd.Apr-2025</t>
  </si>
  <si>
    <t>Bharat Petroleum Corporation LimitedApr-2025</t>
  </si>
  <si>
    <t>Canara BankApr-2025</t>
  </si>
  <si>
    <t>Cipla Ltd.Apr-2025</t>
  </si>
  <si>
    <t>Container Corporation of India LimitedApr-2025</t>
  </si>
  <si>
    <t>Crompton Greaves Consumer Electricals Ltd.Apr-2025</t>
  </si>
  <si>
    <t>Cyient LimitedApr-2025</t>
  </si>
  <si>
    <t>Dabur India LimitedApr-2025</t>
  </si>
  <si>
    <t>DLF Ltd.Apr-2025</t>
  </si>
  <si>
    <t>Escorts Kubota Ltd.Apr-2025</t>
  </si>
  <si>
    <t>The Federal Bank Ltd.Apr-2025</t>
  </si>
  <si>
    <t>GAIL (India) LimitedApr-2025</t>
  </si>
  <si>
    <t>GMR Airports Ltd.Apr-2025</t>
  </si>
  <si>
    <t>Grasim Industries LimitedApr-2025</t>
  </si>
  <si>
    <t>Hindustan Aeronautics Ltd.Apr-2025</t>
  </si>
  <si>
    <t>HDFC Asset Management Company Ltd.Apr-2025</t>
  </si>
  <si>
    <t>HDFC Bank Ltd.Apr-2025</t>
  </si>
  <si>
    <t>Hero MotoCorp Ltd.Apr-2025</t>
  </si>
  <si>
    <t>Hindustan Unilever Ltd.Apr-2025</t>
  </si>
  <si>
    <t>ICICI Prudential Life Insurance Company Ltd.Apr-2025</t>
  </si>
  <si>
    <t>Vodafone Idea LimitedApr-2025</t>
  </si>
  <si>
    <t>IDFC First Bank LimitedApr-2025</t>
  </si>
  <si>
    <t>Indian Energy Exchange Ltd.Apr-2025</t>
  </si>
  <si>
    <t>IIFL Finance LimitedApr-2025</t>
  </si>
  <si>
    <t>Indus Towers Ltd.Apr-2025</t>
  </si>
  <si>
    <t>Infosys Ltd.Apr-2025</t>
  </si>
  <si>
    <t>Indian Oil Corporation Ltd.Apr-2025</t>
  </si>
  <si>
    <t>Indian Railway Catering And Tourism Corporation Ltd.Apr-2025</t>
  </si>
  <si>
    <t>ITC Ltd.Apr-2025</t>
  </si>
  <si>
    <t>Jindal Steel &amp; Power Ltd.Apr-2025</t>
  </si>
  <si>
    <t>JSW Energy LimitedApr-2025</t>
  </si>
  <si>
    <t>JSW Steel Ltd.Apr-2025</t>
  </si>
  <si>
    <t>Laurus Labs Ltd.Apr-2025</t>
  </si>
  <si>
    <t>LIC Housing Finance Ltd.Apr-2025</t>
  </si>
  <si>
    <t>Larsen &amp; Toubro Ltd.Apr-2025</t>
  </si>
  <si>
    <t>Mahindra &amp; Mahindra Ltd.Apr-2025</t>
  </si>
  <si>
    <t>Manappuram Finance LimitedApr-2025</t>
  </si>
  <si>
    <t>Marico Ltd.Apr-2025</t>
  </si>
  <si>
    <t>Maruti Suzuki India Ltd.Apr-2025</t>
  </si>
  <si>
    <t>Multi Commodity Exchange of India Ltd.Apr-2025</t>
  </si>
  <si>
    <t>Samvardhana Motherson International Ltd.Apr-2025</t>
  </si>
  <si>
    <t>Info Edge (India) Ltd.Apr-2025</t>
  </si>
  <si>
    <t>Nestle India LimitedApr-2025</t>
  </si>
  <si>
    <t>NMDC Ltd.Apr-2025</t>
  </si>
  <si>
    <t>NTPC Ltd.Apr-2025</t>
  </si>
  <si>
    <t>Oil &amp; Natural Gas Corporation LimitedApr-2025</t>
  </si>
  <si>
    <t>Petronet LNG Ltd.Apr-2025</t>
  </si>
  <si>
    <t>Power Finance Corporation Ltd.Apr-2025</t>
  </si>
  <si>
    <t>Pidilite Industries Ltd.Apr-2025</t>
  </si>
  <si>
    <t>Punjab National BankApr-2025</t>
  </si>
  <si>
    <t>Power Grid Corporation of India Ltd.Apr-2025</t>
  </si>
  <si>
    <t>RBL Bank LimitedApr-2025</t>
  </si>
  <si>
    <t>Reliance Industries Ltd.Apr-2025</t>
  </si>
  <si>
    <t>Steel Authority of India LimitedApr-2025</t>
  </si>
  <si>
    <t>SBI Life Insurance Company LimitedApr-2025</t>
  </si>
  <si>
    <t>State Bank of IndiaApr-2025</t>
  </si>
  <si>
    <t>Shriram Finance LimitedApr-2025</t>
  </si>
  <si>
    <t>Tata Motors Ltd.Apr-2025</t>
  </si>
  <si>
    <t>Tata Power Company Ltd.Apr-2025</t>
  </si>
  <si>
    <t>Tata Steel Ltd.Apr-2025</t>
  </si>
  <si>
    <t>Tata Consultancy Services Ltd.Apr-2025</t>
  </si>
  <si>
    <t>Tech Mahindra Ltd.Apr-2025</t>
  </si>
  <si>
    <t>Titan Company Ltd.Apr-2025</t>
  </si>
  <si>
    <t>Trent Ltd.Apr-2025</t>
  </si>
  <si>
    <t>Ultratech Cement Ltd.Apr-2025</t>
  </si>
  <si>
    <t>UPL LimitedApr-2025</t>
  </si>
  <si>
    <t>Yes Bank LimitedApr-2025</t>
  </si>
  <si>
    <t>For the period ended March 31, 2025, following are the hedging transactions through futures which have been squared off / expired :</t>
  </si>
  <si>
    <t>Total exposure due to futures (non hedging positions) was 0% of net assets as on 31/03/2025</t>
  </si>
  <si>
    <t>For the period ended March 31, 2025, following are the non-hedging transactions through futures which have been squared off / expired :</t>
  </si>
  <si>
    <t>Hedging Positions through futures as on March 31, 2025:</t>
  </si>
  <si>
    <t>Adani Ports and Special Economic Zone LimitedMay-2025</t>
  </si>
  <si>
    <t>Bharat Petroleum Corporation LimitedMay-2025</t>
  </si>
  <si>
    <t>DLF Ltd.May-2025</t>
  </si>
  <si>
    <t>Grasim Industries LimitedMay-2025</t>
  </si>
  <si>
    <t>Hindustan Aeronautics Ltd.May-2025</t>
  </si>
  <si>
    <t>Hero MotoCorp Ltd.May-2025</t>
  </si>
  <si>
    <t>Hindalco Industries Ltd.May-2025</t>
  </si>
  <si>
    <t>Hindustan Petroleum Corporation Ltd.May-2025</t>
  </si>
  <si>
    <t>Jio Financial Services LtdMay-2025</t>
  </si>
  <si>
    <t>Maruti Suzuki India Ltd.May-2025</t>
  </si>
  <si>
    <t>Oil &amp; Natural Gas Corporation LimitedMay-2025</t>
  </si>
  <si>
    <t>Power Finance Corporation Ltd.May-2025</t>
  </si>
  <si>
    <t>Steel Authority of India LimitedMay-2025</t>
  </si>
  <si>
    <t>Total 75.33% of existing assets hedged through futures as on 31/03/2025</t>
  </si>
  <si>
    <t>ITC Limited</t>
  </si>
  <si>
    <t>Jio Financial Services Limited</t>
  </si>
  <si>
    <t>UltraTech Cement Limited</t>
  </si>
  <si>
    <t>Cement &amp; Cement Products</t>
  </si>
  <si>
    <t>Adani Green Energy Limited</t>
  </si>
  <si>
    <t>Steel Authority of India Limited</t>
  </si>
  <si>
    <t>Bajaj Auto Limited</t>
  </si>
  <si>
    <t>RBL Bank Limited</t>
  </si>
  <si>
    <t>Tech Mahindra Limited</t>
  </si>
  <si>
    <t>UPL Limited</t>
  </si>
  <si>
    <t>Fertilizers &amp; Agrochemicals</t>
  </si>
  <si>
    <t>Asian Paints Limited</t>
  </si>
  <si>
    <t>Manappuram Finance Limited</t>
  </si>
  <si>
    <t>SBI Life Insurance Company Limited</t>
  </si>
  <si>
    <t>Maruti Suzuki India Limited</t>
  </si>
  <si>
    <t>Power Grid Corporation of India Limited</t>
  </si>
  <si>
    <t>IDFC First Bank Limited</t>
  </si>
  <si>
    <t>Oil &amp; Natural Gas Corporation Limited</t>
  </si>
  <si>
    <t>Oil</t>
  </si>
  <si>
    <t>Grasim Industries Limited</t>
  </si>
  <si>
    <t>Samvardhana Motherson International Ltd</t>
  </si>
  <si>
    <t>Auto Components</t>
  </si>
  <si>
    <t>Adani Port &amp; Special Economic Zone Ltd</t>
  </si>
  <si>
    <t>GAIL (India) Limited</t>
  </si>
  <si>
    <t>Info Edge (India) Limited</t>
  </si>
  <si>
    <t>The Federal Bank  Limited</t>
  </si>
  <si>
    <t>Aurobindo Pharma Limited</t>
  </si>
  <si>
    <t>Shriram Finance Limited</t>
  </si>
  <si>
    <t>JSW Energy Limited</t>
  </si>
  <si>
    <t>Marico Limited</t>
  </si>
  <si>
    <t>Agricultural Food &amp; other Products</t>
  </si>
  <si>
    <t>Nestle India Limited</t>
  </si>
  <si>
    <t>Food Products</t>
  </si>
  <si>
    <t>Power Finance Corporation Limited</t>
  </si>
  <si>
    <t>IIFL Finance Limited</t>
  </si>
  <si>
    <t>Yes Bank Ltd</t>
  </si>
  <si>
    <t>Hindustan Petroleum Corporation Limited</t>
  </si>
  <si>
    <t>Indian Railway Catering &amp; Tourism Corp</t>
  </si>
  <si>
    <t>Bank of India</t>
  </si>
  <si>
    <t>INE154A01025</t>
  </si>
  <si>
    <t>INE758E01017</t>
  </si>
  <si>
    <t>INE481G01011</t>
  </si>
  <si>
    <t>INE364U01010</t>
  </si>
  <si>
    <t>INE114A01011</t>
  </si>
  <si>
    <t>INE917I01010</t>
  </si>
  <si>
    <t>INE976G01028</t>
  </si>
  <si>
    <t>INE669C01036</t>
  </si>
  <si>
    <t>INE628A01036</t>
  </si>
  <si>
    <t>INE021A01026</t>
  </si>
  <si>
    <t>INE522D01027</t>
  </si>
  <si>
    <t>INE123W01016</t>
  </si>
  <si>
    <t>INE585B01010</t>
  </si>
  <si>
    <t>INE752E01010</t>
  </si>
  <si>
    <t>INE092T01019</t>
  </si>
  <si>
    <t>INE213A01029</t>
  </si>
  <si>
    <t>INE047A01021</t>
  </si>
  <si>
    <t>INE775A01035</t>
  </si>
  <si>
    <t>INE742F01042</t>
  </si>
  <si>
    <t>INE129A01019</t>
  </si>
  <si>
    <t>INE663F01024</t>
  </si>
  <si>
    <t>INE171A01029</t>
  </si>
  <si>
    <t>INE406A01037</t>
  </si>
  <si>
    <t>INE721A01047</t>
  </si>
  <si>
    <t>INE121E01018</t>
  </si>
  <si>
    <t>INE196A01026</t>
  </si>
  <si>
    <t>INE239A01024</t>
  </si>
  <si>
    <t>INE134E01011</t>
  </si>
  <si>
    <t>INE530B01024</t>
  </si>
  <si>
    <t>INE528G01035</t>
  </si>
  <si>
    <t>INE094A01015</t>
  </si>
  <si>
    <t>INE335Y01020</t>
  </si>
  <si>
    <t>INE084A01016</t>
  </si>
  <si>
    <t>91 Days Treasury Bill 19-Jun-2025</t>
  </si>
  <si>
    <t>182 Days Treasury Bill 11-Sep-2025</t>
  </si>
  <si>
    <t>IN002024X508</t>
  </si>
  <si>
    <t>IN002024Y480</t>
  </si>
  <si>
    <t>6.37%</t>
  </si>
  <si>
    <t>6.38%</t>
  </si>
  <si>
    <t>6.42%</t>
  </si>
  <si>
    <t>6.28%</t>
  </si>
  <si>
    <t>6.52%</t>
  </si>
  <si>
    <t>6.27%</t>
  </si>
  <si>
    <t>Total outstanding exposure in derivative instruments at the end of the period - Short -(Rs in Lakhs) : (14,058.63)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</si>
</sst>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
  </numFmts>
  <fonts count="16" x14ac:knownFonts="1">
    <font>
      <sz val="10"/>
      <name val="Arial"/>
    </font>
    <font>
      <sz val="10"/>
      <name val="Times New Roman"/>
      <family val="1"/>
    </font>
    <font>
      <sz val="10"/>
      <name val="Arial"/>
      <family val="2"/>
    </font>
    <font>
      <b/>
      <sz val="8"/>
      <name val="Times New Roman"/>
      <family val="1"/>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b/>
      <sz val="10"/>
      <name val="Times New Roman"/>
      <family val="1"/>
    </font>
    <font>
      <b/>
      <sz val="10"/>
      <color theme="1"/>
      <name val="Tahoma"/>
      <family val="2"/>
    </font>
    <font>
      <sz val="8"/>
      <color indexed="72"/>
      <name val="Century Gothic"/>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8"/>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7" fillId="0" borderId="0"/>
    <xf numFmtId="0" fontId="7" fillId="0" borderId="0"/>
    <xf numFmtId="164" fontId="2" fillId="0" borderId="0" applyFont="0" applyFill="0" applyBorder="0" applyAlignment="0" applyProtection="0"/>
    <xf numFmtId="0" fontId="2" fillId="0" borderId="0"/>
    <xf numFmtId="164" fontId="7" fillId="0" borderId="0" applyFont="0" applyFill="0" applyBorder="0" applyAlignment="0" applyProtection="0"/>
    <xf numFmtId="0" fontId="7" fillId="0" borderId="0"/>
    <xf numFmtId="9" fontId="12" fillId="0" borderId="0" applyFont="0" applyFill="0" applyBorder="0" applyAlignment="0" applyProtection="0"/>
  </cellStyleXfs>
  <cellXfs count="11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applyAlignment="1">
      <alignment horizontal="center" wrapText="1"/>
    </xf>
    <xf numFmtId="0" fontId="1" fillId="0" borderId="0" xfId="2" applyFont="1" applyAlignment="1">
      <alignment horizontal="left" wrapText="1"/>
    </xf>
    <xf numFmtId="0" fontId="1" fillId="0" borderId="0" xfId="2" applyFont="1" applyAlignment="1">
      <alignment wrapText="1"/>
    </xf>
    <xf numFmtId="0" fontId="4" fillId="0" borderId="0" xfId="2" applyFont="1"/>
    <xf numFmtId="165" fontId="4" fillId="0" borderId="0" xfId="1" applyNumberFormat="1" applyFont="1"/>
    <xf numFmtId="0" fontId="4" fillId="0" borderId="0" xfId="2" applyFont="1" applyAlignment="1">
      <alignment horizontal="left" wrapText="1"/>
    </xf>
    <xf numFmtId="0" fontId="4" fillId="0" borderId="0" xfId="2" applyFont="1" applyAlignment="1">
      <alignment wrapText="1"/>
    </xf>
    <xf numFmtId="0" fontId="5" fillId="0" borderId="0" xfId="2" applyFont="1" applyAlignment="1">
      <alignment horizontal="left" wrapText="1"/>
    </xf>
    <xf numFmtId="0" fontId="6" fillId="0" borderId="0" xfId="2" applyFont="1" applyAlignment="1">
      <alignment horizontal="center"/>
    </xf>
    <xf numFmtId="0" fontId="8" fillId="0" borderId="0" xfId="3" applyFont="1" applyAlignment="1">
      <alignment horizontal="center"/>
    </xf>
    <xf numFmtId="0" fontId="9" fillId="0" borderId="0" xfId="4" applyFont="1"/>
    <xf numFmtId="0" fontId="8" fillId="0" borderId="0" xfId="4" applyFont="1"/>
    <xf numFmtId="4" fontId="1" fillId="0" borderId="0" xfId="2" applyNumberFormat="1" applyFont="1"/>
    <xf numFmtId="0" fontId="4" fillId="0" borderId="1" xfId="2" applyFont="1" applyBorder="1" applyAlignment="1">
      <alignment horizontal="center" vertical="top"/>
    </xf>
    <xf numFmtId="0" fontId="4" fillId="2" borderId="1" xfId="2" applyFont="1" applyFill="1" applyBorder="1"/>
    <xf numFmtId="0" fontId="6" fillId="2" borderId="2" xfId="2" applyFont="1" applyFill="1" applyBorder="1"/>
    <xf numFmtId="0" fontId="6" fillId="2" borderId="3" xfId="2" applyFont="1" applyFill="1" applyBorder="1"/>
    <xf numFmtId="0" fontId="6" fillId="2" borderId="4" xfId="2" applyFont="1" applyFill="1" applyBorder="1"/>
    <xf numFmtId="0" fontId="6" fillId="0" borderId="0" xfId="2" applyFont="1"/>
    <xf numFmtId="164" fontId="4" fillId="0" borderId="1" xfId="1" applyFont="1" applyBorder="1"/>
    <xf numFmtId="4" fontId="4" fillId="0" borderId="1" xfId="2" applyNumberFormat="1" applyFont="1" applyBorder="1"/>
    <xf numFmtId="165" fontId="4" fillId="0" borderId="1" xfId="1" applyNumberFormat="1" applyFont="1" applyBorder="1"/>
    <xf numFmtId="0" fontId="6" fillId="2" borderId="1" xfId="2" applyFont="1" applyFill="1" applyBorder="1"/>
    <xf numFmtId="164" fontId="4" fillId="0" borderId="0" xfId="1" applyFont="1" applyFill="1" applyBorder="1"/>
    <xf numFmtId="164" fontId="4" fillId="0" borderId="0" xfId="2" applyNumberFormat="1" applyFont="1"/>
    <xf numFmtId="165" fontId="4" fillId="0" borderId="0" xfId="5" applyNumberFormat="1" applyFont="1" applyFill="1"/>
    <xf numFmtId="4" fontId="4" fillId="0" borderId="1" xfId="1" applyNumberFormat="1" applyFont="1" applyFill="1" applyBorder="1"/>
    <xf numFmtId="3" fontId="4" fillId="0" borderId="1" xfId="1" applyNumberFormat="1" applyFont="1" applyFill="1" applyBorder="1"/>
    <xf numFmtId="4" fontId="4" fillId="0" borderId="1" xfId="2" applyNumberFormat="1" applyFont="1" applyBorder="1" applyAlignment="1">
      <alignment wrapText="1"/>
    </xf>
    <xf numFmtId="4" fontId="4" fillId="0" borderId="1" xfId="2" applyNumberFormat="1" applyFont="1" applyBorder="1" applyAlignment="1">
      <alignment horizontal="left" wrapText="1"/>
    </xf>
    <xf numFmtId="0" fontId="6" fillId="3" borderId="1" xfId="6" applyFont="1" applyFill="1" applyBorder="1" applyAlignment="1">
      <alignment horizontal="left" vertical="top" wrapText="1"/>
    </xf>
    <xf numFmtId="165" fontId="6" fillId="3" borderId="1" xfId="7" applyNumberFormat="1" applyFont="1" applyFill="1" applyBorder="1" applyAlignment="1">
      <alignment horizontal="left" vertical="top"/>
    </xf>
    <xf numFmtId="0" fontId="6" fillId="3" borderId="1" xfId="2" applyFont="1" applyFill="1" applyBorder="1" applyAlignment="1">
      <alignment horizontal="left" vertical="top" wrapText="1"/>
    </xf>
    <xf numFmtId="0" fontId="4" fillId="0" borderId="0" xfId="2" applyFont="1" applyAlignment="1">
      <alignment horizontal="right"/>
    </xf>
    <xf numFmtId="164" fontId="4" fillId="0" borderId="0" xfId="1" applyFont="1" applyFill="1" applyAlignment="1">
      <alignment horizontal="right"/>
    </xf>
    <xf numFmtId="165" fontId="4" fillId="0" borderId="0" xfId="1" applyNumberFormat="1" applyFont="1" applyFill="1"/>
    <xf numFmtId="0" fontId="6" fillId="0" borderId="0" xfId="6" applyFont="1"/>
    <xf numFmtId="0" fontId="4" fillId="0" borderId="0" xfId="0" applyFont="1"/>
    <xf numFmtId="0" fontId="4" fillId="0" borderId="0" xfId="0" applyFont="1" applyAlignment="1">
      <alignment horizontal="right"/>
    </xf>
    <xf numFmtId="164" fontId="6" fillId="0" borderId="0" xfId="1" applyFont="1" applyFill="1" applyBorder="1" applyAlignment="1">
      <alignment horizontal="right"/>
    </xf>
    <xf numFmtId="165" fontId="6" fillId="0" borderId="0" xfId="1" applyNumberFormat="1" applyFont="1" applyFill="1" applyBorder="1" applyAlignment="1">
      <alignment horizontal="right"/>
    </xf>
    <xf numFmtId="0" fontId="6" fillId="0" borderId="0" xfId="0" applyFont="1" applyAlignment="1">
      <alignment horizontal="left" wrapText="1"/>
    </xf>
    <xf numFmtId="0" fontId="6" fillId="0" borderId="0" xfId="0" applyFont="1" applyAlignment="1">
      <alignment wrapText="1"/>
    </xf>
    <xf numFmtId="166" fontId="4" fillId="0" borderId="1" xfId="0" applyNumberFormat="1" applyFont="1" applyBorder="1"/>
    <xf numFmtId="0" fontId="4" fillId="0" borderId="1" xfId="0" applyFont="1" applyBorder="1"/>
    <xf numFmtId="0" fontId="4" fillId="0" borderId="1" xfId="0" applyFont="1" applyBorder="1" applyAlignment="1">
      <alignment horizontal="center"/>
    </xf>
    <xf numFmtId="0" fontId="6" fillId="0" borderId="1" xfId="0" applyFont="1" applyBorder="1" applyAlignment="1">
      <alignment horizontal="center" wrapText="1"/>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6" fillId="0" borderId="1" xfId="0" applyFont="1" applyBorder="1" applyAlignment="1">
      <alignment horizontal="left" wrapText="1"/>
    </xf>
    <xf numFmtId="0" fontId="1" fillId="0" borderId="0" xfId="0" applyFont="1" applyAlignment="1">
      <alignment horizontal="center"/>
    </xf>
    <xf numFmtId="0" fontId="6" fillId="0" borderId="1" xfId="0" applyFont="1" applyBorder="1" applyAlignment="1">
      <alignment horizontal="center" vertical="center" wrapText="1"/>
    </xf>
    <xf numFmtId="165" fontId="6" fillId="0" borderId="1" xfId="1" applyNumberFormat="1" applyFont="1" applyFill="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applyAlignment="1">
      <alignment wrapText="1"/>
    </xf>
    <xf numFmtId="165" fontId="6" fillId="0" borderId="1" xfId="1" applyNumberFormat="1" applyFont="1" applyFill="1" applyBorder="1"/>
    <xf numFmtId="164" fontId="4" fillId="0" borderId="1" xfId="1" applyFont="1" applyFill="1" applyBorder="1" applyAlignment="1">
      <alignment horizontal="center"/>
    </xf>
    <xf numFmtId="164" fontId="6" fillId="0" borderId="1" xfId="1" applyFont="1" applyFill="1" applyBorder="1" applyAlignment="1">
      <alignment horizontal="right"/>
    </xf>
    <xf numFmtId="0" fontId="4" fillId="0" borderId="1" xfId="0" applyFont="1" applyBorder="1" applyAlignment="1">
      <alignment horizontal="right"/>
    </xf>
    <xf numFmtId="0" fontId="4" fillId="0" borderId="1" xfId="0" applyFont="1" applyBorder="1" applyAlignment="1">
      <alignment horizontal="left" wrapText="1"/>
    </xf>
    <xf numFmtId="10" fontId="6" fillId="0" borderId="1" xfId="0" applyNumberFormat="1" applyFont="1" applyBorder="1" applyAlignment="1">
      <alignment horizontal="center" wrapText="1"/>
    </xf>
    <xf numFmtId="10" fontId="4" fillId="0" borderId="1" xfId="0" applyNumberFormat="1" applyFont="1" applyBorder="1" applyAlignment="1">
      <alignment horizontal="center" wrapText="1"/>
    </xf>
    <xf numFmtId="10" fontId="4" fillId="0" borderId="1" xfId="1" applyNumberFormat="1" applyFont="1" applyFill="1" applyBorder="1" applyAlignment="1">
      <alignment horizontal="center"/>
    </xf>
    <xf numFmtId="10" fontId="6" fillId="0" borderId="1" xfId="1" applyNumberFormat="1" applyFont="1" applyFill="1" applyBorder="1" applyAlignment="1">
      <alignment horizontal="right"/>
    </xf>
    <xf numFmtId="4" fontId="6" fillId="0" borderId="1" xfId="0" applyNumberFormat="1" applyFont="1" applyBorder="1" applyAlignment="1">
      <alignment horizontal="center" wrapText="1"/>
    </xf>
    <xf numFmtId="4" fontId="4" fillId="0" borderId="1" xfId="0" applyNumberFormat="1" applyFont="1" applyBorder="1" applyAlignment="1">
      <alignment horizontal="center" wrapText="1"/>
    </xf>
    <xf numFmtId="4" fontId="4" fillId="0" borderId="1" xfId="1" applyNumberFormat="1" applyFont="1" applyFill="1" applyBorder="1" applyAlignment="1">
      <alignment horizontal="center"/>
    </xf>
    <xf numFmtId="4" fontId="6" fillId="0" borderId="1" xfId="1" applyNumberFormat="1" applyFont="1" applyFill="1" applyBorder="1" applyAlignment="1">
      <alignment horizontal="right"/>
    </xf>
    <xf numFmtId="167" fontId="4" fillId="0" borderId="1" xfId="9" applyNumberFormat="1" applyFont="1" applyBorder="1"/>
    <xf numFmtId="0" fontId="13" fillId="0" borderId="0" xfId="0" applyFont="1"/>
    <xf numFmtId="0" fontId="4" fillId="0" borderId="0" xfId="6" applyFont="1" applyFill="1"/>
    <xf numFmtId="0" fontId="4" fillId="0" borderId="0" xfId="2" applyFont="1" applyFill="1" applyAlignment="1">
      <alignment horizontal="left" wrapText="1"/>
    </xf>
    <xf numFmtId="4" fontId="4" fillId="0" borderId="0" xfId="5" applyNumberFormat="1" applyFont="1" applyFill="1"/>
    <xf numFmtId="0" fontId="4" fillId="0" borderId="0" xfId="2" applyFont="1" applyFill="1" applyAlignment="1">
      <alignment wrapText="1"/>
    </xf>
    <xf numFmtId="167" fontId="1" fillId="0" borderId="1" xfId="9" applyNumberFormat="1" applyFont="1" applyBorder="1"/>
    <xf numFmtId="0" fontId="1" fillId="0" borderId="1" xfId="0" applyFont="1" applyBorder="1" applyAlignment="1">
      <alignment wrapText="1"/>
    </xf>
    <xf numFmtId="0" fontId="1" fillId="0" borderId="1" xfId="0" applyFont="1" applyBorder="1" applyAlignment="1">
      <alignment horizontal="left" wrapText="1"/>
    </xf>
    <xf numFmtId="165" fontId="1" fillId="0" borderId="1" xfId="1" applyNumberFormat="1" applyFont="1" applyBorder="1"/>
    <xf numFmtId="4" fontId="1" fillId="0" borderId="1" xfId="0" applyNumberFormat="1" applyFont="1" applyBorder="1"/>
    <xf numFmtId="10" fontId="1" fillId="0" borderId="1" xfId="0" applyNumberFormat="1" applyFont="1" applyBorder="1"/>
    <xf numFmtId="0" fontId="1" fillId="0" borderId="1" xfId="0" applyFont="1" applyBorder="1"/>
    <xf numFmtId="4" fontId="6" fillId="0" borderId="1" xfId="1" applyNumberFormat="1" applyFont="1" applyFill="1" applyBorder="1" applyAlignment="1">
      <alignment horizontal="center"/>
    </xf>
    <xf numFmtId="10" fontId="6" fillId="0" borderId="1" xfId="1" applyNumberFormat="1" applyFont="1" applyFill="1" applyBorder="1" applyAlignment="1">
      <alignment horizontal="center"/>
    </xf>
    <xf numFmtId="0" fontId="6" fillId="0" borderId="1" xfId="2" applyFont="1" applyBorder="1" applyAlignment="1">
      <alignment wrapText="1"/>
    </xf>
    <xf numFmtId="0" fontId="4" fillId="0" borderId="1" xfId="2" applyFont="1" applyBorder="1" applyAlignment="1">
      <alignment wrapText="1"/>
    </xf>
    <xf numFmtId="4" fontId="1" fillId="0" borderId="0" xfId="0" applyNumberFormat="1" applyFont="1"/>
    <xf numFmtId="10" fontId="4" fillId="0" borderId="1" xfId="9" applyNumberFormat="1" applyFont="1" applyBorder="1" applyAlignment="1">
      <alignment horizontal="center" wrapText="1"/>
    </xf>
    <xf numFmtId="10" fontId="1" fillId="0" borderId="0" xfId="9" applyNumberFormat="1" applyFont="1"/>
    <xf numFmtId="10" fontId="6" fillId="0" borderId="1" xfId="9" applyNumberFormat="1" applyFont="1" applyBorder="1" applyAlignment="1">
      <alignment horizontal="center" wrapText="1"/>
    </xf>
    <xf numFmtId="4" fontId="4" fillId="0" borderId="1" xfId="2" applyNumberFormat="1" applyFont="1" applyBorder="1" applyAlignment="1">
      <alignment horizontal="center"/>
    </xf>
    <xf numFmtId="0" fontId="14" fillId="0" borderId="0" xfId="0" applyFont="1" applyBorder="1" applyAlignment="1">
      <alignment horizontal="left" vertical="top" wrapText="1"/>
    </xf>
    <xf numFmtId="4" fontId="4" fillId="0" borderId="1" xfId="0" applyNumberFormat="1" applyFont="1" applyBorder="1" applyAlignment="1">
      <alignment horizontal="center"/>
    </xf>
    <xf numFmtId="3" fontId="1" fillId="0" borderId="0" xfId="0" applyNumberFormat="1" applyFont="1"/>
    <xf numFmtId="3" fontId="1" fillId="0" borderId="0" xfId="2" applyNumberFormat="1" applyFont="1"/>
    <xf numFmtId="10" fontId="15" fillId="0" borderId="1" xfId="9" applyNumberFormat="1" applyFont="1" applyBorder="1" applyAlignment="1">
      <alignment horizontal="left" vertical="top"/>
    </xf>
    <xf numFmtId="4" fontId="4" fillId="0" borderId="0" xfId="0" applyNumberFormat="1" applyFont="1"/>
    <xf numFmtId="0" fontId="9" fillId="0" borderId="0" xfId="8" applyFont="1" applyAlignment="1">
      <alignment horizontal="left" vertical="top" wrapText="1"/>
    </xf>
    <xf numFmtId="0" fontId="4" fillId="0" borderId="0" xfId="2" applyFont="1" applyAlignment="1">
      <alignment horizontal="left" vertical="top" wrapText="1"/>
    </xf>
    <xf numFmtId="0" fontId="10" fillId="0" borderId="0" xfId="8" applyFont="1" applyAlignment="1">
      <alignment horizontal="left" vertical="top" wrapText="1"/>
    </xf>
    <xf numFmtId="0" fontId="11" fillId="4" borderId="5" xfId="2" applyFont="1" applyFill="1" applyBorder="1" applyAlignment="1">
      <alignment horizontal="center" vertical="center"/>
    </xf>
    <xf numFmtId="0" fontId="11" fillId="4" borderId="3" xfId="2" applyFont="1" applyFill="1" applyBorder="1" applyAlignment="1">
      <alignment horizontal="center" vertical="center" wrapText="1"/>
    </xf>
    <xf numFmtId="0" fontId="4" fillId="0" borderId="0" xfId="6" applyFont="1" applyAlignment="1">
      <alignment horizontal="left" vertical="top" wrapText="1"/>
    </xf>
    <xf numFmtId="0" fontId="4" fillId="0" borderId="4" xfId="2" applyFont="1" applyBorder="1" applyAlignment="1">
      <alignment horizontal="left"/>
    </xf>
    <xf numFmtId="0" fontId="4" fillId="0" borderId="3" xfId="2" applyFont="1" applyBorder="1" applyAlignment="1">
      <alignment horizontal="left"/>
    </xf>
    <xf numFmtId="0" fontId="4" fillId="0" borderId="2" xfId="2" applyFont="1" applyBorder="1" applyAlignment="1">
      <alignment horizontal="left"/>
    </xf>
    <xf numFmtId="0" fontId="6" fillId="0" borderId="5" xfId="2" applyFont="1" applyFill="1" applyBorder="1" applyAlignment="1">
      <alignment horizontal="left"/>
    </xf>
    <xf numFmtId="0" fontId="3" fillId="0" borderId="0" xfId="2" applyFont="1" applyAlignment="1">
      <alignment horizontal="center" wrapText="1"/>
    </xf>
  </cellXfs>
  <cellStyles count="10">
    <cellStyle name="Comma" xfId="1" builtinId="3"/>
    <cellStyle name="Comma 2" xfId="7"/>
    <cellStyle name="Comma 4" xfId="5"/>
    <cellStyle name="Normal" xfId="0" builtinId="0"/>
    <cellStyle name="Normal 2 2 2" xfId="2"/>
    <cellStyle name="Normal 2 3 2" xfId="6"/>
    <cellStyle name="Normal 4_AA" xfId="4"/>
    <cellStyle name="Normal 4_IF" xfId="3"/>
    <cellStyle name="Normal 4_LD" xfId="8"/>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876300</xdr:colOff>
      <xdr:row>270</xdr:row>
      <xdr:rowOff>28575</xdr:rowOff>
    </xdr:from>
    <xdr:ext cx="2901950" cy="1581150"/>
    <xdr:pic>
      <xdr:nvPicPr>
        <xdr:cNvPr id="2" name="Picture 3">
          <a:extLst>
            <a:ext uri="{FF2B5EF4-FFF2-40B4-BE49-F238E27FC236}">
              <a16:creationId xmlns:a16="http://schemas.microsoft.com/office/drawing/2014/main" id="{FEB73197-FE77-415B-BA58-F36CF86FC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350" y="45272325"/>
          <a:ext cx="29019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1495425</xdr:colOff>
      <xdr:row>269</xdr:row>
      <xdr:rowOff>133350</xdr:rowOff>
    </xdr:from>
    <xdr:ext cx="3171825" cy="1730375"/>
    <xdr:pic>
      <xdr:nvPicPr>
        <xdr:cNvPr id="3" name="Picture 6">
          <a:extLst>
            <a:ext uri="{FF2B5EF4-FFF2-40B4-BE49-F238E27FC236}">
              <a16:creationId xmlns:a16="http://schemas.microsoft.com/office/drawing/2014/main" id="{AE4CE878-3A6D-43CE-A8C3-9138D0D169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9525" y="45218350"/>
          <a:ext cx="3171825" cy="1730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K282"/>
  <sheetViews>
    <sheetView tabSelected="1" topLeftCell="A127" zoomScaleNormal="100" workbookViewId="0">
      <selection activeCell="H139" sqref="H139:H140"/>
    </sheetView>
  </sheetViews>
  <sheetFormatPr defaultColWidth="9.140625" defaultRowHeight="12.75" x14ac:dyDescent="0.2"/>
  <cols>
    <col min="1" max="1" width="50.28515625" style="4" customWidth="1"/>
    <col min="2" max="2" width="39.42578125" style="3" customWidth="1"/>
    <col min="3" max="3" width="13.42578125" style="2" customWidth="1"/>
    <col min="4" max="4" width="14.140625" style="1" customWidth="1"/>
    <col min="5" max="5" width="10.140625" style="1" customWidth="1"/>
    <col min="6" max="6" width="16.28515625" style="1" customWidth="1"/>
    <col min="7" max="7" width="9.5703125" style="1" customWidth="1"/>
    <col min="8" max="8" width="13.5703125" style="1" bestFit="1" customWidth="1"/>
    <col min="9" max="9" width="14.140625" style="1" bestFit="1" customWidth="1"/>
    <col min="10" max="10" width="13.5703125" style="1" bestFit="1" customWidth="1"/>
    <col min="11" max="11" width="14.140625" style="1" bestFit="1" customWidth="1"/>
    <col min="12" max="16384" width="9.140625" style="1"/>
  </cols>
  <sheetData>
    <row r="1" spans="1:9" x14ac:dyDescent="0.2">
      <c r="A1" s="105" t="s">
        <v>33</v>
      </c>
      <c r="B1" s="105"/>
      <c r="C1" s="105"/>
      <c r="D1" s="105"/>
      <c r="E1" s="105"/>
      <c r="F1" s="105"/>
      <c r="G1" s="105"/>
      <c r="H1" s="105"/>
    </row>
    <row r="2" spans="1:9" x14ac:dyDescent="0.2">
      <c r="A2" s="105" t="s">
        <v>32</v>
      </c>
      <c r="B2" s="105"/>
      <c r="C2" s="105"/>
      <c r="D2" s="105"/>
      <c r="E2" s="105"/>
      <c r="F2" s="105"/>
      <c r="G2" s="105"/>
      <c r="H2" s="105"/>
    </row>
    <row r="3" spans="1:9" ht="12.75" customHeight="1" x14ac:dyDescent="0.2">
      <c r="A3" s="106" t="s">
        <v>207</v>
      </c>
      <c r="B3" s="106"/>
      <c r="C3" s="106"/>
      <c r="D3" s="106"/>
      <c r="E3" s="106"/>
      <c r="F3" s="106"/>
      <c r="G3" s="106"/>
      <c r="H3" s="106"/>
    </row>
    <row r="4" spans="1:9" s="56" customFormat="1" ht="37.5" customHeight="1" x14ac:dyDescent="0.2">
      <c r="A4" s="57" t="s">
        <v>31</v>
      </c>
      <c r="B4" s="59" t="s">
        <v>30</v>
      </c>
      <c r="C4" s="58" t="s">
        <v>18</v>
      </c>
      <c r="D4" s="57" t="s">
        <v>29</v>
      </c>
      <c r="E4" s="57" t="s">
        <v>28</v>
      </c>
      <c r="F4" s="57" t="s">
        <v>27</v>
      </c>
      <c r="G4" s="57" t="s">
        <v>26</v>
      </c>
      <c r="H4" s="57" t="s">
        <v>25</v>
      </c>
    </row>
    <row r="5" spans="1:9" ht="14.25" x14ac:dyDescent="0.3">
      <c r="A5" s="55" t="s">
        <v>34</v>
      </c>
      <c r="B5" s="54"/>
      <c r="C5" s="53"/>
      <c r="D5" s="52"/>
      <c r="E5" s="66"/>
      <c r="F5" s="51"/>
      <c r="G5" s="50"/>
      <c r="H5" s="49"/>
    </row>
    <row r="6" spans="1:9" ht="14.25" x14ac:dyDescent="0.3">
      <c r="A6" s="55" t="s">
        <v>35</v>
      </c>
      <c r="B6" s="54"/>
      <c r="C6" s="53"/>
      <c r="D6" s="70"/>
      <c r="E6" s="66"/>
      <c r="F6" s="51"/>
      <c r="G6" s="74"/>
      <c r="H6" s="74"/>
    </row>
    <row r="7" spans="1:9" ht="14.25" x14ac:dyDescent="0.3">
      <c r="A7" s="65" t="s">
        <v>125</v>
      </c>
      <c r="B7" s="65" t="s">
        <v>182</v>
      </c>
      <c r="C7" s="53">
        <v>62000</v>
      </c>
      <c r="D7" s="71">
        <v>790.56200000000001</v>
      </c>
      <c r="E7" s="92">
        <v>4.2361058016955146E-2</v>
      </c>
      <c r="F7" s="51" t="s">
        <v>36</v>
      </c>
      <c r="G7" s="74"/>
      <c r="H7" s="74"/>
      <c r="I7" s="91"/>
    </row>
    <row r="8" spans="1:9" ht="14.25" x14ac:dyDescent="0.3">
      <c r="A8" s="65" t="s">
        <v>142</v>
      </c>
      <c r="B8" s="65" t="s">
        <v>185</v>
      </c>
      <c r="C8" s="53">
        <v>16650</v>
      </c>
      <c r="D8" s="71">
        <v>695.54542500000002</v>
      </c>
      <c r="E8" s="92">
        <v>3.7269739883592584E-2</v>
      </c>
      <c r="F8" s="51" t="s">
        <v>61</v>
      </c>
      <c r="G8" s="74"/>
      <c r="H8" s="74"/>
      <c r="I8" s="91"/>
    </row>
    <row r="9" spans="1:9" ht="14.25" x14ac:dyDescent="0.3">
      <c r="A9" s="65" t="s">
        <v>128</v>
      </c>
      <c r="B9" s="65" t="s">
        <v>184</v>
      </c>
      <c r="C9" s="53">
        <v>181900</v>
      </c>
      <c r="D9" s="71">
        <v>608.09169999999995</v>
      </c>
      <c r="E9" s="92">
        <v>3.2583665523170706E-2</v>
      </c>
      <c r="F9" s="51" t="s">
        <v>37</v>
      </c>
      <c r="G9" s="74"/>
      <c r="H9" s="74"/>
      <c r="I9" s="91"/>
    </row>
    <row r="10" spans="1:9" ht="14.25" x14ac:dyDescent="0.3">
      <c r="A10" s="65" t="s">
        <v>126</v>
      </c>
      <c r="B10" s="65" t="s">
        <v>183</v>
      </c>
      <c r="C10" s="53">
        <v>16100</v>
      </c>
      <c r="D10" s="71">
        <v>580.59014999999999</v>
      </c>
      <c r="E10" s="92">
        <v>3.1110036946150572E-2</v>
      </c>
      <c r="F10" s="51" t="s">
        <v>43</v>
      </c>
      <c r="G10" s="74"/>
      <c r="H10" s="74"/>
      <c r="I10" s="91"/>
    </row>
    <row r="11" spans="1:9" ht="14.25" x14ac:dyDescent="0.3">
      <c r="A11" s="65" t="s">
        <v>127</v>
      </c>
      <c r="B11" s="65" t="s">
        <v>184</v>
      </c>
      <c r="C11" s="53">
        <v>30875</v>
      </c>
      <c r="D11" s="71">
        <v>535.18724999999995</v>
      </c>
      <c r="E11" s="92">
        <v>2.8677191854888897E-2</v>
      </c>
      <c r="F11" s="51" t="s">
        <v>60</v>
      </c>
      <c r="G11" s="74"/>
      <c r="H11" s="74"/>
      <c r="I11" s="91"/>
    </row>
    <row r="12" spans="1:9" ht="14.25" x14ac:dyDescent="0.3">
      <c r="A12" s="65" t="s">
        <v>136</v>
      </c>
      <c r="B12" s="65" t="s">
        <v>181</v>
      </c>
      <c r="C12" s="53">
        <v>210600</v>
      </c>
      <c r="D12" s="71">
        <v>481.28417999999999</v>
      </c>
      <c r="E12" s="92">
        <v>2.5788878129258279E-2</v>
      </c>
      <c r="F12" s="51" t="s">
        <v>46</v>
      </c>
      <c r="G12" s="74"/>
      <c r="H12" s="74"/>
      <c r="I12" s="91"/>
    </row>
    <row r="13" spans="1:9" ht="14.25" x14ac:dyDescent="0.3">
      <c r="A13" s="65" t="s">
        <v>133</v>
      </c>
      <c r="B13" s="65" t="s">
        <v>44</v>
      </c>
      <c r="C13" s="53">
        <v>122850</v>
      </c>
      <c r="D13" s="71">
        <v>461.1789</v>
      </c>
      <c r="E13" s="92">
        <v>2.4711567390154794E-2</v>
      </c>
      <c r="F13" s="51" t="s">
        <v>45</v>
      </c>
      <c r="G13" s="74"/>
      <c r="H13" s="74"/>
      <c r="I13" s="91"/>
    </row>
    <row r="14" spans="1:9" ht="14.25" x14ac:dyDescent="0.3">
      <c r="A14" s="65" t="s">
        <v>134</v>
      </c>
      <c r="B14" s="65" t="s">
        <v>186</v>
      </c>
      <c r="C14" s="53">
        <v>258750</v>
      </c>
      <c r="D14" s="71">
        <v>454.80487499999998</v>
      </c>
      <c r="E14" s="92">
        <v>2.4370024990157675E-2</v>
      </c>
      <c r="F14" s="51" t="s">
        <v>41</v>
      </c>
      <c r="G14" s="74"/>
      <c r="H14" s="74"/>
      <c r="I14" s="91"/>
    </row>
    <row r="15" spans="1:9" ht="14.25" x14ac:dyDescent="0.3">
      <c r="A15" s="65" t="s">
        <v>137</v>
      </c>
      <c r="B15" s="65" t="s">
        <v>184</v>
      </c>
      <c r="C15" s="53">
        <v>6280000</v>
      </c>
      <c r="D15" s="71">
        <v>427.04</v>
      </c>
      <c r="E15" s="92">
        <v>2.2882286544964877E-2</v>
      </c>
      <c r="F15" s="51" t="s">
        <v>42</v>
      </c>
      <c r="G15" s="74"/>
      <c r="H15" s="74"/>
      <c r="I15" s="91"/>
    </row>
    <row r="16" spans="1:9" ht="14.25" x14ac:dyDescent="0.3">
      <c r="A16" s="65" t="s">
        <v>140</v>
      </c>
      <c r="B16" s="65" t="s">
        <v>188</v>
      </c>
      <c r="C16" s="53">
        <v>62700</v>
      </c>
      <c r="D16" s="71">
        <v>422.88015000000001</v>
      </c>
      <c r="E16" s="92">
        <v>2.2659387332516226E-2</v>
      </c>
      <c r="F16" s="51" t="s">
        <v>74</v>
      </c>
      <c r="G16" s="74"/>
      <c r="H16" s="74"/>
      <c r="I16" s="91"/>
    </row>
    <row r="17" spans="1:9" ht="14.25" x14ac:dyDescent="0.3">
      <c r="A17" s="65" t="s">
        <v>130</v>
      </c>
      <c r="B17" s="65" t="s">
        <v>183</v>
      </c>
      <c r="C17" s="53">
        <v>24800</v>
      </c>
      <c r="D17" s="71">
        <v>389.52120000000002</v>
      </c>
      <c r="E17" s="92">
        <v>2.0871898917521951E-2</v>
      </c>
      <c r="F17" s="51" t="s">
        <v>73</v>
      </c>
      <c r="G17" s="74"/>
      <c r="H17" s="74"/>
      <c r="I17" s="91"/>
    </row>
    <row r="18" spans="1:9" ht="14.25" x14ac:dyDescent="0.3">
      <c r="A18" s="65" t="s">
        <v>141</v>
      </c>
      <c r="B18" s="65" t="s">
        <v>51</v>
      </c>
      <c r="C18" s="53">
        <v>5250</v>
      </c>
      <c r="D18" s="71">
        <v>347.35050000000001</v>
      </c>
      <c r="E18" s="92">
        <v>1.8612246329469891E-2</v>
      </c>
      <c r="F18" s="51" t="s">
        <v>52</v>
      </c>
      <c r="G18" s="74"/>
      <c r="H18" s="74"/>
      <c r="I18" s="91"/>
    </row>
    <row r="19" spans="1:9" ht="14.25" x14ac:dyDescent="0.3">
      <c r="A19" s="65" t="s">
        <v>310</v>
      </c>
      <c r="B19" s="65" t="s">
        <v>196</v>
      </c>
      <c r="C19" s="53">
        <v>80000</v>
      </c>
      <c r="D19" s="71">
        <v>327.8</v>
      </c>
      <c r="E19" s="92">
        <v>1.7564662629822703E-2</v>
      </c>
      <c r="F19" s="51" t="s">
        <v>349</v>
      </c>
      <c r="G19" s="74"/>
      <c r="H19" s="74"/>
      <c r="I19" s="91"/>
    </row>
    <row r="20" spans="1:9" ht="14.25" x14ac:dyDescent="0.3">
      <c r="A20" s="65" t="s">
        <v>143</v>
      </c>
      <c r="B20" s="65" t="s">
        <v>189</v>
      </c>
      <c r="C20" s="53">
        <v>20800</v>
      </c>
      <c r="D20" s="71">
        <v>299.9776</v>
      </c>
      <c r="E20" s="92">
        <v>1.6073841795313921E-2</v>
      </c>
      <c r="F20" s="51" t="s">
        <v>55</v>
      </c>
      <c r="G20" s="74"/>
      <c r="H20" s="74"/>
      <c r="I20" s="91"/>
    </row>
    <row r="21" spans="1:9" ht="14.25" x14ac:dyDescent="0.3">
      <c r="A21" s="65" t="s">
        <v>144</v>
      </c>
      <c r="B21" s="65" t="s">
        <v>181</v>
      </c>
      <c r="C21" s="53">
        <v>201600</v>
      </c>
      <c r="D21" s="71">
        <v>294.90048000000002</v>
      </c>
      <c r="E21" s="92">
        <v>1.5801792070081689E-2</v>
      </c>
      <c r="F21" s="51" t="s">
        <v>54</v>
      </c>
      <c r="G21" s="74"/>
      <c r="H21" s="74"/>
      <c r="I21" s="91"/>
    </row>
    <row r="22" spans="1:9" ht="14.25" x14ac:dyDescent="0.3">
      <c r="A22" s="65" t="s">
        <v>148</v>
      </c>
      <c r="B22" s="65" t="s">
        <v>191</v>
      </c>
      <c r="C22" s="53">
        <v>47000</v>
      </c>
      <c r="D22" s="71">
        <v>265.0095</v>
      </c>
      <c r="E22" s="92">
        <v>1.4200129533856009E-2</v>
      </c>
      <c r="F22" s="51" t="s">
        <v>67</v>
      </c>
      <c r="G22" s="74"/>
      <c r="H22" s="74"/>
      <c r="I22" s="91"/>
    </row>
    <row r="23" spans="1:9" ht="14.25" x14ac:dyDescent="0.3">
      <c r="A23" s="65" t="s">
        <v>139</v>
      </c>
      <c r="B23" s="65" t="s">
        <v>44</v>
      </c>
      <c r="C23" s="53">
        <v>73500</v>
      </c>
      <c r="D23" s="71">
        <v>262.83600000000001</v>
      </c>
      <c r="E23" s="92">
        <v>1.4083665854094204E-2</v>
      </c>
      <c r="F23" s="51" t="s">
        <v>47</v>
      </c>
      <c r="G23" s="74"/>
      <c r="H23" s="74"/>
      <c r="I23" s="91"/>
    </row>
    <row r="24" spans="1:9" ht="14.25" x14ac:dyDescent="0.3">
      <c r="A24" s="65" t="s">
        <v>311</v>
      </c>
      <c r="B24" s="65" t="s">
        <v>191</v>
      </c>
      <c r="C24" s="53">
        <v>115500</v>
      </c>
      <c r="D24" s="71">
        <v>262.77404999999999</v>
      </c>
      <c r="E24" s="92">
        <v>1.4080346357907756E-2</v>
      </c>
      <c r="F24" s="51" t="s">
        <v>350</v>
      </c>
      <c r="G24" s="74"/>
      <c r="H24" s="74"/>
      <c r="I24" s="91"/>
    </row>
    <row r="25" spans="1:9" ht="14.25" x14ac:dyDescent="0.3">
      <c r="A25" s="65" t="s">
        <v>138</v>
      </c>
      <c r="B25" s="65" t="s">
        <v>182</v>
      </c>
      <c r="C25" s="53">
        <v>195000</v>
      </c>
      <c r="D25" s="71">
        <v>249.01499999999999</v>
      </c>
      <c r="E25" s="92">
        <v>1.3343088666154058E-2</v>
      </c>
      <c r="F25" s="51" t="s">
        <v>50</v>
      </c>
      <c r="G25" s="74"/>
      <c r="H25" s="74"/>
      <c r="I25" s="91"/>
    </row>
    <row r="26" spans="1:9" ht="14.25" x14ac:dyDescent="0.3">
      <c r="A26" s="65" t="s">
        <v>145</v>
      </c>
      <c r="B26" s="65" t="s">
        <v>190</v>
      </c>
      <c r="C26" s="53">
        <v>159500</v>
      </c>
      <c r="D26" s="71">
        <v>246.0128</v>
      </c>
      <c r="E26" s="92">
        <v>1.3182220361861034E-2</v>
      </c>
      <c r="F26" s="51" t="s">
        <v>59</v>
      </c>
      <c r="G26" s="74"/>
      <c r="H26" s="74"/>
      <c r="I26" s="91"/>
    </row>
    <row r="27" spans="1:9" ht="14.25" x14ac:dyDescent="0.3">
      <c r="A27" s="65" t="s">
        <v>312</v>
      </c>
      <c r="B27" s="65" t="s">
        <v>313</v>
      </c>
      <c r="C27" s="53">
        <v>2050</v>
      </c>
      <c r="D27" s="71">
        <v>235.945775</v>
      </c>
      <c r="E27" s="92">
        <v>1.2642794194042269E-2</v>
      </c>
      <c r="F27" s="51" t="s">
        <v>351</v>
      </c>
      <c r="G27" s="74"/>
      <c r="H27" s="74"/>
      <c r="I27" s="91"/>
    </row>
    <row r="28" spans="1:9" ht="14.25" x14ac:dyDescent="0.3">
      <c r="A28" s="65" t="s">
        <v>314</v>
      </c>
      <c r="B28" s="65" t="s">
        <v>44</v>
      </c>
      <c r="C28" s="53">
        <v>22875</v>
      </c>
      <c r="D28" s="71">
        <v>217.00368750000001</v>
      </c>
      <c r="E28" s="92">
        <v>1.1627811349496565E-2</v>
      </c>
      <c r="F28" s="51" t="s">
        <v>352</v>
      </c>
      <c r="G28" s="74"/>
      <c r="H28" s="74"/>
      <c r="I28" s="91"/>
    </row>
    <row r="29" spans="1:9" ht="14.25" x14ac:dyDescent="0.3">
      <c r="A29" s="65" t="s">
        <v>161</v>
      </c>
      <c r="B29" s="65" t="s">
        <v>188</v>
      </c>
      <c r="C29" s="53">
        <v>8050</v>
      </c>
      <c r="D29" s="71">
        <v>214.59690000000001</v>
      </c>
      <c r="E29" s="92">
        <v>1.149884731514887E-2</v>
      </c>
      <c r="F29" s="51" t="s">
        <v>68</v>
      </c>
      <c r="G29" s="74"/>
      <c r="H29" s="74"/>
      <c r="I29" s="91"/>
    </row>
    <row r="30" spans="1:9" ht="14.25" x14ac:dyDescent="0.3">
      <c r="A30" s="65" t="s">
        <v>149</v>
      </c>
      <c r="B30" s="65" t="s">
        <v>191</v>
      </c>
      <c r="C30" s="53">
        <v>10500</v>
      </c>
      <c r="D30" s="71">
        <v>210.77175</v>
      </c>
      <c r="E30" s="92">
        <v>1.1293882491297539E-2</v>
      </c>
      <c r="F30" s="51" t="s">
        <v>66</v>
      </c>
      <c r="G30" s="74"/>
      <c r="H30" s="74"/>
      <c r="I30" s="91"/>
    </row>
    <row r="31" spans="1:9" ht="14.25" x14ac:dyDescent="0.3">
      <c r="A31" s="65" t="s">
        <v>153</v>
      </c>
      <c r="B31" s="65" t="s">
        <v>195</v>
      </c>
      <c r="C31" s="53">
        <v>8400</v>
      </c>
      <c r="D31" s="71">
        <v>194.52719999999999</v>
      </c>
      <c r="E31" s="92">
        <v>1.042344307603431E-2</v>
      </c>
      <c r="F31" s="51" t="s">
        <v>65</v>
      </c>
      <c r="G31" s="74"/>
      <c r="H31" s="74"/>
      <c r="I31" s="91"/>
    </row>
    <row r="32" spans="1:9" ht="14.25" x14ac:dyDescent="0.3">
      <c r="A32" s="65" t="s">
        <v>150</v>
      </c>
      <c r="B32" s="65" t="s">
        <v>181</v>
      </c>
      <c r="C32" s="53">
        <v>216000</v>
      </c>
      <c r="D32" s="71">
        <v>192.24</v>
      </c>
      <c r="E32" s="92">
        <v>1.0300886955329824E-2</v>
      </c>
      <c r="F32" s="51" t="s">
        <v>53</v>
      </c>
      <c r="G32" s="74"/>
      <c r="H32" s="74"/>
      <c r="I32" s="91"/>
    </row>
    <row r="33" spans="1:9" ht="14.25" x14ac:dyDescent="0.3">
      <c r="A33" s="65" t="s">
        <v>135</v>
      </c>
      <c r="B33" s="65" t="s">
        <v>187</v>
      </c>
      <c r="C33" s="53">
        <v>28050</v>
      </c>
      <c r="D33" s="71">
        <v>190.88024999999999</v>
      </c>
      <c r="E33" s="92">
        <v>1.0228026827169662E-2</v>
      </c>
      <c r="F33" s="51" t="s">
        <v>48</v>
      </c>
      <c r="G33" s="74"/>
      <c r="H33" s="74"/>
      <c r="I33" s="91"/>
    </row>
    <row r="34" spans="1:9" ht="14.25" x14ac:dyDescent="0.3">
      <c r="A34" s="65" t="s">
        <v>315</v>
      </c>
      <c r="B34" s="65" t="s">
        <v>190</v>
      </c>
      <c r="C34" s="53">
        <v>140000</v>
      </c>
      <c r="D34" s="71">
        <v>161.25200000000001</v>
      </c>
      <c r="E34" s="92">
        <v>8.6404422769498796E-3</v>
      </c>
      <c r="F34" s="51" t="s">
        <v>353</v>
      </c>
      <c r="G34" s="74"/>
      <c r="H34" s="74"/>
      <c r="I34" s="91"/>
    </row>
    <row r="35" spans="1:9" ht="14.25" x14ac:dyDescent="0.3">
      <c r="A35" s="65" t="s">
        <v>316</v>
      </c>
      <c r="B35" s="65" t="s">
        <v>188</v>
      </c>
      <c r="C35" s="53">
        <v>2025</v>
      </c>
      <c r="D35" s="71">
        <v>159.54671250000001</v>
      </c>
      <c r="E35" s="92">
        <v>8.5490670492977937E-3</v>
      </c>
      <c r="F35" s="51" t="s">
        <v>354</v>
      </c>
      <c r="G35" s="74"/>
      <c r="H35" s="74"/>
      <c r="I35" s="91"/>
    </row>
    <row r="36" spans="1:9" ht="14.25" x14ac:dyDescent="0.3">
      <c r="A36" s="65" t="s">
        <v>317</v>
      </c>
      <c r="B36" s="65" t="s">
        <v>181</v>
      </c>
      <c r="C36" s="53">
        <v>90000</v>
      </c>
      <c r="D36" s="71">
        <v>156.17699999999999</v>
      </c>
      <c r="E36" s="92">
        <v>8.3685061486815752E-3</v>
      </c>
      <c r="F36" s="51" t="s">
        <v>355</v>
      </c>
      <c r="G36" s="74"/>
      <c r="H36" s="74"/>
      <c r="I36" s="91"/>
    </row>
    <row r="37" spans="1:9" ht="14.25" x14ac:dyDescent="0.3">
      <c r="A37" s="65" t="s">
        <v>318</v>
      </c>
      <c r="B37" s="65" t="s">
        <v>183</v>
      </c>
      <c r="C37" s="53">
        <v>10800</v>
      </c>
      <c r="D37" s="71">
        <v>153.17099999999999</v>
      </c>
      <c r="E37" s="92">
        <v>8.2074342271890588E-3</v>
      </c>
      <c r="F37" s="51" t="s">
        <v>356</v>
      </c>
      <c r="G37" s="74"/>
      <c r="H37" s="74"/>
      <c r="I37" s="91"/>
    </row>
    <row r="38" spans="1:9" ht="14.25" x14ac:dyDescent="0.3">
      <c r="A38" s="65" t="s">
        <v>152</v>
      </c>
      <c r="B38" s="65" t="s">
        <v>194</v>
      </c>
      <c r="C38" s="53">
        <v>4900</v>
      </c>
      <c r="D38" s="71">
        <v>150.10415</v>
      </c>
      <c r="E38" s="92">
        <v>8.0431017513309996E-3</v>
      </c>
      <c r="F38" s="51" t="s">
        <v>64</v>
      </c>
      <c r="G38" s="74"/>
      <c r="H38" s="74"/>
      <c r="I38" s="91"/>
    </row>
    <row r="39" spans="1:9" ht="14.25" x14ac:dyDescent="0.3">
      <c r="A39" s="65" t="s">
        <v>163</v>
      </c>
      <c r="B39" s="65" t="s">
        <v>188</v>
      </c>
      <c r="C39" s="53">
        <v>3900</v>
      </c>
      <c r="D39" s="71">
        <v>145.19505000000001</v>
      </c>
      <c r="E39" s="92">
        <v>7.7800551213247065E-3</v>
      </c>
      <c r="F39" s="51" t="s">
        <v>115</v>
      </c>
      <c r="G39" s="74"/>
      <c r="H39" s="74"/>
      <c r="I39" s="91"/>
    </row>
    <row r="40" spans="1:9" ht="14.25" x14ac:dyDescent="0.3">
      <c r="A40" s="65" t="s">
        <v>319</v>
      </c>
      <c r="B40" s="65" t="s">
        <v>320</v>
      </c>
      <c r="C40" s="53">
        <v>21680</v>
      </c>
      <c r="D40" s="71">
        <v>137.93899999999999</v>
      </c>
      <c r="E40" s="92">
        <v>7.3912507580692916E-3</v>
      </c>
      <c r="F40" s="51" t="s">
        <v>357</v>
      </c>
      <c r="G40" s="74"/>
      <c r="H40" s="74"/>
      <c r="I40" s="91"/>
    </row>
    <row r="41" spans="1:9" ht="14.25" x14ac:dyDescent="0.3">
      <c r="A41" s="65" t="s">
        <v>321</v>
      </c>
      <c r="B41" s="65" t="s">
        <v>194</v>
      </c>
      <c r="C41" s="53">
        <v>5800</v>
      </c>
      <c r="D41" s="71">
        <v>135.7577</v>
      </c>
      <c r="E41" s="92">
        <v>7.2743691272137935E-3</v>
      </c>
      <c r="F41" s="51" t="s">
        <v>358</v>
      </c>
      <c r="G41" s="74"/>
      <c r="H41" s="74"/>
      <c r="I41" s="91"/>
    </row>
    <row r="42" spans="1:9" ht="14.25" x14ac:dyDescent="0.3">
      <c r="A42" s="65" t="s">
        <v>157</v>
      </c>
      <c r="B42" s="65" t="s">
        <v>199</v>
      </c>
      <c r="C42" s="53">
        <v>2375</v>
      </c>
      <c r="D42" s="71">
        <v>131.72343749999999</v>
      </c>
      <c r="E42" s="92">
        <v>7.0581993292496538E-3</v>
      </c>
      <c r="F42" s="51" t="s">
        <v>120</v>
      </c>
      <c r="G42" s="74"/>
      <c r="H42" s="74"/>
      <c r="I42" s="91"/>
    </row>
    <row r="43" spans="1:9" ht="14.25" x14ac:dyDescent="0.3">
      <c r="A43" s="65" t="s">
        <v>172</v>
      </c>
      <c r="B43" s="65" t="s">
        <v>181</v>
      </c>
      <c r="C43" s="53">
        <v>7150</v>
      </c>
      <c r="D43" s="71">
        <v>130.71629999999999</v>
      </c>
      <c r="E43" s="92">
        <v>7.0042334036567828E-3</v>
      </c>
      <c r="F43" s="51" t="s">
        <v>114</v>
      </c>
      <c r="G43" s="74"/>
      <c r="H43" s="74"/>
      <c r="I43" s="91"/>
    </row>
    <row r="44" spans="1:9" ht="14.25" x14ac:dyDescent="0.3">
      <c r="A44" s="65" t="s">
        <v>151</v>
      </c>
      <c r="B44" s="65" t="s">
        <v>62</v>
      </c>
      <c r="C44" s="53">
        <v>43500</v>
      </c>
      <c r="D44" s="71">
        <v>127.71599999999999</v>
      </c>
      <c r="E44" s="92">
        <v>6.8434669079635033E-3</v>
      </c>
      <c r="F44" s="51" t="s">
        <v>63</v>
      </c>
      <c r="G44" s="74"/>
      <c r="H44" s="74"/>
      <c r="I44" s="91"/>
    </row>
    <row r="45" spans="1:9" ht="14.25" x14ac:dyDescent="0.3">
      <c r="A45" s="65" t="s">
        <v>155</v>
      </c>
      <c r="B45" s="65" t="s">
        <v>189</v>
      </c>
      <c r="C45" s="53">
        <v>20400</v>
      </c>
      <c r="D45" s="71">
        <v>125.1336</v>
      </c>
      <c r="E45" s="92">
        <v>6.7050929458669379E-3</v>
      </c>
      <c r="F45" s="51" t="s">
        <v>69</v>
      </c>
      <c r="G45" s="74"/>
      <c r="H45" s="74"/>
      <c r="I45" s="91"/>
    </row>
    <row r="46" spans="1:9" ht="14.25" x14ac:dyDescent="0.3">
      <c r="A46" s="65" t="s">
        <v>160</v>
      </c>
      <c r="B46" s="65" t="s">
        <v>200</v>
      </c>
      <c r="C46" s="53">
        <v>17000</v>
      </c>
      <c r="D46" s="71">
        <v>117.572</v>
      </c>
      <c r="E46" s="92">
        <v>6.2999161522681963E-3</v>
      </c>
      <c r="F46" s="51" t="s">
        <v>119</v>
      </c>
      <c r="G46" s="74"/>
      <c r="H46" s="74"/>
      <c r="I46" s="91"/>
    </row>
    <row r="47" spans="1:9" ht="14.25" x14ac:dyDescent="0.3">
      <c r="A47" s="65" t="s">
        <v>158</v>
      </c>
      <c r="B47" s="65" t="s">
        <v>186</v>
      </c>
      <c r="C47" s="53">
        <v>2850</v>
      </c>
      <c r="D47" s="71">
        <v>114.39615000000001</v>
      </c>
      <c r="E47" s="92">
        <v>6.1297430777931435E-3</v>
      </c>
      <c r="F47" s="51" t="s">
        <v>72</v>
      </c>
      <c r="G47" s="74"/>
      <c r="H47" s="74"/>
      <c r="I47" s="91"/>
    </row>
    <row r="48" spans="1:9" ht="14.25" x14ac:dyDescent="0.3">
      <c r="A48" s="65" t="s">
        <v>159</v>
      </c>
      <c r="B48" s="65" t="s">
        <v>193</v>
      </c>
      <c r="C48" s="53">
        <v>44200</v>
      </c>
      <c r="D48" s="71">
        <v>113.27134</v>
      </c>
      <c r="E48" s="92">
        <v>6.0694718509089127E-3</v>
      </c>
      <c r="F48" s="51" t="s">
        <v>71</v>
      </c>
      <c r="G48" s="74"/>
      <c r="H48" s="74"/>
      <c r="I48" s="91"/>
    </row>
    <row r="49" spans="1:9" ht="14.25" x14ac:dyDescent="0.3">
      <c r="A49" s="65" t="s">
        <v>322</v>
      </c>
      <c r="B49" s="65" t="s">
        <v>191</v>
      </c>
      <c r="C49" s="53">
        <v>48000</v>
      </c>
      <c r="D49" s="71">
        <v>111.72</v>
      </c>
      <c r="E49" s="92">
        <v>5.9863456650512273E-3</v>
      </c>
      <c r="F49" s="51" t="s">
        <v>359</v>
      </c>
      <c r="G49" s="74"/>
      <c r="H49" s="74"/>
      <c r="I49" s="91"/>
    </row>
    <row r="50" spans="1:9" ht="14.25" x14ac:dyDescent="0.3">
      <c r="A50" s="65" t="s">
        <v>176</v>
      </c>
      <c r="B50" s="65" t="s">
        <v>181</v>
      </c>
      <c r="C50" s="53">
        <v>13500</v>
      </c>
      <c r="D50" s="71">
        <v>104.1525</v>
      </c>
      <c r="E50" s="92">
        <v>5.5808527289585392E-3</v>
      </c>
      <c r="F50" s="51" t="s">
        <v>39</v>
      </c>
      <c r="G50" s="74"/>
      <c r="H50" s="74"/>
      <c r="I50" s="91"/>
    </row>
    <row r="51" spans="1:9" ht="14.25" x14ac:dyDescent="0.3">
      <c r="A51" s="65" t="s">
        <v>323</v>
      </c>
      <c r="B51" s="65" t="s">
        <v>192</v>
      </c>
      <c r="C51" s="53">
        <v>6375</v>
      </c>
      <c r="D51" s="71">
        <v>98.675437500000001</v>
      </c>
      <c r="E51" s="92">
        <v>5.2873726953558747E-3</v>
      </c>
      <c r="F51" s="51" t="s">
        <v>360</v>
      </c>
      <c r="G51" s="74"/>
      <c r="H51" s="74"/>
      <c r="I51" s="91"/>
    </row>
    <row r="52" spans="1:9" ht="14.25" x14ac:dyDescent="0.3">
      <c r="A52" s="65" t="s">
        <v>324</v>
      </c>
      <c r="B52" s="65" t="s">
        <v>188</v>
      </c>
      <c r="C52" s="53">
        <v>850</v>
      </c>
      <c r="D52" s="71">
        <v>97.938275000000004</v>
      </c>
      <c r="E52" s="92">
        <v>5.2478729680347745E-3</v>
      </c>
      <c r="F52" s="51" t="s">
        <v>361</v>
      </c>
      <c r="G52" s="74"/>
      <c r="H52" s="74"/>
      <c r="I52" s="91"/>
    </row>
    <row r="53" spans="1:9" ht="14.25" x14ac:dyDescent="0.3">
      <c r="A53" s="65" t="s">
        <v>154</v>
      </c>
      <c r="B53" s="65" t="s">
        <v>196</v>
      </c>
      <c r="C53" s="53">
        <v>3900</v>
      </c>
      <c r="D53" s="71">
        <v>88.095150000000004</v>
      </c>
      <c r="E53" s="92">
        <v>4.720444139943946E-3</v>
      </c>
      <c r="F53" s="51" t="s">
        <v>79</v>
      </c>
      <c r="G53" s="74"/>
      <c r="H53" s="74"/>
      <c r="I53" s="91"/>
    </row>
    <row r="54" spans="1:9" ht="14.25" x14ac:dyDescent="0.3">
      <c r="A54" s="65" t="s">
        <v>166</v>
      </c>
      <c r="B54" s="65" t="s">
        <v>182</v>
      </c>
      <c r="C54" s="53">
        <v>28800</v>
      </c>
      <c r="D54" s="71">
        <v>80.199359999999999</v>
      </c>
      <c r="E54" s="92">
        <v>4.2973602853193949E-3</v>
      </c>
      <c r="F54" s="51" t="s">
        <v>118</v>
      </c>
      <c r="G54" s="74"/>
      <c r="H54" s="74"/>
      <c r="I54" s="91"/>
    </row>
    <row r="55" spans="1:9" ht="14.25" x14ac:dyDescent="0.3">
      <c r="A55" s="65" t="s">
        <v>325</v>
      </c>
      <c r="B55" s="65" t="s">
        <v>44</v>
      </c>
      <c r="C55" s="53">
        <v>27000</v>
      </c>
      <c r="D55" s="71">
        <v>78.394499999999994</v>
      </c>
      <c r="E55" s="92">
        <v>4.2006496172472116E-3</v>
      </c>
      <c r="F55" s="51" t="s">
        <v>362</v>
      </c>
      <c r="G55" s="74"/>
      <c r="H55" s="74"/>
      <c r="I55" s="91"/>
    </row>
    <row r="56" spans="1:9" ht="14.25" x14ac:dyDescent="0.3">
      <c r="A56" s="65" t="s">
        <v>129</v>
      </c>
      <c r="B56" s="65" t="s">
        <v>185</v>
      </c>
      <c r="C56" s="53">
        <v>25650</v>
      </c>
      <c r="D56" s="71">
        <v>77.288579999999996</v>
      </c>
      <c r="E56" s="92">
        <v>4.1413905821783481E-3</v>
      </c>
      <c r="F56" s="51" t="s">
        <v>38</v>
      </c>
      <c r="G56" s="74"/>
      <c r="H56" s="74"/>
      <c r="I56" s="91"/>
    </row>
    <row r="57" spans="1:9" ht="14.25" x14ac:dyDescent="0.3">
      <c r="A57" s="65" t="s">
        <v>162</v>
      </c>
      <c r="B57" s="65" t="s">
        <v>201</v>
      </c>
      <c r="C57" s="53">
        <v>11200</v>
      </c>
      <c r="D57" s="71">
        <v>76.434399999999997</v>
      </c>
      <c r="E57" s="92">
        <v>4.0956206507410629E-3</v>
      </c>
      <c r="F57" s="51" t="s">
        <v>75</v>
      </c>
      <c r="G57" s="74"/>
      <c r="H57" s="74"/>
      <c r="I57" s="91"/>
    </row>
    <row r="58" spans="1:9" ht="14.25" x14ac:dyDescent="0.3">
      <c r="A58" s="65" t="s">
        <v>156</v>
      </c>
      <c r="B58" s="65" t="s">
        <v>197</v>
      </c>
      <c r="C58" s="53">
        <v>95625</v>
      </c>
      <c r="D58" s="71">
        <v>72.416812500000006</v>
      </c>
      <c r="E58" s="92">
        <v>3.8803443571983759E-3</v>
      </c>
      <c r="F58" s="51" t="s">
        <v>70</v>
      </c>
      <c r="G58" s="74"/>
      <c r="H58" s="74"/>
      <c r="I58" s="91"/>
    </row>
    <row r="59" spans="1:9" ht="14.25" x14ac:dyDescent="0.3">
      <c r="A59" s="65" t="s">
        <v>164</v>
      </c>
      <c r="B59" s="65" t="s">
        <v>192</v>
      </c>
      <c r="C59" s="53">
        <v>12750</v>
      </c>
      <c r="D59" s="71">
        <v>71.954624999999993</v>
      </c>
      <c r="E59" s="92">
        <v>3.8555787455167982E-3</v>
      </c>
      <c r="F59" s="51" t="s">
        <v>85</v>
      </c>
      <c r="G59" s="74"/>
      <c r="H59" s="74"/>
      <c r="I59" s="91"/>
    </row>
    <row r="60" spans="1:9" ht="14.25" x14ac:dyDescent="0.3">
      <c r="A60" s="65" t="s">
        <v>131</v>
      </c>
      <c r="B60" s="65" t="s">
        <v>181</v>
      </c>
      <c r="C60" s="53">
        <v>6250</v>
      </c>
      <c r="D60" s="71">
        <v>68.875</v>
      </c>
      <c r="E60" s="92">
        <v>3.6905617407841326E-3</v>
      </c>
      <c r="F60" s="51" t="s">
        <v>56</v>
      </c>
      <c r="G60" s="74"/>
      <c r="H60" s="74"/>
      <c r="I60" s="91"/>
    </row>
    <row r="61" spans="1:9" ht="14.25" x14ac:dyDescent="0.3">
      <c r="A61" s="65" t="s">
        <v>326</v>
      </c>
      <c r="B61" s="65" t="s">
        <v>181</v>
      </c>
      <c r="C61" s="53">
        <v>112500</v>
      </c>
      <c r="D61" s="71">
        <v>61.83</v>
      </c>
      <c r="E61" s="92">
        <v>3.3130661696215307E-3</v>
      </c>
      <c r="F61" s="51" t="s">
        <v>363</v>
      </c>
      <c r="G61" s="74"/>
      <c r="H61" s="74"/>
      <c r="I61" s="91"/>
    </row>
    <row r="62" spans="1:9" ht="14.25" x14ac:dyDescent="0.3">
      <c r="A62" s="65" t="s">
        <v>327</v>
      </c>
      <c r="B62" s="65" t="s">
        <v>328</v>
      </c>
      <c r="C62" s="53">
        <v>25025</v>
      </c>
      <c r="D62" s="71">
        <v>61.656595000000003</v>
      </c>
      <c r="E62" s="92">
        <v>3.3037745273905225E-3</v>
      </c>
      <c r="F62" s="51" t="s">
        <v>364</v>
      </c>
      <c r="G62" s="74"/>
      <c r="H62" s="74"/>
      <c r="I62" s="91"/>
    </row>
    <row r="63" spans="1:9" ht="14.25" x14ac:dyDescent="0.3">
      <c r="A63" s="65" t="s">
        <v>147</v>
      </c>
      <c r="B63" s="65" t="s">
        <v>181</v>
      </c>
      <c r="C63" s="53">
        <v>64000</v>
      </c>
      <c r="D63" s="71">
        <v>61.523200000000003</v>
      </c>
      <c r="E63" s="92">
        <v>3.2966267599362662E-3</v>
      </c>
      <c r="F63" s="51" t="s">
        <v>49</v>
      </c>
      <c r="G63" s="74"/>
      <c r="H63" s="74"/>
      <c r="I63" s="91"/>
    </row>
    <row r="64" spans="1:9" ht="14.25" x14ac:dyDescent="0.3">
      <c r="A64" s="65" t="s">
        <v>169</v>
      </c>
      <c r="B64" s="65" t="s">
        <v>202</v>
      </c>
      <c r="C64" s="53">
        <v>15000</v>
      </c>
      <c r="D64" s="71">
        <v>58.612499999999997</v>
      </c>
      <c r="E64" s="92">
        <v>3.1406613434731031E-3</v>
      </c>
      <c r="F64" s="51" t="s">
        <v>78</v>
      </c>
      <c r="G64" s="74"/>
      <c r="H64" s="74"/>
      <c r="I64" s="91"/>
    </row>
    <row r="65" spans="1:9" ht="14.25" x14ac:dyDescent="0.3">
      <c r="A65" s="65" t="s">
        <v>165</v>
      </c>
      <c r="B65" s="65" t="s">
        <v>194</v>
      </c>
      <c r="C65" s="53">
        <v>16200</v>
      </c>
      <c r="D65" s="71">
        <v>57.3399</v>
      </c>
      <c r="E65" s="92">
        <v>3.072471015032858E-3</v>
      </c>
      <c r="F65" s="51" t="s">
        <v>80</v>
      </c>
      <c r="G65" s="74"/>
      <c r="H65" s="74"/>
      <c r="I65" s="91"/>
    </row>
    <row r="66" spans="1:9" ht="14.25" x14ac:dyDescent="0.3">
      <c r="A66" s="65" t="s">
        <v>167</v>
      </c>
      <c r="B66" s="65" t="s">
        <v>193</v>
      </c>
      <c r="C66" s="53">
        <v>1000</v>
      </c>
      <c r="D66" s="71">
        <v>53.2515</v>
      </c>
      <c r="E66" s="92">
        <v>2.8534003417693826E-3</v>
      </c>
      <c r="F66" s="51" t="s">
        <v>76</v>
      </c>
      <c r="G66" s="74"/>
      <c r="H66" s="74"/>
      <c r="I66" s="91"/>
    </row>
    <row r="67" spans="1:9" ht="14.25" x14ac:dyDescent="0.3">
      <c r="A67" s="65" t="s">
        <v>132</v>
      </c>
      <c r="B67" s="65" t="s">
        <v>57</v>
      </c>
      <c r="C67" s="53">
        <v>1500</v>
      </c>
      <c r="D67" s="71">
        <v>52.384500000000003</v>
      </c>
      <c r="E67" s="92">
        <v>2.8069434702011819E-3</v>
      </c>
      <c r="F67" s="51" t="s">
        <v>58</v>
      </c>
      <c r="G67" s="74"/>
      <c r="H67" s="74"/>
      <c r="I67" s="91"/>
    </row>
    <row r="68" spans="1:9" ht="14.25" x14ac:dyDescent="0.3">
      <c r="A68" s="65" t="s">
        <v>329</v>
      </c>
      <c r="B68" s="65" t="s">
        <v>313</v>
      </c>
      <c r="C68" s="53">
        <v>2000</v>
      </c>
      <c r="D68" s="71">
        <v>52.222999999999999</v>
      </c>
      <c r="E68" s="92">
        <v>2.7982897392227913E-3</v>
      </c>
      <c r="F68" s="51" t="s">
        <v>365</v>
      </c>
      <c r="G68" s="74"/>
      <c r="H68" s="74"/>
      <c r="I68" s="91"/>
    </row>
    <row r="69" spans="1:9" ht="14.25" x14ac:dyDescent="0.3">
      <c r="A69" s="65" t="s">
        <v>330</v>
      </c>
      <c r="B69" s="65" t="s">
        <v>331</v>
      </c>
      <c r="C69" s="53">
        <v>39050</v>
      </c>
      <c r="D69" s="71">
        <v>51.139879999999998</v>
      </c>
      <c r="E69" s="92">
        <v>2.7402524073508769E-3</v>
      </c>
      <c r="F69" s="51" t="s">
        <v>366</v>
      </c>
      <c r="G69" s="74"/>
      <c r="H69" s="74"/>
      <c r="I69" s="91"/>
    </row>
    <row r="70" spans="1:9" ht="14.25" x14ac:dyDescent="0.3">
      <c r="A70" s="65" t="s">
        <v>177</v>
      </c>
      <c r="B70" s="65" t="s">
        <v>186</v>
      </c>
      <c r="C70" s="53">
        <v>900</v>
      </c>
      <c r="D70" s="71">
        <v>47.805750000000003</v>
      </c>
      <c r="E70" s="92">
        <v>2.5615981406822657E-3</v>
      </c>
      <c r="F70" s="51" t="s">
        <v>84</v>
      </c>
      <c r="G70" s="74"/>
      <c r="H70" s="74"/>
      <c r="I70" s="91"/>
    </row>
    <row r="71" spans="1:9" ht="14.25" x14ac:dyDescent="0.3">
      <c r="A71" s="65" t="s">
        <v>332</v>
      </c>
      <c r="B71" s="65" t="s">
        <v>197</v>
      </c>
      <c r="C71" s="53">
        <v>4000</v>
      </c>
      <c r="D71" s="71">
        <v>47.317999999999998</v>
      </c>
      <c r="E71" s="92">
        <v>2.5354628014580558E-3</v>
      </c>
      <c r="F71" s="51" t="s">
        <v>367</v>
      </c>
      <c r="G71" s="74"/>
      <c r="H71" s="74"/>
      <c r="I71" s="91"/>
    </row>
    <row r="72" spans="1:9" ht="14.25" x14ac:dyDescent="0.3">
      <c r="A72" s="65" t="s">
        <v>168</v>
      </c>
      <c r="B72" s="65" t="s">
        <v>190</v>
      </c>
      <c r="C72" s="53">
        <v>3375</v>
      </c>
      <c r="D72" s="71">
        <v>35.883000000000003</v>
      </c>
      <c r="E72" s="92">
        <v>1.9227357814091766E-3</v>
      </c>
      <c r="F72" s="51" t="s">
        <v>77</v>
      </c>
      <c r="G72" s="74"/>
      <c r="H72" s="74"/>
      <c r="I72" s="91"/>
    </row>
    <row r="73" spans="1:9" ht="14.25" x14ac:dyDescent="0.3">
      <c r="A73" s="65" t="s">
        <v>333</v>
      </c>
      <c r="B73" s="65" t="s">
        <v>62</v>
      </c>
      <c r="C73" s="53">
        <v>18800</v>
      </c>
      <c r="D73" s="71">
        <v>34.411520000000003</v>
      </c>
      <c r="E73" s="92">
        <v>1.8438887717492267E-3</v>
      </c>
      <c r="F73" s="51" t="s">
        <v>368</v>
      </c>
      <c r="G73" s="74"/>
      <c r="H73" s="74"/>
      <c r="I73" s="91"/>
    </row>
    <row r="74" spans="1:9" ht="14.25" x14ac:dyDescent="0.3">
      <c r="A74" s="65" t="s">
        <v>146</v>
      </c>
      <c r="B74" s="65" t="s">
        <v>189</v>
      </c>
      <c r="C74" s="53">
        <v>10000</v>
      </c>
      <c r="D74" s="71">
        <v>34.17</v>
      </c>
      <c r="E74" s="92">
        <v>1.8309472912173331E-3</v>
      </c>
      <c r="F74" s="51" t="s">
        <v>40</v>
      </c>
      <c r="G74" s="74"/>
      <c r="H74" s="74"/>
      <c r="I74" s="91"/>
    </row>
    <row r="75" spans="1:9" ht="14.25" x14ac:dyDescent="0.3">
      <c r="A75" s="65" t="s">
        <v>334</v>
      </c>
      <c r="B75" s="65" t="s">
        <v>193</v>
      </c>
      <c r="C75" s="53">
        <v>450</v>
      </c>
      <c r="D75" s="71">
        <v>32.316299999999998</v>
      </c>
      <c r="E75" s="92">
        <v>1.7316196062969475E-3</v>
      </c>
      <c r="F75" s="51" t="s">
        <v>369</v>
      </c>
      <c r="G75" s="74"/>
      <c r="H75" s="74"/>
      <c r="I75" s="91"/>
    </row>
    <row r="76" spans="1:9" ht="14.25" x14ac:dyDescent="0.3">
      <c r="A76" s="65" t="s">
        <v>335</v>
      </c>
      <c r="B76" s="65" t="s">
        <v>181</v>
      </c>
      <c r="C76" s="53">
        <v>15000</v>
      </c>
      <c r="D76" s="71">
        <v>28.909500000000001</v>
      </c>
      <c r="E76" s="92">
        <v>1.5490714286054284E-3</v>
      </c>
      <c r="F76" s="51" t="s">
        <v>370</v>
      </c>
      <c r="G76" s="74"/>
      <c r="H76" s="74"/>
      <c r="I76" s="91"/>
    </row>
    <row r="77" spans="1:9" ht="14.25" x14ac:dyDescent="0.3">
      <c r="A77" s="65" t="s">
        <v>336</v>
      </c>
      <c r="B77" s="65" t="s">
        <v>189</v>
      </c>
      <c r="C77" s="53">
        <v>2200</v>
      </c>
      <c r="D77" s="71">
        <v>25.530999999999999</v>
      </c>
      <c r="E77" s="92">
        <v>1.3680396632153858E-3</v>
      </c>
      <c r="F77" s="51" t="s">
        <v>371</v>
      </c>
      <c r="G77" s="74"/>
      <c r="H77" s="74"/>
      <c r="I77" s="91"/>
    </row>
    <row r="78" spans="1:9" ht="14.25" x14ac:dyDescent="0.3">
      <c r="A78" s="65" t="s">
        <v>171</v>
      </c>
      <c r="B78" s="65" t="s">
        <v>204</v>
      </c>
      <c r="C78" s="53">
        <v>5000</v>
      </c>
      <c r="D78" s="71">
        <v>25.324999999999999</v>
      </c>
      <c r="E78" s="92">
        <v>1.3570014676640024E-3</v>
      </c>
      <c r="F78" s="51" t="s">
        <v>116</v>
      </c>
      <c r="G78" s="74"/>
      <c r="H78" s="74"/>
      <c r="I78" s="91"/>
    </row>
    <row r="79" spans="1:9" ht="14.25" x14ac:dyDescent="0.3">
      <c r="A79" s="65" t="s">
        <v>337</v>
      </c>
      <c r="B79" s="65" t="s">
        <v>191</v>
      </c>
      <c r="C79" s="53">
        <v>3750</v>
      </c>
      <c r="D79" s="71">
        <v>24.6</v>
      </c>
      <c r="E79" s="92">
        <v>1.3181534493399588E-3</v>
      </c>
      <c r="F79" s="51" t="s">
        <v>372</v>
      </c>
      <c r="G79" s="74"/>
      <c r="H79" s="74"/>
      <c r="I79" s="91"/>
    </row>
    <row r="80" spans="1:9" ht="14.25" x14ac:dyDescent="0.3">
      <c r="A80" s="65" t="s">
        <v>170</v>
      </c>
      <c r="B80" s="65" t="s">
        <v>203</v>
      </c>
      <c r="C80" s="53">
        <v>750</v>
      </c>
      <c r="D80" s="71">
        <v>24.375374999999998</v>
      </c>
      <c r="E80" s="92">
        <v>1.306117261593699E-3</v>
      </c>
      <c r="F80" s="51" t="s">
        <v>81</v>
      </c>
      <c r="G80" s="74"/>
      <c r="H80" s="74"/>
      <c r="I80" s="91"/>
    </row>
    <row r="81" spans="1:9" ht="14.25" x14ac:dyDescent="0.3">
      <c r="A81" s="65" t="s">
        <v>338</v>
      </c>
      <c r="B81" s="65" t="s">
        <v>44</v>
      </c>
      <c r="C81" s="53">
        <v>4500</v>
      </c>
      <c r="D81" s="71">
        <v>24.205500000000001</v>
      </c>
      <c r="E81" s="92">
        <v>1.297014769024324E-3</v>
      </c>
      <c r="F81" s="51" t="s">
        <v>373</v>
      </c>
      <c r="G81" s="74"/>
      <c r="H81" s="74"/>
      <c r="I81" s="91"/>
    </row>
    <row r="82" spans="1:9" ht="14.25" x14ac:dyDescent="0.3">
      <c r="A82" s="65" t="s">
        <v>339</v>
      </c>
      <c r="B82" s="65" t="s">
        <v>340</v>
      </c>
      <c r="C82" s="53">
        <v>3600</v>
      </c>
      <c r="D82" s="71">
        <v>23.459399999999999</v>
      </c>
      <c r="E82" s="92">
        <v>1.257036139408367E-3</v>
      </c>
      <c r="F82" s="51" t="s">
        <v>374</v>
      </c>
      <c r="G82" s="74"/>
      <c r="H82" s="74"/>
      <c r="I82" s="91"/>
    </row>
    <row r="83" spans="1:9" ht="14.25" x14ac:dyDescent="0.3">
      <c r="A83" s="65" t="s">
        <v>173</v>
      </c>
      <c r="B83" s="65" t="s">
        <v>205</v>
      </c>
      <c r="C83" s="53">
        <v>1500</v>
      </c>
      <c r="D83" s="71">
        <v>18.973500000000001</v>
      </c>
      <c r="E83" s="92">
        <v>1.016666035408606E-3</v>
      </c>
      <c r="F83" s="51" t="s">
        <v>117</v>
      </c>
      <c r="G83" s="74"/>
      <c r="H83" s="74"/>
      <c r="I83" s="91"/>
    </row>
    <row r="84" spans="1:9" ht="14.25" x14ac:dyDescent="0.3">
      <c r="A84" s="65" t="s">
        <v>341</v>
      </c>
      <c r="B84" s="65" t="s">
        <v>342</v>
      </c>
      <c r="C84" s="53">
        <v>800</v>
      </c>
      <c r="D84" s="71">
        <v>18.006</v>
      </c>
      <c r="E84" s="92">
        <v>9.6482402474858933E-4</v>
      </c>
      <c r="F84" s="51" t="s">
        <v>375</v>
      </c>
      <c r="G84" s="74"/>
      <c r="H84" s="74"/>
      <c r="I84" s="91"/>
    </row>
    <row r="85" spans="1:9" ht="14.25" x14ac:dyDescent="0.3">
      <c r="A85" s="65" t="s">
        <v>174</v>
      </c>
      <c r="B85" s="65" t="s">
        <v>190</v>
      </c>
      <c r="C85" s="53">
        <v>1875</v>
      </c>
      <c r="D85" s="71">
        <v>17.105625</v>
      </c>
      <c r="E85" s="92">
        <v>9.1657880475064365E-4</v>
      </c>
      <c r="F85" s="51" t="s">
        <v>82</v>
      </c>
      <c r="G85" s="74"/>
      <c r="H85" s="74"/>
      <c r="I85" s="91"/>
    </row>
    <row r="86" spans="1:9" ht="14.25" x14ac:dyDescent="0.3">
      <c r="A86" s="65" t="s">
        <v>175</v>
      </c>
      <c r="B86" s="65" t="s">
        <v>202</v>
      </c>
      <c r="C86" s="53">
        <v>500</v>
      </c>
      <c r="D86" s="71">
        <v>14.246499999999999</v>
      </c>
      <c r="E86" s="92">
        <v>7.6337695593584238E-4</v>
      </c>
      <c r="F86" s="51" t="s">
        <v>83</v>
      </c>
      <c r="G86" s="74"/>
      <c r="H86" s="74"/>
      <c r="I86" s="91"/>
    </row>
    <row r="87" spans="1:9" ht="14.25" x14ac:dyDescent="0.3">
      <c r="A87" s="65" t="s">
        <v>343</v>
      </c>
      <c r="B87" s="65" t="s">
        <v>191</v>
      </c>
      <c r="C87" s="53">
        <v>2600</v>
      </c>
      <c r="D87" s="71">
        <v>10.7705</v>
      </c>
      <c r="E87" s="92">
        <v>5.7712080187463525E-4</v>
      </c>
      <c r="F87" s="51" t="s">
        <v>376</v>
      </c>
      <c r="G87" s="74"/>
      <c r="H87" s="74"/>
      <c r="I87" s="91"/>
    </row>
    <row r="88" spans="1:9" ht="14.25" x14ac:dyDescent="0.3">
      <c r="A88" s="65" t="s">
        <v>344</v>
      </c>
      <c r="B88" s="65" t="s">
        <v>191</v>
      </c>
      <c r="C88" s="53">
        <v>3100</v>
      </c>
      <c r="D88" s="71">
        <v>10.15715</v>
      </c>
      <c r="E88" s="92">
        <v>5.4425537837249447E-4</v>
      </c>
      <c r="F88" s="51" t="s">
        <v>377</v>
      </c>
      <c r="G88" s="74"/>
      <c r="H88" s="74"/>
      <c r="I88" s="91"/>
    </row>
    <row r="89" spans="1:9" ht="14.25" x14ac:dyDescent="0.3">
      <c r="A89" s="65" t="s">
        <v>178</v>
      </c>
      <c r="B89" s="65" t="s">
        <v>206</v>
      </c>
      <c r="C89" s="53">
        <v>13500</v>
      </c>
      <c r="D89" s="71">
        <v>9.3001500000000004</v>
      </c>
      <c r="E89" s="92">
        <v>4.9833434153979744E-4</v>
      </c>
      <c r="F89" s="51" t="s">
        <v>86</v>
      </c>
      <c r="G89" s="74"/>
      <c r="H89" s="74"/>
      <c r="I89" s="91"/>
    </row>
    <row r="90" spans="1:9" ht="14.25" x14ac:dyDescent="0.3">
      <c r="A90" s="65" t="s">
        <v>345</v>
      </c>
      <c r="B90" s="65" t="s">
        <v>181</v>
      </c>
      <c r="C90" s="53">
        <v>52000</v>
      </c>
      <c r="D90" s="71">
        <v>8.7775999999999996</v>
      </c>
      <c r="E90" s="92">
        <v>4.7033429743603342E-4</v>
      </c>
      <c r="F90" s="51" t="s">
        <v>378</v>
      </c>
      <c r="G90" s="74"/>
      <c r="H90" s="74"/>
      <c r="I90" s="91"/>
    </row>
    <row r="91" spans="1:9" ht="14.25" x14ac:dyDescent="0.3">
      <c r="A91" s="65" t="s">
        <v>346</v>
      </c>
      <c r="B91" s="65" t="s">
        <v>182</v>
      </c>
      <c r="C91" s="53">
        <v>2025</v>
      </c>
      <c r="D91" s="71">
        <v>7.2970874999999999</v>
      </c>
      <c r="E91" s="92">
        <v>3.9100329505123969E-4</v>
      </c>
      <c r="F91" s="51" t="s">
        <v>379</v>
      </c>
      <c r="G91" s="74"/>
      <c r="H91" s="74"/>
      <c r="I91" s="91"/>
    </row>
    <row r="92" spans="1:9" ht="14.25" x14ac:dyDescent="0.3">
      <c r="A92" s="65" t="s">
        <v>347</v>
      </c>
      <c r="B92" s="65" t="s">
        <v>198</v>
      </c>
      <c r="C92" s="53">
        <v>875</v>
      </c>
      <c r="D92" s="71">
        <v>6.3656249999999996</v>
      </c>
      <c r="E92" s="92">
        <v>3.4109229881929573E-4</v>
      </c>
      <c r="F92" s="51" t="s">
        <v>380</v>
      </c>
      <c r="G92" s="74"/>
      <c r="H92" s="74"/>
      <c r="I92" s="91"/>
    </row>
    <row r="93" spans="1:9" ht="14.25" x14ac:dyDescent="0.3">
      <c r="A93" s="65" t="s">
        <v>348</v>
      </c>
      <c r="B93" s="65" t="s">
        <v>181</v>
      </c>
      <c r="C93" s="53">
        <v>4825</v>
      </c>
      <c r="D93" s="71">
        <v>5.1685400000000001</v>
      </c>
      <c r="E93" s="92">
        <v>2.7694832638420938E-4</v>
      </c>
      <c r="F93" s="51" t="s">
        <v>381</v>
      </c>
      <c r="G93" s="74"/>
      <c r="H93" s="74"/>
      <c r="I93" s="91"/>
    </row>
    <row r="94" spans="1:9" ht="14.25" x14ac:dyDescent="0.3">
      <c r="A94" s="55" t="s">
        <v>87</v>
      </c>
      <c r="B94" s="54"/>
      <c r="C94" s="53"/>
      <c r="D94" s="70">
        <f>SUM(D7:D93)</f>
        <v>13988.583100000002</v>
      </c>
      <c r="E94" s="94">
        <f>SUM(E7:E93)</f>
        <v>0.7495568725464905</v>
      </c>
      <c r="F94" s="51"/>
      <c r="G94" s="74"/>
      <c r="H94" s="74"/>
      <c r="I94" s="93"/>
    </row>
    <row r="95" spans="1:9" ht="14.25" x14ac:dyDescent="0.3">
      <c r="A95" s="55" t="s">
        <v>88</v>
      </c>
      <c r="B95" s="54"/>
      <c r="C95" s="53"/>
      <c r="D95" s="70"/>
      <c r="E95" s="66"/>
      <c r="F95" s="51"/>
      <c r="G95" s="74"/>
      <c r="H95" s="74"/>
    </row>
    <row r="96" spans="1:9" ht="14.25" x14ac:dyDescent="0.3">
      <c r="A96" s="55" t="s">
        <v>87</v>
      </c>
      <c r="B96" s="54"/>
      <c r="C96" s="53"/>
      <c r="D96" s="70" t="s">
        <v>89</v>
      </c>
      <c r="E96" s="66" t="s">
        <v>89</v>
      </c>
      <c r="F96" s="51"/>
      <c r="G96" s="74"/>
      <c r="H96" s="74"/>
    </row>
    <row r="97" spans="1:8" ht="14.25" x14ac:dyDescent="0.3">
      <c r="A97" s="55" t="s">
        <v>90</v>
      </c>
      <c r="B97" s="54"/>
      <c r="C97" s="53"/>
      <c r="D97" s="70"/>
      <c r="E97" s="66"/>
      <c r="F97" s="51"/>
      <c r="G97" s="74"/>
      <c r="H97" s="74"/>
    </row>
    <row r="98" spans="1:8" ht="14.25" x14ac:dyDescent="0.3">
      <c r="A98" s="55" t="s">
        <v>87</v>
      </c>
      <c r="B98" s="54"/>
      <c r="C98" s="53"/>
      <c r="D98" s="70" t="s">
        <v>89</v>
      </c>
      <c r="E98" s="66" t="s">
        <v>89</v>
      </c>
      <c r="F98" s="51"/>
      <c r="G98" s="74"/>
      <c r="H98" s="74"/>
    </row>
    <row r="99" spans="1:8" ht="14.25" x14ac:dyDescent="0.3">
      <c r="A99" s="60"/>
      <c r="B99" s="60"/>
      <c r="C99" s="61"/>
      <c r="D99" s="72"/>
      <c r="E99" s="68"/>
      <c r="F99" s="62"/>
      <c r="G99" s="80"/>
      <c r="H99" s="80"/>
    </row>
    <row r="100" spans="1:8" ht="13.5" x14ac:dyDescent="0.25">
      <c r="A100" s="60" t="s">
        <v>110</v>
      </c>
      <c r="B100" s="60"/>
      <c r="C100" s="61"/>
      <c r="D100" s="87" t="s">
        <v>89</v>
      </c>
      <c r="E100" s="88" t="s">
        <v>89</v>
      </c>
      <c r="F100" s="63"/>
      <c r="G100" s="80"/>
      <c r="H100" s="80"/>
    </row>
    <row r="101" spans="1:8" ht="14.25" x14ac:dyDescent="0.3">
      <c r="A101" s="60"/>
      <c r="B101" s="55"/>
      <c r="C101" s="61"/>
      <c r="D101" s="73"/>
      <c r="E101" s="69"/>
      <c r="F101" s="64"/>
      <c r="G101" s="80"/>
      <c r="H101" s="80"/>
    </row>
    <row r="102" spans="1:8" ht="14.25" x14ac:dyDescent="0.3">
      <c r="A102" s="55" t="s">
        <v>91</v>
      </c>
      <c r="B102" s="54"/>
      <c r="C102" s="53"/>
      <c r="D102" s="70">
        <f>+D94</f>
        <v>13988.583100000002</v>
      </c>
      <c r="E102" s="94">
        <f>+E94</f>
        <v>0.7495568725464905</v>
      </c>
      <c r="F102" s="51"/>
      <c r="G102" s="74"/>
      <c r="H102" s="74"/>
    </row>
    <row r="103" spans="1:8" x14ac:dyDescent="0.2">
      <c r="A103" s="81"/>
      <c r="B103" s="82"/>
      <c r="C103" s="83"/>
      <c r="D103" s="84"/>
      <c r="E103" s="85"/>
      <c r="F103" s="86"/>
      <c r="G103" s="80"/>
      <c r="H103" s="80"/>
    </row>
    <row r="104" spans="1:8" ht="14.25" x14ac:dyDescent="0.3">
      <c r="A104" s="55" t="s">
        <v>92</v>
      </c>
      <c r="B104" s="54"/>
      <c r="C104" s="53"/>
      <c r="D104" s="70"/>
      <c r="E104" s="66"/>
      <c r="F104" s="51"/>
      <c r="G104" s="74"/>
      <c r="H104" s="74"/>
    </row>
    <row r="105" spans="1:8" ht="14.25" x14ac:dyDescent="0.3">
      <c r="A105" s="55" t="s">
        <v>93</v>
      </c>
      <c r="B105" s="54"/>
      <c r="C105" s="53"/>
      <c r="D105" s="70"/>
      <c r="E105" s="66"/>
      <c r="F105" s="51"/>
      <c r="G105" s="74"/>
      <c r="H105" s="74"/>
    </row>
    <row r="106" spans="1:8" ht="14.25" x14ac:dyDescent="0.3">
      <c r="A106" s="55" t="s">
        <v>87</v>
      </c>
      <c r="B106" s="54"/>
      <c r="C106" s="53"/>
      <c r="D106" s="70" t="s">
        <v>89</v>
      </c>
      <c r="E106" s="66" t="s">
        <v>89</v>
      </c>
      <c r="F106" s="51"/>
      <c r="G106" s="74"/>
      <c r="H106" s="74"/>
    </row>
    <row r="107" spans="1:8" ht="14.25" x14ac:dyDescent="0.3">
      <c r="A107" s="55" t="s">
        <v>94</v>
      </c>
      <c r="B107" s="54"/>
      <c r="C107" s="53"/>
      <c r="D107" s="70"/>
      <c r="E107" s="66"/>
      <c r="F107" s="51"/>
      <c r="G107" s="74"/>
      <c r="H107" s="74"/>
    </row>
    <row r="108" spans="1:8" ht="14.25" x14ac:dyDescent="0.3">
      <c r="A108" s="55" t="s">
        <v>87</v>
      </c>
      <c r="B108" s="54"/>
      <c r="C108" s="53"/>
      <c r="D108" s="70" t="s">
        <v>89</v>
      </c>
      <c r="E108" s="66" t="s">
        <v>89</v>
      </c>
      <c r="F108" s="51"/>
      <c r="G108" s="74"/>
      <c r="H108" s="74"/>
    </row>
    <row r="109" spans="1:8" ht="14.25" x14ac:dyDescent="0.3">
      <c r="A109" s="55" t="s">
        <v>95</v>
      </c>
      <c r="B109" s="54"/>
      <c r="C109" s="53"/>
      <c r="D109" s="70"/>
      <c r="E109" s="66"/>
      <c r="F109" s="51"/>
      <c r="G109" s="74"/>
      <c r="H109" s="74"/>
    </row>
    <row r="110" spans="1:8" ht="14.25" x14ac:dyDescent="0.3">
      <c r="A110" s="55" t="s">
        <v>87</v>
      </c>
      <c r="B110" s="54"/>
      <c r="C110" s="53"/>
      <c r="D110" s="70" t="s">
        <v>89</v>
      </c>
      <c r="E110" s="66" t="s">
        <v>89</v>
      </c>
      <c r="F110" s="51"/>
      <c r="G110" s="74"/>
      <c r="H110" s="74"/>
    </row>
    <row r="111" spans="1:8" ht="14.25" x14ac:dyDescent="0.3">
      <c r="A111" s="55" t="s">
        <v>91</v>
      </c>
      <c r="B111" s="54"/>
      <c r="C111" s="53"/>
      <c r="D111" s="70" t="s">
        <v>89</v>
      </c>
      <c r="E111" s="66" t="s">
        <v>89</v>
      </c>
      <c r="F111" s="51"/>
      <c r="G111" s="74"/>
      <c r="H111" s="74"/>
    </row>
    <row r="112" spans="1:8" ht="14.25" x14ac:dyDescent="0.3">
      <c r="A112" s="55"/>
      <c r="B112" s="54"/>
      <c r="C112" s="53"/>
      <c r="D112" s="70"/>
      <c r="E112" s="66"/>
      <c r="F112" s="51"/>
      <c r="G112" s="74"/>
      <c r="H112" s="74"/>
    </row>
    <row r="113" spans="1:9" ht="14.25" x14ac:dyDescent="0.3">
      <c r="A113" s="55" t="s">
        <v>96</v>
      </c>
      <c r="B113" s="54"/>
      <c r="C113" s="53"/>
      <c r="D113" s="70"/>
      <c r="E113" s="66"/>
      <c r="F113" s="51"/>
      <c r="G113" s="74"/>
      <c r="H113" s="74"/>
    </row>
    <row r="114" spans="1:9" ht="14.25" x14ac:dyDescent="0.3">
      <c r="A114" s="55" t="s">
        <v>99</v>
      </c>
      <c r="B114" s="54"/>
      <c r="C114" s="53"/>
      <c r="D114" s="70"/>
      <c r="E114" s="66"/>
      <c r="F114" s="51"/>
      <c r="G114" s="74"/>
      <c r="H114" s="74"/>
    </row>
    <row r="115" spans="1:9" ht="14.25" x14ac:dyDescent="0.3">
      <c r="A115" s="65" t="s">
        <v>122</v>
      </c>
      <c r="B115" s="65" t="s">
        <v>100</v>
      </c>
      <c r="C115" s="53">
        <v>500000</v>
      </c>
      <c r="D115" s="71">
        <v>494.92</v>
      </c>
      <c r="E115" s="67">
        <v>2.6519532729566357E-2</v>
      </c>
      <c r="F115" s="51" t="s">
        <v>123</v>
      </c>
      <c r="G115" s="74" t="s">
        <v>179</v>
      </c>
      <c r="H115" s="74"/>
      <c r="I115" s="91"/>
    </row>
    <row r="116" spans="1:9" ht="14.25" x14ac:dyDescent="0.3">
      <c r="A116" s="65" t="s">
        <v>105</v>
      </c>
      <c r="B116" s="65" t="s">
        <v>100</v>
      </c>
      <c r="C116" s="53">
        <v>500000</v>
      </c>
      <c r="D116" s="71">
        <v>493.74700000000001</v>
      </c>
      <c r="E116" s="67">
        <v>2.6456679315091734E-2</v>
      </c>
      <c r="F116" s="51" t="s">
        <v>106</v>
      </c>
      <c r="G116" s="74" t="s">
        <v>388</v>
      </c>
      <c r="H116" s="74"/>
      <c r="I116" s="91"/>
    </row>
    <row r="117" spans="1:9" ht="14.25" x14ac:dyDescent="0.3">
      <c r="A117" s="65" t="s">
        <v>101</v>
      </c>
      <c r="B117" s="65" t="s">
        <v>100</v>
      </c>
      <c r="C117" s="53">
        <v>300000</v>
      </c>
      <c r="D117" s="71">
        <v>299.16449999999998</v>
      </c>
      <c r="E117" s="67">
        <v>1.6030273072970086E-2</v>
      </c>
      <c r="F117" s="51" t="s">
        <v>102</v>
      </c>
      <c r="G117" s="74" t="s">
        <v>386</v>
      </c>
      <c r="H117" s="74"/>
      <c r="I117" s="91"/>
    </row>
    <row r="118" spans="1:9" ht="14.25" x14ac:dyDescent="0.3">
      <c r="A118" s="65" t="s">
        <v>103</v>
      </c>
      <c r="B118" s="65" t="s">
        <v>100</v>
      </c>
      <c r="C118" s="53">
        <v>300000</v>
      </c>
      <c r="D118" s="71">
        <v>298.79969999999997</v>
      </c>
      <c r="E118" s="67">
        <v>1.6010725821818898E-2</v>
      </c>
      <c r="F118" s="51" t="s">
        <v>104</v>
      </c>
      <c r="G118" s="74" t="s">
        <v>387</v>
      </c>
      <c r="H118" s="74"/>
      <c r="I118" s="91"/>
    </row>
    <row r="119" spans="1:9" ht="14.25" x14ac:dyDescent="0.3">
      <c r="A119" s="65" t="s">
        <v>383</v>
      </c>
      <c r="B119" s="65" t="s">
        <v>100</v>
      </c>
      <c r="C119" s="53">
        <v>300000</v>
      </c>
      <c r="D119" s="71">
        <v>291.51119999999997</v>
      </c>
      <c r="E119" s="67">
        <v>1.5620182674846772E-2</v>
      </c>
      <c r="F119" s="51" t="s">
        <v>385</v>
      </c>
      <c r="G119" s="74" t="s">
        <v>390</v>
      </c>
      <c r="H119" s="74"/>
      <c r="I119" s="91"/>
    </row>
    <row r="120" spans="1:9" ht="14.25" x14ac:dyDescent="0.3">
      <c r="A120" s="65" t="s">
        <v>121</v>
      </c>
      <c r="B120" s="65" t="s">
        <v>100</v>
      </c>
      <c r="C120" s="53">
        <v>210000</v>
      </c>
      <c r="D120" s="71">
        <v>209.64006000000001</v>
      </c>
      <c r="E120" s="67">
        <v>1.1233242610115282E-2</v>
      </c>
      <c r="F120" s="51" t="s">
        <v>124</v>
      </c>
      <c r="G120" s="74" t="s">
        <v>391</v>
      </c>
      <c r="H120" s="74"/>
      <c r="I120" s="91"/>
    </row>
    <row r="121" spans="1:9" ht="14.25" x14ac:dyDescent="0.3">
      <c r="A121" s="65" t="s">
        <v>382</v>
      </c>
      <c r="B121" s="65" t="s">
        <v>100</v>
      </c>
      <c r="C121" s="53">
        <v>200000</v>
      </c>
      <c r="D121" s="71">
        <v>197.31800000000001</v>
      </c>
      <c r="E121" s="67">
        <v>1.057298383401878E-2</v>
      </c>
      <c r="F121" s="51" t="s">
        <v>384</v>
      </c>
      <c r="G121" s="74" t="s">
        <v>389</v>
      </c>
      <c r="H121" s="74"/>
      <c r="I121" s="91"/>
    </row>
    <row r="122" spans="1:9" ht="14.25" x14ac:dyDescent="0.3">
      <c r="A122" s="55" t="s">
        <v>87</v>
      </c>
      <c r="B122" s="54"/>
      <c r="C122" s="53"/>
      <c r="D122" s="70">
        <f>SUM(D115:D121)</f>
        <v>2285.1004600000001</v>
      </c>
      <c r="E122" s="66">
        <f>SUM(E115:E121)</f>
        <v>0.1224436200584279</v>
      </c>
      <c r="F122" s="51"/>
      <c r="G122" s="74"/>
      <c r="H122" s="74"/>
    </row>
    <row r="123" spans="1:9" ht="14.25" x14ac:dyDescent="0.3">
      <c r="A123" s="55" t="s">
        <v>91</v>
      </c>
      <c r="B123" s="54"/>
      <c r="C123" s="53"/>
      <c r="D123" s="70">
        <f>+D122</f>
        <v>2285.1004600000001</v>
      </c>
      <c r="E123" s="94">
        <f>+E122</f>
        <v>0.1224436200584279</v>
      </c>
      <c r="F123" s="51"/>
      <c r="G123" s="74"/>
      <c r="H123" s="74"/>
    </row>
    <row r="124" spans="1:9" ht="14.25" x14ac:dyDescent="0.3">
      <c r="A124" s="55" t="s">
        <v>107</v>
      </c>
      <c r="B124" s="54"/>
      <c r="C124" s="53"/>
      <c r="D124" s="70"/>
      <c r="E124" s="66"/>
      <c r="F124" s="51"/>
      <c r="G124" s="74"/>
      <c r="H124" s="74"/>
    </row>
    <row r="125" spans="1:9" ht="14.25" x14ac:dyDescent="0.3">
      <c r="A125" s="90" t="s">
        <v>180</v>
      </c>
      <c r="B125" s="54"/>
      <c r="C125" s="53">
        <v>9113.2438999999995</v>
      </c>
      <c r="D125" s="71">
        <v>911.15799879999997</v>
      </c>
      <c r="E125" s="92">
        <v>4.8823010528939594E-2</v>
      </c>
      <c r="F125" s="51"/>
      <c r="G125" s="100">
        <v>6.6703239999999997E-2</v>
      </c>
      <c r="H125" s="74"/>
    </row>
    <row r="126" spans="1:9" ht="14.25" x14ac:dyDescent="0.3">
      <c r="A126" s="55" t="s">
        <v>91</v>
      </c>
      <c r="B126" s="54"/>
      <c r="C126" s="53"/>
      <c r="D126" s="70">
        <f>SUM(D125)</f>
        <v>911.15799879999997</v>
      </c>
      <c r="E126" s="66">
        <f>+E125</f>
        <v>4.8823010528939594E-2</v>
      </c>
      <c r="F126" s="51"/>
      <c r="G126" s="74"/>
      <c r="H126" s="74"/>
    </row>
    <row r="127" spans="1:9" ht="14.25" x14ac:dyDescent="0.3">
      <c r="A127" s="55" t="s">
        <v>97</v>
      </c>
      <c r="B127" s="54"/>
      <c r="C127" s="53"/>
      <c r="D127" s="70"/>
      <c r="E127" s="66"/>
      <c r="F127" s="51"/>
      <c r="G127" s="74"/>
      <c r="H127" s="74"/>
    </row>
    <row r="128" spans="1:9" ht="14.25" x14ac:dyDescent="0.3">
      <c r="A128" s="65" t="s">
        <v>111</v>
      </c>
      <c r="B128" s="54"/>
      <c r="C128" s="53">
        <v>1914369.966</v>
      </c>
      <c r="D128" s="71">
        <v>1355.8850726999999</v>
      </c>
      <c r="E128" s="67">
        <v>7.2653031930409173E-2</v>
      </c>
      <c r="F128" s="51" t="s">
        <v>98</v>
      </c>
      <c r="G128" s="100"/>
      <c r="H128" s="74"/>
    </row>
    <row r="129" spans="1:11" ht="14.25" x14ac:dyDescent="0.3">
      <c r="A129" s="55" t="s">
        <v>91</v>
      </c>
      <c r="B129" s="54"/>
      <c r="C129" s="53"/>
      <c r="D129" s="70">
        <f>+D128</f>
        <v>1355.8850726999999</v>
      </c>
      <c r="E129" s="66">
        <f>+E128</f>
        <v>7.2653031930409173E-2</v>
      </c>
      <c r="F129" s="51"/>
      <c r="G129" s="74"/>
      <c r="H129" s="74"/>
    </row>
    <row r="130" spans="1:11" ht="14.25" x14ac:dyDescent="0.3">
      <c r="A130" s="96"/>
      <c r="B130" s="54"/>
      <c r="C130" s="53"/>
      <c r="D130" s="70"/>
      <c r="E130" s="66"/>
      <c r="F130" s="51"/>
      <c r="G130" s="74"/>
      <c r="H130" s="74"/>
    </row>
    <row r="131" spans="1:11" ht="14.25" x14ac:dyDescent="0.3">
      <c r="A131" s="55" t="s">
        <v>108</v>
      </c>
      <c r="B131" s="54"/>
      <c r="C131" s="53"/>
      <c r="D131" s="70"/>
      <c r="E131" s="66"/>
      <c r="F131" s="51"/>
      <c r="G131" s="74"/>
      <c r="H131" s="74"/>
    </row>
    <row r="132" spans="1:11" ht="14.25" x14ac:dyDescent="0.3">
      <c r="A132" s="55" t="s">
        <v>91</v>
      </c>
      <c r="B132" s="54"/>
      <c r="C132" s="53"/>
      <c r="D132" s="70" t="s">
        <v>89</v>
      </c>
      <c r="E132" s="66" t="s">
        <v>89</v>
      </c>
      <c r="F132" s="51"/>
      <c r="G132" s="74"/>
      <c r="H132" s="74"/>
    </row>
    <row r="133" spans="1:11" ht="14.25" x14ac:dyDescent="0.3">
      <c r="A133" s="55"/>
      <c r="B133" s="54"/>
      <c r="C133" s="53"/>
      <c r="D133" s="70"/>
      <c r="E133" s="66"/>
      <c r="F133" s="51"/>
      <c r="G133" s="74"/>
      <c r="H133" s="74"/>
    </row>
    <row r="134" spans="1:11" ht="14.25" x14ac:dyDescent="0.3">
      <c r="A134" s="89" t="s">
        <v>112</v>
      </c>
      <c r="B134" s="54"/>
      <c r="C134" s="53"/>
      <c r="D134" s="71"/>
      <c r="E134" s="67"/>
      <c r="F134" s="51"/>
      <c r="G134" s="74"/>
      <c r="H134" s="74"/>
    </row>
    <row r="135" spans="1:11" ht="14.25" x14ac:dyDescent="0.3">
      <c r="A135" s="90" t="s">
        <v>113</v>
      </c>
      <c r="B135" s="54"/>
      <c r="C135" s="53"/>
      <c r="D135" s="71">
        <v>121.74397259999932</v>
      </c>
      <c r="E135" s="67">
        <v>6.523464935733414E-3</v>
      </c>
      <c r="F135" s="51"/>
      <c r="G135" s="100"/>
      <c r="H135" s="74"/>
      <c r="I135" s="91"/>
    </row>
    <row r="136" spans="1:11" ht="14.25" x14ac:dyDescent="0.3">
      <c r="A136" s="89" t="s">
        <v>91</v>
      </c>
      <c r="B136" s="54"/>
      <c r="C136" s="53"/>
      <c r="D136" s="70">
        <f>+D135</f>
        <v>121.74397259999932</v>
      </c>
      <c r="E136" s="94">
        <f>+E135</f>
        <v>6.523464935733414E-3</v>
      </c>
      <c r="F136" s="97"/>
      <c r="G136" s="74"/>
      <c r="H136" s="74"/>
    </row>
    <row r="137" spans="1:11" ht="14.25" x14ac:dyDescent="0.3">
      <c r="A137" s="89"/>
      <c r="B137" s="54"/>
      <c r="C137" s="53"/>
      <c r="D137" s="70"/>
      <c r="E137" s="70"/>
      <c r="F137" s="51"/>
      <c r="G137" s="74"/>
      <c r="H137" s="74"/>
    </row>
    <row r="138" spans="1:11" ht="14.25" x14ac:dyDescent="0.3">
      <c r="A138" s="55" t="s">
        <v>109</v>
      </c>
      <c r="B138" s="54"/>
      <c r="C138" s="53"/>
      <c r="D138" s="70">
        <f>+D136+D129+D126+D123+D102</f>
        <v>18662.470604100003</v>
      </c>
      <c r="E138" s="94">
        <f>+E136+E129+E126+E123+E102</f>
        <v>1.0000000000000004</v>
      </c>
      <c r="F138" s="51"/>
      <c r="G138" s="74"/>
      <c r="H138" s="74"/>
    </row>
    <row r="139" spans="1:11" ht="14.25" x14ac:dyDescent="0.3">
      <c r="A139" s="48"/>
      <c r="B139" s="47"/>
      <c r="C139" s="46"/>
      <c r="D139" s="45"/>
      <c r="E139" s="45"/>
      <c r="F139" s="44"/>
      <c r="G139" s="43"/>
      <c r="H139" s="101"/>
      <c r="J139" s="91"/>
    </row>
    <row r="140" spans="1:11" ht="14.25" x14ac:dyDescent="0.3">
      <c r="A140" s="48"/>
      <c r="B140" s="47"/>
      <c r="C140" s="46"/>
      <c r="D140" s="45"/>
      <c r="E140" s="45"/>
      <c r="F140" s="44"/>
      <c r="G140" s="43"/>
      <c r="H140" s="101"/>
      <c r="I140" s="91"/>
      <c r="J140" s="91"/>
      <c r="K140" s="91"/>
    </row>
    <row r="141" spans="1:11" ht="13.5" x14ac:dyDescent="0.2">
      <c r="A141" s="107" t="s">
        <v>24</v>
      </c>
      <c r="B141" s="107"/>
      <c r="C141" s="107"/>
      <c r="D141" s="107"/>
      <c r="E141" s="107"/>
      <c r="F141" s="107"/>
      <c r="G141" s="107"/>
      <c r="H141" s="107"/>
      <c r="K141" s="91"/>
    </row>
    <row r="142" spans="1:11" ht="13.5" x14ac:dyDescent="0.2">
      <c r="A142" s="107" t="s">
        <v>23</v>
      </c>
      <c r="B142" s="107"/>
      <c r="C142" s="107"/>
      <c r="D142" s="107"/>
      <c r="E142" s="107"/>
      <c r="F142" s="107"/>
      <c r="G142" s="107"/>
      <c r="H142" s="103"/>
      <c r="J142" s="91"/>
      <c r="K142" s="91"/>
    </row>
    <row r="143" spans="1:11" ht="13.5" x14ac:dyDescent="0.2">
      <c r="A143" s="102" t="s">
        <v>22</v>
      </c>
      <c r="B143" s="102"/>
      <c r="C143" s="102"/>
      <c r="D143" s="102"/>
      <c r="E143" s="102"/>
      <c r="F143" s="102"/>
      <c r="G143" s="102"/>
      <c r="H143" s="103"/>
      <c r="K143" s="91"/>
    </row>
    <row r="144" spans="1:11" ht="51.75" customHeight="1" x14ac:dyDescent="0.2">
      <c r="A144" s="104" t="s">
        <v>21</v>
      </c>
      <c r="B144" s="104"/>
      <c r="C144" s="104"/>
      <c r="D144" s="104"/>
      <c r="E144" s="104"/>
      <c r="F144" s="104"/>
      <c r="G144" s="104"/>
      <c r="H144" s="103"/>
    </row>
    <row r="145" spans="1:9" ht="14.25" x14ac:dyDescent="0.3">
      <c r="A145" s="12"/>
      <c r="B145" s="11"/>
      <c r="C145" s="41"/>
      <c r="D145" s="40"/>
      <c r="E145" s="40"/>
      <c r="F145" s="39"/>
      <c r="G145" s="9"/>
      <c r="H145" s="9"/>
    </row>
    <row r="146" spans="1:9" ht="14.25" x14ac:dyDescent="0.3">
      <c r="A146" s="42" t="s">
        <v>295</v>
      </c>
      <c r="B146" s="11"/>
      <c r="C146" s="41"/>
      <c r="D146" s="40"/>
      <c r="E146" s="40"/>
      <c r="F146" s="39"/>
      <c r="G146" s="9"/>
      <c r="H146" s="9"/>
    </row>
    <row r="147" spans="1:9" ht="51" x14ac:dyDescent="0.3">
      <c r="A147" s="36" t="s">
        <v>20</v>
      </c>
      <c r="B147" s="38" t="s">
        <v>19</v>
      </c>
      <c r="C147" s="37" t="s">
        <v>18</v>
      </c>
      <c r="D147" s="36" t="s">
        <v>17</v>
      </c>
      <c r="E147" s="36" t="s">
        <v>16</v>
      </c>
      <c r="F147" s="36" t="s">
        <v>15</v>
      </c>
      <c r="G147" s="9"/>
      <c r="H147" s="9"/>
    </row>
    <row r="148" spans="1:9" ht="14.25" x14ac:dyDescent="0.3">
      <c r="A148" s="35" t="s">
        <v>208</v>
      </c>
      <c r="B148" s="34" t="s">
        <v>14</v>
      </c>
      <c r="C148" s="33">
        <v>15000</v>
      </c>
      <c r="D148" s="32">
        <v>397.82333333000003</v>
      </c>
      <c r="E148" s="32">
        <v>392.8</v>
      </c>
      <c r="F148" s="95">
        <v>13.874700000000001</v>
      </c>
      <c r="G148" s="5"/>
      <c r="H148" s="99"/>
      <c r="I148" s="98"/>
    </row>
    <row r="149" spans="1:9" ht="14.25" x14ac:dyDescent="0.3">
      <c r="A149" s="35" t="s">
        <v>209</v>
      </c>
      <c r="B149" s="34" t="s">
        <v>14</v>
      </c>
      <c r="C149" s="33">
        <v>2375</v>
      </c>
      <c r="D149" s="32">
        <v>5192.3314989500004</v>
      </c>
      <c r="E149" s="32">
        <v>5559.95</v>
      </c>
      <c r="F149" s="95">
        <v>30.813208399999997</v>
      </c>
      <c r="G149" s="5"/>
      <c r="H149" s="99"/>
      <c r="I149" s="98"/>
    </row>
    <row r="150" spans="1:9" ht="14.25" x14ac:dyDescent="0.3">
      <c r="A150" s="35" t="s">
        <v>210</v>
      </c>
      <c r="B150" s="34" t="s">
        <v>14</v>
      </c>
      <c r="C150" s="33">
        <v>44200</v>
      </c>
      <c r="D150" s="32">
        <v>254.10117059000001</v>
      </c>
      <c r="E150" s="32">
        <v>256.35000000000002</v>
      </c>
      <c r="F150" s="95">
        <v>24.978414500000003</v>
      </c>
      <c r="G150" s="5"/>
      <c r="H150" s="99"/>
      <c r="I150" s="98"/>
    </row>
    <row r="151" spans="1:9" ht="14.25" x14ac:dyDescent="0.3">
      <c r="A151" s="35" t="s">
        <v>211</v>
      </c>
      <c r="B151" s="34" t="s">
        <v>14</v>
      </c>
      <c r="C151" s="33">
        <v>8400</v>
      </c>
      <c r="D151" s="32">
        <v>2345.74819643</v>
      </c>
      <c r="E151" s="32">
        <v>2324.4499999999998</v>
      </c>
      <c r="F151" s="95">
        <v>59.721962999999995</v>
      </c>
      <c r="G151" s="5"/>
      <c r="H151" s="99"/>
      <c r="I151" s="98"/>
    </row>
    <row r="152" spans="1:9" ht="14.25" x14ac:dyDescent="0.3">
      <c r="A152" s="35" t="s">
        <v>212</v>
      </c>
      <c r="B152" s="34" t="s">
        <v>14</v>
      </c>
      <c r="C152" s="33">
        <v>22875</v>
      </c>
      <c r="D152" s="32">
        <v>930.70980022000003</v>
      </c>
      <c r="E152" s="32">
        <v>954.3</v>
      </c>
      <c r="F152" s="95">
        <v>75.224551900000009</v>
      </c>
      <c r="G152" s="5"/>
      <c r="H152" s="99"/>
      <c r="I152" s="98"/>
    </row>
    <row r="153" spans="1:9" ht="14.25" x14ac:dyDescent="0.3">
      <c r="A153" s="35" t="s">
        <v>213</v>
      </c>
      <c r="B153" s="34" t="s">
        <v>14</v>
      </c>
      <c r="C153" s="33">
        <v>3600</v>
      </c>
      <c r="D153" s="32">
        <v>1189.1722222200001</v>
      </c>
      <c r="E153" s="32">
        <v>1187.7</v>
      </c>
      <c r="F153" s="95">
        <v>10.569656699999999</v>
      </c>
      <c r="G153" s="5"/>
      <c r="H153" s="99"/>
      <c r="I153" s="98"/>
    </row>
    <row r="154" spans="1:9" ht="14.25" x14ac:dyDescent="0.3">
      <c r="A154" s="35" t="s">
        <v>296</v>
      </c>
      <c r="B154" s="34" t="s">
        <v>14</v>
      </c>
      <c r="C154" s="33">
        <v>400</v>
      </c>
      <c r="D154" s="32">
        <v>1205.75</v>
      </c>
      <c r="E154" s="32">
        <v>1195.1500000000001</v>
      </c>
      <c r="F154" s="95">
        <v>1.1744063</v>
      </c>
      <c r="G154" s="5"/>
      <c r="H154" s="99"/>
      <c r="I154" s="98"/>
    </row>
    <row r="155" spans="1:9" ht="14.25" x14ac:dyDescent="0.3">
      <c r="A155" s="35" t="s">
        <v>214</v>
      </c>
      <c r="B155" s="34" t="s">
        <v>14</v>
      </c>
      <c r="C155" s="33">
        <v>5250</v>
      </c>
      <c r="D155" s="32">
        <v>6681.9558819000003</v>
      </c>
      <c r="E155" s="32">
        <v>6632.05</v>
      </c>
      <c r="F155" s="95">
        <v>60.699541900000007</v>
      </c>
      <c r="G155" s="5"/>
      <c r="H155" s="99"/>
      <c r="I155" s="98"/>
    </row>
    <row r="156" spans="1:9" ht="14.25" x14ac:dyDescent="0.3">
      <c r="A156" s="35" t="s">
        <v>215</v>
      </c>
      <c r="B156" s="34" t="s">
        <v>14</v>
      </c>
      <c r="C156" s="33">
        <v>5800</v>
      </c>
      <c r="D156" s="32">
        <v>2316.9369999999999</v>
      </c>
      <c r="E156" s="32">
        <v>2345.65</v>
      </c>
      <c r="F156" s="95">
        <v>24.064069500000002</v>
      </c>
      <c r="G156" s="5"/>
      <c r="H156" s="99"/>
      <c r="I156" s="98"/>
    </row>
    <row r="157" spans="1:9" ht="14.25" x14ac:dyDescent="0.3">
      <c r="A157" s="35" t="s">
        <v>216</v>
      </c>
      <c r="B157" s="34" t="s">
        <v>14</v>
      </c>
      <c r="C157" s="33">
        <v>2200</v>
      </c>
      <c r="D157" s="32">
        <v>1223.1375</v>
      </c>
      <c r="E157" s="32">
        <v>1166.6500000000001</v>
      </c>
      <c r="F157" s="95">
        <v>4.8354404999999998</v>
      </c>
      <c r="G157" s="5"/>
      <c r="H157" s="99"/>
      <c r="I157" s="98"/>
    </row>
    <row r="158" spans="1:9" ht="14.25" x14ac:dyDescent="0.3">
      <c r="A158" s="35" t="s">
        <v>217</v>
      </c>
      <c r="B158" s="34" t="s">
        <v>14</v>
      </c>
      <c r="C158" s="33">
        <v>6250</v>
      </c>
      <c r="D158" s="32">
        <v>1087.6749904000001</v>
      </c>
      <c r="E158" s="32">
        <v>1105.3499999999999</v>
      </c>
      <c r="F158" s="95">
        <v>12.1892031</v>
      </c>
      <c r="G158" s="5"/>
      <c r="H158" s="99"/>
      <c r="I158" s="98"/>
    </row>
    <row r="159" spans="1:9" ht="14.25" x14ac:dyDescent="0.3">
      <c r="A159" s="35" t="s">
        <v>218</v>
      </c>
      <c r="B159" s="34" t="s">
        <v>14</v>
      </c>
      <c r="C159" s="33">
        <v>2025</v>
      </c>
      <c r="D159" s="32">
        <v>8046.5907358000004</v>
      </c>
      <c r="E159" s="32">
        <v>7914.75</v>
      </c>
      <c r="F159" s="95">
        <v>29.177339100000001</v>
      </c>
      <c r="G159" s="5"/>
      <c r="H159" s="99"/>
      <c r="I159" s="98"/>
    </row>
    <row r="160" spans="1:9" ht="14.25" x14ac:dyDescent="0.3">
      <c r="A160" s="35" t="s">
        <v>219</v>
      </c>
      <c r="B160" s="34" t="s">
        <v>14</v>
      </c>
      <c r="C160" s="33">
        <v>10500</v>
      </c>
      <c r="D160" s="32">
        <v>1892.29285714</v>
      </c>
      <c r="E160" s="32">
        <v>2012.9</v>
      </c>
      <c r="F160" s="95">
        <v>37.3738575</v>
      </c>
      <c r="G160" s="5"/>
      <c r="H160" s="99"/>
      <c r="I160" s="98"/>
    </row>
    <row r="161" spans="1:9" ht="14.25" x14ac:dyDescent="0.3">
      <c r="A161" s="35" t="s">
        <v>220</v>
      </c>
      <c r="B161" s="34" t="s">
        <v>14</v>
      </c>
      <c r="C161" s="33">
        <v>201600</v>
      </c>
      <c r="D161" s="32">
        <v>146.73331666999999</v>
      </c>
      <c r="E161" s="32">
        <v>147.16999999999999</v>
      </c>
      <c r="F161" s="95">
        <v>71.267515199999991</v>
      </c>
      <c r="G161" s="5"/>
      <c r="H161" s="99"/>
      <c r="I161" s="98"/>
    </row>
    <row r="162" spans="1:9" ht="14.25" x14ac:dyDescent="0.3">
      <c r="A162" s="35" t="s">
        <v>221</v>
      </c>
      <c r="B162" s="34" t="s">
        <v>14</v>
      </c>
      <c r="C162" s="33">
        <v>210600</v>
      </c>
      <c r="D162" s="32">
        <v>222.49343888999999</v>
      </c>
      <c r="E162" s="32">
        <v>229.7</v>
      </c>
      <c r="F162" s="95">
        <v>104.16170699999999</v>
      </c>
      <c r="G162" s="5"/>
      <c r="H162" s="99"/>
      <c r="I162" s="98"/>
    </row>
    <row r="163" spans="1:9" ht="14.25" x14ac:dyDescent="0.3">
      <c r="A163" s="35" t="s">
        <v>222</v>
      </c>
      <c r="B163" s="34" t="s">
        <v>14</v>
      </c>
      <c r="C163" s="33">
        <v>4825</v>
      </c>
      <c r="D163" s="32">
        <v>102.84</v>
      </c>
      <c r="E163" s="32">
        <v>107.68</v>
      </c>
      <c r="F163" s="95">
        <v>1.2370721</v>
      </c>
      <c r="G163" s="5"/>
      <c r="H163" s="99"/>
      <c r="I163" s="98"/>
    </row>
    <row r="164" spans="1:9" ht="14.25" x14ac:dyDescent="0.3">
      <c r="A164" s="35" t="s">
        <v>223</v>
      </c>
      <c r="B164" s="34" t="s">
        <v>14</v>
      </c>
      <c r="C164" s="33">
        <v>25650</v>
      </c>
      <c r="D164" s="32">
        <v>293.61444444</v>
      </c>
      <c r="E164" s="32">
        <v>302.95</v>
      </c>
      <c r="F164" s="95">
        <v>17.745503599999999</v>
      </c>
      <c r="G164" s="5"/>
      <c r="H164" s="99"/>
      <c r="I164" s="98"/>
    </row>
    <row r="165" spans="1:9" ht="14.25" x14ac:dyDescent="0.3">
      <c r="A165" s="35" t="s">
        <v>224</v>
      </c>
      <c r="B165" s="34" t="s">
        <v>14</v>
      </c>
      <c r="C165" s="33">
        <v>30875</v>
      </c>
      <c r="D165" s="32">
        <v>1745.53993879</v>
      </c>
      <c r="E165" s="32">
        <v>1742.95</v>
      </c>
      <c r="F165" s="95">
        <v>94.629790900000003</v>
      </c>
      <c r="G165" s="5"/>
      <c r="H165" s="99"/>
      <c r="I165" s="98"/>
    </row>
    <row r="166" spans="1:9" ht="14.25" x14ac:dyDescent="0.3">
      <c r="A166" s="35" t="s">
        <v>225</v>
      </c>
      <c r="B166" s="34" t="s">
        <v>14</v>
      </c>
      <c r="C166" s="33">
        <v>10000</v>
      </c>
      <c r="D166" s="32">
        <v>341.5625</v>
      </c>
      <c r="E166" s="32">
        <v>343.45</v>
      </c>
      <c r="F166" s="95">
        <v>7.7720750000000001</v>
      </c>
      <c r="G166" s="5"/>
      <c r="H166" s="99"/>
      <c r="I166" s="98"/>
    </row>
    <row r="167" spans="1:9" ht="14.25" x14ac:dyDescent="0.3">
      <c r="A167" s="35" t="s">
        <v>226</v>
      </c>
      <c r="B167" s="34" t="s">
        <v>14</v>
      </c>
      <c r="C167" s="33">
        <v>21600</v>
      </c>
      <c r="D167" s="32">
        <v>246.8458</v>
      </c>
      <c r="E167" s="32">
        <v>278.85000000000002</v>
      </c>
      <c r="F167" s="95">
        <v>12.050046000000002</v>
      </c>
      <c r="G167" s="5"/>
      <c r="H167" s="99"/>
      <c r="I167" s="98"/>
    </row>
    <row r="168" spans="1:9" ht="14.25" x14ac:dyDescent="0.3">
      <c r="A168" s="35" t="s">
        <v>297</v>
      </c>
      <c r="B168" s="34" t="s">
        <v>14</v>
      </c>
      <c r="C168" s="33">
        <v>7200</v>
      </c>
      <c r="D168" s="32">
        <v>282.66000000000003</v>
      </c>
      <c r="E168" s="32">
        <v>280.85000000000002</v>
      </c>
      <c r="F168" s="95">
        <v>4.0166820000000003</v>
      </c>
      <c r="G168" s="5"/>
      <c r="H168" s="99"/>
      <c r="I168" s="98"/>
    </row>
    <row r="169" spans="1:9" ht="14.25" x14ac:dyDescent="0.3">
      <c r="A169" s="35" t="s">
        <v>227</v>
      </c>
      <c r="B169" s="34" t="s">
        <v>14</v>
      </c>
      <c r="C169" s="33">
        <v>216000</v>
      </c>
      <c r="D169" s="32">
        <v>88.745578100000003</v>
      </c>
      <c r="E169" s="32">
        <v>89.48</v>
      </c>
      <c r="F169" s="95">
        <v>42.944687999999999</v>
      </c>
      <c r="G169" s="5"/>
      <c r="H169" s="99"/>
      <c r="I169" s="98"/>
    </row>
    <row r="170" spans="1:9" ht="14.25" x14ac:dyDescent="0.3">
      <c r="A170" s="35" t="s">
        <v>228</v>
      </c>
      <c r="B170" s="34" t="s">
        <v>14</v>
      </c>
      <c r="C170" s="33">
        <v>20800</v>
      </c>
      <c r="D170" s="32">
        <v>1530.3492000000001</v>
      </c>
      <c r="E170" s="32">
        <v>1446.35</v>
      </c>
      <c r="F170" s="95">
        <v>54.431987999999997</v>
      </c>
      <c r="G170" s="5"/>
      <c r="H170" s="99"/>
      <c r="I170" s="98"/>
    </row>
    <row r="171" spans="1:9" ht="14.25" x14ac:dyDescent="0.3">
      <c r="A171" s="35" t="s">
        <v>229</v>
      </c>
      <c r="B171" s="34" t="s">
        <v>14</v>
      </c>
      <c r="C171" s="33">
        <v>17000</v>
      </c>
      <c r="D171" s="32">
        <v>661.87350000000004</v>
      </c>
      <c r="E171" s="32">
        <v>694.7</v>
      </c>
      <c r="F171" s="95">
        <v>25.941064999999998</v>
      </c>
      <c r="G171" s="5"/>
      <c r="H171" s="99"/>
      <c r="I171" s="98"/>
    </row>
    <row r="172" spans="1:9" ht="14.25" x14ac:dyDescent="0.3">
      <c r="A172" s="35" t="s">
        <v>230</v>
      </c>
      <c r="B172" s="34" t="s">
        <v>14</v>
      </c>
      <c r="C172" s="33">
        <v>16200</v>
      </c>
      <c r="D172" s="32">
        <v>355.78885556</v>
      </c>
      <c r="E172" s="32">
        <v>355.75</v>
      </c>
      <c r="F172" s="95">
        <v>11.2916025</v>
      </c>
      <c r="G172" s="5"/>
      <c r="H172" s="99"/>
      <c r="I172" s="98"/>
    </row>
    <row r="173" spans="1:9" ht="14.25" x14ac:dyDescent="0.3">
      <c r="A173" s="35" t="s">
        <v>231</v>
      </c>
      <c r="B173" s="34" t="s">
        <v>14</v>
      </c>
      <c r="C173" s="33">
        <v>1500</v>
      </c>
      <c r="D173" s="32">
        <v>1316.34</v>
      </c>
      <c r="E173" s="32">
        <v>1271.7</v>
      </c>
      <c r="F173" s="95">
        <v>5.1472424999999999</v>
      </c>
      <c r="G173" s="5"/>
      <c r="H173" s="99"/>
      <c r="I173" s="98"/>
    </row>
    <row r="174" spans="1:9" ht="14.25" x14ac:dyDescent="0.3">
      <c r="A174" s="35" t="s">
        <v>232</v>
      </c>
      <c r="B174" s="34" t="s">
        <v>14</v>
      </c>
      <c r="C174" s="33">
        <v>5000</v>
      </c>
      <c r="D174" s="32">
        <v>509.36250000000001</v>
      </c>
      <c r="E174" s="32">
        <v>509.1</v>
      </c>
      <c r="F174" s="95">
        <v>4.5409249999999997</v>
      </c>
      <c r="G174" s="5"/>
      <c r="H174" s="99"/>
      <c r="I174" s="98"/>
    </row>
    <row r="175" spans="1:9" ht="14.25" x14ac:dyDescent="0.3">
      <c r="A175" s="35" t="s">
        <v>233</v>
      </c>
      <c r="B175" s="34" t="s">
        <v>14</v>
      </c>
      <c r="C175" s="33">
        <v>18150</v>
      </c>
      <c r="D175" s="32">
        <v>670.15223635999996</v>
      </c>
      <c r="E175" s="32">
        <v>684.1</v>
      </c>
      <c r="F175" s="95">
        <v>26.435085341176471</v>
      </c>
      <c r="G175" s="5"/>
      <c r="H175" s="99"/>
      <c r="I175" s="98"/>
    </row>
    <row r="176" spans="1:9" ht="14.25" x14ac:dyDescent="0.3">
      <c r="A176" s="35" t="s">
        <v>298</v>
      </c>
      <c r="B176" s="34" t="s">
        <v>14</v>
      </c>
      <c r="C176" s="33">
        <v>9900</v>
      </c>
      <c r="D176" s="32">
        <v>705.6</v>
      </c>
      <c r="E176" s="32">
        <v>688.5</v>
      </c>
      <c r="F176" s="95">
        <v>14.419137458823531</v>
      </c>
      <c r="G176" s="5"/>
      <c r="H176" s="99"/>
      <c r="I176" s="98"/>
    </row>
    <row r="177" spans="1:9" ht="14.25" x14ac:dyDescent="0.3">
      <c r="A177" s="35" t="s">
        <v>234</v>
      </c>
      <c r="B177" s="34" t="s">
        <v>14</v>
      </c>
      <c r="C177" s="33">
        <v>750</v>
      </c>
      <c r="D177" s="32">
        <v>3282.14</v>
      </c>
      <c r="E177" s="32">
        <v>3268</v>
      </c>
      <c r="F177" s="95">
        <v>4.8165750000000003</v>
      </c>
      <c r="G177" s="5"/>
      <c r="H177" s="99"/>
      <c r="I177" s="98"/>
    </row>
    <row r="178" spans="1:9" ht="14.25" x14ac:dyDescent="0.3">
      <c r="A178" s="35" t="s">
        <v>235</v>
      </c>
      <c r="B178" s="34" t="s">
        <v>14</v>
      </c>
      <c r="C178" s="33">
        <v>15000</v>
      </c>
      <c r="D178" s="32">
        <v>181.19666667000001</v>
      </c>
      <c r="E178" s="32">
        <v>193.78</v>
      </c>
      <c r="F178" s="95">
        <v>5.2728450000000002</v>
      </c>
      <c r="G178" s="5"/>
      <c r="H178" s="99"/>
      <c r="I178" s="98"/>
    </row>
    <row r="179" spans="1:9" ht="14.25" x14ac:dyDescent="0.3">
      <c r="A179" s="35" t="s">
        <v>236</v>
      </c>
      <c r="B179" s="34" t="s">
        <v>14</v>
      </c>
      <c r="C179" s="33">
        <v>18800</v>
      </c>
      <c r="D179" s="32">
        <v>178.22624999999999</v>
      </c>
      <c r="E179" s="32">
        <v>183.7</v>
      </c>
      <c r="F179" s="95">
        <v>7.7342259999999996</v>
      </c>
      <c r="G179" s="5"/>
      <c r="H179" s="99"/>
      <c r="I179" s="98"/>
    </row>
    <row r="180" spans="1:9" ht="14.25" x14ac:dyDescent="0.3">
      <c r="A180" s="35" t="s">
        <v>237</v>
      </c>
      <c r="B180" s="34" t="s">
        <v>14</v>
      </c>
      <c r="C180" s="33">
        <v>95625</v>
      </c>
      <c r="D180" s="32">
        <v>77.218211760000003</v>
      </c>
      <c r="E180" s="32">
        <v>76.13</v>
      </c>
      <c r="F180" s="95">
        <v>16.652663400000002</v>
      </c>
      <c r="G180" s="5"/>
      <c r="H180" s="99"/>
      <c r="I180" s="98"/>
    </row>
    <row r="181" spans="1:9" s="75" customFormat="1" ht="14.25" x14ac:dyDescent="0.3">
      <c r="A181" s="35" t="s">
        <v>238</v>
      </c>
      <c r="B181" s="34" t="s">
        <v>14</v>
      </c>
      <c r="C181" s="33">
        <v>1250</v>
      </c>
      <c r="D181" s="32">
        <v>2478.5299599999998</v>
      </c>
      <c r="E181" s="32">
        <v>2618.9</v>
      </c>
      <c r="F181" s="95">
        <v>5.8203211250000004</v>
      </c>
      <c r="G181" s="5"/>
      <c r="H181" s="99"/>
      <c r="I181" s="98"/>
    </row>
    <row r="182" spans="1:9" ht="14.25" x14ac:dyDescent="0.3">
      <c r="A182" s="35" t="s">
        <v>299</v>
      </c>
      <c r="B182" s="34" t="s">
        <v>14</v>
      </c>
      <c r="C182" s="33">
        <v>750</v>
      </c>
      <c r="D182" s="32">
        <v>2513.65</v>
      </c>
      <c r="E182" s="32">
        <v>2637.6</v>
      </c>
      <c r="F182" s="95">
        <v>3.4921926750000001</v>
      </c>
      <c r="G182" s="5"/>
      <c r="H182" s="99"/>
      <c r="I182" s="98"/>
    </row>
    <row r="183" spans="1:9" ht="14.25" x14ac:dyDescent="0.3">
      <c r="A183" s="35" t="s">
        <v>239</v>
      </c>
      <c r="B183" s="34" t="s">
        <v>14</v>
      </c>
      <c r="C183" s="33">
        <v>15150</v>
      </c>
      <c r="D183" s="32">
        <v>3704.8850976899998</v>
      </c>
      <c r="E183" s="32">
        <v>4200.5</v>
      </c>
      <c r="F183" s="95">
        <v>155.72161237657656</v>
      </c>
      <c r="G183" s="5"/>
      <c r="H183" s="99"/>
      <c r="I183" s="98"/>
    </row>
    <row r="184" spans="1:9" ht="14.25" x14ac:dyDescent="0.3">
      <c r="A184" s="35" t="s">
        <v>300</v>
      </c>
      <c r="B184" s="34" t="s">
        <v>14</v>
      </c>
      <c r="C184" s="33">
        <v>1500</v>
      </c>
      <c r="D184" s="32">
        <v>4217.7250000000004</v>
      </c>
      <c r="E184" s="32">
        <v>4229.7</v>
      </c>
      <c r="F184" s="95">
        <v>15.417981423423424</v>
      </c>
      <c r="G184" s="5"/>
      <c r="H184" s="99"/>
      <c r="I184" s="98"/>
    </row>
    <row r="185" spans="1:9" ht="14.25" x14ac:dyDescent="0.3">
      <c r="A185" s="35" t="s">
        <v>240</v>
      </c>
      <c r="B185" s="34" t="s">
        <v>14</v>
      </c>
      <c r="C185" s="33">
        <v>2850</v>
      </c>
      <c r="D185" s="32">
        <v>3967.3315789500002</v>
      </c>
      <c r="E185" s="32">
        <v>4035.9</v>
      </c>
      <c r="F185" s="95">
        <v>23.1535853</v>
      </c>
      <c r="G185" s="5"/>
      <c r="H185" s="99"/>
      <c r="I185" s="98"/>
    </row>
    <row r="186" spans="1:9" ht="14.25" x14ac:dyDescent="0.3">
      <c r="A186" s="35" t="s">
        <v>241</v>
      </c>
      <c r="B186" s="34" t="s">
        <v>14</v>
      </c>
      <c r="C186" s="33">
        <v>7150</v>
      </c>
      <c r="D186" s="32">
        <v>1813.723</v>
      </c>
      <c r="E186" s="32">
        <v>1835.6</v>
      </c>
      <c r="F186" s="95">
        <v>23.170718999999998</v>
      </c>
      <c r="G186" s="5"/>
      <c r="H186" s="99"/>
      <c r="I186" s="98"/>
    </row>
    <row r="187" spans="1:9" ht="14.25" x14ac:dyDescent="0.3">
      <c r="A187" s="35" t="s">
        <v>242</v>
      </c>
      <c r="B187" s="34" t="s">
        <v>14</v>
      </c>
      <c r="C187" s="33">
        <v>1200</v>
      </c>
      <c r="D187" s="32">
        <v>3659.793725</v>
      </c>
      <c r="E187" s="32">
        <v>3743.35</v>
      </c>
      <c r="F187" s="95">
        <v>8.0525819999999992</v>
      </c>
      <c r="G187" s="5"/>
      <c r="H187" s="99"/>
      <c r="I187" s="98"/>
    </row>
    <row r="188" spans="1:9" ht="14.25" x14ac:dyDescent="0.3">
      <c r="A188" s="35" t="s">
        <v>301</v>
      </c>
      <c r="B188" s="34" t="s">
        <v>14</v>
      </c>
      <c r="C188" s="33">
        <v>2700</v>
      </c>
      <c r="D188" s="32">
        <v>3677.7611000000002</v>
      </c>
      <c r="E188" s="32">
        <v>3766.1</v>
      </c>
      <c r="F188" s="95">
        <v>18.118309499999999</v>
      </c>
      <c r="G188" s="5"/>
      <c r="H188" s="99"/>
      <c r="I188" s="98"/>
    </row>
    <row r="189" spans="1:9" ht="14.25" x14ac:dyDescent="0.3">
      <c r="A189" s="35" t="s">
        <v>302</v>
      </c>
      <c r="B189" s="34" t="s">
        <v>14</v>
      </c>
      <c r="C189" s="33">
        <v>11200</v>
      </c>
      <c r="D189" s="32">
        <v>706.05619999999999</v>
      </c>
      <c r="E189" s="32">
        <v>689.55</v>
      </c>
      <c r="F189" s="95">
        <v>15.403836</v>
      </c>
      <c r="G189" s="5"/>
      <c r="H189" s="99"/>
      <c r="I189" s="98"/>
    </row>
    <row r="190" spans="1:9" ht="14.25" x14ac:dyDescent="0.3">
      <c r="A190" s="35" t="s">
        <v>303</v>
      </c>
      <c r="B190" s="34" t="s">
        <v>14</v>
      </c>
      <c r="C190" s="33">
        <v>2025</v>
      </c>
      <c r="D190" s="32">
        <v>359.9</v>
      </c>
      <c r="E190" s="32">
        <v>363.45</v>
      </c>
      <c r="F190" s="95">
        <v>1.8042901999999998</v>
      </c>
      <c r="G190" s="5"/>
      <c r="H190" s="99"/>
      <c r="I190" s="98"/>
    </row>
    <row r="191" spans="1:9" ht="14.25" x14ac:dyDescent="0.3">
      <c r="A191" s="35" t="s">
        <v>243</v>
      </c>
      <c r="B191" s="34" t="s">
        <v>14</v>
      </c>
      <c r="C191" s="33">
        <v>3900</v>
      </c>
      <c r="D191" s="32">
        <v>2231.0038461499998</v>
      </c>
      <c r="E191" s="32">
        <v>2270.0500000000002</v>
      </c>
      <c r="F191" s="95">
        <v>15.558338300000001</v>
      </c>
      <c r="G191" s="5"/>
      <c r="H191" s="99"/>
      <c r="I191" s="98"/>
    </row>
    <row r="192" spans="1:9" ht="14.25" x14ac:dyDescent="0.3">
      <c r="A192" s="35" t="s">
        <v>244</v>
      </c>
      <c r="B192" s="34" t="s">
        <v>14</v>
      </c>
      <c r="C192" s="33">
        <v>12750</v>
      </c>
      <c r="D192" s="32">
        <v>571.31173568999998</v>
      </c>
      <c r="E192" s="32">
        <v>565.29999999999995</v>
      </c>
      <c r="F192" s="95">
        <v>13.255601299999999</v>
      </c>
      <c r="G192" s="5"/>
      <c r="H192" s="99"/>
      <c r="I192" s="98"/>
    </row>
    <row r="193" spans="1:9" ht="14.25" x14ac:dyDescent="0.3">
      <c r="A193" s="35" t="s">
        <v>245</v>
      </c>
      <c r="B193" s="34" t="s">
        <v>14</v>
      </c>
      <c r="C193" s="33">
        <v>6280000</v>
      </c>
      <c r="D193" s="32">
        <v>6.9939172000000003</v>
      </c>
      <c r="E193" s="32">
        <v>6.85</v>
      </c>
      <c r="F193" s="95">
        <v>153.8443</v>
      </c>
      <c r="G193" s="5"/>
      <c r="H193" s="99"/>
      <c r="I193" s="98"/>
    </row>
    <row r="194" spans="1:9" ht="14.25" x14ac:dyDescent="0.3">
      <c r="A194" s="35" t="s">
        <v>246</v>
      </c>
      <c r="B194" s="34" t="s">
        <v>14</v>
      </c>
      <c r="C194" s="33">
        <v>112500</v>
      </c>
      <c r="D194" s="32">
        <v>55.554600000000001</v>
      </c>
      <c r="E194" s="32">
        <v>55.28</v>
      </c>
      <c r="F194" s="95">
        <v>12.43665</v>
      </c>
      <c r="G194" s="5"/>
      <c r="H194" s="99"/>
      <c r="I194" s="98"/>
    </row>
    <row r="195" spans="1:9" ht="14.25" x14ac:dyDescent="0.3">
      <c r="A195" s="35" t="s">
        <v>247</v>
      </c>
      <c r="B195" s="34" t="s">
        <v>14</v>
      </c>
      <c r="C195" s="33">
        <v>258750</v>
      </c>
      <c r="D195" s="32">
        <v>176.97377538000001</v>
      </c>
      <c r="E195" s="32">
        <v>176.75</v>
      </c>
      <c r="F195" s="95">
        <v>108.6652969</v>
      </c>
      <c r="G195" s="5"/>
      <c r="H195" s="99"/>
      <c r="I195" s="98"/>
    </row>
    <row r="196" spans="1:9" ht="14.25" x14ac:dyDescent="0.3">
      <c r="A196" s="35" t="s">
        <v>248</v>
      </c>
      <c r="B196" s="34" t="s">
        <v>14</v>
      </c>
      <c r="C196" s="33">
        <v>3100</v>
      </c>
      <c r="D196" s="32">
        <v>333.55</v>
      </c>
      <c r="E196" s="32">
        <v>328.65</v>
      </c>
      <c r="F196" s="95">
        <v>3.0166953000000003</v>
      </c>
      <c r="G196" s="5"/>
      <c r="H196" s="99"/>
      <c r="I196" s="98"/>
    </row>
    <row r="197" spans="1:9" ht="14.25" x14ac:dyDescent="0.3">
      <c r="A197" s="35" t="s">
        <v>249</v>
      </c>
      <c r="B197" s="34" t="s">
        <v>14</v>
      </c>
      <c r="C197" s="33">
        <v>181900</v>
      </c>
      <c r="D197" s="32">
        <v>346.15841589000001</v>
      </c>
      <c r="E197" s="32">
        <v>335.85</v>
      </c>
      <c r="F197" s="95">
        <v>144.92837029999998</v>
      </c>
      <c r="G197" s="5"/>
      <c r="H197" s="99"/>
      <c r="I197" s="98"/>
    </row>
    <row r="198" spans="1:9" ht="14.25" x14ac:dyDescent="0.3">
      <c r="A198" s="35" t="s">
        <v>250</v>
      </c>
      <c r="B198" s="34" t="s">
        <v>14</v>
      </c>
      <c r="C198" s="33">
        <v>24800</v>
      </c>
      <c r="D198" s="32">
        <v>1677.1322548400001</v>
      </c>
      <c r="E198" s="32">
        <v>1578.1</v>
      </c>
      <c r="F198" s="95">
        <v>70.303907999999993</v>
      </c>
      <c r="G198" s="5"/>
      <c r="H198" s="99"/>
      <c r="I198" s="98"/>
    </row>
    <row r="199" spans="1:9" ht="14.25" x14ac:dyDescent="0.3">
      <c r="A199" s="35" t="s">
        <v>251</v>
      </c>
      <c r="B199" s="34" t="s">
        <v>14</v>
      </c>
      <c r="C199" s="33">
        <v>195000</v>
      </c>
      <c r="D199" s="32">
        <v>130.26023502999999</v>
      </c>
      <c r="E199" s="32">
        <v>128.41</v>
      </c>
      <c r="F199" s="95">
        <v>51.5859825</v>
      </c>
      <c r="G199" s="5"/>
      <c r="H199" s="99"/>
      <c r="I199" s="98"/>
    </row>
    <row r="200" spans="1:9" ht="14.25" x14ac:dyDescent="0.3">
      <c r="A200" s="35" t="s">
        <v>252</v>
      </c>
      <c r="B200" s="34" t="s">
        <v>14</v>
      </c>
      <c r="C200" s="33">
        <v>875</v>
      </c>
      <c r="D200" s="32">
        <v>716.9</v>
      </c>
      <c r="E200" s="32">
        <v>729.95</v>
      </c>
      <c r="F200" s="95">
        <v>1.2641846999999999</v>
      </c>
      <c r="G200" s="5"/>
      <c r="H200" s="99"/>
      <c r="I200" s="98"/>
    </row>
    <row r="201" spans="1:9" ht="14.25" x14ac:dyDescent="0.3">
      <c r="A201" s="35" t="s">
        <v>253</v>
      </c>
      <c r="B201" s="34" t="s">
        <v>14</v>
      </c>
      <c r="C201" s="33">
        <v>80000</v>
      </c>
      <c r="D201" s="32">
        <v>411.26899400000002</v>
      </c>
      <c r="E201" s="32">
        <v>411.45</v>
      </c>
      <c r="F201" s="95">
        <v>58.144599999999997</v>
      </c>
      <c r="G201" s="5"/>
      <c r="H201" s="99"/>
      <c r="I201" s="98"/>
    </row>
    <row r="202" spans="1:9" ht="14.25" x14ac:dyDescent="0.3">
      <c r="A202" s="35" t="s">
        <v>254</v>
      </c>
      <c r="B202" s="34" t="s">
        <v>14</v>
      </c>
      <c r="C202" s="33">
        <v>1875</v>
      </c>
      <c r="D202" s="32">
        <v>909.5</v>
      </c>
      <c r="E202" s="32">
        <v>915</v>
      </c>
      <c r="F202" s="95">
        <v>3.4922813000000001</v>
      </c>
      <c r="G202" s="5"/>
      <c r="H202" s="99"/>
      <c r="I202" s="98"/>
    </row>
    <row r="203" spans="1:9" ht="14.25" x14ac:dyDescent="0.3">
      <c r="A203" s="35" t="s">
        <v>304</v>
      </c>
      <c r="B203" s="34" t="s">
        <v>14</v>
      </c>
      <c r="C203" s="33">
        <v>115500</v>
      </c>
      <c r="D203" s="32">
        <v>232.328</v>
      </c>
      <c r="E203" s="32">
        <v>230.14</v>
      </c>
      <c r="F203" s="95">
        <v>56.785459500000002</v>
      </c>
      <c r="G203" s="5"/>
      <c r="H203" s="99"/>
      <c r="I203" s="98"/>
    </row>
    <row r="204" spans="1:9" ht="14.25" x14ac:dyDescent="0.3">
      <c r="A204" s="35" t="s">
        <v>255</v>
      </c>
      <c r="B204" s="34" t="s">
        <v>14</v>
      </c>
      <c r="C204" s="33">
        <v>4500</v>
      </c>
      <c r="D204" s="32">
        <v>565.49998444000005</v>
      </c>
      <c r="E204" s="32">
        <v>540.9</v>
      </c>
      <c r="F204" s="95">
        <v>6.8490675000000003</v>
      </c>
      <c r="G204" s="5"/>
      <c r="H204" s="99"/>
      <c r="I204" s="98"/>
    </row>
    <row r="205" spans="1:9" ht="14.25" x14ac:dyDescent="0.3">
      <c r="A205" s="35" t="s">
        <v>256</v>
      </c>
      <c r="B205" s="34" t="s">
        <v>14</v>
      </c>
      <c r="C205" s="33">
        <v>3375</v>
      </c>
      <c r="D205" s="32">
        <v>1064.6400000000001</v>
      </c>
      <c r="E205" s="32">
        <v>1065.95</v>
      </c>
      <c r="F205" s="95">
        <v>6.3500033999999994</v>
      </c>
      <c r="G205" s="5"/>
      <c r="H205" s="99"/>
      <c r="I205" s="98"/>
    </row>
    <row r="206" spans="1:9" ht="14.25" x14ac:dyDescent="0.3">
      <c r="A206" s="35" t="s">
        <v>257</v>
      </c>
      <c r="B206" s="34" t="s">
        <v>14</v>
      </c>
      <c r="C206" s="33">
        <v>20400</v>
      </c>
      <c r="D206" s="32">
        <v>616.76666666999995</v>
      </c>
      <c r="E206" s="32">
        <v>615.95000000000005</v>
      </c>
      <c r="F206" s="95">
        <v>29.200202999999998</v>
      </c>
      <c r="G206" s="5"/>
      <c r="H206" s="99"/>
      <c r="I206" s="98"/>
    </row>
    <row r="207" spans="1:9" ht="14.25" x14ac:dyDescent="0.3">
      <c r="A207" s="35" t="s">
        <v>258</v>
      </c>
      <c r="B207" s="34" t="s">
        <v>14</v>
      </c>
      <c r="C207" s="33">
        <v>47000</v>
      </c>
      <c r="D207" s="32">
        <v>572.61702552999998</v>
      </c>
      <c r="E207" s="32">
        <v>567.1</v>
      </c>
      <c r="F207" s="95">
        <v>56.606095000000003</v>
      </c>
      <c r="G207" s="5"/>
      <c r="H207" s="99"/>
      <c r="I207" s="98"/>
    </row>
    <row r="208" spans="1:9" ht="14.25" x14ac:dyDescent="0.3">
      <c r="A208" s="35" t="s">
        <v>259</v>
      </c>
      <c r="B208" s="34" t="s">
        <v>14</v>
      </c>
      <c r="C208" s="33">
        <v>1500</v>
      </c>
      <c r="D208" s="32">
        <v>3319.3861000000002</v>
      </c>
      <c r="E208" s="32">
        <v>3500.3</v>
      </c>
      <c r="F208" s="95">
        <v>9.3138074999999994</v>
      </c>
      <c r="G208" s="5"/>
      <c r="H208" s="99"/>
      <c r="I208" s="98"/>
    </row>
    <row r="209" spans="1:9" ht="14.25" x14ac:dyDescent="0.3">
      <c r="A209" s="35" t="s">
        <v>260</v>
      </c>
      <c r="B209" s="34" t="s">
        <v>14</v>
      </c>
      <c r="C209" s="33">
        <v>8050</v>
      </c>
      <c r="D209" s="32">
        <v>2837.6043764000001</v>
      </c>
      <c r="E209" s="32">
        <v>2678.3</v>
      </c>
      <c r="F209" s="95">
        <v>43.920035300000002</v>
      </c>
      <c r="G209" s="5"/>
      <c r="H209" s="99"/>
      <c r="I209" s="98"/>
    </row>
    <row r="210" spans="1:9" ht="14.25" x14ac:dyDescent="0.3">
      <c r="A210" s="35" t="s">
        <v>261</v>
      </c>
      <c r="B210" s="34" t="s">
        <v>14</v>
      </c>
      <c r="C210" s="33">
        <v>48000</v>
      </c>
      <c r="D210" s="32">
        <v>215.34809999999999</v>
      </c>
      <c r="E210" s="32">
        <v>233.65</v>
      </c>
      <c r="F210" s="95">
        <v>29.744520000000001</v>
      </c>
      <c r="G210" s="5"/>
      <c r="H210" s="99"/>
      <c r="I210" s="98"/>
    </row>
    <row r="211" spans="1:9" ht="14.25" x14ac:dyDescent="0.3">
      <c r="A211" s="35" t="s">
        <v>262</v>
      </c>
      <c r="B211" s="34" t="s">
        <v>14</v>
      </c>
      <c r="C211" s="33">
        <v>3600</v>
      </c>
      <c r="D211" s="32">
        <v>639.71669999999995</v>
      </c>
      <c r="E211" s="32">
        <v>655.20000000000005</v>
      </c>
      <c r="F211" s="95">
        <v>4.1512320000000003</v>
      </c>
      <c r="G211" s="5"/>
      <c r="H211" s="99"/>
      <c r="I211" s="98"/>
    </row>
    <row r="212" spans="1:9" ht="14.25" x14ac:dyDescent="0.3">
      <c r="A212" s="35" t="s">
        <v>263</v>
      </c>
      <c r="B212" s="34" t="s">
        <v>14</v>
      </c>
      <c r="C212" s="33">
        <v>550</v>
      </c>
      <c r="D212" s="32">
        <v>11839.415625</v>
      </c>
      <c r="E212" s="32">
        <v>11547.8</v>
      </c>
      <c r="F212" s="95">
        <v>11.426485076470589</v>
      </c>
      <c r="G212" s="5"/>
      <c r="H212" s="99"/>
      <c r="I212" s="98"/>
    </row>
    <row r="213" spans="1:9" ht="14.25" x14ac:dyDescent="0.3">
      <c r="A213" s="35" t="s">
        <v>305</v>
      </c>
      <c r="B213" s="34" t="s">
        <v>14</v>
      </c>
      <c r="C213" s="33">
        <v>300</v>
      </c>
      <c r="D213" s="32">
        <v>11891.9</v>
      </c>
      <c r="E213" s="32">
        <v>11609.35</v>
      </c>
      <c r="F213" s="95">
        <v>6.232628223529411</v>
      </c>
      <c r="G213" s="5"/>
      <c r="H213" s="99"/>
      <c r="I213" s="98"/>
    </row>
    <row r="214" spans="1:9" ht="14.25" x14ac:dyDescent="0.3">
      <c r="A214" s="35" t="s">
        <v>264</v>
      </c>
      <c r="B214" s="34" t="s">
        <v>14</v>
      </c>
      <c r="C214" s="33">
        <v>900</v>
      </c>
      <c r="D214" s="32">
        <v>5253.7111111100003</v>
      </c>
      <c r="E214" s="32">
        <v>5337.85</v>
      </c>
      <c r="F214" s="95">
        <v>12.1306028</v>
      </c>
      <c r="G214" s="5"/>
      <c r="H214" s="99"/>
      <c r="I214" s="98"/>
    </row>
    <row r="215" spans="1:9" ht="14.25" x14ac:dyDescent="0.3">
      <c r="A215" s="35" t="s">
        <v>265</v>
      </c>
      <c r="B215" s="34" t="s">
        <v>14</v>
      </c>
      <c r="C215" s="33">
        <v>39050</v>
      </c>
      <c r="D215" s="32">
        <v>134.68909091</v>
      </c>
      <c r="E215" s="32">
        <v>131.61000000000001</v>
      </c>
      <c r="F215" s="95">
        <v>11.4753697</v>
      </c>
      <c r="G215" s="5"/>
      <c r="H215" s="99"/>
      <c r="I215" s="98"/>
    </row>
    <row r="216" spans="1:9" ht="14.25" x14ac:dyDescent="0.3">
      <c r="A216" s="35" t="s">
        <v>266</v>
      </c>
      <c r="B216" s="34" t="s">
        <v>14</v>
      </c>
      <c r="C216" s="33">
        <v>450</v>
      </c>
      <c r="D216" s="32">
        <v>6972.6</v>
      </c>
      <c r="E216" s="32">
        <v>7194.7</v>
      </c>
      <c r="F216" s="95">
        <v>7.0064753</v>
      </c>
      <c r="G216" s="5"/>
      <c r="H216" s="99"/>
      <c r="I216" s="98"/>
    </row>
    <row r="217" spans="1:9" ht="14.25" x14ac:dyDescent="0.3">
      <c r="A217" s="35" t="s">
        <v>267</v>
      </c>
      <c r="B217" s="34" t="s">
        <v>14</v>
      </c>
      <c r="C217" s="33">
        <v>800</v>
      </c>
      <c r="D217" s="32">
        <v>2212.2375000000002</v>
      </c>
      <c r="E217" s="32">
        <v>2261.65</v>
      </c>
      <c r="F217" s="95">
        <v>3.186302</v>
      </c>
      <c r="G217" s="5"/>
      <c r="H217" s="99"/>
      <c r="I217" s="98"/>
    </row>
    <row r="218" spans="1:9" ht="14.25" x14ac:dyDescent="0.3">
      <c r="A218" s="35" t="s">
        <v>268</v>
      </c>
      <c r="B218" s="34" t="s">
        <v>14</v>
      </c>
      <c r="C218" s="33">
        <v>13500</v>
      </c>
      <c r="D218" s="32">
        <v>69.040000000000006</v>
      </c>
      <c r="E218" s="32">
        <v>69.02</v>
      </c>
      <c r="F218" s="95">
        <v>2.1810195000000001</v>
      </c>
      <c r="G218" s="5"/>
      <c r="H218" s="99"/>
      <c r="I218" s="98"/>
    </row>
    <row r="219" spans="1:9" ht="14.25" x14ac:dyDescent="0.3">
      <c r="A219" s="35" t="s">
        <v>269</v>
      </c>
      <c r="B219" s="34" t="s">
        <v>14</v>
      </c>
      <c r="C219" s="33">
        <v>73500</v>
      </c>
      <c r="D219" s="32">
        <v>346.30406939</v>
      </c>
      <c r="E219" s="32">
        <v>359.05</v>
      </c>
      <c r="F219" s="95">
        <v>51.241811300000002</v>
      </c>
      <c r="G219" s="5"/>
      <c r="H219" s="99"/>
      <c r="I219" s="98"/>
    </row>
    <row r="220" spans="1:9" ht="14.25" x14ac:dyDescent="0.3">
      <c r="A220" s="35" t="s">
        <v>270</v>
      </c>
      <c r="B220" s="34" t="s">
        <v>14</v>
      </c>
      <c r="C220" s="33">
        <v>17325</v>
      </c>
      <c r="D220" s="32">
        <v>241.76549957</v>
      </c>
      <c r="E220" s="32">
        <v>247.6</v>
      </c>
      <c r="F220" s="95">
        <v>8.7823757076923066</v>
      </c>
      <c r="G220" s="5"/>
      <c r="H220" s="99"/>
      <c r="I220" s="98"/>
    </row>
    <row r="221" spans="1:9" ht="14.25" x14ac:dyDescent="0.3">
      <c r="A221" s="35" t="s">
        <v>306</v>
      </c>
      <c r="B221" s="34" t="s">
        <v>14</v>
      </c>
      <c r="C221" s="33">
        <v>7700</v>
      </c>
      <c r="D221" s="32">
        <v>245.25</v>
      </c>
      <c r="E221" s="32">
        <v>249.15</v>
      </c>
      <c r="F221" s="95">
        <v>3.9032780923076924</v>
      </c>
      <c r="G221" s="5"/>
      <c r="H221" s="99"/>
      <c r="I221" s="98"/>
    </row>
    <row r="222" spans="1:9" ht="14.25" x14ac:dyDescent="0.3">
      <c r="A222" s="35" t="s">
        <v>271</v>
      </c>
      <c r="B222" s="34" t="s">
        <v>14</v>
      </c>
      <c r="C222" s="33">
        <v>43500</v>
      </c>
      <c r="D222" s="32">
        <v>297.60341378999999</v>
      </c>
      <c r="E222" s="32">
        <v>295.2</v>
      </c>
      <c r="F222" s="95">
        <v>26.044319999999999</v>
      </c>
      <c r="G222" s="5"/>
      <c r="H222" s="99"/>
      <c r="I222" s="98"/>
    </row>
    <row r="223" spans="1:9" ht="14.25" x14ac:dyDescent="0.3">
      <c r="A223" s="35" t="s">
        <v>272</v>
      </c>
      <c r="B223" s="34" t="s">
        <v>14</v>
      </c>
      <c r="C223" s="33">
        <v>1300</v>
      </c>
      <c r="D223" s="32">
        <v>426.85</v>
      </c>
      <c r="E223" s="32">
        <v>416.7</v>
      </c>
      <c r="F223" s="95">
        <v>1.5112418999999999</v>
      </c>
      <c r="G223" s="5"/>
      <c r="H223" s="99"/>
      <c r="I223" s="98"/>
    </row>
    <row r="224" spans="1:9" ht="14.25" x14ac:dyDescent="0.3">
      <c r="A224" s="35" t="s">
        <v>307</v>
      </c>
      <c r="B224" s="34" t="s">
        <v>14</v>
      </c>
      <c r="C224" s="33">
        <v>1300</v>
      </c>
      <c r="D224" s="32">
        <v>418.25</v>
      </c>
      <c r="E224" s="32">
        <v>419.55</v>
      </c>
      <c r="F224" s="95">
        <v>1.5112418999999999</v>
      </c>
      <c r="G224" s="5"/>
      <c r="H224" s="99"/>
      <c r="I224" s="98"/>
    </row>
    <row r="225" spans="1:9" ht="14.25" x14ac:dyDescent="0.3">
      <c r="A225" s="35" t="s">
        <v>273</v>
      </c>
      <c r="B225" s="34" t="s">
        <v>14</v>
      </c>
      <c r="C225" s="33">
        <v>500</v>
      </c>
      <c r="D225" s="32">
        <v>2838.2</v>
      </c>
      <c r="E225" s="32">
        <v>2864.4</v>
      </c>
      <c r="F225" s="95">
        <v>2.5412699999999999</v>
      </c>
      <c r="G225" s="5"/>
      <c r="H225" s="99"/>
      <c r="I225" s="98"/>
    </row>
    <row r="226" spans="1:9" ht="14.25" x14ac:dyDescent="0.3">
      <c r="A226" s="35" t="s">
        <v>274</v>
      </c>
      <c r="B226" s="34" t="s">
        <v>14</v>
      </c>
      <c r="C226" s="33">
        <v>64000</v>
      </c>
      <c r="D226" s="32">
        <v>93.665000000000006</v>
      </c>
      <c r="E226" s="32">
        <v>96.42</v>
      </c>
      <c r="F226" s="95">
        <v>13.974208000000001</v>
      </c>
      <c r="G226" s="5"/>
      <c r="H226" s="99"/>
      <c r="I226" s="98"/>
    </row>
    <row r="227" spans="1:9" ht="14.25" x14ac:dyDescent="0.3">
      <c r="A227" s="35" t="s">
        <v>275</v>
      </c>
      <c r="B227" s="34" t="s">
        <v>14</v>
      </c>
      <c r="C227" s="33">
        <v>27000</v>
      </c>
      <c r="D227" s="32">
        <v>284.49333332999998</v>
      </c>
      <c r="E227" s="32">
        <v>291.7</v>
      </c>
      <c r="F227" s="95">
        <v>14.666264999999999</v>
      </c>
      <c r="G227" s="5"/>
      <c r="H227" s="99"/>
      <c r="I227" s="98"/>
    </row>
    <row r="228" spans="1:9" ht="14.25" x14ac:dyDescent="0.3">
      <c r="A228" s="35" t="s">
        <v>276</v>
      </c>
      <c r="B228" s="34" t="s">
        <v>14</v>
      </c>
      <c r="C228" s="33">
        <v>90000</v>
      </c>
      <c r="D228" s="32">
        <v>177.20608333000001</v>
      </c>
      <c r="E228" s="32">
        <v>174.61</v>
      </c>
      <c r="F228" s="95">
        <v>41.896214999999998</v>
      </c>
      <c r="G228" s="5"/>
      <c r="H228" s="99"/>
      <c r="I228" s="98"/>
    </row>
    <row r="229" spans="1:9" ht="14.25" x14ac:dyDescent="0.3">
      <c r="A229" s="35" t="s">
        <v>277</v>
      </c>
      <c r="B229" s="34" t="s">
        <v>14</v>
      </c>
      <c r="C229" s="33">
        <v>62000</v>
      </c>
      <c r="D229" s="32">
        <v>1296.53141532</v>
      </c>
      <c r="E229" s="32">
        <v>1281.55</v>
      </c>
      <c r="F229" s="95">
        <v>140.612435</v>
      </c>
      <c r="G229" s="5"/>
      <c r="H229" s="99"/>
      <c r="I229" s="98"/>
    </row>
    <row r="230" spans="1:9" ht="14.25" x14ac:dyDescent="0.3">
      <c r="A230" s="35" t="s">
        <v>278</v>
      </c>
      <c r="B230" s="34" t="s">
        <v>14</v>
      </c>
      <c r="C230" s="33">
        <v>8000</v>
      </c>
      <c r="D230" s="32">
        <v>118.86</v>
      </c>
      <c r="E230" s="32">
        <v>115.5</v>
      </c>
      <c r="F230" s="95">
        <v>2.4339195428571427</v>
      </c>
      <c r="G230" s="5"/>
      <c r="H230" s="99"/>
      <c r="I230" s="98"/>
    </row>
    <row r="231" spans="1:9" ht="14.25" x14ac:dyDescent="0.3">
      <c r="A231" s="35" t="s">
        <v>308</v>
      </c>
      <c r="B231" s="34" t="s">
        <v>14</v>
      </c>
      <c r="C231" s="33">
        <v>132000</v>
      </c>
      <c r="D231" s="32">
        <v>115.28959999999999</v>
      </c>
      <c r="E231" s="32">
        <v>116.16</v>
      </c>
      <c r="F231" s="95">
        <v>40.159672457142861</v>
      </c>
      <c r="G231" s="5"/>
      <c r="H231" s="99"/>
      <c r="I231" s="98"/>
    </row>
    <row r="232" spans="1:9" ht="14.25" x14ac:dyDescent="0.3">
      <c r="A232" s="35" t="s">
        <v>279</v>
      </c>
      <c r="B232" s="34" t="s">
        <v>14</v>
      </c>
      <c r="C232" s="33">
        <v>6375</v>
      </c>
      <c r="D232" s="32">
        <v>1560.2941176500001</v>
      </c>
      <c r="E232" s="32">
        <v>1556.5</v>
      </c>
      <c r="F232" s="95">
        <v>17.491565600000001</v>
      </c>
      <c r="G232" s="5"/>
      <c r="H232" s="99"/>
      <c r="I232" s="98"/>
    </row>
    <row r="233" spans="1:9" ht="14.25" x14ac:dyDescent="0.3">
      <c r="A233" s="35" t="s">
        <v>280</v>
      </c>
      <c r="B233" s="34" t="s">
        <v>14</v>
      </c>
      <c r="C233" s="33">
        <v>13500</v>
      </c>
      <c r="D233" s="32">
        <v>753.84716666999998</v>
      </c>
      <c r="E233" s="32">
        <v>775.55</v>
      </c>
      <c r="F233" s="95">
        <v>18.5050238</v>
      </c>
      <c r="G233" s="5"/>
      <c r="H233" s="99"/>
      <c r="I233" s="98"/>
    </row>
    <row r="234" spans="1:9" ht="14.25" x14ac:dyDescent="0.3">
      <c r="A234" s="35" t="s">
        <v>281</v>
      </c>
      <c r="B234" s="34" t="s">
        <v>14</v>
      </c>
      <c r="C234" s="33">
        <v>3750</v>
      </c>
      <c r="D234" s="32">
        <v>681.47</v>
      </c>
      <c r="E234" s="32">
        <v>659.75</v>
      </c>
      <c r="F234" s="95">
        <v>5.6242968999999992</v>
      </c>
      <c r="G234" s="5"/>
      <c r="H234" s="99"/>
      <c r="I234" s="98"/>
    </row>
    <row r="235" spans="1:9" ht="14.25" x14ac:dyDescent="0.3">
      <c r="A235" s="35" t="s">
        <v>282</v>
      </c>
      <c r="B235" s="34" t="s">
        <v>14</v>
      </c>
      <c r="C235" s="33">
        <v>62700</v>
      </c>
      <c r="D235" s="32">
        <v>658.74298246000001</v>
      </c>
      <c r="E235" s="32">
        <v>678</v>
      </c>
      <c r="F235" s="95">
        <v>83.786010000000005</v>
      </c>
      <c r="G235" s="5"/>
      <c r="H235" s="99"/>
      <c r="I235" s="98"/>
    </row>
    <row r="236" spans="1:9" ht="14.25" x14ac:dyDescent="0.3">
      <c r="A236" s="35" t="s">
        <v>283</v>
      </c>
      <c r="B236" s="34" t="s">
        <v>14</v>
      </c>
      <c r="C236" s="33">
        <v>122850</v>
      </c>
      <c r="D236" s="32">
        <v>378.74832860999999</v>
      </c>
      <c r="E236" s="32">
        <v>376.95</v>
      </c>
      <c r="F236" s="95">
        <v>98.382272599999993</v>
      </c>
      <c r="G236" s="5"/>
      <c r="H236" s="99"/>
      <c r="I236" s="98"/>
    </row>
    <row r="237" spans="1:9" ht="14.25" x14ac:dyDescent="0.3">
      <c r="A237" s="35" t="s">
        <v>284</v>
      </c>
      <c r="B237" s="34" t="s">
        <v>14</v>
      </c>
      <c r="C237" s="33">
        <v>159500</v>
      </c>
      <c r="D237" s="32">
        <v>157.14035172000001</v>
      </c>
      <c r="E237" s="32">
        <v>155.09</v>
      </c>
      <c r="F237" s="95">
        <v>46.395599299999994</v>
      </c>
      <c r="G237" s="5"/>
      <c r="H237" s="99"/>
      <c r="I237" s="98"/>
    </row>
    <row r="238" spans="1:9" ht="14.25" x14ac:dyDescent="0.3">
      <c r="A238" s="35" t="s">
        <v>285</v>
      </c>
      <c r="B238" s="34" t="s">
        <v>14</v>
      </c>
      <c r="C238" s="33">
        <v>16100</v>
      </c>
      <c r="D238" s="32">
        <v>3655.0396111800001</v>
      </c>
      <c r="E238" s="32">
        <v>3619.55</v>
      </c>
      <c r="F238" s="95">
        <v>104.0678643</v>
      </c>
      <c r="G238" s="5"/>
      <c r="H238" s="99"/>
      <c r="I238" s="98"/>
    </row>
    <row r="239" spans="1:9" ht="14.25" x14ac:dyDescent="0.3">
      <c r="A239" s="35" t="s">
        <v>286</v>
      </c>
      <c r="B239" s="34" t="s">
        <v>14</v>
      </c>
      <c r="C239" s="33">
        <v>10800</v>
      </c>
      <c r="D239" s="32">
        <v>1432.6888666699999</v>
      </c>
      <c r="E239" s="32">
        <v>1421.7</v>
      </c>
      <c r="F239" s="95">
        <v>27.262385999999999</v>
      </c>
      <c r="G239" s="5"/>
      <c r="H239" s="99"/>
      <c r="I239" s="98"/>
    </row>
    <row r="240" spans="1:9" ht="14.25" x14ac:dyDescent="0.3">
      <c r="A240" s="35" t="s">
        <v>287</v>
      </c>
      <c r="B240" s="34" t="s">
        <v>14</v>
      </c>
      <c r="C240" s="33">
        <v>4900</v>
      </c>
      <c r="D240" s="32">
        <v>3127.18744694</v>
      </c>
      <c r="E240" s="32">
        <v>3078</v>
      </c>
      <c r="F240" s="95">
        <v>26.813780000000001</v>
      </c>
      <c r="G240" s="5"/>
      <c r="H240" s="99"/>
      <c r="I240" s="98"/>
    </row>
    <row r="241" spans="1:9" ht="14.25" x14ac:dyDescent="0.3">
      <c r="A241" s="35" t="s">
        <v>288</v>
      </c>
      <c r="B241" s="34" t="s">
        <v>14</v>
      </c>
      <c r="C241" s="33">
        <v>1000</v>
      </c>
      <c r="D241" s="32">
        <v>5288.8050000000003</v>
      </c>
      <c r="E241" s="32">
        <v>5338.7</v>
      </c>
      <c r="F241" s="95">
        <v>12.669845</v>
      </c>
      <c r="G241" s="5"/>
      <c r="H241" s="99"/>
      <c r="I241" s="98"/>
    </row>
    <row r="242" spans="1:9" ht="14.25" x14ac:dyDescent="0.3">
      <c r="A242" s="35" t="s">
        <v>289</v>
      </c>
      <c r="B242" s="34" t="s">
        <v>14</v>
      </c>
      <c r="C242" s="33">
        <v>2050</v>
      </c>
      <c r="D242" s="32">
        <v>11465.97313171</v>
      </c>
      <c r="E242" s="32">
        <v>11572.8</v>
      </c>
      <c r="F242" s="95">
        <v>42.150009000000004</v>
      </c>
      <c r="G242" s="5"/>
      <c r="H242" s="99"/>
      <c r="I242" s="98"/>
    </row>
    <row r="243" spans="1:9" ht="14.25" x14ac:dyDescent="0.3">
      <c r="A243" s="35" t="s">
        <v>290</v>
      </c>
      <c r="B243" s="34" t="s">
        <v>14</v>
      </c>
      <c r="C243" s="33">
        <v>21680</v>
      </c>
      <c r="D243" s="32">
        <v>658.10311254999999</v>
      </c>
      <c r="E243" s="32">
        <v>637.65</v>
      </c>
      <c r="F243" s="95">
        <v>27.075664199999999</v>
      </c>
      <c r="G243" s="5"/>
      <c r="H243" s="99"/>
      <c r="I243" s="98"/>
    </row>
    <row r="244" spans="1:9" ht="14.25" x14ac:dyDescent="0.3">
      <c r="A244" s="35" t="s">
        <v>291</v>
      </c>
      <c r="B244" s="34" t="s">
        <v>14</v>
      </c>
      <c r="C244" s="33">
        <v>52000</v>
      </c>
      <c r="D244" s="32">
        <v>17.21</v>
      </c>
      <c r="E244" s="32">
        <v>16.920000000000002</v>
      </c>
      <c r="F244" s="95">
        <v>2.1331440000000002</v>
      </c>
      <c r="G244" s="5"/>
      <c r="H244" s="99"/>
      <c r="I244" s="98"/>
    </row>
    <row r="245" spans="1:9" x14ac:dyDescent="0.2">
      <c r="A245" s="8"/>
      <c r="B245" s="7"/>
      <c r="D245" s="5"/>
      <c r="E245" s="18"/>
      <c r="F245" s="5"/>
      <c r="G245" s="5"/>
      <c r="H245" s="18"/>
    </row>
    <row r="246" spans="1:9" ht="14.25" x14ac:dyDescent="0.3">
      <c r="A246" s="76" t="s">
        <v>392</v>
      </c>
      <c r="B246" s="77"/>
      <c r="C246" s="78"/>
      <c r="D246" s="9"/>
      <c r="E246" s="29"/>
      <c r="F246" s="18"/>
      <c r="G246" s="18"/>
      <c r="H246" s="5"/>
    </row>
    <row r="247" spans="1:9" ht="14.25" x14ac:dyDescent="0.3">
      <c r="A247" s="79"/>
      <c r="B247" s="77"/>
      <c r="C247" s="31"/>
      <c r="D247" s="9"/>
      <c r="E247" s="29"/>
      <c r="F247" s="18"/>
      <c r="G247" s="18"/>
      <c r="H247" s="18"/>
    </row>
    <row r="248" spans="1:9" ht="14.25" x14ac:dyDescent="0.3">
      <c r="A248" s="111" t="s">
        <v>309</v>
      </c>
      <c r="B248" s="111"/>
      <c r="C248" s="111"/>
      <c r="D248" s="30"/>
      <c r="E248" s="29"/>
      <c r="F248" s="5"/>
      <c r="G248" s="5"/>
      <c r="H248" s="5"/>
    </row>
    <row r="249" spans="1:9" ht="14.25" x14ac:dyDescent="0.3">
      <c r="A249" s="28" t="s">
        <v>292</v>
      </c>
      <c r="B249" s="28"/>
      <c r="C249" s="28"/>
      <c r="D249" s="28"/>
      <c r="E249" s="9"/>
      <c r="F249" s="18"/>
      <c r="G249" s="18"/>
      <c r="H249" s="18"/>
    </row>
    <row r="250" spans="1:9" ht="14.25" x14ac:dyDescent="0.3">
      <c r="A250" s="108" t="s">
        <v>13</v>
      </c>
      <c r="B250" s="109"/>
      <c r="C250" s="110"/>
      <c r="D250" s="27">
        <v>3096</v>
      </c>
      <c r="E250" s="9"/>
      <c r="F250" s="5"/>
      <c r="G250" s="18"/>
      <c r="H250" s="5"/>
    </row>
    <row r="251" spans="1:9" ht="14.25" x14ac:dyDescent="0.3">
      <c r="A251" s="108" t="s">
        <v>12</v>
      </c>
      <c r="B251" s="109"/>
      <c r="C251" s="110"/>
      <c r="D251" s="27">
        <v>2994</v>
      </c>
      <c r="E251" s="9"/>
      <c r="F251" s="5"/>
      <c r="G251" s="18"/>
      <c r="H251" s="5"/>
    </row>
    <row r="252" spans="1:9" ht="14.25" x14ac:dyDescent="0.3">
      <c r="A252" s="108" t="s">
        <v>11</v>
      </c>
      <c r="B252" s="109"/>
      <c r="C252" s="110"/>
      <c r="D252" s="26">
        <v>18818.247536800001</v>
      </c>
      <c r="E252" s="9"/>
      <c r="F252" s="18"/>
      <c r="G252" s="18"/>
      <c r="H252" s="18"/>
    </row>
    <row r="253" spans="1:9" ht="14.25" x14ac:dyDescent="0.3">
      <c r="A253" s="108" t="s">
        <v>10</v>
      </c>
      <c r="B253" s="109"/>
      <c r="C253" s="110"/>
      <c r="D253" s="26">
        <v>16789.299955399998</v>
      </c>
      <c r="E253" s="9"/>
      <c r="F253" s="18"/>
      <c r="G253" s="18"/>
      <c r="H253" s="18"/>
    </row>
    <row r="254" spans="1:9" ht="14.25" x14ac:dyDescent="0.3">
      <c r="A254" s="108" t="s">
        <v>9</v>
      </c>
      <c r="B254" s="109"/>
      <c r="C254" s="110"/>
      <c r="D254" s="25">
        <v>-472.32</v>
      </c>
      <c r="E254" s="9"/>
      <c r="F254" s="5"/>
      <c r="G254" s="18"/>
      <c r="H254" s="5"/>
    </row>
    <row r="255" spans="1:9" ht="14.25" x14ac:dyDescent="0.3">
      <c r="A255" s="12"/>
      <c r="B255" s="11"/>
      <c r="C255" s="9"/>
      <c r="D255" s="9"/>
      <c r="E255" s="9"/>
      <c r="F255" s="5"/>
      <c r="G255" s="18"/>
      <c r="H255" s="5"/>
    </row>
    <row r="256" spans="1:9" ht="14.25" x14ac:dyDescent="0.3">
      <c r="A256" s="24" t="s">
        <v>293</v>
      </c>
      <c r="B256" s="24"/>
      <c r="C256" s="24"/>
      <c r="D256" s="9"/>
      <c r="E256" s="9"/>
      <c r="F256" s="18"/>
      <c r="G256" s="5"/>
      <c r="H256" s="5"/>
    </row>
    <row r="257" spans="1:8" ht="14.25" x14ac:dyDescent="0.3">
      <c r="A257" s="23" t="s">
        <v>294</v>
      </c>
      <c r="B257" s="22"/>
      <c r="C257" s="21"/>
      <c r="D257" s="20"/>
      <c r="E257" s="9"/>
      <c r="F257" s="18"/>
      <c r="G257" s="5"/>
      <c r="H257" s="5"/>
    </row>
    <row r="258" spans="1:8" ht="14.25" x14ac:dyDescent="0.3">
      <c r="A258" s="108" t="s">
        <v>13</v>
      </c>
      <c r="B258" s="109"/>
      <c r="C258" s="110"/>
      <c r="D258" s="19" t="s">
        <v>8</v>
      </c>
      <c r="E258" s="9"/>
      <c r="F258" s="18"/>
      <c r="G258" s="5"/>
      <c r="H258" s="5"/>
    </row>
    <row r="259" spans="1:8" ht="14.25" x14ac:dyDescent="0.3">
      <c r="A259" s="108" t="s">
        <v>12</v>
      </c>
      <c r="B259" s="109"/>
      <c r="C259" s="110"/>
      <c r="D259" s="19" t="s">
        <v>8</v>
      </c>
      <c r="E259" s="9"/>
      <c r="F259" s="18"/>
      <c r="G259" s="5"/>
      <c r="H259" s="18"/>
    </row>
    <row r="260" spans="1:8" ht="14.25" x14ac:dyDescent="0.3">
      <c r="A260" s="108" t="s">
        <v>11</v>
      </c>
      <c r="B260" s="109"/>
      <c r="C260" s="110"/>
      <c r="D260" s="19" t="s">
        <v>8</v>
      </c>
      <c r="E260" s="9"/>
      <c r="F260" s="5"/>
      <c r="G260" s="5"/>
      <c r="H260" s="18"/>
    </row>
    <row r="261" spans="1:8" ht="14.25" x14ac:dyDescent="0.3">
      <c r="A261" s="108" t="s">
        <v>10</v>
      </c>
      <c r="B261" s="109"/>
      <c r="C261" s="110"/>
      <c r="D261" s="19" t="s">
        <v>8</v>
      </c>
      <c r="E261" s="9"/>
      <c r="F261" s="5"/>
      <c r="G261" s="18"/>
      <c r="H261" s="18"/>
    </row>
    <row r="262" spans="1:8" ht="14.25" x14ac:dyDescent="0.3">
      <c r="A262" s="108" t="s">
        <v>9</v>
      </c>
      <c r="B262" s="109"/>
      <c r="C262" s="110"/>
      <c r="D262" s="19" t="s">
        <v>8</v>
      </c>
      <c r="E262" s="9"/>
      <c r="F262" s="5"/>
      <c r="G262" s="5"/>
      <c r="H262" s="5"/>
    </row>
    <row r="263" spans="1:8" ht="14.25" x14ac:dyDescent="0.3">
      <c r="A263" s="12"/>
      <c r="B263" s="11"/>
      <c r="C263" s="10"/>
      <c r="D263" s="9"/>
      <c r="E263" s="9"/>
      <c r="F263" s="5"/>
      <c r="G263" s="5"/>
      <c r="H263" s="18"/>
    </row>
    <row r="264" spans="1:8" ht="14.25" x14ac:dyDescent="0.3">
      <c r="A264" s="17" t="s">
        <v>7</v>
      </c>
      <c r="B264" s="13"/>
      <c r="C264" s="13"/>
      <c r="D264" s="9"/>
      <c r="E264" s="9"/>
      <c r="F264" s="5"/>
      <c r="G264" s="5"/>
      <c r="H264" s="5"/>
    </row>
    <row r="265" spans="1:8" ht="14.25" x14ac:dyDescent="0.3">
      <c r="A265" s="16" t="s">
        <v>6</v>
      </c>
      <c r="B265" s="13"/>
      <c r="C265" s="13"/>
      <c r="D265" s="9"/>
      <c r="E265" s="9"/>
      <c r="F265" s="5"/>
      <c r="G265" s="5"/>
      <c r="H265" s="5"/>
    </row>
    <row r="266" spans="1:8" ht="14.25" x14ac:dyDescent="0.3">
      <c r="A266" s="16" t="s">
        <v>5</v>
      </c>
      <c r="B266" s="16"/>
      <c r="C266" s="16"/>
      <c r="D266" s="9"/>
      <c r="E266" s="9"/>
      <c r="F266" s="5"/>
      <c r="G266" s="5"/>
      <c r="H266" s="5"/>
    </row>
    <row r="267" spans="1:8" ht="14.25" x14ac:dyDescent="0.3">
      <c r="A267" s="16" t="s">
        <v>4</v>
      </c>
      <c r="B267" s="16"/>
      <c r="C267" s="16"/>
      <c r="D267" s="9"/>
      <c r="E267" s="9"/>
      <c r="F267" s="5"/>
      <c r="G267" s="5"/>
      <c r="H267" s="5"/>
    </row>
    <row r="268" spans="1:8" ht="14.25" x14ac:dyDescent="0.3">
      <c r="A268" s="16"/>
      <c r="B268" s="13"/>
      <c r="C268" s="13"/>
      <c r="D268" s="9"/>
      <c r="E268" s="9"/>
      <c r="F268" s="5"/>
      <c r="G268" s="5"/>
      <c r="H268" s="5"/>
    </row>
    <row r="269" spans="1:8" ht="14.25" x14ac:dyDescent="0.3">
      <c r="A269" s="15" t="s">
        <v>3</v>
      </c>
      <c r="B269" s="14" t="s">
        <v>2</v>
      </c>
      <c r="C269" s="5"/>
      <c r="D269" s="9"/>
      <c r="E269" s="9"/>
      <c r="F269" s="5"/>
      <c r="G269" s="5"/>
      <c r="H269" s="5"/>
    </row>
    <row r="270" spans="1:8" ht="14.25" x14ac:dyDescent="0.3">
      <c r="A270" s="13"/>
      <c r="B270" s="13"/>
      <c r="C270" s="13"/>
      <c r="D270" s="9"/>
      <c r="E270" s="9"/>
      <c r="F270" s="5"/>
      <c r="G270" s="5"/>
      <c r="H270" s="5"/>
    </row>
    <row r="271" spans="1:8" ht="14.25" x14ac:dyDescent="0.3">
      <c r="A271" s="13"/>
      <c r="B271" s="13"/>
      <c r="C271" s="13"/>
      <c r="D271" s="9"/>
      <c r="E271" s="9"/>
      <c r="F271" s="5"/>
      <c r="G271" s="5"/>
      <c r="H271" s="5"/>
    </row>
    <row r="272" spans="1:8" ht="14.25" x14ac:dyDescent="0.3">
      <c r="A272" s="13"/>
      <c r="B272" s="13"/>
      <c r="C272" s="13"/>
      <c r="D272" s="9"/>
      <c r="E272" s="9"/>
      <c r="F272" s="5"/>
      <c r="G272" s="5"/>
      <c r="H272" s="5"/>
    </row>
    <row r="273" spans="1:8" ht="14.25" x14ac:dyDescent="0.3">
      <c r="A273" s="13"/>
      <c r="B273" s="13"/>
      <c r="C273" s="13"/>
      <c r="D273" s="9"/>
      <c r="E273" s="9"/>
      <c r="F273" s="5"/>
      <c r="G273" s="5"/>
      <c r="H273" s="5"/>
    </row>
    <row r="274" spans="1:8" ht="14.25" x14ac:dyDescent="0.3">
      <c r="A274" s="13"/>
      <c r="B274" s="13"/>
      <c r="C274" s="13"/>
      <c r="D274" s="9"/>
      <c r="E274" s="9"/>
      <c r="F274" s="5"/>
      <c r="G274" s="5"/>
      <c r="H274" s="5"/>
    </row>
    <row r="275" spans="1:8" ht="14.25" x14ac:dyDescent="0.3">
      <c r="A275" s="13"/>
      <c r="B275" s="13"/>
      <c r="C275" s="13"/>
      <c r="D275" s="9"/>
      <c r="E275" s="9"/>
      <c r="F275" s="5"/>
      <c r="G275" s="5"/>
      <c r="H275" s="5"/>
    </row>
    <row r="276" spans="1:8" ht="14.25" x14ac:dyDescent="0.3">
      <c r="A276" s="13"/>
      <c r="B276" s="13"/>
      <c r="C276" s="13"/>
      <c r="D276" s="9"/>
      <c r="E276" s="9"/>
      <c r="F276" s="5"/>
      <c r="G276" s="5"/>
      <c r="H276" s="5"/>
    </row>
    <row r="277" spans="1:8" ht="14.25" x14ac:dyDescent="0.3">
      <c r="A277" s="12"/>
      <c r="B277" s="11"/>
      <c r="C277" s="10"/>
      <c r="D277" s="9"/>
      <c r="E277" s="9"/>
      <c r="F277" s="5"/>
      <c r="G277" s="5"/>
      <c r="H277" s="5"/>
    </row>
    <row r="278" spans="1:8" ht="14.25" x14ac:dyDescent="0.3">
      <c r="A278" s="12"/>
      <c r="B278" s="11"/>
      <c r="C278" s="10"/>
      <c r="D278" s="9"/>
      <c r="E278" s="9"/>
      <c r="F278" s="5"/>
      <c r="G278" s="5"/>
      <c r="H278" s="5"/>
    </row>
    <row r="279" spans="1:8" x14ac:dyDescent="0.2">
      <c r="A279" s="8"/>
      <c r="B279" s="7"/>
      <c r="D279" s="5"/>
      <c r="E279" s="5"/>
      <c r="F279" s="5"/>
      <c r="G279" s="5"/>
      <c r="H279" s="5"/>
    </row>
    <row r="280" spans="1:8" x14ac:dyDescent="0.2">
      <c r="A280" s="8"/>
      <c r="B280" s="7"/>
      <c r="D280" s="5"/>
      <c r="E280" s="5"/>
      <c r="F280" s="5"/>
      <c r="G280" s="5"/>
      <c r="H280" s="5"/>
    </row>
    <row r="281" spans="1:8" x14ac:dyDescent="0.2">
      <c r="A281" s="8"/>
      <c r="B281" s="7"/>
      <c r="D281" s="5"/>
      <c r="E281" s="5"/>
      <c r="F281" s="5"/>
      <c r="G281" s="5"/>
      <c r="H281" s="5"/>
    </row>
    <row r="282" spans="1:8" x14ac:dyDescent="0.2">
      <c r="A282" s="6" t="s">
        <v>1</v>
      </c>
      <c r="B282" s="112" t="s">
        <v>0</v>
      </c>
      <c r="C282" s="112"/>
      <c r="D282" s="112"/>
      <c r="E282" s="112"/>
      <c r="F282" s="5"/>
      <c r="G282" s="5"/>
      <c r="H282" s="5"/>
    </row>
  </sheetData>
  <sortState ref="A115:I121">
    <sortCondition descending="1" ref="D115:D121"/>
  </sortState>
  <mergeCells count="19">
    <mergeCell ref="A250:C250"/>
    <mergeCell ref="A248:C248"/>
    <mergeCell ref="A251:C251"/>
    <mergeCell ref="A252:C252"/>
    <mergeCell ref="B282:E282"/>
    <mergeCell ref="A254:C254"/>
    <mergeCell ref="A258:C258"/>
    <mergeCell ref="A259:C259"/>
    <mergeCell ref="A260:C260"/>
    <mergeCell ref="A261:C261"/>
    <mergeCell ref="A262:C262"/>
    <mergeCell ref="A253:C253"/>
    <mergeCell ref="A143:H143"/>
    <mergeCell ref="A144:H144"/>
    <mergeCell ref="A1:H1"/>
    <mergeCell ref="A2:H2"/>
    <mergeCell ref="A3:H3"/>
    <mergeCell ref="A141:H141"/>
    <mergeCell ref="A142:H142"/>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2025-04-08T11:11:06Z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