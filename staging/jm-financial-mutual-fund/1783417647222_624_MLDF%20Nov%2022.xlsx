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IF" sheetId="1" r:id="rId1"/>
  </sheets>
  <definedNames>
    <definedName name="_xlnm._FilterDatabase" localSheetId="0" hidden="1">IF!$A$1:$J$40</definedName>
    <definedName name="Afs">#REF!</definedName>
    <definedName name="_xlnm.Database">#REF!</definedName>
    <definedName name="EBLDB">#REF!</definedName>
    <definedName name="fl">#REF!</definedName>
    <definedName name="_xlnm.Print_Area" localSheetId="0">IF!$A$1:$E$23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1" l="1"/>
  <c r="D26" i="1"/>
  <c r="D29" i="1" s="1"/>
  <c r="D31" i="1" s="1"/>
  <c r="E31" i="1" s="1"/>
  <c r="E25" i="1"/>
  <c r="E26" i="1" s="1"/>
  <c r="D21" i="1"/>
  <c r="E20" i="1"/>
  <c r="E19" i="1"/>
  <c r="E18" i="1"/>
  <c r="E21" i="1" s="1"/>
  <c r="E15" i="1"/>
  <c r="D15" i="1"/>
  <c r="E29" i="1" l="1"/>
  <c r="E33" i="1" s="1"/>
</calcChain>
</file>

<file path=xl/sharedStrings.xml><?xml version="1.0" encoding="utf-8"?>
<sst xmlns="http://schemas.openxmlformats.org/spreadsheetml/2006/main" count="63" uniqueCount="52">
  <si>
    <t>JM Medium to Long Duration Fund(An open ended medium term debt scheme investing in instruments such that the Macaulay duration of the portfolio is between 4 years to 7 years.) A relatively high interest rate risk and moderate credit risk.</t>
  </si>
  <si>
    <t>Portfolio as on 30.11.2022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</si>
  <si>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</si>
  <si>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</si>
  <si>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</si>
  <si>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</si>
  <si>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</si>
  <si>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</si>
  <si>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</si>
  <si>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</si>
  <si>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</si>
  <si>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</si>
  <si>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</si>
  <si>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</si>
  <si>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</si>
  <si>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</si>
  <si>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</si>
  <si>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Sub Total:</t>
  </si>
  <si>
    <t>GOVERNMENT SECURITIES</t>
  </si>
  <si>
    <t>7.38% Government of India Securities 2027 20/06/2027</t>
  </si>
  <si>
    <t>GOI SOV</t>
  </si>
  <si>
    <t>IN0020220037</t>
  </si>
  <si>
    <t>7.26% Government of India Securities 2032 22/08/2032</t>
  </si>
  <si>
    <t>IN0020220060</t>
  </si>
  <si>
    <t>6.54% Government of India Securities 2032 17/01/2032</t>
  </si>
  <si>
    <t>IN0020210244</t>
  </si>
  <si>
    <t>MONEY MARKET INSTRUMENTS</t>
  </si>
  <si>
    <t>TREPS-Triparty Repo</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</si>
  <si>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</si>
  <si>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</si>
  <si>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</si>
  <si>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</si>
  <si>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</si>
  <si>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</si>
  <si>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</si>
  <si>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</si>
  <si>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Regular Income over Medium to Long Term.</t>
  </si>
  <si>
    <t>• Investment in debt and money market securities such that the Macaulay duration of the portfolio is between 4 years – 7 years.</t>
  </si>
  <si>
    <t xml:space="preserve">         Riskometer of the scheme </t>
  </si>
  <si>
    <t xml:space="preserve">CRISIL Medium to Long Duration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</si>
  <si>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</si>
  <si>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</si>
  <si>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</si>
  <si>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</si>
  <si>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</si>
  <si>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</si>
  <si>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</si>
  <si>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</si>
  <si>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</si>
  <si>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</si>
  <si>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This Product is suitable for investors who are seeking *</t>
  </si>
  <si>
    <t>* 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</si>
</sst>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5">
    <fill>
      <patternFill patternType="none"/>
    </fill>
    <fill>
      <patternFill patternType="gray125"/>
    </fill>
    <fill>
      <patternFill patternType="solid">
        <fgColor indexed="8"/>
        <bgColor indexed="64"/>
      </patternFill>
    </fill>
    <fill>
      <patternFill patternType="solid">
        <fgColor indexed="5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68">
    <xf numFmtId="0" fontId="0" fillId="0" borderId="0" xfId="0"/>
    <xf numFmtId="0" fontId="3" fillId="0" borderId="0" xfId="0" applyFont="1"/>
    <xf numFmtId="0" fontId="2" fillId="3" borderId="1" xfId="0" applyFont="1" applyFill="1" applyBorder="1" applyAlignment="1">
      <alignment horizontal="left" wrapText="1"/>
    </xf>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4" fontId="4"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6" fontId="3" fillId="0" borderId="0" xfId="0" applyNumberFormat="1" applyFont="1" applyFill="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9" fillId="0" borderId="0" xfId="6" applyFont="1" applyBorder="1"/>
    <xf numFmtId="0" fontId="1" fillId="0" borderId="0" xfId="4"/>
    <xf numFmtId="0" fontId="4" fillId="0" borderId="0" xfId="4"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7" xfId="0" applyFont="1" applyBorder="1" applyAlignment="1">
      <alignment vertical="center" wrapText="1"/>
    </xf>
    <xf numFmtId="0" fontId="12" fillId="0" borderId="7" xfId="0" applyFont="1" applyBorder="1" applyAlignment="1">
      <alignment vertical="center" wrapText="1"/>
    </xf>
    <xf numFmtId="0" fontId="13" fillId="0" borderId="9" xfId="0" applyFont="1" applyBorder="1" applyAlignment="1">
      <alignment vertical="center" wrapText="1"/>
    </xf>
    <xf numFmtId="0" fontId="12" fillId="4" borderId="9" xfId="0" applyFont="1" applyFill="1" applyBorder="1" applyAlignment="1">
      <alignment horizontal="center" vertical="center" wrapText="1"/>
    </xf>
    <xf numFmtId="0" fontId="1" fillId="0" borderId="0" xfId="0" applyFont="1" applyAlignment="1"/>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top" wrapText="1"/>
    </xf>
    <xf numFmtId="0" fontId="10" fillId="0" borderId="7" xfId="0" applyFont="1" applyBorder="1" applyAlignment="1">
      <alignment horizontal="left" vertical="top" wrapText="1"/>
    </xf>
    <xf numFmtId="0" fontId="2" fillId="2" borderId="1"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47</xdr:row>
      <xdr:rowOff>47625</xdr:rowOff>
    </xdr:from>
    <xdr:to>
      <xdr:col>1</xdr:col>
      <xdr:colOff>200025</xdr:colOff>
      <xdr:row>60</xdr:row>
      <xdr:rowOff>38100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10010775"/>
          <a:ext cx="3581400" cy="2095500"/>
        </a:xfrm>
        <a:prstGeom prst="rect">
          <a:avLst/>
        </a:prstGeom>
        <a:noFill/>
        <a:ln w="9525">
          <a:noFill/>
          <a:miter lim="800000"/>
          <a:headEnd/>
          <a:tailEnd/>
        </a:ln>
      </xdr:spPr>
    </xdr:pic>
    <xdr:clientData/>
  </xdr:twoCellAnchor>
  <xdr:twoCellAnchor editAs="oneCell">
    <xdr:from>
      <xdr:col>2</xdr:col>
      <xdr:colOff>1381125</xdr:colOff>
      <xdr:row>47</xdr:row>
      <xdr:rowOff>133350</xdr:rowOff>
    </xdr:from>
    <xdr:to>
      <xdr:col>5</xdr:col>
      <xdr:colOff>571500</xdr:colOff>
      <xdr:row>60</xdr:row>
      <xdr:rowOff>9525</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6286500" y="10096500"/>
          <a:ext cx="3562350"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70"/>
  <sheetViews>
    <sheetView tabSelected="1" zoomScale="85" zoomScaleNormal="85" workbookViewId="0">
      <pane xSplit="1" ySplit="3" topLeftCell="B40" activePane="bottomRight" state="frozen"/>
      <selection activeCell="A2" sqref="A2"/>
      <selection pane="topRight" activeCell="A2" sqref="A2"/>
      <selection pane="bottomLeft" activeCell="A2" sqref="A2"/>
      <selection pane="bottomRight" activeCell="A45" sqref="A45"/>
    </sheetView>
  </sheetViews>
  <sheetFormatPr defaultRowHeight="12.75" x14ac:dyDescent="0.2"/>
  <cols>
    <col min="1" max="1" width="54.42578125" style="49" customWidth="1"/>
    <col min="2" max="2" width="19.140625" style="50" customWidth="1"/>
    <col min="3" max="3" width="26.5703125" style="51" customWidth="1"/>
    <col min="4" max="4" width="23.28515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0.75" customHeight="1" x14ac:dyDescent="0.2">
      <c r="A1" s="64" t="s">
        <v>0</v>
      </c>
      <c r="B1" s="64"/>
      <c r="C1" s="64"/>
      <c r="D1" s="64"/>
      <c r="E1" s="64"/>
      <c r="F1" s="64"/>
      <c r="G1" s="64"/>
      <c r="H1" s="64"/>
    </row>
    <row r="2" spans="1:8" ht="17.25" customHeight="1" x14ac:dyDescent="0.2">
      <c r="A2" s="2" t="s">
        <v>1</v>
      </c>
      <c r="B2" s="3"/>
      <c r="C2" s="3"/>
      <c r="D2" s="3"/>
      <c r="E2" s="3"/>
      <c r="F2" s="3"/>
      <c r="G2" s="3"/>
      <c r="H2" s="3"/>
    </row>
    <row r="3" spans="1:8" s="9" customFormat="1" ht="53.25" customHeight="1" x14ac:dyDescent="0.2">
      <c r="A3" s="4" t="s">
        <v>2</v>
      </c>
      <c r="B3" s="5" t="s">
        <v>3</v>
      </c>
      <c r="C3" s="6" t="s">
        <v>4</v>
      </c>
      <c r="D3" s="4" t="s">
        <v>5</v>
      </c>
      <c r="E3" s="4" t="s">
        <v>6</v>
      </c>
      <c r="F3" s="4" t="s">
        <v>7</v>
      </c>
      <c r="G3" s="7"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c r="B11" s="11"/>
      <c r="C11" s="19"/>
      <c r="D11" s="20"/>
      <c r="E11" s="20"/>
      <c r="F11" s="21"/>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t="s">
        <v>17</v>
      </c>
      <c r="B15" s="11"/>
      <c r="C15" s="19"/>
      <c r="D15" s="13">
        <f>IF(ISERROR(SUM(#REF!)),0,SUM(#REF!))</f>
        <v>0</v>
      </c>
      <c r="E15" s="13">
        <f>IF(ISERROR(SUM(#REF!)),0,SUM(#REF!))</f>
        <v>0</v>
      </c>
      <c r="F15" s="22"/>
      <c r="G15" s="15"/>
      <c r="H15" s="16"/>
    </row>
    <row r="16" spans="1:8" s="17" customFormat="1" x14ac:dyDescent="0.2">
      <c r="A16" s="10"/>
      <c r="B16" s="11"/>
      <c r="C16" s="19"/>
      <c r="D16" s="13"/>
      <c r="E16" s="13"/>
      <c r="F16" s="13"/>
      <c r="G16" s="15"/>
      <c r="H16" s="16"/>
    </row>
    <row r="17" spans="1:10" s="17" customFormat="1" x14ac:dyDescent="0.2">
      <c r="A17" s="10" t="s">
        <v>18</v>
      </c>
      <c r="B17" s="11"/>
      <c r="C17" s="19"/>
      <c r="D17" s="13"/>
      <c r="E17" s="13"/>
      <c r="F17" s="13"/>
      <c r="G17" s="15"/>
      <c r="H17" s="16"/>
    </row>
    <row r="18" spans="1:10" s="17" customFormat="1" x14ac:dyDescent="0.2">
      <c r="A18" s="23" t="s">
        <v>19</v>
      </c>
      <c r="B18" s="24" t="s">
        <v>20</v>
      </c>
      <c r="C18" s="25">
        <v>800000</v>
      </c>
      <c r="D18" s="20">
        <v>807.35599999999999</v>
      </c>
      <c r="E18" s="20">
        <f>(+D18/$D$33*100)</f>
        <v>39.785176133337238</v>
      </c>
      <c r="F18" s="20" t="s">
        <v>21</v>
      </c>
      <c r="G18" s="15">
        <v>7.1383000000000001</v>
      </c>
      <c r="H18" s="16"/>
      <c r="I18" s="26"/>
      <c r="J18" s="26"/>
    </row>
    <row r="19" spans="1:10" s="17" customFormat="1" x14ac:dyDescent="0.2">
      <c r="A19" s="23" t="s">
        <v>22</v>
      </c>
      <c r="B19" s="24" t="s">
        <v>20</v>
      </c>
      <c r="C19" s="25">
        <v>500000</v>
      </c>
      <c r="D19" s="20">
        <v>499.10399999999998</v>
      </c>
      <c r="E19" s="20">
        <f>(+D19/$D$33*100)</f>
        <v>24.595024436373979</v>
      </c>
      <c r="F19" s="20" t="s">
        <v>23</v>
      </c>
      <c r="G19" s="15">
        <v>7.2836999999999996</v>
      </c>
      <c r="H19" s="16"/>
      <c r="I19" s="26"/>
      <c r="J19" s="26"/>
    </row>
    <row r="20" spans="1:10" s="17" customFormat="1" x14ac:dyDescent="0.2">
      <c r="A20" s="23" t="s">
        <v>24</v>
      </c>
      <c r="B20" s="24" t="s">
        <v>20</v>
      </c>
      <c r="C20" s="25">
        <v>500000</v>
      </c>
      <c r="D20" s="20">
        <v>474.14150000000001</v>
      </c>
      <c r="E20" s="20">
        <f>(+D20/$D$33*100)</f>
        <v>23.364913482558773</v>
      </c>
      <c r="F20" s="20" t="s">
        <v>25</v>
      </c>
      <c r="G20" s="15">
        <v>7.3251999999999997</v>
      </c>
      <c r="H20" s="16"/>
      <c r="I20" s="26"/>
      <c r="J20" s="26"/>
    </row>
    <row r="21" spans="1:10" s="17" customFormat="1" x14ac:dyDescent="0.2">
      <c r="A21" s="10" t="s">
        <v>17</v>
      </c>
      <c r="B21" s="11"/>
      <c r="C21" s="19"/>
      <c r="D21" s="13">
        <f>IF(ISERROR(SUM(D18:D20)),0,SUM(D18:D20))</f>
        <v>1780.6015</v>
      </c>
      <c r="E21" s="13">
        <f>IF(ISERROR(SUM(E18:E20)),0,SUM(E18:E20))</f>
        <v>87.745114052269997</v>
      </c>
      <c r="F21" s="22"/>
      <c r="G21" s="15"/>
      <c r="H21" s="16"/>
    </row>
    <row r="22" spans="1:10" s="17" customFormat="1" x14ac:dyDescent="0.2">
      <c r="A22" s="10"/>
      <c r="B22" s="11"/>
      <c r="C22" s="19"/>
      <c r="D22" s="13"/>
      <c r="E22" s="13"/>
      <c r="F22" s="13"/>
      <c r="G22" s="15"/>
      <c r="H22" s="16"/>
    </row>
    <row r="23" spans="1:10" s="17" customFormat="1" x14ac:dyDescent="0.2">
      <c r="A23" s="10" t="s">
        <v>26</v>
      </c>
      <c r="B23" s="11"/>
      <c r="C23" s="19"/>
      <c r="D23" s="13"/>
      <c r="E23" s="13"/>
      <c r="F23" s="14"/>
      <c r="G23" s="15"/>
      <c r="H23" s="16"/>
    </row>
    <row r="24" spans="1:10" s="17" customFormat="1" x14ac:dyDescent="0.2">
      <c r="A24" s="10"/>
      <c r="B24" s="27"/>
      <c r="C24" s="28"/>
      <c r="D24" s="18"/>
      <c r="E24" s="18"/>
      <c r="F24" s="29"/>
      <c r="G24" s="15"/>
      <c r="H24" s="16"/>
    </row>
    <row r="25" spans="1:10" s="17" customFormat="1" x14ac:dyDescent="0.2">
      <c r="A25" s="23" t="s">
        <v>27</v>
      </c>
      <c r="B25" s="24"/>
      <c r="C25" s="25">
        <v>0</v>
      </c>
      <c r="D25" s="20">
        <v>141.8790443</v>
      </c>
      <c r="E25" s="20">
        <f>(+D25/$D$33*100)</f>
        <v>6.9915660094246626</v>
      </c>
      <c r="F25" s="20">
        <v>0</v>
      </c>
      <c r="G25" s="15">
        <v>5.6050000000000004</v>
      </c>
      <c r="H25" s="16"/>
      <c r="I25" s="15"/>
    </row>
    <row r="26" spans="1:10" s="17" customFormat="1" x14ac:dyDescent="0.2">
      <c r="A26" s="10" t="s">
        <v>17</v>
      </c>
      <c r="B26" s="11"/>
      <c r="C26" s="19"/>
      <c r="D26" s="13">
        <f>IF(ISERROR(SUM(D25:D25)),0,SUM(D25:D25))</f>
        <v>141.8790443</v>
      </c>
      <c r="E26" s="13">
        <f>IF(ISERROR(SUM(E25:E25)),0,SUM(E25:E25))</f>
        <v>6.9915660094246626</v>
      </c>
      <c r="F26" s="20"/>
      <c r="G26" s="15"/>
      <c r="H26" s="16"/>
    </row>
    <row r="27" spans="1:10" s="17" customFormat="1" x14ac:dyDescent="0.2">
      <c r="A27" s="10"/>
      <c r="B27" s="11"/>
      <c r="C27" s="19"/>
      <c r="D27" s="13"/>
      <c r="E27" s="13"/>
      <c r="F27" s="13"/>
      <c r="G27" s="15"/>
      <c r="H27" s="16"/>
    </row>
    <row r="28" spans="1:10" s="17" customFormat="1" x14ac:dyDescent="0.2">
      <c r="A28" s="10"/>
      <c r="B28" s="11"/>
      <c r="C28" s="19"/>
      <c r="D28" s="13"/>
      <c r="E28" s="13"/>
      <c r="F28" s="14"/>
      <c r="G28" s="15"/>
      <c r="H28" s="16"/>
    </row>
    <row r="29" spans="1:10" s="17" customFormat="1" x14ac:dyDescent="0.2">
      <c r="A29" s="10" t="s">
        <v>28</v>
      </c>
      <c r="B29" s="11"/>
      <c r="C29" s="19" t="s">
        <v>29</v>
      </c>
      <c r="D29" s="13">
        <f>+IF(ISERROR(#REF!),0,#REF!)+IF(ISERROR(D26),0,D26)+IF(ISERROR(#REF!),0,#REF!)+IF(ISERROR(D15),0,D15)+IF(ISERROR(D21),0,D21)+IF(ISERROR(#REF!),0,#REF!)+IF(ISERROR(#REF!),0,#REF!)+IF(ISERROR(#REF!),0,#REF!)+IF(ISERROR(#REF!),0,#REF!)</f>
        <v>1922.4805443</v>
      </c>
      <c r="E29" s="13">
        <f>+IF(ISERROR(#REF!),0,#REF!)+IF(ISERROR(E26),0,E26)+IF(ISERROR(#REF!),0,#REF!)+IF(ISERROR(E15),0,E15)+IF(ISERROR(E21),0,E21)+IF(ISERROR(#REF!),0,#REF!)+IF(ISERROR(#REF!),0,#REF!)+IF(ISERROR(#REF!),0,#REF!)+IF(ISERROR(#REF!),0,#REF!)</f>
        <v>94.736680061694656</v>
      </c>
      <c r="F29" s="13">
        <f>+IF(ISERROR(#REF!),0,#REF!)+IF(ISERROR(F26),0,F26)+IF(ISERROR(#REF!),0,#REF!)+IF(ISERROR(F15),0,F15)+IF(ISERROR(#REF!),0,#REF!)+IF(ISERROR(#REF!),0,#REF!)+IF(ISERROR(#REF!),0,#REF!)</f>
        <v>0</v>
      </c>
      <c r="G29" s="15"/>
      <c r="H29" s="16"/>
    </row>
    <row r="30" spans="1:10" s="17" customFormat="1" x14ac:dyDescent="0.2">
      <c r="A30" s="10"/>
      <c r="B30" s="11"/>
      <c r="C30" s="19"/>
      <c r="D30" s="13"/>
      <c r="E30" s="13"/>
      <c r="F30" s="30"/>
      <c r="H30" s="1"/>
    </row>
    <row r="31" spans="1:10" s="17" customFormat="1" x14ac:dyDescent="0.2">
      <c r="A31" s="10" t="s">
        <v>30</v>
      </c>
      <c r="B31" s="11"/>
      <c r="C31" s="19"/>
      <c r="D31" s="13">
        <f>+D33-D29</f>
        <v>106.80794569990007</v>
      </c>
      <c r="E31" s="13">
        <f>D31/$D$33*100</f>
        <v>5.2633199383053384</v>
      </c>
      <c r="F31" s="30"/>
      <c r="H31" s="1"/>
    </row>
    <row r="32" spans="1:10" s="17" customFormat="1" x14ac:dyDescent="0.2">
      <c r="A32" s="10"/>
      <c r="B32" s="11"/>
      <c r="C32" s="19"/>
      <c r="D32" s="18"/>
      <c r="E32" s="18"/>
      <c r="F32" s="30"/>
      <c r="H32" s="1"/>
    </row>
    <row r="33" spans="1:8" s="17" customFormat="1" x14ac:dyDescent="0.2">
      <c r="A33" s="10" t="s">
        <v>31</v>
      </c>
      <c r="B33" s="11"/>
      <c r="C33" s="19"/>
      <c r="D33" s="13">
        <v>2029.2884899999001</v>
      </c>
      <c r="E33" s="13">
        <f>+E29+E31</f>
        <v>100</v>
      </c>
      <c r="F33" s="30"/>
      <c r="H33" s="1"/>
    </row>
    <row r="34" spans="1:8" s="17" customFormat="1" x14ac:dyDescent="0.2">
      <c r="A34" s="31"/>
      <c r="B34" s="32"/>
      <c r="C34" s="33"/>
      <c r="D34" s="34"/>
      <c r="E34" s="34"/>
      <c r="F34" s="30"/>
      <c r="H34" s="1"/>
    </row>
    <row r="35" spans="1:8" s="17" customFormat="1" x14ac:dyDescent="0.2">
      <c r="A35" s="35"/>
      <c r="B35" s="32"/>
      <c r="C35" s="33"/>
      <c r="D35" s="34"/>
      <c r="E35" s="34"/>
      <c r="F35" s="36"/>
      <c r="H35" s="1"/>
    </row>
    <row r="36" spans="1:8" s="17" customFormat="1" ht="15" x14ac:dyDescent="0.25">
      <c r="A36" s="65" t="s">
        <v>32</v>
      </c>
      <c r="B36" s="65"/>
      <c r="C36" s="65"/>
      <c r="D36" s="65"/>
      <c r="E36" s="65"/>
      <c r="F36" s="65"/>
      <c r="G36" s="37"/>
      <c r="H36" s="37"/>
    </row>
    <row r="37" spans="1:8" s="17" customFormat="1" ht="39" customHeight="1" x14ac:dyDescent="0.2">
      <c r="A37" s="66" t="s">
        <v>33</v>
      </c>
      <c r="B37" s="66"/>
      <c r="C37" s="66"/>
      <c r="D37" s="66"/>
      <c r="E37" s="66"/>
      <c r="F37" s="66"/>
      <c r="G37" s="66"/>
      <c r="H37" s="66"/>
    </row>
    <row r="38" spans="1:8" s="17" customFormat="1" ht="15" x14ac:dyDescent="0.2">
      <c r="A38" s="66" t="s">
        <v>34</v>
      </c>
      <c r="B38" s="66"/>
      <c r="C38" s="66"/>
      <c r="D38" s="66"/>
      <c r="E38" s="66"/>
      <c r="F38" s="66"/>
      <c r="G38" s="66"/>
      <c r="H38" s="66"/>
    </row>
    <row r="39" spans="1:8" s="17" customFormat="1" ht="75.75" customHeight="1" x14ac:dyDescent="0.2">
      <c r="A39" s="67" t="s">
        <v>35</v>
      </c>
      <c r="B39" s="67"/>
      <c r="C39" s="67"/>
      <c r="D39" s="67"/>
      <c r="E39" s="67"/>
      <c r="F39" s="67"/>
      <c r="G39" s="67"/>
      <c r="H39" s="67"/>
    </row>
    <row r="40" spans="1:8" s="17" customFormat="1" x14ac:dyDescent="0.2">
      <c r="A40" s="38"/>
      <c r="B40" s="39"/>
      <c r="C40" s="40"/>
      <c r="D40" s="41"/>
      <c r="E40" s="42"/>
      <c r="F40" s="43"/>
      <c r="G40" s="30"/>
      <c r="H40" s="30"/>
    </row>
    <row r="41" spans="1:8" ht="14.25" x14ac:dyDescent="0.2">
      <c r="A41" s="44" t="s">
        <v>50</v>
      </c>
      <c r="B41" s="45"/>
      <c r="C41" s="45"/>
      <c r="D41" s="45"/>
      <c r="E41" s="43"/>
      <c r="F41" s="43"/>
      <c r="G41" s="30"/>
      <c r="H41" s="30"/>
    </row>
    <row r="42" spans="1:8" ht="15" x14ac:dyDescent="0.25">
      <c r="A42" s="46" t="s">
        <v>36</v>
      </c>
      <c r="B42" s="45"/>
      <c r="C42" s="45"/>
      <c r="E42" s="43"/>
      <c r="F42" s="43"/>
      <c r="G42" s="30"/>
      <c r="H42" s="30"/>
    </row>
    <row r="43" spans="1:8" ht="15" x14ac:dyDescent="0.25">
      <c r="A43" s="46" t="s">
        <v>37</v>
      </c>
      <c r="B43" s="45"/>
      <c r="C43" s="45"/>
      <c r="D43" s="45"/>
      <c r="E43" s="47"/>
      <c r="F43" s="47"/>
    </row>
    <row r="44" spans="1:8" ht="15" x14ac:dyDescent="0.25">
      <c r="A44" s="46" t="s">
        <v>51</v>
      </c>
      <c r="B44" s="45"/>
      <c r="C44" s="45"/>
      <c r="D44" s="45"/>
      <c r="E44" s="47"/>
      <c r="F44" s="47"/>
    </row>
    <row r="45" spans="1:8" ht="15" x14ac:dyDescent="0.25">
      <c r="A45" s="46"/>
      <c r="B45" s="45"/>
      <c r="C45" s="45"/>
      <c r="D45" s="45"/>
      <c r="E45" s="47"/>
      <c r="F45" s="47"/>
    </row>
    <row r="46" spans="1:8" ht="14.25" x14ac:dyDescent="0.2">
      <c r="A46" s="44" t="s">
        <v>38</v>
      </c>
      <c r="B46" s="45"/>
      <c r="C46" s="45"/>
      <c r="D46" s="48" t="s">
        <v>39</v>
      </c>
      <c r="E46" s="47"/>
      <c r="F46" s="47"/>
    </row>
    <row r="62" spans="1:4" ht="13.5" thickBot="1" x14ac:dyDescent="0.25"/>
    <row r="63" spans="1:4" ht="13.5" thickBot="1" x14ac:dyDescent="0.25">
      <c r="A63" s="57" t="s">
        <v>40</v>
      </c>
      <c r="B63" s="58"/>
      <c r="C63" s="58"/>
      <c r="D63" s="59"/>
    </row>
    <row r="64" spans="1:4" ht="13.5" thickBot="1" x14ac:dyDescent="0.25">
      <c r="A64" s="52" t="s">
        <v>41</v>
      </c>
      <c r="B64" s="60" t="s">
        <v>42</v>
      </c>
      <c r="C64" s="62" t="s">
        <v>43</v>
      </c>
      <c r="D64" s="60" t="s">
        <v>44</v>
      </c>
    </row>
    <row r="65" spans="1:4" ht="13.5" thickBot="1" x14ac:dyDescent="0.25">
      <c r="A65" s="52" t="s">
        <v>45</v>
      </c>
      <c r="B65" s="61"/>
      <c r="C65" s="63"/>
      <c r="D65" s="61"/>
    </row>
    <row r="66" spans="1:4" ht="15.75" thickBot="1" x14ac:dyDescent="0.25">
      <c r="A66" s="53" t="s">
        <v>46</v>
      </c>
      <c r="B66" s="54"/>
      <c r="C66" s="54"/>
      <c r="D66" s="54"/>
    </row>
    <row r="67" spans="1:4" ht="15.75" thickBot="1" x14ac:dyDescent="0.25">
      <c r="A67" s="53" t="s">
        <v>47</v>
      </c>
      <c r="B67" s="54"/>
      <c r="C67" s="54"/>
      <c r="D67" s="54"/>
    </row>
    <row r="68" spans="1:4" ht="15.75" thickBot="1" x14ac:dyDescent="0.25">
      <c r="A68" s="53" t="s">
        <v>48</v>
      </c>
      <c r="B68" s="54"/>
      <c r="C68" s="55" t="s">
        <v>49</v>
      </c>
      <c r="D68" s="54"/>
    </row>
    <row r="70" spans="1:4" x14ac:dyDescent="0.2">
      <c r="A70" s="56"/>
    </row>
  </sheetData>
  <mergeCells count="10">
    <mergeCell ref="A63:D63"/>
    <mergeCell ref="B64:B65"/>
    <mergeCell ref="C64:C65"/>
    <mergeCell ref="D64:D65"/>
    <mergeCell ref="A1:H1"/>
    <mergeCell ref="A36:F36"/>
    <mergeCell ref="A37:H37"/>
    <mergeCell ref="A38:H38"/>
    <mergeCell ref="A39:E39"/>
    <mergeCell ref="F39:H3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2022-12-05T06:58:57Z</dcterms:created>
  <dcterms:modified xsi:type="dcterms:W3CDTF">2022-12-05T07:56:37Z</dcterms:modified>
</cp:coreProperties>
</file>