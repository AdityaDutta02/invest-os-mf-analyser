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without Risko meter\"/>
    </mc:Choice>
  </mc:AlternateContent>
  <bookViews>
    <workbookView xWindow="0" yWindow="0" windowWidth="20490" windowHeight="7770"/>
  </bookViews>
  <sheets>
    <sheet name="JM Flexicap Fund" sheetId="1" r:id="rId1"/>
  </sheets>
  <definedNames>
    <definedName name="_xlnm._FilterDatabase" localSheetId="0" hidden="1">'JM Flexicap Fund'!$A$1:$J$77</definedName>
    <definedName name="Afs">#REF!</definedName>
    <definedName name="_xlnm.Database">#REF!</definedName>
    <definedName name="EBLDB">#REF!</definedName>
    <definedName name="fl">#REF!</definedName>
    <definedName name="_xlnm.Print_Area" localSheetId="0">'JM Flexicap Fund'!$A$1:$E$66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9" i="1" l="1"/>
  <c r="E68" i="1"/>
  <c r="E69" i="1" s="1"/>
  <c r="D49" i="1"/>
  <c r="D53" i="1" s="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71" i="1" l="1"/>
  <c r="D73" i="1" s="1"/>
  <c r="E73" i="1" s="1"/>
  <c r="E49" i="1"/>
  <c r="E53" i="1" s="1"/>
  <c r="E71" i="1" s="1"/>
  <c r="E75" i="1" l="1"/>
</calcChain>
</file>

<file path=xl/sharedStrings.xml><?xml version="1.0" encoding="utf-8"?>
<sst xmlns="http://schemas.openxmlformats.org/spreadsheetml/2006/main" count="178" uniqueCount="145">
  <si>
    <t>JM Flexicap Fund (An open ended dynamic equity scheme investing across large cap, mid cap, small cap stocks).</t>
  </si>
  <si>
    <t>Portfolio as on 31.05.2023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</si>
  <si>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</si>
  <si>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</si>
  <si>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</si>
  <si>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</si>
  <si>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</si>
  <si>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</si>
  <si>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</si>
  <si>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</si>
  <si>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</si>
  <si>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</si>
  <si>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</si>
  <si>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</si>
  <si>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</si>
  <si>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Larsen &amp; Toubro Ltd.</t>
  </si>
  <si>
    <t>Construction</t>
  </si>
  <si>
    <t>INE018A01030</t>
  </si>
  <si>
    <t>Infosys Ltd.</t>
  </si>
  <si>
    <t>IT - Software</t>
  </si>
  <si>
    <t>INE009A01021</t>
  </si>
  <si>
    <t>HDFC Bank Ltd.</t>
  </si>
  <si>
    <t>Banks</t>
  </si>
  <si>
    <t>INE040A01034</t>
  </si>
  <si>
    <t>ICICI Bank Ltd.</t>
  </si>
  <si>
    <t>INE090A01021</t>
  </si>
  <si>
    <t>Ultratech Cement Ltd.</t>
  </si>
  <si>
    <t>Cement &amp; Cement Products</t>
  </si>
  <si>
    <t>INE481G01011</t>
  </si>
  <si>
    <t>Dixon Technologies (India) Ltd.</t>
  </si>
  <si>
    <t>Consumer Durables</t>
  </si>
  <si>
    <t>INE935N01020</t>
  </si>
  <si>
    <t>Can Fin Homes Ltd.</t>
  </si>
  <si>
    <t>Finance</t>
  </si>
  <si>
    <t>INE477A01020</t>
  </si>
  <si>
    <t>Jubilant Foodworks Ltd.</t>
  </si>
  <si>
    <t>Leisure Services</t>
  </si>
  <si>
    <t>INE797F01020</t>
  </si>
  <si>
    <t>Tata Consultancy Services Ltd.</t>
  </si>
  <si>
    <t>INE467B01029</t>
  </si>
  <si>
    <t>Kotak Mahindra Bank Ltd.</t>
  </si>
  <si>
    <t>INE237A01028</t>
  </si>
  <si>
    <t>Maruti Suzuki India Ltd.</t>
  </si>
  <si>
    <t>Automobiles</t>
  </si>
  <si>
    <t>INE585B01010</t>
  </si>
  <si>
    <t>REC Ltd.</t>
  </si>
  <si>
    <t>INE020B01018</t>
  </si>
  <si>
    <t>Schaeffler India Ltd.</t>
  </si>
  <si>
    <t>Auto Components</t>
  </si>
  <si>
    <t>INE513A01022</t>
  </si>
  <si>
    <t>Poonawalla Fincorp Ltd.</t>
  </si>
  <si>
    <t>INE511C01022</t>
  </si>
  <si>
    <t>Bank of Baroda</t>
  </si>
  <si>
    <t>INE028A01039</t>
  </si>
  <si>
    <t>Mahindra &amp; Mahindra Ltd.</t>
  </si>
  <si>
    <t>INE101A01026</t>
  </si>
  <si>
    <t>Sanofi India Ltd.</t>
  </si>
  <si>
    <t>Pharmaceuticals &amp; Biotechnology</t>
  </si>
  <si>
    <t>INE058A01010</t>
  </si>
  <si>
    <t>SKF India Ltd.</t>
  </si>
  <si>
    <t>Industrial Products</t>
  </si>
  <si>
    <t>INE640A01023</t>
  </si>
  <si>
    <t>State Bank of India</t>
  </si>
  <si>
    <t>INE062A01020</t>
  </si>
  <si>
    <t>One 97 Communications Ltd.</t>
  </si>
  <si>
    <t>Financial Technology (Fintech)</t>
  </si>
  <si>
    <t>INE982J01020</t>
  </si>
  <si>
    <t>Trent Ltd.</t>
  </si>
  <si>
    <t>Retailing</t>
  </si>
  <si>
    <t>INE849A01020</t>
  </si>
  <si>
    <t>Birla Corporation Ltd.</t>
  </si>
  <si>
    <t>INE340A01012</t>
  </si>
  <si>
    <t>Godrej Consumer Products Ltd.</t>
  </si>
  <si>
    <t>Personal Products</t>
  </si>
  <si>
    <t>INE102D01028</t>
  </si>
  <si>
    <t>Cummins India Ltd.</t>
  </si>
  <si>
    <t>INE298A01020</t>
  </si>
  <si>
    <t>Fortis Healthcare Ltd.</t>
  </si>
  <si>
    <t>Healthcare Services</t>
  </si>
  <si>
    <t>INE061F01013</t>
  </si>
  <si>
    <t>Tech Mahindra Ltd.</t>
  </si>
  <si>
    <t>INE669C01036</t>
  </si>
  <si>
    <t>K.P.R. Mill Ltd.</t>
  </si>
  <si>
    <t>Textiles &amp; Apparels</t>
  </si>
  <si>
    <t>INE930H01031</t>
  </si>
  <si>
    <t>Crompton Greaves Consumer Electricals Ltd.</t>
  </si>
  <si>
    <t>INE299U01018</t>
  </si>
  <si>
    <t>Vardhman Textiles Ltd.</t>
  </si>
  <si>
    <t>INE825A01020</t>
  </si>
  <si>
    <t>Kirloskar Oil Engines Ltd.</t>
  </si>
  <si>
    <t>INE146L01010</t>
  </si>
  <si>
    <t>The Phoenix Mills Ltd.</t>
  </si>
  <si>
    <t>Realty</t>
  </si>
  <si>
    <t>INE211B01039</t>
  </si>
  <si>
    <t>The Indian Hotels Company Ltd.</t>
  </si>
  <si>
    <t>INE053A01029</t>
  </si>
  <si>
    <t>Godrej Properties Ltd.</t>
  </si>
  <si>
    <t>INE484J01027</t>
  </si>
  <si>
    <t>Birlasoft Ltd.</t>
  </si>
  <si>
    <t>INE836A01035</t>
  </si>
  <si>
    <t>Hindalco Industries Ltd.</t>
  </si>
  <si>
    <t>Non - Ferrous Metals</t>
  </si>
  <si>
    <t>INE038A01020</t>
  </si>
  <si>
    <t>Mahindra &amp; Mahindra Financial Services Ltd.</t>
  </si>
  <si>
    <t>INE774D01024</t>
  </si>
  <si>
    <t>Blue Star Ltd.</t>
  </si>
  <si>
    <t>INE472A01039</t>
  </si>
  <si>
    <t>Equitas Small Finance Bank Ltd.</t>
  </si>
  <si>
    <t>INE063P01018</t>
  </si>
  <si>
    <t>Ahluwalia Contracts (India) Ltd.</t>
  </si>
  <si>
    <t>INE758C01029</t>
  </si>
  <si>
    <t>Hindustan Aeronautics Ltd.</t>
  </si>
  <si>
    <t>Aerospace &amp; Defense</t>
  </si>
  <si>
    <t>INE066F01012</t>
  </si>
  <si>
    <t>Bharat Heavy Electricals Ltd.</t>
  </si>
  <si>
    <t>Electrical Equipment</t>
  </si>
  <si>
    <t>INE257A01026</t>
  </si>
  <si>
    <t>Power Grid Corporation of India Ltd.</t>
  </si>
  <si>
    <t>Power</t>
  </si>
  <si>
    <t>INE752E01010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</si>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</sst>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0" applyFont="1"/>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Border="1" applyAlignment="1">
      <alignment horizontal="right"/>
    </xf>
    <xf numFmtId="0" fontId="5" fillId="0" borderId="0" xfId="2" applyFont="1"/>
    <xf numFmtId="0" fontId="5" fillId="0" borderId="0" xfId="2" applyFont="1" applyFill="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2" fillId="2" borderId="1" xfId="2" applyFont="1" applyFill="1" applyBorder="1" applyAlignment="1">
      <alignment horizontal="center" vertical="center"/>
    </xf>
    <xf numFmtId="0" fontId="5" fillId="0" borderId="0" xfId="3" applyFont="1" applyAlignment="1">
      <alignment horizontal="left" vertical="center" wrapText="1"/>
    </xf>
    <xf numFmtId="0" fontId="5" fillId="0" borderId="0" xfId="2" applyFont="1" applyAlignment="1">
      <alignment horizontal="left" vertical="center" wrapText="1"/>
    </xf>
    <xf numFmtId="0" fontId="7" fillId="0" borderId="0" xfId="4" applyFont="1" applyBorder="1" applyAlignment="1">
      <alignment horizontal="left" vertical="center" wrapText="1"/>
    </xf>
    <xf numFmtId="0" fontId="8" fillId="0" borderId="0" xfId="4" applyFont="1" applyBorder="1" applyAlignment="1">
      <alignment horizontal="left" vertical="center" wrapText="1"/>
    </xf>
    <xf numFmtId="0" fontId="2" fillId="2" borderId="2" xfId="2" applyFont="1" applyFill="1" applyBorder="1" applyAlignment="1">
      <alignment horizontal="center" vertical="center"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723900</xdr:colOff>
      <xdr:row>88</xdr:row>
      <xdr:rowOff>19050</xdr:rowOff>
    </xdr:from>
    <xdr:to>
      <xdr:col>0</xdr:col>
      <xdr:colOff>2524125</xdr:colOff>
      <xdr:row>93</xdr:row>
      <xdr:rowOff>142315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23900" y="16697325"/>
          <a:ext cx="1800225" cy="1028140"/>
        </a:xfrm>
        <a:prstGeom prst="rect">
          <a:avLst/>
        </a:prstGeom>
        <a:noFill/>
        <a:ln w="9525">
          <a:noFill/>
          <a:miter lim="800000"/>
          <a:headEnd/>
          <a:tailEnd/>
        </a:ln>
      </xdr:spPr>
    </xdr:pic>
    <xdr:clientData/>
  </xdr:twoCellAnchor>
  <xdr:twoCellAnchor editAs="oneCell">
    <xdr:from>
      <xdr:col>1</xdr:col>
      <xdr:colOff>180975</xdr:colOff>
      <xdr:row>87</xdr:row>
      <xdr:rowOff>171450</xdr:rowOff>
    </xdr:from>
    <xdr:to>
      <xdr:col>2</xdr:col>
      <xdr:colOff>72278</xdr:colOff>
      <xdr:row>93</xdr:row>
      <xdr:rowOff>151840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371850" y="16668750"/>
          <a:ext cx="1815353" cy="106624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4"/>
  <sheetViews>
    <sheetView tabSelected="1" topLeftCell="A78" zoomScaleNormal="100" workbookViewId="0">
      <selection activeCell="B96" sqref="B96"/>
    </sheetView>
  </sheetViews>
  <sheetFormatPr defaultRowHeight="12.75" x14ac:dyDescent="0.2"/>
  <cols>
    <col min="1" max="1" width="47.85546875" style="49" customWidth="1"/>
    <col min="2" max="2" width="28.85546875" style="50" customWidth="1"/>
    <col min="3" max="3" width="13.140625" style="51" customWidth="1"/>
    <col min="4" max="8" width="13.140625" style="1" customWidth="1"/>
    <col min="9" max="16384" width="9.140625" style="1"/>
  </cols>
  <sheetData>
    <row r="1" spans="1:8" x14ac:dyDescent="0.2">
      <c r="A1" s="54" t="s">
        <v>0</v>
      </c>
      <c r="B1" s="54"/>
      <c r="C1" s="54"/>
      <c r="D1" s="54"/>
      <c r="E1" s="54"/>
      <c r="F1" s="54"/>
      <c r="G1" s="54"/>
      <c r="H1" s="54"/>
    </row>
    <row r="2" spans="1:8" x14ac:dyDescent="0.2">
      <c r="A2" s="59" t="s">
        <v>1</v>
      </c>
      <c r="B2" s="59"/>
      <c r="C2" s="59"/>
      <c r="D2" s="59"/>
      <c r="E2" s="59"/>
      <c r="F2" s="59"/>
      <c r="G2" s="59"/>
      <c r="H2" s="59"/>
    </row>
    <row r="3" spans="1:8" s="4" customFormat="1" ht="25.5" x14ac:dyDescent="0.2">
      <c r="A3" s="2" t="s">
        <v>2</v>
      </c>
      <c r="B3" s="2" t="s">
        <v>3</v>
      </c>
      <c r="C3" s="3" t="s">
        <v>4</v>
      </c>
      <c r="D3" s="2" t="s">
        <v>5</v>
      </c>
      <c r="E3" s="2" t="s">
        <v>6</v>
      </c>
      <c r="F3" s="2" t="s">
        <v>7</v>
      </c>
      <c r="G3" s="52" t="s">
        <v>8</v>
      </c>
      <c r="H3" s="53" t="s">
        <v>9</v>
      </c>
    </row>
    <row r="4" spans="1:8" ht="14.25" x14ac:dyDescent="0.3">
      <c r="A4" s="5" t="s">
        <v>10</v>
      </c>
      <c r="B4" s="6"/>
      <c r="C4" s="7"/>
      <c r="D4" s="8"/>
      <c r="E4" s="8"/>
      <c r="F4" s="9"/>
      <c r="G4" s="10"/>
      <c r="H4" s="11"/>
    </row>
    <row r="5" spans="1:8" ht="14.25" x14ac:dyDescent="0.3">
      <c r="A5" s="12" t="s">
        <v>11</v>
      </c>
      <c r="B5" s="6"/>
      <c r="C5" s="7"/>
      <c r="D5" s="8"/>
      <c r="E5" s="8"/>
      <c r="F5" s="9"/>
      <c r="G5" s="10"/>
      <c r="H5" s="11"/>
    </row>
    <row r="6" spans="1:8" s="17" customFormat="1" ht="14.25" x14ac:dyDescent="0.3">
      <c r="A6" s="13" t="s">
        <v>12</v>
      </c>
      <c r="B6" s="14" t="s">
        <v>13</v>
      </c>
      <c r="C6" s="15">
        <v>57666</v>
      </c>
      <c r="D6" s="16">
        <v>1424.2925340000002</v>
      </c>
      <c r="E6" s="16">
        <f t="shared" ref="E6:E48" si="0">(+D6/$D$75*100)</f>
        <v>4.371003643988586</v>
      </c>
      <c r="F6" s="16" t="s">
        <v>14</v>
      </c>
      <c r="G6" s="11"/>
      <c r="H6" s="10"/>
    </row>
    <row r="7" spans="1:8" s="17" customFormat="1" ht="14.25" x14ac:dyDescent="0.3">
      <c r="A7" s="13" t="s">
        <v>15</v>
      </c>
      <c r="B7" s="14" t="s">
        <v>16</v>
      </c>
      <c r="C7" s="15">
        <v>62731</v>
      </c>
      <c r="D7" s="16">
        <v>1383.6263015</v>
      </c>
      <c r="E7" s="16">
        <f t="shared" si="0"/>
        <v>4.2462032633072484</v>
      </c>
      <c r="F7" s="16" t="s">
        <v>17</v>
      </c>
      <c r="G7" s="11"/>
      <c r="H7" s="10"/>
    </row>
    <row r="8" spans="1:8" s="17" customFormat="1" ht="14.25" x14ac:dyDescent="0.3">
      <c r="A8" s="13" t="s">
        <v>18</v>
      </c>
      <c r="B8" s="14" t="s">
        <v>19</v>
      </c>
      <c r="C8" s="15">
        <v>95150</v>
      </c>
      <c r="D8" s="16">
        <v>1254.3624500000001</v>
      </c>
      <c r="E8" s="16">
        <f t="shared" si="0"/>
        <v>3.8495061294988511</v>
      </c>
      <c r="F8" s="16" t="s">
        <v>20</v>
      </c>
      <c r="G8" s="11"/>
      <c r="H8" s="18"/>
    </row>
    <row r="9" spans="1:8" s="17" customFormat="1" ht="14.25" x14ac:dyDescent="0.3">
      <c r="A9" s="13" t="s">
        <v>21</v>
      </c>
      <c r="B9" s="14" t="s">
        <v>22</v>
      </c>
      <c r="C9" s="15">
        <v>77600</v>
      </c>
      <c r="D9" s="16">
        <v>1250.0196000000001</v>
      </c>
      <c r="E9" s="16">
        <f t="shared" si="0"/>
        <v>3.8361783806536156</v>
      </c>
      <c r="F9" s="16" t="s">
        <v>23</v>
      </c>
      <c r="G9" s="11"/>
      <c r="H9" s="11"/>
    </row>
    <row r="10" spans="1:8" s="17" customFormat="1" ht="14.25" x14ac:dyDescent="0.3">
      <c r="A10" s="13" t="s">
        <v>24</v>
      </c>
      <c r="B10" s="14" t="s">
        <v>22</v>
      </c>
      <c r="C10" s="15">
        <v>123200</v>
      </c>
      <c r="D10" s="16">
        <v>1169.3527999999999</v>
      </c>
      <c r="E10" s="16">
        <f t="shared" si="0"/>
        <v>3.5886204750043684</v>
      </c>
      <c r="F10" s="16" t="s">
        <v>25</v>
      </c>
      <c r="G10" s="11"/>
      <c r="H10" s="11"/>
    </row>
    <row r="11" spans="1:8" s="17" customFormat="1" ht="14.25" x14ac:dyDescent="0.3">
      <c r="A11" s="13" t="s">
        <v>26</v>
      </c>
      <c r="B11" s="14" t="s">
        <v>27</v>
      </c>
      <c r="C11" s="15">
        <v>13550</v>
      </c>
      <c r="D11" s="16">
        <v>1066.3917750000001</v>
      </c>
      <c r="E11" s="16">
        <f t="shared" si="0"/>
        <v>3.2726439429924419</v>
      </c>
      <c r="F11" s="16" t="s">
        <v>28</v>
      </c>
      <c r="G11" s="11"/>
      <c r="H11" s="10"/>
    </row>
    <row r="12" spans="1:8" s="17" customFormat="1" ht="14.25" x14ac:dyDescent="0.3">
      <c r="A12" s="13" t="s">
        <v>29</v>
      </c>
      <c r="B12" s="14" t="s">
        <v>30</v>
      </c>
      <c r="C12" s="15">
        <v>25702</v>
      </c>
      <c r="D12" s="16">
        <v>996.91632500000003</v>
      </c>
      <c r="E12" s="16">
        <f t="shared" si="0"/>
        <v>3.0594311107487062</v>
      </c>
      <c r="F12" s="16" t="s">
        <v>31</v>
      </c>
      <c r="G12" s="11"/>
      <c r="H12" s="11"/>
    </row>
    <row r="13" spans="1:8" s="17" customFormat="1" ht="14.25" x14ac:dyDescent="0.3">
      <c r="A13" s="13" t="s">
        <v>32</v>
      </c>
      <c r="B13" s="14" t="s">
        <v>33</v>
      </c>
      <c r="C13" s="15">
        <v>136500</v>
      </c>
      <c r="D13" s="16">
        <v>965.32799999999997</v>
      </c>
      <c r="E13" s="16">
        <f t="shared" si="0"/>
        <v>2.9624898712304932</v>
      </c>
      <c r="F13" s="16" t="s">
        <v>34</v>
      </c>
      <c r="G13" s="11"/>
      <c r="H13" s="11"/>
    </row>
    <row r="14" spans="1:8" s="17" customFormat="1" ht="14.25" x14ac:dyDescent="0.3">
      <c r="A14" s="13" t="s">
        <v>35</v>
      </c>
      <c r="B14" s="14" t="s">
        <v>36</v>
      </c>
      <c r="C14" s="15">
        <v>178000</v>
      </c>
      <c r="D14" s="16">
        <v>860.274</v>
      </c>
      <c r="E14" s="16">
        <f t="shared" si="0"/>
        <v>2.6400902195760834</v>
      </c>
      <c r="F14" s="16" t="s">
        <v>37</v>
      </c>
      <c r="G14" s="11"/>
      <c r="H14" s="10"/>
    </row>
    <row r="15" spans="1:8" s="17" customFormat="1" ht="14.25" x14ac:dyDescent="0.3">
      <c r="A15" s="13" t="s">
        <v>38</v>
      </c>
      <c r="B15" s="14" t="s">
        <v>19</v>
      </c>
      <c r="C15" s="15">
        <v>25435</v>
      </c>
      <c r="D15" s="16">
        <v>836.68432499999994</v>
      </c>
      <c r="E15" s="16">
        <f t="shared" si="0"/>
        <v>2.5676959937242287</v>
      </c>
      <c r="F15" s="16" t="s">
        <v>39</v>
      </c>
      <c r="G15" s="11"/>
      <c r="H15" s="10"/>
    </row>
    <row r="16" spans="1:8" s="17" customFormat="1" ht="14.25" x14ac:dyDescent="0.3">
      <c r="A16" s="13" t="s">
        <v>40</v>
      </c>
      <c r="B16" s="14" t="s">
        <v>22</v>
      </c>
      <c r="C16" s="15">
        <v>39900</v>
      </c>
      <c r="D16" s="16">
        <v>803.72564999999997</v>
      </c>
      <c r="E16" s="16">
        <f t="shared" si="0"/>
        <v>2.4665492945124812</v>
      </c>
      <c r="F16" s="16" t="s">
        <v>41</v>
      </c>
      <c r="G16" s="11"/>
      <c r="H16" s="10"/>
    </row>
    <row r="17" spans="1:8" s="17" customFormat="1" ht="14.25" x14ac:dyDescent="0.3">
      <c r="A17" s="13" t="s">
        <v>42</v>
      </c>
      <c r="B17" s="14" t="s">
        <v>43</v>
      </c>
      <c r="C17" s="15">
        <v>8575</v>
      </c>
      <c r="D17" s="16">
        <v>803.28027499999996</v>
      </c>
      <c r="E17" s="16">
        <f t="shared" si="0"/>
        <v>2.4651824855870181</v>
      </c>
      <c r="F17" s="16" t="s">
        <v>44</v>
      </c>
      <c r="G17" s="11"/>
      <c r="H17" s="10"/>
    </row>
    <row r="18" spans="1:8" s="17" customFormat="1" ht="14.25" x14ac:dyDescent="0.3">
      <c r="A18" s="13" t="s">
        <v>45</v>
      </c>
      <c r="B18" s="14" t="s">
        <v>33</v>
      </c>
      <c r="C18" s="15">
        <v>567000</v>
      </c>
      <c r="D18" s="16">
        <v>802.58849999999995</v>
      </c>
      <c r="E18" s="16">
        <f t="shared" si="0"/>
        <v>2.4630595010359948</v>
      </c>
      <c r="F18" s="16" t="s">
        <v>46</v>
      </c>
      <c r="G18" s="11"/>
      <c r="H18" s="10"/>
    </row>
    <row r="19" spans="1:8" s="17" customFormat="1" ht="14.25" x14ac:dyDescent="0.3">
      <c r="A19" s="13" t="s">
        <v>47</v>
      </c>
      <c r="B19" s="14" t="s">
        <v>48</v>
      </c>
      <c r="C19" s="15">
        <v>26300</v>
      </c>
      <c r="D19" s="16">
        <v>780.30785000000003</v>
      </c>
      <c r="E19" s="16">
        <f t="shared" si="0"/>
        <v>2.3946825349172958</v>
      </c>
      <c r="F19" s="16" t="s">
        <v>49</v>
      </c>
      <c r="G19" s="11"/>
      <c r="H19" s="10"/>
    </row>
    <row r="20" spans="1:8" s="17" customFormat="1" ht="14.25" x14ac:dyDescent="0.3">
      <c r="A20" s="13" t="s">
        <v>50</v>
      </c>
      <c r="B20" s="14" t="s">
        <v>33</v>
      </c>
      <c r="C20" s="15">
        <v>225000</v>
      </c>
      <c r="D20" s="16">
        <v>777.9375</v>
      </c>
      <c r="E20" s="16">
        <f t="shared" si="0"/>
        <v>2.3874081806395049</v>
      </c>
      <c r="F20" s="16" t="s">
        <v>51</v>
      </c>
      <c r="G20" s="11"/>
      <c r="H20" s="10"/>
    </row>
    <row r="21" spans="1:8" s="17" customFormat="1" ht="14.25" x14ac:dyDescent="0.3">
      <c r="A21" s="13" t="s">
        <v>52</v>
      </c>
      <c r="B21" s="14" t="s">
        <v>22</v>
      </c>
      <c r="C21" s="15">
        <v>412500</v>
      </c>
      <c r="D21" s="16">
        <v>763.125</v>
      </c>
      <c r="E21" s="16">
        <f t="shared" si="0"/>
        <v>2.3419501796102158</v>
      </c>
      <c r="F21" s="16" t="s">
        <v>53</v>
      </c>
      <c r="G21" s="11"/>
      <c r="H21" s="11"/>
    </row>
    <row r="22" spans="1:8" s="17" customFormat="1" ht="14.25" x14ac:dyDescent="0.3">
      <c r="A22" s="13" t="s">
        <v>54</v>
      </c>
      <c r="B22" s="14" t="s">
        <v>43</v>
      </c>
      <c r="C22" s="15">
        <v>57350</v>
      </c>
      <c r="D22" s="16">
        <v>756.44650000000001</v>
      </c>
      <c r="E22" s="16">
        <f t="shared" si="0"/>
        <v>2.3214545671292637</v>
      </c>
      <c r="F22" s="16" t="s">
        <v>55</v>
      </c>
      <c r="G22" s="11"/>
      <c r="H22" s="10"/>
    </row>
    <row r="23" spans="1:8" s="17" customFormat="1" ht="14.25" x14ac:dyDescent="0.3">
      <c r="A23" s="13" t="s">
        <v>56</v>
      </c>
      <c r="B23" s="14" t="s">
        <v>57</v>
      </c>
      <c r="C23" s="15">
        <v>10550</v>
      </c>
      <c r="D23" s="16">
        <v>716.62457500000005</v>
      </c>
      <c r="E23" s="16">
        <f t="shared" si="0"/>
        <v>2.1992452771621225</v>
      </c>
      <c r="F23" s="16" t="s">
        <v>58</v>
      </c>
      <c r="G23" s="11"/>
      <c r="H23" s="10"/>
    </row>
    <row r="24" spans="1:8" s="17" customFormat="1" ht="14.25" x14ac:dyDescent="0.3">
      <c r="A24" s="13" t="s">
        <v>59</v>
      </c>
      <c r="B24" s="14" t="s">
        <v>60</v>
      </c>
      <c r="C24" s="15">
        <v>16125</v>
      </c>
      <c r="D24" s="16">
        <v>711.676875</v>
      </c>
      <c r="E24" s="16">
        <f t="shared" si="0"/>
        <v>2.1840613074275996</v>
      </c>
      <c r="F24" s="16" t="s">
        <v>61</v>
      </c>
      <c r="G24" s="11"/>
      <c r="H24" s="10"/>
    </row>
    <row r="25" spans="1:8" s="17" customFormat="1" ht="14.25" x14ac:dyDescent="0.3">
      <c r="A25" s="13" t="s">
        <v>62</v>
      </c>
      <c r="B25" s="14" t="s">
        <v>22</v>
      </c>
      <c r="C25" s="15">
        <v>115700</v>
      </c>
      <c r="D25" s="16">
        <v>670.88644999999997</v>
      </c>
      <c r="E25" s="16">
        <f t="shared" si="0"/>
        <v>2.0588797930556071</v>
      </c>
      <c r="F25" s="16" t="s">
        <v>63</v>
      </c>
      <c r="G25" s="11"/>
      <c r="H25" s="10"/>
    </row>
    <row r="26" spans="1:8" s="17" customFormat="1" ht="14.25" x14ac:dyDescent="0.3">
      <c r="A26" s="13" t="s">
        <v>64</v>
      </c>
      <c r="B26" s="14" t="s">
        <v>65</v>
      </c>
      <c r="C26" s="15">
        <v>96150</v>
      </c>
      <c r="D26" s="16">
        <v>670.502025</v>
      </c>
      <c r="E26" s="16">
        <f t="shared" si="0"/>
        <v>2.0577000332550544</v>
      </c>
      <c r="F26" s="16" t="s">
        <v>66</v>
      </c>
      <c r="G26" s="11"/>
      <c r="H26" s="10"/>
    </row>
    <row r="27" spans="1:8" s="17" customFormat="1" ht="14.25" x14ac:dyDescent="0.3">
      <c r="A27" s="13" t="s">
        <v>67</v>
      </c>
      <c r="B27" s="14" t="s">
        <v>68</v>
      </c>
      <c r="C27" s="15">
        <v>42700</v>
      </c>
      <c r="D27" s="16">
        <v>666.31214999999997</v>
      </c>
      <c r="E27" s="16">
        <f t="shared" si="0"/>
        <v>2.0448417485588455</v>
      </c>
      <c r="F27" s="16" t="s">
        <v>69</v>
      </c>
      <c r="G27" s="11"/>
      <c r="H27" s="10"/>
    </row>
    <row r="28" spans="1:8" s="17" customFormat="1" ht="14.25" x14ac:dyDescent="0.3">
      <c r="A28" s="13" t="s">
        <v>70</v>
      </c>
      <c r="B28" s="14" t="s">
        <v>27</v>
      </c>
      <c r="C28" s="15">
        <v>59250</v>
      </c>
      <c r="D28" s="16">
        <v>664.25175000000002</v>
      </c>
      <c r="E28" s="16">
        <f t="shared" si="0"/>
        <v>2.0385185981574452</v>
      </c>
      <c r="F28" s="16" t="s">
        <v>71</v>
      </c>
      <c r="G28" s="11"/>
      <c r="H28" s="11"/>
    </row>
    <row r="29" spans="1:8" s="17" customFormat="1" ht="14.25" x14ac:dyDescent="0.3">
      <c r="A29" s="13" t="s">
        <v>72</v>
      </c>
      <c r="B29" s="14" t="s">
        <v>73</v>
      </c>
      <c r="C29" s="15">
        <v>62500</v>
      </c>
      <c r="D29" s="16">
        <v>661.46875</v>
      </c>
      <c r="E29" s="16">
        <f t="shared" si="0"/>
        <v>2.0299778645294611</v>
      </c>
      <c r="F29" s="16" t="s">
        <v>74</v>
      </c>
      <c r="G29" s="11"/>
      <c r="H29" s="11"/>
    </row>
    <row r="30" spans="1:8" s="17" customFormat="1" ht="14.25" x14ac:dyDescent="0.3">
      <c r="A30" s="13" t="s">
        <v>75</v>
      </c>
      <c r="B30" s="14" t="s">
        <v>60</v>
      </c>
      <c r="C30" s="15">
        <v>37188</v>
      </c>
      <c r="D30" s="16">
        <v>654.47161200000005</v>
      </c>
      <c r="E30" s="16">
        <f t="shared" si="0"/>
        <v>2.0085043856159706</v>
      </c>
      <c r="F30" s="16" t="s">
        <v>76</v>
      </c>
      <c r="G30" s="11"/>
      <c r="H30" s="11"/>
    </row>
    <row r="31" spans="1:8" s="17" customFormat="1" ht="14.25" x14ac:dyDescent="0.3">
      <c r="A31" s="13" t="s">
        <v>77</v>
      </c>
      <c r="B31" s="14" t="s">
        <v>78</v>
      </c>
      <c r="C31" s="15">
        <v>226501</v>
      </c>
      <c r="D31" s="16">
        <v>622.19824700000004</v>
      </c>
      <c r="E31" s="16">
        <f t="shared" si="0"/>
        <v>1.9094608305517595</v>
      </c>
      <c r="F31" s="16" t="s">
        <v>79</v>
      </c>
      <c r="G31" s="11"/>
      <c r="H31" s="11"/>
    </row>
    <row r="32" spans="1:8" s="17" customFormat="1" ht="14.25" x14ac:dyDescent="0.3">
      <c r="A32" s="13" t="s">
        <v>80</v>
      </c>
      <c r="B32" s="14" t="s">
        <v>19</v>
      </c>
      <c r="C32" s="15">
        <v>53800</v>
      </c>
      <c r="D32" s="16">
        <v>600.16589999999997</v>
      </c>
      <c r="E32" s="16">
        <f t="shared" si="0"/>
        <v>1.8418458801650144</v>
      </c>
      <c r="F32" s="16" t="s">
        <v>81</v>
      </c>
      <c r="G32" s="11"/>
      <c r="H32" s="10"/>
    </row>
    <row r="33" spans="1:8" s="17" customFormat="1" ht="14.25" x14ac:dyDescent="0.3">
      <c r="A33" s="13" t="s">
        <v>82</v>
      </c>
      <c r="B33" s="14" t="s">
        <v>83</v>
      </c>
      <c r="C33" s="15">
        <v>104254</v>
      </c>
      <c r="D33" s="16">
        <v>598.26157899999998</v>
      </c>
      <c r="E33" s="16">
        <f t="shared" si="0"/>
        <v>1.83600171976143</v>
      </c>
      <c r="F33" s="16" t="s">
        <v>84</v>
      </c>
      <c r="G33" s="11"/>
      <c r="H33" s="10"/>
    </row>
    <row r="34" spans="1:8" s="17" customFormat="1" ht="14.25" x14ac:dyDescent="0.3">
      <c r="A34" s="13" t="s">
        <v>85</v>
      </c>
      <c r="B34" s="14" t="s">
        <v>30</v>
      </c>
      <c r="C34" s="15">
        <v>214000</v>
      </c>
      <c r="D34" s="16">
        <v>588.072</v>
      </c>
      <c r="E34" s="16">
        <f t="shared" si="0"/>
        <v>1.8047309759524832</v>
      </c>
      <c r="F34" s="16" t="s">
        <v>86</v>
      </c>
      <c r="G34" s="11"/>
      <c r="H34" s="11"/>
    </row>
    <row r="35" spans="1:8" s="17" customFormat="1" ht="14.25" x14ac:dyDescent="0.3">
      <c r="A35" s="13" t="s">
        <v>87</v>
      </c>
      <c r="B35" s="14" t="s">
        <v>83</v>
      </c>
      <c r="C35" s="15">
        <v>182560</v>
      </c>
      <c r="D35" s="16">
        <v>587.75192000000004</v>
      </c>
      <c r="E35" s="16">
        <f t="shared" si="0"/>
        <v>1.8037486841739547</v>
      </c>
      <c r="F35" s="16" t="s">
        <v>88</v>
      </c>
      <c r="G35" s="11"/>
      <c r="H35" s="10"/>
    </row>
    <row r="36" spans="1:8" s="17" customFormat="1" ht="14.25" x14ac:dyDescent="0.3">
      <c r="A36" s="13" t="s">
        <v>89</v>
      </c>
      <c r="B36" s="14" t="s">
        <v>60</v>
      </c>
      <c r="C36" s="15">
        <v>141652</v>
      </c>
      <c r="D36" s="16">
        <v>573.69060000000002</v>
      </c>
      <c r="E36" s="16">
        <f t="shared" si="0"/>
        <v>1.7605959753784668</v>
      </c>
      <c r="F36" s="16" t="s">
        <v>90</v>
      </c>
      <c r="G36" s="11"/>
      <c r="H36" s="10"/>
    </row>
    <row r="37" spans="1:8" s="17" customFormat="1" ht="14.25" x14ac:dyDescent="0.3">
      <c r="A37" s="13" t="s">
        <v>91</v>
      </c>
      <c r="B37" s="14" t="s">
        <v>92</v>
      </c>
      <c r="C37" s="15">
        <v>38502</v>
      </c>
      <c r="D37" s="16">
        <v>564.862842</v>
      </c>
      <c r="E37" s="16">
        <f t="shared" si="0"/>
        <v>1.7335045166611458</v>
      </c>
      <c r="F37" s="16" t="s">
        <v>93</v>
      </c>
      <c r="G37" s="11"/>
      <c r="H37" s="10"/>
    </row>
    <row r="38" spans="1:8" s="17" customFormat="1" ht="14.25" x14ac:dyDescent="0.3">
      <c r="A38" s="13" t="s">
        <v>94</v>
      </c>
      <c r="B38" s="14" t="s">
        <v>36</v>
      </c>
      <c r="C38" s="15">
        <v>140536</v>
      </c>
      <c r="D38" s="16">
        <v>547.66879200000005</v>
      </c>
      <c r="E38" s="16">
        <f t="shared" si="0"/>
        <v>1.6807377897347222</v>
      </c>
      <c r="F38" s="16" t="s">
        <v>95</v>
      </c>
      <c r="G38" s="11"/>
      <c r="H38" s="18"/>
    </row>
    <row r="39" spans="1:8" s="17" customFormat="1" ht="14.25" x14ac:dyDescent="0.3">
      <c r="A39" s="13" t="s">
        <v>96</v>
      </c>
      <c r="B39" s="14" t="s">
        <v>92</v>
      </c>
      <c r="C39" s="15">
        <v>39000</v>
      </c>
      <c r="D39" s="16">
        <v>542.21699999999998</v>
      </c>
      <c r="E39" s="16">
        <f t="shared" si="0"/>
        <v>1.6640068147914331</v>
      </c>
      <c r="F39" s="16" t="s">
        <v>97</v>
      </c>
      <c r="G39" s="11"/>
      <c r="H39" s="11"/>
    </row>
    <row r="40" spans="1:8" s="17" customFormat="1" ht="14.25" x14ac:dyDescent="0.3">
      <c r="A40" s="13" t="s">
        <v>98</v>
      </c>
      <c r="B40" s="14" t="s">
        <v>19</v>
      </c>
      <c r="C40" s="15">
        <v>152121</v>
      </c>
      <c r="D40" s="16">
        <v>522.53563499999996</v>
      </c>
      <c r="E40" s="16">
        <f t="shared" si="0"/>
        <v>1.6036067803321712</v>
      </c>
      <c r="F40" s="16" t="s">
        <v>99</v>
      </c>
      <c r="G40" s="11"/>
      <c r="H40" s="11"/>
    </row>
    <row r="41" spans="1:8" s="17" customFormat="1" ht="14.25" x14ac:dyDescent="0.3">
      <c r="A41" s="13" t="s">
        <v>100</v>
      </c>
      <c r="B41" s="14" t="s">
        <v>101</v>
      </c>
      <c r="C41" s="15">
        <v>126500</v>
      </c>
      <c r="D41" s="16">
        <v>513.46349999999995</v>
      </c>
      <c r="E41" s="16">
        <f t="shared" si="0"/>
        <v>1.5757653543630334</v>
      </c>
      <c r="F41" s="16" t="s">
        <v>102</v>
      </c>
      <c r="G41" s="11"/>
      <c r="H41" s="11"/>
    </row>
    <row r="42" spans="1:8" s="17" customFormat="1" ht="14.25" x14ac:dyDescent="0.3">
      <c r="A42" s="13" t="s">
        <v>103</v>
      </c>
      <c r="B42" s="14" t="s">
        <v>33</v>
      </c>
      <c r="C42" s="15">
        <v>179650</v>
      </c>
      <c r="D42" s="16">
        <v>510.74495000000002</v>
      </c>
      <c r="E42" s="16">
        <f t="shared" si="0"/>
        <v>1.5674224109910051</v>
      </c>
      <c r="F42" s="16" t="s">
        <v>104</v>
      </c>
      <c r="G42" s="11"/>
      <c r="H42" s="10"/>
    </row>
    <row r="43" spans="1:8" s="17" customFormat="1" ht="14.25" x14ac:dyDescent="0.3">
      <c r="A43" s="13" t="s">
        <v>105</v>
      </c>
      <c r="B43" s="14" t="s">
        <v>30</v>
      </c>
      <c r="C43" s="15">
        <v>33254</v>
      </c>
      <c r="D43" s="16">
        <v>479.48942600000004</v>
      </c>
      <c r="E43" s="16">
        <f t="shared" si="0"/>
        <v>1.4715025026593276</v>
      </c>
      <c r="F43" s="16" t="s">
        <v>106</v>
      </c>
      <c r="G43" s="11"/>
      <c r="H43" s="11"/>
    </row>
    <row r="44" spans="1:8" s="17" customFormat="1" ht="14.25" x14ac:dyDescent="0.3">
      <c r="A44" s="13" t="s">
        <v>107</v>
      </c>
      <c r="B44" s="14" t="s">
        <v>22</v>
      </c>
      <c r="C44" s="15">
        <v>552000</v>
      </c>
      <c r="D44" s="16">
        <v>476.928</v>
      </c>
      <c r="E44" s="16">
        <f t="shared" si="0"/>
        <v>1.4636417562799553</v>
      </c>
      <c r="F44" s="16" t="s">
        <v>108</v>
      </c>
      <c r="G44" s="11"/>
      <c r="H44" s="11"/>
    </row>
    <row r="45" spans="1:8" s="17" customFormat="1" ht="14.25" x14ac:dyDescent="0.3">
      <c r="A45" s="13" t="s">
        <v>109</v>
      </c>
      <c r="B45" s="14" t="s">
        <v>16</v>
      </c>
      <c r="C45" s="15">
        <v>80811</v>
      </c>
      <c r="D45" s="16">
        <v>472.54232250000001</v>
      </c>
      <c r="E45" s="16">
        <f t="shared" si="0"/>
        <v>1.450182574351913</v>
      </c>
      <c r="F45" s="16" t="s">
        <v>110</v>
      </c>
      <c r="G45" s="11"/>
      <c r="H45" s="11"/>
    </row>
    <row r="46" spans="1:8" s="17" customFormat="1" ht="14.25" x14ac:dyDescent="0.3">
      <c r="A46" s="13" t="s">
        <v>111</v>
      </c>
      <c r="B46" s="14" t="s">
        <v>112</v>
      </c>
      <c r="C46" s="15">
        <v>14950</v>
      </c>
      <c r="D46" s="16">
        <v>465.99897499999997</v>
      </c>
      <c r="E46" s="16">
        <f t="shared" si="0"/>
        <v>1.4301017306462591</v>
      </c>
      <c r="F46" s="16" t="s">
        <v>113</v>
      </c>
      <c r="G46" s="11"/>
      <c r="H46" s="11"/>
    </row>
    <row r="47" spans="1:8" s="17" customFormat="1" ht="14.25" x14ac:dyDescent="0.3">
      <c r="A47" s="13" t="s">
        <v>114</v>
      </c>
      <c r="B47" s="14" t="s">
        <v>115</v>
      </c>
      <c r="C47" s="15">
        <v>560000</v>
      </c>
      <c r="D47" s="16">
        <v>458.64</v>
      </c>
      <c r="E47" s="16">
        <f t="shared" si="0"/>
        <v>1.4075178121230851</v>
      </c>
      <c r="F47" s="16" t="s">
        <v>116</v>
      </c>
      <c r="G47" s="11"/>
      <c r="H47" s="11"/>
    </row>
    <row r="48" spans="1:8" s="17" customFormat="1" ht="14.25" x14ac:dyDescent="0.3">
      <c r="A48" s="13" t="s">
        <v>117</v>
      </c>
      <c r="B48" s="14" t="s">
        <v>118</v>
      </c>
      <c r="C48" s="15">
        <v>83000</v>
      </c>
      <c r="D48" s="16">
        <v>194.09549999999999</v>
      </c>
      <c r="E48" s="16">
        <f t="shared" si="0"/>
        <v>0.59565862877842368</v>
      </c>
      <c r="F48" s="16" t="s">
        <v>119</v>
      </c>
      <c r="G48" s="11"/>
      <c r="H48" s="10"/>
    </row>
    <row r="49" spans="1:8" s="17" customFormat="1" ht="14.25" x14ac:dyDescent="0.3">
      <c r="A49" s="12" t="s">
        <v>120</v>
      </c>
      <c r="B49" s="14"/>
      <c r="C49" s="15"/>
      <c r="D49" s="19">
        <f>IF(ISERROR(SUM(D6:D48)),0,SUM(D6:D48))</f>
        <v>31430.180761000003</v>
      </c>
      <c r="E49" s="19">
        <f>IF(ISERROR(SUM(E6:E48)),0,SUM(E6:E48))</f>
        <v>96.455911519614062</v>
      </c>
      <c r="F49" s="19"/>
      <c r="G49" s="11"/>
      <c r="H49" s="10"/>
    </row>
    <row r="50" spans="1:8" s="17" customFormat="1" ht="14.25" x14ac:dyDescent="0.3">
      <c r="A50" s="12"/>
      <c r="B50" s="12"/>
      <c r="C50" s="20"/>
      <c r="D50" s="21"/>
      <c r="E50" s="21"/>
      <c r="F50" s="21"/>
      <c r="G50" s="11"/>
      <c r="H50" s="10"/>
    </row>
    <row r="51" spans="1:8" s="17" customFormat="1" ht="14.25" x14ac:dyDescent="0.3">
      <c r="A51" s="12" t="s">
        <v>121</v>
      </c>
      <c r="B51" s="12"/>
      <c r="C51" s="20"/>
      <c r="D51" s="22" t="s">
        <v>122</v>
      </c>
      <c r="E51" s="22" t="s">
        <v>122</v>
      </c>
      <c r="F51" s="22"/>
      <c r="G51" s="11"/>
      <c r="H51" s="10"/>
    </row>
    <row r="52" spans="1:8" s="17" customFormat="1" ht="14.25" x14ac:dyDescent="0.3">
      <c r="A52" s="12"/>
      <c r="B52" s="5"/>
      <c r="C52" s="20"/>
      <c r="D52" s="22"/>
      <c r="E52" s="22"/>
      <c r="F52" s="23"/>
      <c r="G52" s="11"/>
      <c r="H52" s="10"/>
    </row>
    <row r="53" spans="1:8" s="17" customFormat="1" ht="14.25" x14ac:dyDescent="0.3">
      <c r="A53" s="12" t="s">
        <v>123</v>
      </c>
      <c r="B53" s="12"/>
      <c r="C53" s="20"/>
      <c r="D53" s="19">
        <f>IF(ISERROR(+D49),0,D49)+IF(ISERROR(+#REF!),0,#REF!)</f>
        <v>31430.180761000003</v>
      </c>
      <c r="E53" s="19">
        <f>IF(ISERROR(+E49),0,E49)+IF(ISERROR(+#REF!),0,#REF!)</f>
        <v>96.455911519614062</v>
      </c>
      <c r="F53" s="24"/>
      <c r="G53" s="11"/>
      <c r="H53" s="10"/>
    </row>
    <row r="54" spans="1:8" s="17" customFormat="1" ht="14.25" x14ac:dyDescent="0.3">
      <c r="A54" s="12"/>
      <c r="B54" s="5"/>
      <c r="C54" s="20"/>
      <c r="D54" s="22"/>
      <c r="E54" s="22"/>
      <c r="F54" s="23"/>
      <c r="G54" s="11"/>
      <c r="H54" s="10"/>
    </row>
    <row r="55" spans="1:8" s="17" customFormat="1" ht="14.25" x14ac:dyDescent="0.3">
      <c r="A55" s="12" t="s">
        <v>124</v>
      </c>
      <c r="B55" s="5"/>
      <c r="C55" s="20"/>
      <c r="D55" s="22"/>
      <c r="E55" s="22"/>
      <c r="F55" s="23"/>
      <c r="G55" s="11"/>
      <c r="H55" s="10"/>
    </row>
    <row r="56" spans="1:8" s="17" customFormat="1" ht="14.25" x14ac:dyDescent="0.3">
      <c r="A56" s="12" t="s">
        <v>11</v>
      </c>
      <c r="B56" s="5"/>
      <c r="C56" s="20"/>
      <c r="D56" s="22" t="s">
        <v>122</v>
      </c>
      <c r="E56" s="22" t="s">
        <v>122</v>
      </c>
      <c r="F56" s="25"/>
      <c r="G56" s="11"/>
      <c r="H56" s="10"/>
    </row>
    <row r="57" spans="1:8" s="17" customFormat="1" ht="14.25" x14ac:dyDescent="0.3">
      <c r="A57" s="12"/>
      <c r="B57" s="5"/>
      <c r="C57" s="26"/>
      <c r="D57" s="25"/>
      <c r="E57" s="25"/>
      <c r="F57" s="25"/>
      <c r="G57" s="11"/>
      <c r="H57" s="10"/>
    </row>
    <row r="58" spans="1:8" s="17" customFormat="1" ht="14.25" x14ac:dyDescent="0.3">
      <c r="A58" s="12" t="s">
        <v>125</v>
      </c>
      <c r="B58" s="5"/>
      <c r="C58" s="26"/>
      <c r="D58" s="22" t="s">
        <v>122</v>
      </c>
      <c r="E58" s="22" t="s">
        <v>122</v>
      </c>
      <c r="F58" s="23"/>
      <c r="G58" s="11"/>
      <c r="H58" s="10"/>
    </row>
    <row r="59" spans="1:8" s="17" customFormat="1" ht="14.25" x14ac:dyDescent="0.3">
      <c r="A59" s="12"/>
      <c r="B59" s="5"/>
      <c r="C59" s="26"/>
      <c r="D59" s="22"/>
      <c r="E59" s="22"/>
      <c r="F59" s="22"/>
      <c r="G59" s="11"/>
      <c r="H59" s="10"/>
    </row>
    <row r="60" spans="1:8" s="17" customFormat="1" ht="14.25" x14ac:dyDescent="0.3">
      <c r="A60" s="12" t="s">
        <v>126</v>
      </c>
      <c r="B60" s="5"/>
      <c r="C60" s="26"/>
      <c r="D60" s="22"/>
      <c r="E60" s="22"/>
      <c r="F60" s="22"/>
      <c r="G60" s="11"/>
      <c r="H60" s="10"/>
    </row>
    <row r="61" spans="1:8" s="17" customFormat="1" ht="14.25" x14ac:dyDescent="0.3">
      <c r="A61" s="12"/>
      <c r="B61" s="5"/>
      <c r="C61" s="26"/>
      <c r="D61" s="16"/>
      <c r="E61" s="16"/>
      <c r="F61" s="27"/>
      <c r="G61" s="11"/>
      <c r="H61" s="10"/>
    </row>
    <row r="62" spans="1:8" s="17" customFormat="1" ht="14.25" x14ac:dyDescent="0.3">
      <c r="A62" s="12" t="s">
        <v>127</v>
      </c>
      <c r="B62" s="5"/>
      <c r="C62" s="26"/>
      <c r="D62" s="22" t="s">
        <v>122</v>
      </c>
      <c r="E62" s="22" t="s">
        <v>122</v>
      </c>
      <c r="F62" s="22"/>
      <c r="G62" s="11"/>
      <c r="H62" s="10"/>
    </row>
    <row r="63" spans="1:8" s="17" customFormat="1" ht="14.25" x14ac:dyDescent="0.3">
      <c r="A63" s="12"/>
      <c r="B63" s="5"/>
      <c r="C63" s="26"/>
      <c r="D63" s="22"/>
      <c r="E63" s="22"/>
      <c r="F63" s="22"/>
      <c r="G63" s="11"/>
      <c r="H63" s="10"/>
    </row>
    <row r="64" spans="1:8" s="17" customFormat="1" ht="14.25" x14ac:dyDescent="0.3">
      <c r="A64" s="12" t="s">
        <v>128</v>
      </c>
      <c r="B64" s="5"/>
      <c r="C64" s="26"/>
      <c r="D64" s="22" t="s">
        <v>122</v>
      </c>
      <c r="E64" s="22" t="s">
        <v>122</v>
      </c>
      <c r="F64" s="22"/>
      <c r="G64" s="11"/>
      <c r="H64" s="10"/>
    </row>
    <row r="65" spans="1:8" s="17" customFormat="1" ht="14.25" x14ac:dyDescent="0.3">
      <c r="A65" s="12"/>
      <c r="B65" s="5"/>
      <c r="C65" s="26"/>
      <c r="D65" s="22"/>
      <c r="E65" s="22"/>
      <c r="F65" s="22"/>
      <c r="G65" s="11"/>
      <c r="H65" s="10"/>
    </row>
    <row r="66" spans="1:8" s="17" customFormat="1" ht="14.25" x14ac:dyDescent="0.3">
      <c r="A66" s="12" t="s">
        <v>129</v>
      </c>
      <c r="B66" s="5"/>
      <c r="C66" s="26"/>
      <c r="D66" s="22"/>
      <c r="E66" s="22"/>
      <c r="F66" s="23"/>
      <c r="G66" s="11"/>
      <c r="H66" s="10"/>
    </row>
    <row r="67" spans="1:8" s="17" customFormat="1" ht="14.25" x14ac:dyDescent="0.3">
      <c r="A67" s="12"/>
      <c r="B67" s="28"/>
      <c r="C67" s="29"/>
      <c r="D67" s="25"/>
      <c r="E67" s="25"/>
      <c r="F67" s="30"/>
      <c r="G67" s="11"/>
      <c r="H67" s="10"/>
    </row>
    <row r="68" spans="1:8" s="17" customFormat="1" ht="14.25" x14ac:dyDescent="0.3">
      <c r="A68" s="13" t="s">
        <v>130</v>
      </c>
      <c r="B68" s="14"/>
      <c r="C68" s="15">
        <v>0</v>
      </c>
      <c r="D68" s="16">
        <v>817.98880739999993</v>
      </c>
      <c r="E68" s="16">
        <f>(+D68/$D$75*100)</f>
        <v>2.5103214210117293</v>
      </c>
      <c r="F68" s="16" t="s">
        <v>131</v>
      </c>
      <c r="G68" s="11">
        <v>6.2098000000000004</v>
      </c>
      <c r="H68" s="10"/>
    </row>
    <row r="69" spans="1:8" s="17" customFormat="1" ht="14.25" x14ac:dyDescent="0.3">
      <c r="A69" s="12" t="s">
        <v>120</v>
      </c>
      <c r="B69" s="5"/>
      <c r="C69" s="26"/>
      <c r="D69" s="22">
        <f>IF(ISERROR(SUM(D68:D68)),0,SUM(D68:D68))</f>
        <v>817.98880739999993</v>
      </c>
      <c r="E69" s="22">
        <f>IF(ISERROR(SUM(E68:E68)),0,SUM(E68:E68))</f>
        <v>2.5103214210117293</v>
      </c>
      <c r="F69" s="16"/>
      <c r="G69" s="11"/>
      <c r="H69" s="10"/>
    </row>
    <row r="70" spans="1:8" s="17" customFormat="1" ht="14.25" x14ac:dyDescent="0.3">
      <c r="A70" s="12"/>
      <c r="B70" s="5"/>
      <c r="C70" s="26"/>
      <c r="D70" s="22"/>
      <c r="E70" s="22"/>
      <c r="F70" s="23"/>
      <c r="G70" s="11"/>
      <c r="H70" s="10"/>
    </row>
    <row r="71" spans="1:8" s="17" customFormat="1" ht="14.25" x14ac:dyDescent="0.3">
      <c r="A71" s="12" t="s">
        <v>123</v>
      </c>
      <c r="B71" s="5"/>
      <c r="C71" s="26" t="s">
        <v>132</v>
      </c>
      <c r="D71" s="22">
        <f>+IF(ISERROR(#REF!),0,#REF!)+IF(ISERROR(D69),0,D69)+IF(ISERROR(D53),0,D53)+IF(ISERROR(#REF!),0,#REF!)+IF(ISERROR(#REF!),0,#REF!)+IF(ISERROR(#REF!),0,#REF!)+IF(ISERROR(#REF!),0,#REF!)+IF(ISERROR(#REF!),0,#REF!)+IF(ISERROR(#REF!),0,#REF!)</f>
        <v>32248.169568400004</v>
      </c>
      <c r="E71" s="22">
        <f>+IF(ISERROR(#REF!),0,#REF!)+IF(ISERROR(E69),0,E69)+IF(ISERROR(E53),0,E53)+IF(ISERROR(#REF!),0,#REF!)+IF(ISERROR(#REF!),0,#REF!)+IF(ISERROR(#REF!),0,#REF!)+IF(ISERROR(#REF!),0,#REF!)+IF(ISERROR(#REF!),0,#REF!)+IF(ISERROR(#REF!),0,#REF!)</f>
        <v>98.966232940625787</v>
      </c>
      <c r="F71" s="22"/>
      <c r="G71" s="11"/>
      <c r="H71" s="10"/>
    </row>
    <row r="72" spans="1:8" s="17" customFormat="1" ht="14.25" x14ac:dyDescent="0.3">
      <c r="A72" s="12"/>
      <c r="B72" s="5"/>
      <c r="C72" s="26"/>
      <c r="D72" s="22"/>
      <c r="E72" s="22"/>
      <c r="F72" s="31"/>
      <c r="G72" s="32"/>
      <c r="H72" s="33"/>
    </row>
    <row r="73" spans="1:8" s="17" customFormat="1" ht="14.25" x14ac:dyDescent="0.3">
      <c r="A73" s="12" t="s">
        <v>133</v>
      </c>
      <c r="B73" s="5"/>
      <c r="C73" s="26"/>
      <c r="D73" s="22">
        <f>+D75-D71</f>
        <v>336.85323200009952</v>
      </c>
      <c r="E73" s="22">
        <f>D73/$D$75*100</f>
        <v>1.0337670593741717</v>
      </c>
      <c r="F73" s="31"/>
      <c r="G73" s="32"/>
      <c r="H73" s="33"/>
    </row>
    <row r="74" spans="1:8" s="17" customFormat="1" ht="14.25" x14ac:dyDescent="0.3">
      <c r="A74" s="12"/>
      <c r="B74" s="5"/>
      <c r="C74" s="26"/>
      <c r="D74" s="25"/>
      <c r="E74" s="25"/>
      <c r="F74" s="31"/>
      <c r="G74" s="32"/>
      <c r="H74" s="33"/>
    </row>
    <row r="75" spans="1:8" s="17" customFormat="1" ht="14.25" x14ac:dyDescent="0.3">
      <c r="A75" s="12" t="s">
        <v>134</v>
      </c>
      <c r="B75" s="5"/>
      <c r="C75" s="26"/>
      <c r="D75" s="22">
        <v>32585.022800400104</v>
      </c>
      <c r="E75" s="22">
        <f>+E71+E73</f>
        <v>99.999999999999957</v>
      </c>
      <c r="F75" s="31"/>
      <c r="G75" s="32"/>
      <c r="H75" s="33"/>
    </row>
    <row r="76" spans="1:8" s="17" customFormat="1" ht="14.25" x14ac:dyDescent="0.3">
      <c r="A76" s="34"/>
      <c r="B76" s="35"/>
      <c r="C76" s="36"/>
      <c r="D76" s="37"/>
      <c r="E76" s="37"/>
      <c r="F76" s="31"/>
      <c r="G76" s="32"/>
      <c r="H76" s="33"/>
    </row>
    <row r="77" spans="1:8" s="17" customFormat="1" ht="13.5" x14ac:dyDescent="0.2">
      <c r="A77" s="55" t="s">
        <v>135</v>
      </c>
      <c r="B77" s="55"/>
      <c r="C77" s="55"/>
      <c r="D77" s="55"/>
      <c r="E77" s="55"/>
      <c r="F77" s="55"/>
      <c r="G77" s="55"/>
      <c r="H77" s="55"/>
    </row>
    <row r="78" spans="1:8" ht="27" customHeight="1" x14ac:dyDescent="0.2">
      <c r="A78" s="55" t="s">
        <v>136</v>
      </c>
      <c r="B78" s="55"/>
      <c r="C78" s="55"/>
      <c r="D78" s="55"/>
      <c r="E78" s="55"/>
      <c r="F78" s="56"/>
      <c r="G78" s="56"/>
      <c r="H78" s="56"/>
    </row>
    <row r="79" spans="1:8" ht="13.5" x14ac:dyDescent="0.2">
      <c r="A79" s="57" t="s">
        <v>137</v>
      </c>
      <c r="B79" s="57"/>
      <c r="C79" s="57"/>
      <c r="D79" s="57"/>
      <c r="E79" s="57"/>
      <c r="F79" s="56"/>
      <c r="G79" s="56"/>
      <c r="H79" s="56"/>
    </row>
    <row r="80" spans="1:8" ht="54" customHeight="1" x14ac:dyDescent="0.2">
      <c r="A80" s="58" t="s">
        <v>138</v>
      </c>
      <c r="B80" s="58"/>
      <c r="C80" s="58"/>
      <c r="D80" s="58"/>
      <c r="E80" s="58"/>
      <c r="F80" s="56"/>
      <c r="G80" s="56"/>
      <c r="H80" s="56"/>
    </row>
    <row r="81" spans="1:8" ht="14.25" x14ac:dyDescent="0.3">
      <c r="A81" s="38"/>
      <c r="B81" s="39"/>
      <c r="C81" s="40"/>
      <c r="D81" s="41"/>
      <c r="E81" s="42"/>
      <c r="F81" s="42"/>
      <c r="G81" s="43"/>
      <c r="H81" s="42"/>
    </row>
    <row r="82" spans="1:8" ht="14.25" x14ac:dyDescent="0.3">
      <c r="A82" s="44" t="s">
        <v>139</v>
      </c>
      <c r="B82" s="45"/>
      <c r="C82" s="45"/>
      <c r="D82" s="42"/>
      <c r="E82" s="42"/>
      <c r="F82" s="42"/>
      <c r="G82" s="42"/>
      <c r="H82" s="42"/>
    </row>
    <row r="83" spans="1:8" ht="14.25" x14ac:dyDescent="0.3">
      <c r="A83" s="46" t="s">
        <v>140</v>
      </c>
      <c r="B83" s="45"/>
      <c r="C83" s="45"/>
      <c r="D83" s="42"/>
      <c r="E83" s="42"/>
      <c r="F83" s="42"/>
      <c r="G83" s="42"/>
      <c r="H83" s="42"/>
    </row>
    <row r="84" spans="1:8" ht="14.25" x14ac:dyDescent="0.3">
      <c r="A84" s="46" t="s">
        <v>141</v>
      </c>
      <c r="B84" s="45"/>
      <c r="C84" s="45"/>
      <c r="D84" s="42"/>
      <c r="E84" s="42"/>
      <c r="F84" s="42"/>
      <c r="G84" s="42"/>
      <c r="H84" s="42"/>
    </row>
    <row r="85" spans="1:8" ht="14.25" x14ac:dyDescent="0.3">
      <c r="A85" s="46" t="s">
        <v>142</v>
      </c>
      <c r="B85" s="45"/>
      <c r="C85" s="45"/>
      <c r="D85" s="42"/>
      <c r="E85" s="42"/>
      <c r="F85" s="42"/>
      <c r="G85" s="42"/>
      <c r="H85" s="42"/>
    </row>
    <row r="86" spans="1:8" ht="14.25" x14ac:dyDescent="0.3">
      <c r="A86" s="46"/>
      <c r="B86" s="45"/>
      <c r="C86" s="45"/>
      <c r="D86" s="42"/>
      <c r="E86" s="42"/>
      <c r="F86" s="42"/>
      <c r="G86" s="42"/>
      <c r="H86" s="42"/>
    </row>
    <row r="87" spans="1:8" ht="14.25" x14ac:dyDescent="0.3">
      <c r="A87" s="47" t="s">
        <v>143</v>
      </c>
      <c r="B87" s="48" t="s">
        <v>144</v>
      </c>
      <c r="C87" s="48"/>
      <c r="D87" s="42"/>
      <c r="E87" s="42"/>
      <c r="F87" s="42"/>
      <c r="G87" s="42"/>
      <c r="H87" s="42"/>
    </row>
    <row r="88" spans="1:8" ht="14.25" x14ac:dyDescent="0.3">
      <c r="A88" s="45"/>
      <c r="B88" s="45"/>
      <c r="C88" s="45"/>
      <c r="D88" s="42"/>
      <c r="E88" s="42"/>
      <c r="F88" s="42"/>
      <c r="G88" s="42"/>
      <c r="H88" s="42"/>
    </row>
    <row r="89" spans="1:8" ht="14.25" x14ac:dyDescent="0.3">
      <c r="A89" s="45"/>
      <c r="B89" s="45"/>
      <c r="C89" s="45"/>
      <c r="D89" s="42"/>
      <c r="E89" s="42"/>
      <c r="F89" s="42"/>
      <c r="G89" s="42"/>
      <c r="H89" s="42"/>
    </row>
    <row r="90" spans="1:8" ht="14.25" x14ac:dyDescent="0.3">
      <c r="A90" s="45"/>
      <c r="B90" s="45"/>
      <c r="C90" s="45"/>
      <c r="D90" s="42"/>
      <c r="E90" s="42"/>
      <c r="F90" s="42"/>
      <c r="G90" s="42"/>
      <c r="H90" s="42"/>
    </row>
    <row r="91" spans="1:8" ht="14.25" x14ac:dyDescent="0.3">
      <c r="A91" s="45"/>
      <c r="B91" s="45"/>
      <c r="C91" s="45"/>
      <c r="D91" s="42"/>
      <c r="E91" s="42"/>
      <c r="F91" s="42"/>
      <c r="G91" s="42"/>
      <c r="H91" s="42"/>
    </row>
    <row r="92" spans="1:8" ht="14.25" x14ac:dyDescent="0.3">
      <c r="A92" s="45"/>
      <c r="B92" s="45"/>
      <c r="C92" s="45"/>
      <c r="D92" s="42"/>
      <c r="E92" s="42"/>
      <c r="F92" s="42"/>
      <c r="G92" s="42"/>
      <c r="H92" s="42"/>
    </row>
    <row r="93" spans="1:8" ht="14.25" x14ac:dyDescent="0.3">
      <c r="A93" s="45"/>
      <c r="B93" s="45"/>
      <c r="C93" s="45"/>
      <c r="D93" s="42"/>
      <c r="E93" s="42"/>
      <c r="F93" s="42"/>
      <c r="G93" s="42"/>
      <c r="H93" s="42"/>
    </row>
    <row r="94" spans="1:8" ht="14.25" x14ac:dyDescent="0.3">
      <c r="A94" s="45"/>
      <c r="B94" s="45"/>
      <c r="C94" s="45"/>
      <c r="D94" s="42"/>
      <c r="E94" s="42"/>
      <c r="F94" s="42"/>
      <c r="G94" s="42"/>
      <c r="H94" s="42"/>
    </row>
  </sheetData>
  <mergeCells count="6">
    <mergeCell ref="A1:H1"/>
    <mergeCell ref="A77:H77"/>
    <mergeCell ref="A78:H78"/>
    <mergeCell ref="A79:H79"/>
    <mergeCell ref="A80:H80"/>
    <mergeCell ref="A2:H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Santosh Parab</cp:lastModifiedBy>
  <dcterms:created xsi:type="dcterms:W3CDTF">2023-06-01T18:23:54Z</dcterms:created>
  <dcterms:modified xsi:type="dcterms:W3CDTF">2023-06-05T05:50:24Z</dcterms:modified>
</cp:coreProperties>
</file>