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Equity\"/>
    </mc:Choice>
  </mc:AlternateContent>
  <bookViews>
    <workbookView xWindow="0" yWindow="0" windowWidth="20490" windowHeight="7650"/>
  </bookViews>
  <sheets>
    <sheet name="TG" sheetId="1" r:id="rId1"/>
  </sheets>
  <definedNames>
    <definedName name="_xlnm._FilterDatabase" localSheetId="0" hidden="1">TG!$A$1:$H$73</definedName>
    <definedName name="Afs">#REF!</definedName>
    <definedName name="_xlnm.Database">#REF!</definedName>
    <definedName name="EBLDB">#REF!</definedName>
    <definedName name="fl">#REF!</definedName>
    <definedName name="_xlnm.Print_Area" localSheetId="0">TG!$A$1:$E$62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7" i="1" l="1"/>
  <c r="D65" i="1"/>
  <c r="E64" i="1"/>
  <c r="E65" i="1" s="1"/>
  <c r="D45" i="1"/>
  <c r="D49" i="1" s="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5" i="1" l="1"/>
  <c r="E49" i="1" s="1"/>
  <c r="D67" i="1"/>
  <c r="D69" i="1" s="1"/>
  <c r="E69" i="1" s="1"/>
  <c r="E67" i="1"/>
  <c r="E71" i="1" l="1"/>
</calcChain>
</file>

<file path=xl/sharedStrings.xml><?xml version="1.0" encoding="utf-8"?>
<sst xmlns="http://schemas.openxmlformats.org/spreadsheetml/2006/main" count="166" uniqueCount="138">
  <si>
    <t>JM Tax Gain Fund (An open ended equity linked saving scheme with a statutory lock in of 3 years and tax benefit).</t>
  </si>
  <si>
    <t>Portfolio as on 31.12.2022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</si>
  <si>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</si>
  <si>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</si>
  <si>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</si>
  <si>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</si>
  <si>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</si>
  <si>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</si>
  <si>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</si>
  <si>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</si>
  <si>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</si>
  <si>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</si>
  <si>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</si>
  <si>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</si>
  <si>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</si>
  <si>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</si>
  <si>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</si>
  <si>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</si>
  <si>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Axis Bank Ltd.</t>
  </si>
  <si>
    <t>INE238A01034</t>
  </si>
  <si>
    <t>ICICI Bank Ltd.</t>
  </si>
  <si>
    <t>INE090A01021</t>
  </si>
  <si>
    <t>Ultratech Cement Ltd.</t>
  </si>
  <si>
    <t>Cement &amp; Cement Products</t>
  </si>
  <si>
    <t>INE481G01011</t>
  </si>
  <si>
    <t>State Bank of India</t>
  </si>
  <si>
    <t>INE062A01020</t>
  </si>
  <si>
    <t>Larsen &amp; Toubro Ltd.</t>
  </si>
  <si>
    <t>Construction</t>
  </si>
  <si>
    <t>INE018A01030</t>
  </si>
  <si>
    <t>Indian Oil Corporation Ltd.</t>
  </si>
  <si>
    <t>Petroleum Products</t>
  </si>
  <si>
    <t>INE242A01010</t>
  </si>
  <si>
    <t>Reliance Industries Ltd.</t>
  </si>
  <si>
    <t>INE002A01018</t>
  </si>
  <si>
    <t>Gujarat Gas Ltd.</t>
  </si>
  <si>
    <t>Gas</t>
  </si>
  <si>
    <t>INE844O01030</t>
  </si>
  <si>
    <t>SRF Ltd.</t>
  </si>
  <si>
    <t>Chemicals &amp; Petrochemicals</t>
  </si>
  <si>
    <t>INE647A01010</t>
  </si>
  <si>
    <t>Kalpataru Power Transmission Ltd.</t>
  </si>
  <si>
    <t>INE220B01022</t>
  </si>
  <si>
    <t>Trent Ltd.</t>
  </si>
  <si>
    <t>Retailing</t>
  </si>
  <si>
    <t>INE849A01020</t>
  </si>
  <si>
    <t>Titan Company Ltd.</t>
  </si>
  <si>
    <t>Consumer Durables</t>
  </si>
  <si>
    <t>INE280A01028</t>
  </si>
  <si>
    <t>SKF India Ltd.</t>
  </si>
  <si>
    <t>Industrial Products</t>
  </si>
  <si>
    <t>INE640A01023</t>
  </si>
  <si>
    <t>Pidilite Industries Ltd.</t>
  </si>
  <si>
    <t>INE318A01026</t>
  </si>
  <si>
    <t>Maruti Suzuki India Ltd.</t>
  </si>
  <si>
    <t>Automobiles</t>
  </si>
  <si>
    <t>INE585B01010</t>
  </si>
  <si>
    <t>United Spirits Ltd.</t>
  </si>
  <si>
    <t>Beverages</t>
  </si>
  <si>
    <t>INE854D01024</t>
  </si>
  <si>
    <t>Bank of Baroda</t>
  </si>
  <si>
    <t>INE028A01039</t>
  </si>
  <si>
    <t>Mahindra &amp; Mahindra Financial Services Ltd.</t>
  </si>
  <si>
    <t>Finance</t>
  </si>
  <si>
    <t>INE774D01024</t>
  </si>
  <si>
    <t>Power Finance Corporation Ltd.</t>
  </si>
  <si>
    <t>INE134E01011</t>
  </si>
  <si>
    <t>Fortis Healthcare Ltd.</t>
  </si>
  <si>
    <t>Healthcare Services</t>
  </si>
  <si>
    <t>INE061F01013</t>
  </si>
  <si>
    <t>Mahindra &amp; Mahindra Ltd.</t>
  </si>
  <si>
    <t>INE101A01026</t>
  </si>
  <si>
    <t>Cummins India Ltd.</t>
  </si>
  <si>
    <t>INE298A01020</t>
  </si>
  <si>
    <t>Hindustan Aeronautics Ltd.</t>
  </si>
  <si>
    <t>Aerospace &amp; Defense</t>
  </si>
  <si>
    <t>INE066F01012</t>
  </si>
  <si>
    <t>L&amp;T Technology Services Ltd.</t>
  </si>
  <si>
    <t>IT - Services</t>
  </si>
  <si>
    <t>INE010V01017</t>
  </si>
  <si>
    <t>Navin Fluorine International Ltd.</t>
  </si>
  <si>
    <t>INE048G01026</t>
  </si>
  <si>
    <t>Cipla Ltd.</t>
  </si>
  <si>
    <t>Pharmaceuticals &amp; Biotechnology</t>
  </si>
  <si>
    <t>INE059A01026</t>
  </si>
  <si>
    <t>The Indian Hotels Company Ltd.</t>
  </si>
  <si>
    <t>Leisure Services</t>
  </si>
  <si>
    <t>INE053A01029</t>
  </si>
  <si>
    <t>Hindustan Unilever Ltd.</t>
  </si>
  <si>
    <t>Diversified FMCG</t>
  </si>
  <si>
    <t>INE030A01027</t>
  </si>
  <si>
    <t>JK Cement Ltd.</t>
  </si>
  <si>
    <t>INE823G01014</t>
  </si>
  <si>
    <t>Jubilant Foodworks Ltd.</t>
  </si>
  <si>
    <t>INE797F01020</t>
  </si>
  <si>
    <t>Blue Star Ltd.</t>
  </si>
  <si>
    <t>INE472A01039</t>
  </si>
  <si>
    <t>Vardhman Textiles Ltd.</t>
  </si>
  <si>
    <t>Textiles &amp; Apparels</t>
  </si>
  <si>
    <t>INE825A01020</t>
  </si>
  <si>
    <t>Varun Beverages Ltd.</t>
  </si>
  <si>
    <t>INE200M01013</t>
  </si>
  <si>
    <t>Dr. Reddy's Laboratories Ltd.</t>
  </si>
  <si>
    <t>INE089A01023</t>
  </si>
  <si>
    <t>One 97 Communications Ltd.</t>
  </si>
  <si>
    <t>Financial Technology (Fintech)</t>
  </si>
  <si>
    <t>INE982J01020</t>
  </si>
  <si>
    <t>ABB India Ltd.</t>
  </si>
  <si>
    <t>Electrical Equipment</t>
  </si>
  <si>
    <t>INE117A01022</t>
  </si>
  <si>
    <t>Bharti Airtel Limited -  Rights Partly Paid</t>
  </si>
  <si>
    <t>Telecom - Services</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</si>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</sst>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11"/>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4">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6" fillId="0" borderId="0" xfId="3" applyBorder="1" applyAlignment="1">
      <alignment vertical="center"/>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9" fillId="0" borderId="0" xfId="6" applyFont="1"/>
    <xf numFmtId="0" fontId="10"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6" fillId="0" borderId="0" xfId="5" applyBorder="1" applyAlignment="1">
      <alignment horizontal="left" wrapText="1"/>
    </xf>
  </cellXfs>
  <cellStyles count="7">
    <cellStyle name="Comma" xfId="1" builtinId="3"/>
    <cellStyle name="Comma 4" xfId="4"/>
    <cellStyle name="Normal" xfId="0" builtinId="0"/>
    <cellStyle name="Normal 2 3 2" xfId="2"/>
    <cellStyle name="Normal 4_IF" xfId="6"/>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88</xdr:row>
      <xdr:rowOff>0</xdr:rowOff>
    </xdr:from>
    <xdr:to>
      <xdr:col>1</xdr:col>
      <xdr:colOff>104775</xdr:colOff>
      <xdr:row>101</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925925"/>
          <a:ext cx="3943350" cy="2209800"/>
        </a:xfrm>
        <a:prstGeom prst="rect">
          <a:avLst/>
        </a:prstGeom>
        <a:noFill/>
        <a:ln w="9525">
          <a:noFill/>
          <a:miter lim="800000"/>
          <a:headEnd/>
          <a:tailEnd/>
        </a:ln>
      </xdr:spPr>
    </xdr:pic>
    <xdr:clientData/>
  </xdr:twoCellAnchor>
  <xdr:twoCellAnchor editAs="oneCell">
    <xdr:from>
      <xdr:col>2</xdr:col>
      <xdr:colOff>114300</xdr:colOff>
      <xdr:row>88</xdr:row>
      <xdr:rowOff>9525</xdr:rowOff>
    </xdr:from>
    <xdr:to>
      <xdr:col>5</xdr:col>
      <xdr:colOff>609600</xdr:colOff>
      <xdr:row>101</xdr:row>
      <xdr:rowOff>104775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86475" y="16935450"/>
          <a:ext cx="3829050" cy="2200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1"/>
  <sheetViews>
    <sheetView tabSelected="1" zoomScaleNormal="100" workbookViewId="0">
      <selection activeCell="B99" sqref="B99"/>
    </sheetView>
  </sheetViews>
  <sheetFormatPr defaultRowHeight="12.75" x14ac:dyDescent="0.2"/>
  <cols>
    <col min="1" max="1" width="57.5703125" style="56" customWidth="1"/>
    <col min="2" max="2" width="32" style="57" customWidth="1"/>
    <col min="3" max="3" width="13.42578125" style="58" customWidth="1"/>
    <col min="4" max="4" width="20.85546875" style="5" customWidth="1"/>
    <col min="5" max="5" width="15.7109375" style="5" customWidth="1"/>
    <col min="6" max="6" width="16.28515625" style="5" customWidth="1"/>
    <col min="7" max="7" width="9.5703125" style="5" bestFit="1" customWidth="1"/>
    <col min="8" max="8" width="12.28515625" style="5"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38.25" x14ac:dyDescent="0.2">
      <c r="A3" s="7" t="s">
        <v>2</v>
      </c>
      <c r="B3" s="8" t="s">
        <v>3</v>
      </c>
      <c r="C3" s="9" t="s">
        <v>4</v>
      </c>
      <c r="D3" s="7" t="s">
        <v>5</v>
      </c>
      <c r="E3" s="7" t="s">
        <v>6</v>
      </c>
      <c r="F3" s="7" t="s">
        <v>7</v>
      </c>
      <c r="G3" s="10" t="s">
        <v>8</v>
      </c>
      <c r="H3" s="11" t="s">
        <v>9</v>
      </c>
    </row>
    <row r="4" spans="1:8" x14ac:dyDescent="0.2">
      <c r="A4" s="13" t="s">
        <v>10</v>
      </c>
      <c r="B4" s="14"/>
      <c r="C4" s="15"/>
      <c r="D4" s="16"/>
      <c r="E4" s="16"/>
      <c r="F4" s="17"/>
      <c r="G4" s="18"/>
      <c r="H4" s="19"/>
    </row>
    <row r="5" spans="1:8" x14ac:dyDescent="0.2">
      <c r="A5" s="20" t="s">
        <v>11</v>
      </c>
      <c r="B5" s="14"/>
      <c r="C5" s="15"/>
      <c r="D5" s="16"/>
      <c r="E5" s="16"/>
      <c r="F5" s="17"/>
      <c r="G5" s="18"/>
      <c r="H5" s="19"/>
    </row>
    <row r="6" spans="1:8" s="25" customFormat="1" x14ac:dyDescent="0.2">
      <c r="A6" s="21" t="s">
        <v>12</v>
      </c>
      <c r="B6" s="22" t="s">
        <v>13</v>
      </c>
      <c r="C6" s="23">
        <v>40781</v>
      </c>
      <c r="D6" s="24">
        <v>663.97585149999998</v>
      </c>
      <c r="E6" s="24">
        <f t="shared" ref="E6:E44" si="0">(+D6/$D$71*100)</f>
        <v>9.2035346023252007</v>
      </c>
      <c r="F6" s="24" t="s">
        <v>14</v>
      </c>
      <c r="G6" s="19"/>
      <c r="H6" s="19"/>
    </row>
    <row r="7" spans="1:8" s="25" customFormat="1" x14ac:dyDescent="0.2">
      <c r="A7" s="21" t="s">
        <v>15</v>
      </c>
      <c r="B7" s="22" t="s">
        <v>16</v>
      </c>
      <c r="C7" s="23">
        <v>28965</v>
      </c>
      <c r="D7" s="24">
        <v>436.85012999999998</v>
      </c>
      <c r="E7" s="24">
        <f t="shared" si="0"/>
        <v>6.0552884241231517</v>
      </c>
      <c r="F7" s="24" t="s">
        <v>17</v>
      </c>
      <c r="G7" s="19"/>
      <c r="H7" s="26"/>
    </row>
    <row r="8" spans="1:8" s="25" customFormat="1" x14ac:dyDescent="0.2">
      <c r="A8" s="21" t="s">
        <v>18</v>
      </c>
      <c r="B8" s="22" t="s">
        <v>13</v>
      </c>
      <c r="C8" s="23">
        <v>37800</v>
      </c>
      <c r="D8" s="24">
        <v>352.95749999999998</v>
      </c>
      <c r="E8" s="24">
        <f t="shared" si="0"/>
        <v>4.8924317910983497</v>
      </c>
      <c r="F8" s="24" t="s">
        <v>19</v>
      </c>
      <c r="G8" s="19"/>
      <c r="H8" s="19"/>
    </row>
    <row r="9" spans="1:8" s="25" customFormat="1" x14ac:dyDescent="0.2">
      <c r="A9" s="21" t="s">
        <v>20</v>
      </c>
      <c r="B9" s="22" t="s">
        <v>13</v>
      </c>
      <c r="C9" s="23">
        <v>37825</v>
      </c>
      <c r="D9" s="24">
        <v>336.96401250000002</v>
      </c>
      <c r="E9" s="24">
        <f t="shared" si="0"/>
        <v>4.6707420786102061</v>
      </c>
      <c r="F9" s="24" t="s">
        <v>21</v>
      </c>
      <c r="G9" s="19"/>
      <c r="H9" s="19"/>
    </row>
    <row r="10" spans="1:8" s="25" customFormat="1" x14ac:dyDescent="0.2">
      <c r="A10" s="21" t="s">
        <v>22</v>
      </c>
      <c r="B10" s="22" t="s">
        <v>23</v>
      </c>
      <c r="C10" s="23">
        <v>4050</v>
      </c>
      <c r="D10" s="24">
        <v>281.84152499999999</v>
      </c>
      <c r="E10" s="24">
        <f t="shared" si="0"/>
        <v>3.906675554313594</v>
      </c>
      <c r="F10" s="24" t="s">
        <v>24</v>
      </c>
      <c r="G10" s="19"/>
      <c r="H10" s="18"/>
    </row>
    <row r="11" spans="1:8" s="25" customFormat="1" x14ac:dyDescent="0.2">
      <c r="A11" s="21" t="s">
        <v>25</v>
      </c>
      <c r="B11" s="22" t="s">
        <v>13</v>
      </c>
      <c r="C11" s="23">
        <v>39650</v>
      </c>
      <c r="D11" s="24">
        <v>243.33205000000001</v>
      </c>
      <c r="E11" s="24">
        <f t="shared" si="0"/>
        <v>3.3728861327869035</v>
      </c>
      <c r="F11" s="24" t="s">
        <v>26</v>
      </c>
      <c r="G11" s="19"/>
      <c r="H11" s="18"/>
    </row>
    <row r="12" spans="1:8" s="25" customFormat="1" x14ac:dyDescent="0.2">
      <c r="A12" s="21" t="s">
        <v>27</v>
      </c>
      <c r="B12" s="22" t="s">
        <v>28</v>
      </c>
      <c r="C12" s="23">
        <v>11550</v>
      </c>
      <c r="D12" s="24">
        <v>240.90989999999999</v>
      </c>
      <c r="E12" s="24">
        <f t="shared" si="0"/>
        <v>3.339312108540899</v>
      </c>
      <c r="F12" s="24" t="s">
        <v>29</v>
      </c>
      <c r="G12" s="19"/>
      <c r="H12" s="18"/>
    </row>
    <row r="13" spans="1:8" s="25" customFormat="1" x14ac:dyDescent="0.2">
      <c r="A13" s="21" t="s">
        <v>30</v>
      </c>
      <c r="B13" s="22" t="s">
        <v>31</v>
      </c>
      <c r="C13" s="23">
        <v>287000</v>
      </c>
      <c r="D13" s="24">
        <v>219.55500000000001</v>
      </c>
      <c r="E13" s="24">
        <f t="shared" si="0"/>
        <v>3.0433065224413656</v>
      </c>
      <c r="F13" s="24" t="s">
        <v>32</v>
      </c>
      <c r="G13" s="19"/>
      <c r="H13" s="26"/>
    </row>
    <row r="14" spans="1:8" s="25" customFormat="1" x14ac:dyDescent="0.2">
      <c r="A14" s="21" t="s">
        <v>33</v>
      </c>
      <c r="B14" s="22" t="s">
        <v>31</v>
      </c>
      <c r="C14" s="23">
        <v>8450</v>
      </c>
      <c r="D14" s="24">
        <v>215.23840000000001</v>
      </c>
      <c r="E14" s="24">
        <f t="shared" si="0"/>
        <v>2.9834730550424435</v>
      </c>
      <c r="F14" s="24" t="s">
        <v>34</v>
      </c>
      <c r="G14" s="19"/>
      <c r="H14" s="18"/>
    </row>
    <row r="15" spans="1:8" s="25" customFormat="1" x14ac:dyDescent="0.2">
      <c r="A15" s="21" t="s">
        <v>35</v>
      </c>
      <c r="B15" s="22" t="s">
        <v>36</v>
      </c>
      <c r="C15" s="23">
        <v>43100</v>
      </c>
      <c r="D15" s="24">
        <v>209.53065000000001</v>
      </c>
      <c r="E15" s="24">
        <f t="shared" si="0"/>
        <v>2.9043565111082823</v>
      </c>
      <c r="F15" s="24" t="s">
        <v>37</v>
      </c>
      <c r="G15" s="19"/>
      <c r="H15" s="19"/>
    </row>
    <row r="16" spans="1:8" s="25" customFormat="1" x14ac:dyDescent="0.2">
      <c r="A16" s="21" t="s">
        <v>38</v>
      </c>
      <c r="B16" s="22" t="s">
        <v>39</v>
      </c>
      <c r="C16" s="23">
        <v>8850</v>
      </c>
      <c r="D16" s="24">
        <v>202.695975</v>
      </c>
      <c r="E16" s="24">
        <f t="shared" si="0"/>
        <v>2.8096193791537978</v>
      </c>
      <c r="F16" s="24" t="s">
        <v>40</v>
      </c>
      <c r="G16" s="19"/>
      <c r="H16" s="18"/>
    </row>
    <row r="17" spans="1:8" s="25" customFormat="1" x14ac:dyDescent="0.2">
      <c r="A17" s="21" t="s">
        <v>41</v>
      </c>
      <c r="B17" s="22" t="s">
        <v>28</v>
      </c>
      <c r="C17" s="23">
        <v>35000</v>
      </c>
      <c r="D17" s="24">
        <v>195.61500000000001</v>
      </c>
      <c r="E17" s="24">
        <f t="shared" si="0"/>
        <v>2.7114682215725798</v>
      </c>
      <c r="F17" s="24" t="s">
        <v>42</v>
      </c>
      <c r="G17" s="19"/>
      <c r="H17" s="26"/>
    </row>
    <row r="18" spans="1:8" s="25" customFormat="1" x14ac:dyDescent="0.2">
      <c r="A18" s="21" t="s">
        <v>43</v>
      </c>
      <c r="B18" s="22" t="s">
        <v>44</v>
      </c>
      <c r="C18" s="23">
        <v>14146</v>
      </c>
      <c r="D18" s="24">
        <v>191.16197100000002</v>
      </c>
      <c r="E18" s="24">
        <f t="shared" si="0"/>
        <v>2.6497436778349264</v>
      </c>
      <c r="F18" s="24" t="s">
        <v>45</v>
      </c>
      <c r="G18" s="19"/>
      <c r="H18" s="18"/>
    </row>
    <row r="19" spans="1:8" s="25" customFormat="1" x14ac:dyDescent="0.2">
      <c r="A19" s="21" t="s">
        <v>46</v>
      </c>
      <c r="B19" s="22" t="s">
        <v>47</v>
      </c>
      <c r="C19" s="23">
        <v>7030</v>
      </c>
      <c r="D19" s="24">
        <v>182.60425000000001</v>
      </c>
      <c r="E19" s="24">
        <f t="shared" si="0"/>
        <v>2.5311229762497498</v>
      </c>
      <c r="F19" s="24" t="s">
        <v>48</v>
      </c>
      <c r="G19" s="19"/>
      <c r="H19" s="18"/>
    </row>
    <row r="20" spans="1:8" s="25" customFormat="1" x14ac:dyDescent="0.2">
      <c r="A20" s="21" t="s">
        <v>49</v>
      </c>
      <c r="B20" s="22" t="s">
        <v>50</v>
      </c>
      <c r="C20" s="23">
        <v>3908</v>
      </c>
      <c r="D20" s="24">
        <v>175.824828</v>
      </c>
      <c r="E20" s="24">
        <f t="shared" si="0"/>
        <v>2.4371517198858204</v>
      </c>
      <c r="F20" s="24" t="s">
        <v>51</v>
      </c>
      <c r="G20" s="19"/>
      <c r="H20" s="18"/>
    </row>
    <row r="21" spans="1:8" s="25" customFormat="1" x14ac:dyDescent="0.2">
      <c r="A21" s="21" t="s">
        <v>52</v>
      </c>
      <c r="B21" s="22" t="s">
        <v>39</v>
      </c>
      <c r="C21" s="23">
        <v>6681</v>
      </c>
      <c r="D21" s="24">
        <v>170.37552149999999</v>
      </c>
      <c r="E21" s="24">
        <f t="shared" si="0"/>
        <v>2.3616175256555261</v>
      </c>
      <c r="F21" s="24" t="s">
        <v>53</v>
      </c>
      <c r="G21" s="19"/>
      <c r="H21" s="18"/>
    </row>
    <row r="22" spans="1:8" s="25" customFormat="1" x14ac:dyDescent="0.2">
      <c r="A22" s="21" t="s">
        <v>54</v>
      </c>
      <c r="B22" s="22" t="s">
        <v>55</v>
      </c>
      <c r="C22" s="23">
        <v>1974</v>
      </c>
      <c r="D22" s="24">
        <v>165.70940400000001</v>
      </c>
      <c r="E22" s="24">
        <f t="shared" si="0"/>
        <v>2.2969393091620387</v>
      </c>
      <c r="F22" s="24" t="s">
        <v>56</v>
      </c>
      <c r="G22" s="19"/>
      <c r="H22" s="18"/>
    </row>
    <row r="23" spans="1:8" s="25" customFormat="1" x14ac:dyDescent="0.2">
      <c r="A23" s="21" t="s">
        <v>57</v>
      </c>
      <c r="B23" s="22" t="s">
        <v>58</v>
      </c>
      <c r="C23" s="23">
        <v>18600</v>
      </c>
      <c r="D23" s="24">
        <v>163.2243</v>
      </c>
      <c r="E23" s="24">
        <f t="shared" si="0"/>
        <v>2.2624926638469915</v>
      </c>
      <c r="F23" s="24" t="s">
        <v>59</v>
      </c>
      <c r="G23" s="19"/>
      <c r="H23" s="18"/>
    </row>
    <row r="24" spans="1:8" s="25" customFormat="1" x14ac:dyDescent="0.2">
      <c r="A24" s="21" t="s">
        <v>60</v>
      </c>
      <c r="B24" s="22" t="s">
        <v>13</v>
      </c>
      <c r="C24" s="23">
        <v>85500</v>
      </c>
      <c r="D24" s="24">
        <v>158.77350000000001</v>
      </c>
      <c r="E24" s="24">
        <f t="shared" si="0"/>
        <v>2.2007990168333413</v>
      </c>
      <c r="F24" s="24" t="s">
        <v>61</v>
      </c>
      <c r="G24" s="19"/>
      <c r="H24" s="19"/>
    </row>
    <row r="25" spans="1:8" s="25" customFormat="1" x14ac:dyDescent="0.2">
      <c r="A25" s="21" t="s">
        <v>62</v>
      </c>
      <c r="B25" s="22" t="s">
        <v>63</v>
      </c>
      <c r="C25" s="23">
        <v>66650</v>
      </c>
      <c r="D25" s="24">
        <v>156.36089999999999</v>
      </c>
      <c r="E25" s="24">
        <f t="shared" si="0"/>
        <v>2.1673573675152111</v>
      </c>
      <c r="F25" s="24" t="s">
        <v>64</v>
      </c>
      <c r="G25" s="19"/>
      <c r="H25" s="18"/>
    </row>
    <row r="26" spans="1:8" s="25" customFormat="1" x14ac:dyDescent="0.2">
      <c r="A26" s="21" t="s">
        <v>65</v>
      </c>
      <c r="B26" s="22" t="s">
        <v>63</v>
      </c>
      <c r="C26" s="23">
        <v>110000</v>
      </c>
      <c r="D26" s="24">
        <v>155.26499999999999</v>
      </c>
      <c r="E26" s="24">
        <f t="shared" si="0"/>
        <v>2.1521668247448638</v>
      </c>
      <c r="F26" s="24" t="s">
        <v>66</v>
      </c>
      <c r="G26" s="19"/>
      <c r="H26" s="18"/>
    </row>
    <row r="27" spans="1:8" s="25" customFormat="1" x14ac:dyDescent="0.2">
      <c r="A27" s="21" t="s">
        <v>67</v>
      </c>
      <c r="B27" s="22" t="s">
        <v>68</v>
      </c>
      <c r="C27" s="23">
        <v>53250</v>
      </c>
      <c r="D27" s="24">
        <v>152.34825000000001</v>
      </c>
      <c r="E27" s="24">
        <f t="shared" si="0"/>
        <v>2.1117370267474107</v>
      </c>
      <c r="F27" s="24" t="s">
        <v>69</v>
      </c>
      <c r="G27" s="19"/>
      <c r="H27" s="19"/>
    </row>
    <row r="28" spans="1:8" s="25" customFormat="1" x14ac:dyDescent="0.2">
      <c r="A28" s="21" t="s">
        <v>70</v>
      </c>
      <c r="B28" s="22" t="s">
        <v>55</v>
      </c>
      <c r="C28" s="23">
        <v>11500</v>
      </c>
      <c r="D28" s="24">
        <v>143.65799999999999</v>
      </c>
      <c r="E28" s="24">
        <f t="shared" si="0"/>
        <v>1.9912793076945716</v>
      </c>
      <c r="F28" s="24" t="s">
        <v>71</v>
      </c>
      <c r="G28" s="19"/>
      <c r="H28" s="18"/>
    </row>
    <row r="29" spans="1:8" s="25" customFormat="1" x14ac:dyDescent="0.2">
      <c r="A29" s="21" t="s">
        <v>72</v>
      </c>
      <c r="B29" s="22" t="s">
        <v>50</v>
      </c>
      <c r="C29" s="23">
        <v>10000</v>
      </c>
      <c r="D29" s="24">
        <v>138.04</v>
      </c>
      <c r="E29" s="24">
        <f t="shared" si="0"/>
        <v>1.9134068108574438</v>
      </c>
      <c r="F29" s="24" t="s">
        <v>73</v>
      </c>
      <c r="G29" s="19"/>
      <c r="H29" s="19"/>
    </row>
    <row r="30" spans="1:8" s="25" customFormat="1" x14ac:dyDescent="0.2">
      <c r="A30" s="21" t="s">
        <v>74</v>
      </c>
      <c r="B30" s="22" t="s">
        <v>75</v>
      </c>
      <c r="C30" s="23">
        <v>5350</v>
      </c>
      <c r="D30" s="24">
        <v>135.421875</v>
      </c>
      <c r="E30" s="24">
        <f t="shared" si="0"/>
        <v>1.8771163283402306</v>
      </c>
      <c r="F30" s="24" t="s">
        <v>76</v>
      </c>
      <c r="G30" s="19"/>
      <c r="H30" s="19"/>
    </row>
    <row r="31" spans="1:8" s="25" customFormat="1" x14ac:dyDescent="0.2">
      <c r="A31" s="21" t="s">
        <v>77</v>
      </c>
      <c r="B31" s="22" t="s">
        <v>78</v>
      </c>
      <c r="C31" s="23">
        <v>3500</v>
      </c>
      <c r="D31" s="24">
        <v>128.92425</v>
      </c>
      <c r="E31" s="24">
        <f t="shared" si="0"/>
        <v>1.7870511303585035</v>
      </c>
      <c r="F31" s="24" t="s">
        <v>79</v>
      </c>
      <c r="G31" s="19"/>
      <c r="H31" s="18"/>
    </row>
    <row r="32" spans="1:8" s="25" customFormat="1" x14ac:dyDescent="0.2">
      <c r="A32" s="21" t="s">
        <v>80</v>
      </c>
      <c r="B32" s="22" t="s">
        <v>39</v>
      </c>
      <c r="C32" s="23">
        <v>3150</v>
      </c>
      <c r="D32" s="24">
        <v>128.181375</v>
      </c>
      <c r="E32" s="24">
        <f t="shared" si="0"/>
        <v>1.776753955013562</v>
      </c>
      <c r="F32" s="24" t="s">
        <v>81</v>
      </c>
      <c r="G32" s="19"/>
      <c r="H32" s="18"/>
    </row>
    <row r="33" spans="1:8" s="25" customFormat="1" x14ac:dyDescent="0.2">
      <c r="A33" s="21" t="s">
        <v>82</v>
      </c>
      <c r="B33" s="22" t="s">
        <v>83</v>
      </c>
      <c r="C33" s="23">
        <v>11850</v>
      </c>
      <c r="D33" s="24">
        <v>127.500075</v>
      </c>
      <c r="E33" s="24">
        <f t="shared" si="0"/>
        <v>1.7673102860753038</v>
      </c>
      <c r="F33" s="24" t="s">
        <v>84</v>
      </c>
      <c r="G33" s="19"/>
      <c r="H33" s="19"/>
    </row>
    <row r="34" spans="1:8" s="25" customFormat="1" x14ac:dyDescent="0.2">
      <c r="A34" s="21" t="s">
        <v>85</v>
      </c>
      <c r="B34" s="22" t="s">
        <v>86</v>
      </c>
      <c r="C34" s="23">
        <v>38000</v>
      </c>
      <c r="D34" s="24">
        <v>121.087</v>
      </c>
      <c r="E34" s="24">
        <f t="shared" si="0"/>
        <v>1.6784170566958516</v>
      </c>
      <c r="F34" s="24" t="s">
        <v>87</v>
      </c>
      <c r="G34" s="19"/>
      <c r="H34" s="26"/>
    </row>
    <row r="35" spans="1:8" s="25" customFormat="1" x14ac:dyDescent="0.2">
      <c r="A35" s="21" t="s">
        <v>88</v>
      </c>
      <c r="B35" s="22" t="s">
        <v>89</v>
      </c>
      <c r="C35" s="23">
        <v>4500</v>
      </c>
      <c r="D35" s="24">
        <v>115.24724999999999</v>
      </c>
      <c r="E35" s="24">
        <f t="shared" si="0"/>
        <v>1.5974708278947445</v>
      </c>
      <c r="F35" s="24" t="s">
        <v>90</v>
      </c>
      <c r="G35" s="19"/>
      <c r="H35" s="19"/>
    </row>
    <row r="36" spans="1:8" s="25" customFormat="1" x14ac:dyDescent="0.2">
      <c r="A36" s="21" t="s">
        <v>91</v>
      </c>
      <c r="B36" s="22" t="s">
        <v>23</v>
      </c>
      <c r="C36" s="23">
        <v>3778</v>
      </c>
      <c r="D36" s="24">
        <v>110.34026800000001</v>
      </c>
      <c r="E36" s="24">
        <f t="shared" si="0"/>
        <v>1.5294539285934201</v>
      </c>
      <c r="F36" s="24" t="s">
        <v>92</v>
      </c>
      <c r="G36" s="19"/>
      <c r="H36" s="26"/>
    </row>
    <row r="37" spans="1:8" s="25" customFormat="1" x14ac:dyDescent="0.2">
      <c r="A37" s="21" t="s">
        <v>93</v>
      </c>
      <c r="B37" s="22" t="s">
        <v>86</v>
      </c>
      <c r="C37" s="23">
        <v>21500</v>
      </c>
      <c r="D37" s="24">
        <v>109.87575</v>
      </c>
      <c r="E37" s="24">
        <f t="shared" si="0"/>
        <v>1.523015128934148</v>
      </c>
      <c r="F37" s="24" t="s">
        <v>94</v>
      </c>
      <c r="G37" s="19"/>
      <c r="H37" s="26"/>
    </row>
    <row r="38" spans="1:8" s="25" customFormat="1" x14ac:dyDescent="0.2">
      <c r="A38" s="21" t="s">
        <v>95</v>
      </c>
      <c r="B38" s="22" t="s">
        <v>47</v>
      </c>
      <c r="C38" s="23">
        <v>8700</v>
      </c>
      <c r="D38" s="24">
        <v>104.36085</v>
      </c>
      <c r="E38" s="24">
        <f t="shared" si="0"/>
        <v>1.4465717268680967</v>
      </c>
      <c r="F38" s="24" t="s">
        <v>96</v>
      </c>
      <c r="G38" s="19"/>
      <c r="H38" s="19"/>
    </row>
    <row r="39" spans="1:8" s="25" customFormat="1" x14ac:dyDescent="0.2">
      <c r="A39" s="21" t="s">
        <v>97</v>
      </c>
      <c r="B39" s="22" t="s">
        <v>98</v>
      </c>
      <c r="C39" s="23">
        <v>30500</v>
      </c>
      <c r="D39" s="24">
        <v>100.69575</v>
      </c>
      <c r="E39" s="24">
        <f t="shared" si="0"/>
        <v>1.3957688631874707</v>
      </c>
      <c r="F39" s="24" t="s">
        <v>99</v>
      </c>
      <c r="G39" s="19"/>
      <c r="H39" s="18"/>
    </row>
    <row r="40" spans="1:8" s="25" customFormat="1" x14ac:dyDescent="0.2">
      <c r="A40" s="21" t="s">
        <v>100</v>
      </c>
      <c r="B40" s="22" t="s">
        <v>58</v>
      </c>
      <c r="C40" s="23">
        <v>6838</v>
      </c>
      <c r="D40" s="24">
        <v>90.435969</v>
      </c>
      <c r="E40" s="24">
        <f t="shared" si="0"/>
        <v>1.253555484142949</v>
      </c>
      <c r="F40" s="24" t="s">
        <v>101</v>
      </c>
      <c r="G40" s="19"/>
      <c r="H40" s="18"/>
    </row>
    <row r="41" spans="1:8" s="25" customFormat="1" x14ac:dyDescent="0.2">
      <c r="A41" s="21" t="s">
        <v>102</v>
      </c>
      <c r="B41" s="22" t="s">
        <v>83</v>
      </c>
      <c r="C41" s="23">
        <v>2100</v>
      </c>
      <c r="D41" s="24">
        <v>88.988550000000004</v>
      </c>
      <c r="E41" s="24">
        <f t="shared" si="0"/>
        <v>1.2334924489881789</v>
      </c>
      <c r="F41" s="24" t="s">
        <v>103</v>
      </c>
      <c r="G41" s="19"/>
      <c r="H41" s="19"/>
    </row>
    <row r="42" spans="1:8" s="25" customFormat="1" x14ac:dyDescent="0.2">
      <c r="A42" s="21" t="s">
        <v>104</v>
      </c>
      <c r="B42" s="22" t="s">
        <v>105</v>
      </c>
      <c r="C42" s="23">
        <v>14000</v>
      </c>
      <c r="D42" s="24">
        <v>74.34</v>
      </c>
      <c r="E42" s="24">
        <f t="shared" si="0"/>
        <v>1.03044525006623</v>
      </c>
      <c r="F42" s="24" t="s">
        <v>106</v>
      </c>
      <c r="G42" s="19"/>
      <c r="H42" s="18"/>
    </row>
    <row r="43" spans="1:8" s="25" customFormat="1" x14ac:dyDescent="0.2">
      <c r="A43" s="21" t="s">
        <v>107</v>
      </c>
      <c r="B43" s="22" t="s">
        <v>108</v>
      </c>
      <c r="C43" s="23">
        <v>2500</v>
      </c>
      <c r="D43" s="24">
        <v>67.075000000000003</v>
      </c>
      <c r="E43" s="24">
        <f t="shared" si="0"/>
        <v>0.92974327613925722</v>
      </c>
      <c r="F43" s="24" t="s">
        <v>109</v>
      </c>
      <c r="G43" s="19"/>
      <c r="H43" s="19"/>
    </row>
    <row r="44" spans="1:8" s="25" customFormat="1" x14ac:dyDescent="0.2">
      <c r="A44" s="21" t="s">
        <v>110</v>
      </c>
      <c r="B44" s="22" t="s">
        <v>111</v>
      </c>
      <c r="C44" s="23">
        <v>1400</v>
      </c>
      <c r="D44" s="24">
        <v>6.0704000000000002</v>
      </c>
      <c r="E44" s="24">
        <f t="shared" si="0"/>
        <v>8.4143325881114381E-2</v>
      </c>
      <c r="F44" s="24" t="s">
        <v>112</v>
      </c>
      <c r="G44" s="19"/>
      <c r="H44" s="19"/>
    </row>
    <row r="45" spans="1:8" s="25" customFormat="1" x14ac:dyDescent="0.2">
      <c r="A45" s="20" t="s">
        <v>113</v>
      </c>
      <c r="B45" s="22"/>
      <c r="C45" s="23"/>
      <c r="D45" s="27">
        <f>IF(ISERROR(SUM(D6:D44)),0,SUM(D6:D44))</f>
        <v>7061.356280500001</v>
      </c>
      <c r="E45" s="27">
        <f>IF(ISERROR(SUM(E6:E44)),0,SUM(E6:E44))</f>
        <v>97.879217625323733</v>
      </c>
      <c r="F45" s="27"/>
      <c r="G45" s="19"/>
      <c r="H45" s="18"/>
    </row>
    <row r="46" spans="1:8" s="25" customFormat="1" x14ac:dyDescent="0.2">
      <c r="A46" s="20"/>
      <c r="B46" s="20"/>
      <c r="C46" s="28"/>
      <c r="D46" s="29"/>
      <c r="E46" s="29"/>
      <c r="F46" s="29"/>
      <c r="G46" s="19"/>
      <c r="H46" s="18"/>
    </row>
    <row r="47" spans="1:8" s="25" customFormat="1" x14ac:dyDescent="0.2">
      <c r="A47" s="20" t="s">
        <v>114</v>
      </c>
      <c r="B47" s="20"/>
      <c r="C47" s="28"/>
      <c r="D47" s="30" t="s">
        <v>115</v>
      </c>
      <c r="E47" s="30" t="s">
        <v>115</v>
      </c>
      <c r="F47" s="30"/>
      <c r="G47" s="19"/>
      <c r="H47" s="18"/>
    </row>
    <row r="48" spans="1:8" s="25" customFormat="1" x14ac:dyDescent="0.2">
      <c r="A48" s="20"/>
      <c r="B48" s="13"/>
      <c r="C48" s="28"/>
      <c r="D48" s="30"/>
      <c r="E48" s="30"/>
      <c r="F48" s="31"/>
      <c r="G48" s="19"/>
      <c r="H48" s="18"/>
    </row>
    <row r="49" spans="1:8" s="25" customFormat="1" x14ac:dyDescent="0.2">
      <c r="A49" s="20" t="s">
        <v>116</v>
      </c>
      <c r="B49" s="20"/>
      <c r="C49" s="28"/>
      <c r="D49" s="27">
        <f>IF(ISERROR(+D45),0,D45)+IF(ISERROR(+#REF!),0,#REF!)</f>
        <v>7061.356280500001</v>
      </c>
      <c r="E49" s="27">
        <f>IF(ISERROR(+E45),0,E45)+IF(ISERROR(+#REF!),0,#REF!)</f>
        <v>97.879217625323733</v>
      </c>
      <c r="F49" s="32"/>
      <c r="G49" s="19"/>
      <c r="H49" s="18"/>
    </row>
    <row r="50" spans="1:8" s="25" customFormat="1" x14ac:dyDescent="0.2">
      <c r="A50" s="20"/>
      <c r="B50" s="13"/>
      <c r="C50" s="28"/>
      <c r="D50" s="30"/>
      <c r="E50" s="30"/>
      <c r="F50" s="31"/>
      <c r="G50" s="19"/>
      <c r="H50" s="18"/>
    </row>
    <row r="51" spans="1:8" s="25" customFormat="1" x14ac:dyDescent="0.2">
      <c r="A51" s="20" t="s">
        <v>117</v>
      </c>
      <c r="B51" s="13"/>
      <c r="C51" s="28"/>
      <c r="D51" s="30"/>
      <c r="E51" s="30"/>
      <c r="F51" s="31"/>
      <c r="G51" s="19"/>
      <c r="H51" s="18"/>
    </row>
    <row r="52" spans="1:8" s="25" customFormat="1" x14ac:dyDescent="0.2">
      <c r="A52" s="20" t="s">
        <v>11</v>
      </c>
      <c r="B52" s="13"/>
      <c r="C52" s="28"/>
      <c r="D52" s="30" t="s">
        <v>115</v>
      </c>
      <c r="E52" s="30" t="s">
        <v>115</v>
      </c>
      <c r="F52" s="33"/>
      <c r="G52" s="19"/>
      <c r="H52" s="18"/>
    </row>
    <row r="53" spans="1:8" s="25" customFormat="1" x14ac:dyDescent="0.2">
      <c r="A53" s="20"/>
      <c r="B53" s="13"/>
      <c r="C53" s="34"/>
      <c r="D53" s="33"/>
      <c r="E53" s="33"/>
      <c r="F53" s="33"/>
      <c r="G53" s="19"/>
      <c r="H53" s="18"/>
    </row>
    <row r="54" spans="1:8" s="25" customFormat="1" x14ac:dyDescent="0.2">
      <c r="A54" s="20" t="s">
        <v>118</v>
      </c>
      <c r="B54" s="13"/>
      <c r="C54" s="34"/>
      <c r="D54" s="30" t="s">
        <v>115</v>
      </c>
      <c r="E54" s="30" t="s">
        <v>115</v>
      </c>
      <c r="F54" s="31"/>
      <c r="G54" s="19"/>
      <c r="H54" s="18"/>
    </row>
    <row r="55" spans="1:8" s="25" customFormat="1" x14ac:dyDescent="0.2">
      <c r="A55" s="20"/>
      <c r="B55" s="13"/>
      <c r="C55" s="34"/>
      <c r="D55" s="33"/>
      <c r="E55" s="33"/>
      <c r="F55" s="33"/>
      <c r="G55" s="19"/>
      <c r="H55" s="18"/>
    </row>
    <row r="56" spans="1:8" s="25" customFormat="1" x14ac:dyDescent="0.2">
      <c r="A56" s="20" t="s">
        <v>119</v>
      </c>
      <c r="B56" s="13"/>
      <c r="C56" s="34"/>
      <c r="D56" s="30"/>
      <c r="E56" s="30"/>
      <c r="F56" s="30"/>
      <c r="G56" s="19"/>
      <c r="H56" s="18"/>
    </row>
    <row r="57" spans="1:8" s="25" customFormat="1" x14ac:dyDescent="0.2">
      <c r="A57" s="20"/>
      <c r="B57" s="13"/>
      <c r="C57" s="34"/>
      <c r="D57" s="24"/>
      <c r="E57" s="24"/>
      <c r="F57" s="35"/>
      <c r="G57" s="19"/>
      <c r="H57" s="18"/>
    </row>
    <row r="58" spans="1:8" s="25" customFormat="1" x14ac:dyDescent="0.2">
      <c r="A58" s="20" t="s">
        <v>120</v>
      </c>
      <c r="B58" s="13"/>
      <c r="C58" s="34"/>
      <c r="D58" s="30" t="s">
        <v>115</v>
      </c>
      <c r="E58" s="30" t="s">
        <v>115</v>
      </c>
      <c r="F58" s="30"/>
      <c r="G58" s="19"/>
      <c r="H58" s="18"/>
    </row>
    <row r="59" spans="1:8" s="25" customFormat="1" x14ac:dyDescent="0.2">
      <c r="A59" s="20"/>
      <c r="B59" s="13"/>
      <c r="C59" s="34"/>
      <c r="D59" s="30"/>
      <c r="E59" s="30"/>
      <c r="F59" s="30"/>
      <c r="G59" s="19"/>
      <c r="H59" s="18"/>
    </row>
    <row r="60" spans="1:8" s="25" customFormat="1" x14ac:dyDescent="0.2">
      <c r="A60" s="20" t="s">
        <v>121</v>
      </c>
      <c r="B60" s="13"/>
      <c r="C60" s="34"/>
      <c r="D60" s="30" t="s">
        <v>115</v>
      </c>
      <c r="E60" s="30" t="s">
        <v>115</v>
      </c>
      <c r="F60" s="30"/>
      <c r="G60" s="19"/>
      <c r="H60" s="18"/>
    </row>
    <row r="61" spans="1:8" s="25" customFormat="1" x14ac:dyDescent="0.2">
      <c r="A61" s="20"/>
      <c r="B61" s="13"/>
      <c r="C61" s="34"/>
      <c r="D61" s="30"/>
      <c r="E61" s="30"/>
      <c r="F61" s="30"/>
      <c r="G61" s="19"/>
      <c r="H61" s="18"/>
    </row>
    <row r="62" spans="1:8" s="25" customFormat="1" x14ac:dyDescent="0.2">
      <c r="A62" s="20" t="s">
        <v>122</v>
      </c>
      <c r="B62" s="13"/>
      <c r="C62" s="34"/>
      <c r="D62" s="30"/>
      <c r="E62" s="30"/>
      <c r="F62" s="31"/>
      <c r="G62" s="19"/>
      <c r="H62" s="18"/>
    </row>
    <row r="63" spans="1:8" s="25" customFormat="1" x14ac:dyDescent="0.2">
      <c r="A63" s="20"/>
      <c r="B63" s="36"/>
      <c r="C63" s="37"/>
      <c r="D63" s="33"/>
      <c r="E63" s="33"/>
      <c r="F63" s="38"/>
      <c r="G63" s="19"/>
      <c r="H63" s="18"/>
    </row>
    <row r="64" spans="1:8" s="25" customFormat="1" x14ac:dyDescent="0.2">
      <c r="A64" s="21" t="s">
        <v>123</v>
      </c>
      <c r="B64" s="22"/>
      <c r="C64" s="23">
        <v>0</v>
      </c>
      <c r="D64" s="24">
        <v>86.868759999999995</v>
      </c>
      <c r="E64" s="24">
        <f>(+D64/$D$71*100)</f>
        <v>1.2041095119873999</v>
      </c>
      <c r="F64" s="24" t="s">
        <v>124</v>
      </c>
      <c r="G64" s="19">
        <v>6.4866999999999999</v>
      </c>
      <c r="H64" s="18"/>
    </row>
    <row r="65" spans="1:8" s="25" customFormat="1" x14ac:dyDescent="0.2">
      <c r="A65" s="20" t="s">
        <v>113</v>
      </c>
      <c r="B65" s="13"/>
      <c r="C65" s="34"/>
      <c r="D65" s="30">
        <f>IF(ISERROR(SUM(D64:D64)),0,SUM(D64:D64))</f>
        <v>86.868759999999995</v>
      </c>
      <c r="E65" s="30">
        <f>IF(ISERROR(SUM(E64:E64)),0,SUM(E64:E64))</f>
        <v>1.2041095119873999</v>
      </c>
      <c r="F65" s="24"/>
      <c r="G65" s="19"/>
      <c r="H65" s="18"/>
    </row>
    <row r="66" spans="1:8" s="25" customFormat="1" x14ac:dyDescent="0.2">
      <c r="A66" s="20"/>
      <c r="B66" s="13"/>
      <c r="C66" s="34"/>
      <c r="D66" s="30"/>
      <c r="E66" s="30"/>
      <c r="F66" s="30"/>
      <c r="G66" s="19"/>
      <c r="H66" s="18"/>
    </row>
    <row r="67" spans="1:8" s="25" customFormat="1" x14ac:dyDescent="0.2">
      <c r="A67" s="20" t="s">
        <v>116</v>
      </c>
      <c r="B67" s="13"/>
      <c r="C67" s="34" t="s">
        <v>125</v>
      </c>
      <c r="D67" s="30">
        <f>+IF(ISERROR(#REF!),0,#REF!)+IF(ISERROR(D65),0,D65)+IF(ISERROR(D49),0,D49)+IF(ISERROR(#REF!),0,#REF!)+IF(ISERROR(#REF!),0,#REF!)+IF(ISERROR(#REF!),0,#REF!)+IF(ISERROR(#REF!),0,#REF!)+IF(ISERROR(#REF!),0,#REF!)+IF(ISERROR(#REF!),0,#REF!)</f>
        <v>7148.2250405000013</v>
      </c>
      <c r="E67" s="30">
        <f>+IF(ISERROR(#REF!),0,#REF!)+IF(ISERROR(E65),0,E65)+IF(ISERROR(E49),0,E49)+IF(ISERROR(#REF!),0,#REF!)+IF(ISERROR(#REF!),0,#REF!)+IF(ISERROR(#REF!),0,#REF!)+IF(ISERROR(#REF!),0,#REF!)+IF(ISERROR(#REF!),0,#REF!)+IF(ISERROR(#REF!),0,#REF!)</f>
        <v>99.08332713731113</v>
      </c>
      <c r="F67" s="30">
        <f>+IF(ISERROR(#REF!),0,#REF!)+IF(ISERROR(F65),0,F65)+IF(ISERROR(F49),0,F49)+IF(ISERROR(#REF!),0,#REF!)+IF(ISERROR(#REF!),0,#REF!)+IF(ISERROR(#REF!),0,#REF!)+IF(ISERROR(#REF!),0,#REF!)</f>
        <v>0</v>
      </c>
      <c r="G67" s="19"/>
      <c r="H67" s="18"/>
    </row>
    <row r="68" spans="1:8" s="25" customFormat="1" x14ac:dyDescent="0.2">
      <c r="A68" s="20"/>
      <c r="B68" s="13"/>
      <c r="C68" s="34"/>
      <c r="D68" s="30"/>
      <c r="E68" s="30"/>
      <c r="F68" s="31"/>
      <c r="G68" s="26"/>
      <c r="H68" s="18"/>
    </row>
    <row r="69" spans="1:8" s="25" customFormat="1" x14ac:dyDescent="0.2">
      <c r="A69" s="20" t="s">
        <v>126</v>
      </c>
      <c r="B69" s="13"/>
      <c r="C69" s="34"/>
      <c r="D69" s="30">
        <f>+D71-D67</f>
        <v>66.132053699999233</v>
      </c>
      <c r="E69" s="30">
        <f>D69/$D$71*100</f>
        <v>0.91667286268884929</v>
      </c>
      <c r="F69" s="31"/>
      <c r="G69" s="26"/>
      <c r="H69" s="18"/>
    </row>
    <row r="70" spans="1:8" s="25" customFormat="1" x14ac:dyDescent="0.2">
      <c r="A70" s="20"/>
      <c r="B70" s="13"/>
      <c r="C70" s="34"/>
      <c r="D70" s="33"/>
      <c r="E70" s="33"/>
      <c r="F70" s="31"/>
      <c r="G70" s="26"/>
      <c r="H70" s="18"/>
    </row>
    <row r="71" spans="1:8" s="25" customFormat="1" x14ac:dyDescent="0.2">
      <c r="A71" s="20" t="s">
        <v>127</v>
      </c>
      <c r="B71" s="13"/>
      <c r="C71" s="34"/>
      <c r="D71" s="30">
        <v>7214.3570942000006</v>
      </c>
      <c r="E71" s="30">
        <f>+E67+E69</f>
        <v>99.999999999999986</v>
      </c>
      <c r="F71" s="31"/>
      <c r="G71" s="26"/>
      <c r="H71" s="18"/>
    </row>
    <row r="72" spans="1:8" s="25" customFormat="1" x14ac:dyDescent="0.2">
      <c r="A72" s="40"/>
      <c r="B72" s="41"/>
      <c r="C72" s="42"/>
      <c r="D72" s="43"/>
      <c r="E72" s="43"/>
      <c r="F72" s="39"/>
      <c r="H72" s="5"/>
    </row>
    <row r="73" spans="1:8" s="25" customFormat="1" x14ac:dyDescent="0.2">
      <c r="A73" s="44"/>
      <c r="B73" s="41"/>
      <c r="C73" s="42"/>
      <c r="D73" s="43"/>
      <c r="E73" s="43"/>
      <c r="F73" s="45"/>
      <c r="H73" s="5"/>
    </row>
    <row r="74" spans="1:8" ht="15" x14ac:dyDescent="0.25">
      <c r="A74" s="59" t="s">
        <v>128</v>
      </c>
      <c r="B74" s="59"/>
      <c r="C74" s="59"/>
      <c r="D74" s="59"/>
      <c r="E74" s="59"/>
      <c r="G74" s="45"/>
      <c r="H74" s="45"/>
    </row>
    <row r="75" spans="1:8" ht="15" x14ac:dyDescent="0.25">
      <c r="A75" s="59"/>
      <c r="B75" s="59"/>
      <c r="C75" s="59"/>
      <c r="D75" s="59"/>
      <c r="E75" s="59"/>
      <c r="F75" s="59"/>
      <c r="G75" s="45"/>
      <c r="H75" s="45"/>
    </row>
    <row r="76" spans="1:8" ht="30.75" customHeight="1" x14ac:dyDescent="0.2">
      <c r="A76" s="60" t="s">
        <v>129</v>
      </c>
      <c r="B76" s="60"/>
      <c r="C76" s="60"/>
      <c r="D76" s="60"/>
      <c r="E76" s="60"/>
      <c r="F76" s="60"/>
      <c r="G76" s="45"/>
      <c r="H76" s="45"/>
    </row>
    <row r="77" spans="1:8" ht="15" x14ac:dyDescent="0.2">
      <c r="A77" s="61"/>
      <c r="B77" s="61"/>
      <c r="C77" s="61"/>
      <c r="D77" s="61"/>
      <c r="E77" s="61"/>
      <c r="F77" s="61"/>
      <c r="G77" s="45"/>
      <c r="H77" s="45"/>
    </row>
    <row r="78" spans="1:8" ht="15" x14ac:dyDescent="0.2">
      <c r="A78" s="46" t="s">
        <v>130</v>
      </c>
      <c r="B78" s="46"/>
      <c r="C78" s="46"/>
      <c r="D78" s="46"/>
      <c r="E78" s="46"/>
      <c r="F78" s="47"/>
      <c r="G78" s="45"/>
      <c r="H78" s="45"/>
    </row>
    <row r="79" spans="1:8" ht="15" x14ac:dyDescent="0.2">
      <c r="A79" s="47"/>
      <c r="B79" s="47"/>
      <c r="C79" s="47"/>
      <c r="D79" s="47"/>
      <c r="E79" s="47"/>
      <c r="F79" s="47"/>
      <c r="G79" s="45"/>
      <c r="H79" s="45"/>
    </row>
    <row r="80" spans="1:8" ht="78" customHeight="1" x14ac:dyDescent="0.2">
      <c r="A80" s="62" t="s">
        <v>131</v>
      </c>
      <c r="B80" s="62"/>
      <c r="C80" s="62"/>
      <c r="D80" s="62"/>
      <c r="E80" s="62"/>
      <c r="F80" s="62"/>
      <c r="G80" s="45"/>
      <c r="H80" s="45"/>
    </row>
    <row r="81" spans="1:8" x14ac:dyDescent="0.2">
      <c r="A81" s="44"/>
      <c r="B81" s="48"/>
      <c r="C81" s="49"/>
      <c r="D81" s="50"/>
      <c r="E81" s="39"/>
      <c r="G81" s="45"/>
      <c r="H81" s="45"/>
    </row>
    <row r="82" spans="1:8" ht="15" x14ac:dyDescent="0.25">
      <c r="A82" s="51" t="s">
        <v>132</v>
      </c>
      <c r="B82" s="52"/>
      <c r="C82" s="52"/>
      <c r="D82" s="52"/>
      <c r="G82" s="45"/>
      <c r="H82" s="45"/>
    </row>
    <row r="83" spans="1:8" ht="15" x14ac:dyDescent="0.25">
      <c r="A83" s="53" t="s">
        <v>133</v>
      </c>
      <c r="B83" s="52"/>
      <c r="C83" s="5"/>
      <c r="G83" s="45"/>
      <c r="H83" s="45"/>
    </row>
    <row r="84" spans="1:8" ht="30.75" customHeight="1" x14ac:dyDescent="0.25">
      <c r="A84" s="63" t="s">
        <v>134</v>
      </c>
      <c r="B84" s="63"/>
      <c r="C84" s="63"/>
      <c r="D84" s="52"/>
      <c r="G84" s="45"/>
      <c r="H84" s="45"/>
    </row>
    <row r="85" spans="1:8" ht="15" x14ac:dyDescent="0.25">
      <c r="A85" s="53" t="s">
        <v>135</v>
      </c>
      <c r="B85" s="52"/>
      <c r="C85" s="52"/>
      <c r="D85" s="52"/>
    </row>
    <row r="86" spans="1:8" ht="15" x14ac:dyDescent="0.25">
      <c r="A86" s="53"/>
      <c r="B86" s="52"/>
      <c r="C86" s="5"/>
      <c r="D86" s="52"/>
    </row>
    <row r="87" spans="1:8" ht="15" x14ac:dyDescent="0.25">
      <c r="A87" s="54" t="s">
        <v>136</v>
      </c>
      <c r="B87" s="52"/>
      <c r="C87" s="55" t="s">
        <v>137</v>
      </c>
      <c r="D87" s="52"/>
    </row>
    <row r="88" spans="1:8" x14ac:dyDescent="0.2">
      <c r="A88" s="52"/>
      <c r="B88" s="52"/>
      <c r="C88" s="52"/>
      <c r="D88" s="52"/>
    </row>
    <row r="89" spans="1:8" x14ac:dyDescent="0.2">
      <c r="A89" s="52"/>
      <c r="B89" s="52"/>
      <c r="C89" s="52"/>
      <c r="D89" s="52"/>
    </row>
    <row r="90" spans="1:8" x14ac:dyDescent="0.2">
      <c r="A90" s="52"/>
      <c r="B90" s="52"/>
      <c r="C90" s="52"/>
      <c r="D90" s="52"/>
    </row>
    <row r="91" spans="1:8" x14ac:dyDescent="0.2">
      <c r="A91" s="52"/>
      <c r="B91" s="52"/>
      <c r="C91" s="52"/>
      <c r="D91" s="52"/>
    </row>
    <row r="92" spans="1:8" x14ac:dyDescent="0.2">
      <c r="A92" s="52"/>
      <c r="B92" s="52"/>
      <c r="C92" s="52"/>
      <c r="D92" s="52"/>
    </row>
    <row r="93" spans="1:8" x14ac:dyDescent="0.2">
      <c r="A93" s="52"/>
      <c r="B93" s="52"/>
      <c r="C93" s="52"/>
      <c r="D93" s="52"/>
    </row>
    <row r="94" spans="1:8" x14ac:dyDescent="0.2">
      <c r="A94" s="52"/>
      <c r="B94" s="52"/>
      <c r="C94" s="52"/>
      <c r="D94" s="52"/>
    </row>
    <row r="95" spans="1:8" x14ac:dyDescent="0.2">
      <c r="A95" s="52"/>
      <c r="B95" s="52"/>
      <c r="C95" s="52"/>
      <c r="D95" s="52"/>
    </row>
    <row r="96" spans="1:8" x14ac:dyDescent="0.2">
      <c r="A96" s="52"/>
      <c r="B96" s="52"/>
      <c r="C96" s="52"/>
      <c r="D96" s="52"/>
    </row>
    <row r="97" spans="1:4" x14ac:dyDescent="0.2">
      <c r="A97" s="52"/>
      <c r="B97" s="52"/>
      <c r="C97" s="52"/>
      <c r="D97" s="52"/>
    </row>
    <row r="98" spans="1:4" x14ac:dyDescent="0.2">
      <c r="A98" s="52"/>
      <c r="B98" s="52"/>
      <c r="C98" s="52"/>
      <c r="D98" s="52"/>
    </row>
    <row r="99" spans="1:4" x14ac:dyDescent="0.2">
      <c r="A99" s="52"/>
      <c r="B99" s="52"/>
      <c r="C99" s="52"/>
      <c r="D99" s="52"/>
    </row>
    <row r="100" spans="1:4" x14ac:dyDescent="0.2">
      <c r="A100" s="52"/>
      <c r="B100" s="52"/>
      <c r="C100" s="52"/>
      <c r="D100" s="52"/>
    </row>
    <row r="101" spans="1:4" x14ac:dyDescent="0.2">
      <c r="A101" s="52"/>
      <c r="B101" s="52"/>
      <c r="C101" s="52"/>
      <c r="D101" s="52"/>
    </row>
  </sheetData>
  <mergeCells count="6">
    <mergeCell ref="A84:C84"/>
    <mergeCell ref="A80:F80"/>
    <mergeCell ref="A74:E74"/>
    <mergeCell ref="A75:F75"/>
    <mergeCell ref="A76:F76"/>
    <mergeCell ref="A77:F77"/>
  </mergeCells>
  <pageMargins left="0.75" right="0.25" top="1" bottom="1" header="0.5" footer="0.5"/>
  <pageSetup paperSize="9" scale="67"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2023-01-05T06:56:51Z</dcterms:created>
  <dcterms:modified xsi:type="dcterms:W3CDTF">2023-01-05T11:07:18Z</dcterms:modified>
</cp:coreProperties>
</file>