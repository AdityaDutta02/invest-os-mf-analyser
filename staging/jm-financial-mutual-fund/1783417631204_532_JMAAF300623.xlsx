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Arbitrage Fund" sheetId="1" r:id="rId1"/>
  </sheets>
  <externalReferences>
    <externalReference r:id="rId2"/>
  </externalReferences>
  <definedNames>
    <definedName name="_xlnm._FilterDatabase" localSheetId="0" hidden="1">'JM Arbitrage Fund'!$A$1:$H$162</definedName>
    <definedName name="AAAAA">#REF!</definedName>
    <definedName name="Afs">#REF!</definedName>
    <definedName name="_xlnm.Database">#REF!</definedName>
    <definedName name="EBLDB">#REF!</definedName>
    <definedName name="fl">#REF!</definedName>
    <definedName name="_xlnm.Print_Area" localSheetId="0">'JM Arbitrage Fund'!$A$1:$E$77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8" i="1" l="1"/>
  <c r="E87" i="1"/>
  <c r="E88" i="1" s="1"/>
  <c r="D85" i="1"/>
  <c r="E84" i="1"/>
  <c r="E85" i="1" s="1"/>
  <c r="D83" i="1"/>
  <c r="E82" i="1"/>
  <c r="E81" i="1"/>
  <c r="E80" i="1"/>
  <c r="D78" i="1"/>
  <c r="E77" i="1"/>
  <c r="E78" i="1" s="1"/>
  <c r="F67" i="1"/>
  <c r="F90" i="1" s="1"/>
  <c r="D63" i="1"/>
  <c r="D67" i="1" s="1"/>
  <c r="E62" i="1"/>
  <c r="E63" i="1" s="1"/>
  <c r="E67" i="1" s="1"/>
  <c r="D52" i="1"/>
  <c r="D56" i="1" s="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2" i="1" s="1"/>
  <c r="E56" i="1" s="1"/>
  <c r="E6" i="1"/>
  <c r="E83" i="1" l="1"/>
  <c r="E90" i="1"/>
  <c r="D90" i="1"/>
  <c r="D92" i="1" s="1"/>
  <c r="E92" i="1" s="1"/>
  <c r="E94" i="1" l="1"/>
</calcChain>
</file>

<file path=xl/sharedStrings.xml><?xml version="1.0" encoding="utf-8"?>
<sst xmlns="http://schemas.openxmlformats.org/spreadsheetml/2006/main" count="334" uniqueCount="240">
  <si>
    <t>JM Arbitrage Fund (An open ended scheme investing in arbitrage opportunities).</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</si>
  <si>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</si>
  <si>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</si>
  <si>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</si>
  <si>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</si>
  <si>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</si>
  <si>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</si>
  <si>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</si>
  <si>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</si>
  <si>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</si>
  <si>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</si>
  <si>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</si>
  <si>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Indus Towers Ltd.</t>
  </si>
  <si>
    <t>Telecom - Services</t>
  </si>
  <si>
    <t>INE121J01017</t>
  </si>
  <si>
    <t>HDFC Bank Ltd.</t>
  </si>
  <si>
    <t>Banks</t>
  </si>
  <si>
    <t>INE040A01034</t>
  </si>
  <si>
    <t>Tata Power Company Ltd.</t>
  </si>
  <si>
    <t>Power</t>
  </si>
  <si>
    <t>INE245A01021</t>
  </si>
  <si>
    <t>Granules India Ltd.</t>
  </si>
  <si>
    <t>Pharmaceuticals &amp; Biotechnology</t>
  </si>
  <si>
    <t>INE101D01020</t>
  </si>
  <si>
    <t>Larsen &amp; Toubro Ltd.</t>
  </si>
  <si>
    <t>Construction</t>
  </si>
  <si>
    <t>INE018A01030</t>
  </si>
  <si>
    <t>Manappuram Finance Ltd.</t>
  </si>
  <si>
    <t>Finance</t>
  </si>
  <si>
    <t>INE522D01027</t>
  </si>
  <si>
    <t>NMDC Ltd.</t>
  </si>
  <si>
    <t>Minerals &amp; Mining</t>
  </si>
  <si>
    <t>INE584A01023</t>
  </si>
  <si>
    <t>Tata Steel Ltd.</t>
  </si>
  <si>
    <t>Ferrous Metals</t>
  </si>
  <si>
    <t>INE081A01020</t>
  </si>
  <si>
    <t>Reliance Industries Ltd.</t>
  </si>
  <si>
    <t>Petroleum Products</t>
  </si>
  <si>
    <t>INE002A01018</t>
  </si>
  <si>
    <t>LIC Housing Finance Ltd.</t>
  </si>
  <si>
    <t>INE115A01026</t>
  </si>
  <si>
    <t>Canara Bank</t>
  </si>
  <si>
    <t>INE476A01014</t>
  </si>
  <si>
    <t>Hindustan Unilever Ltd.</t>
  </si>
  <si>
    <t>Diversified FMCG</t>
  </si>
  <si>
    <t>INE030A01027</t>
  </si>
  <si>
    <t>United Spirits Ltd.</t>
  </si>
  <si>
    <t>Beverages</t>
  </si>
  <si>
    <t>INE854D01024</t>
  </si>
  <si>
    <t>Aditya Birla Fashion and Retail Ltd.</t>
  </si>
  <si>
    <t>Retailing</t>
  </si>
  <si>
    <t>INE647O01011</t>
  </si>
  <si>
    <t>Piramal Enterprises Ltd.</t>
  </si>
  <si>
    <t>INE140A01024</t>
  </si>
  <si>
    <t>Zee Entertainment Enterprises Ltd.</t>
  </si>
  <si>
    <t>Entertainment</t>
  </si>
  <si>
    <t>INE256A01028</t>
  </si>
  <si>
    <t>Dr. Reddy's Laboratories Ltd.</t>
  </si>
  <si>
    <t>INE089A01023</t>
  </si>
  <si>
    <t>IndusInd Bank Ltd.</t>
  </si>
  <si>
    <t>INE095A01012</t>
  </si>
  <si>
    <t>Coromandel International Ltd.</t>
  </si>
  <si>
    <t>Fertilizers &amp; Agrochemicals</t>
  </si>
  <si>
    <t>INE169A01031</t>
  </si>
  <si>
    <t>Cipla Ltd.</t>
  </si>
  <si>
    <t>INE059A01026</t>
  </si>
  <si>
    <t>Punjab National Bank</t>
  </si>
  <si>
    <t>INE160A01022</t>
  </si>
  <si>
    <t>Bajaj Auto Ltd.</t>
  </si>
  <si>
    <t>Automobiles</t>
  </si>
  <si>
    <t>INE917I01010</t>
  </si>
  <si>
    <t>Delta Corp Ltd.</t>
  </si>
  <si>
    <t>Leisure Services</t>
  </si>
  <si>
    <t>INE124G01033</t>
  </si>
  <si>
    <t>Vodafone Idea Ltd.</t>
  </si>
  <si>
    <t>INE669E01016</t>
  </si>
  <si>
    <t>Trent Ltd.</t>
  </si>
  <si>
    <t>INE849A01020</t>
  </si>
  <si>
    <t>Jindal Steel &amp; Power Ltd.</t>
  </si>
  <si>
    <t>INE749A01030</t>
  </si>
  <si>
    <t>Grasim Industries Ltd.</t>
  </si>
  <si>
    <t>Cement &amp; Cement Products</t>
  </si>
  <si>
    <t>INE047A01021</t>
  </si>
  <si>
    <t>Exide Industries Ltd.</t>
  </si>
  <si>
    <t>Auto Components</t>
  </si>
  <si>
    <t>INE302A01020</t>
  </si>
  <si>
    <t>JSW Steel Ltd.</t>
  </si>
  <si>
    <t>INE019A01038</t>
  </si>
  <si>
    <t>Indiabulls Housing Finance Ltd.</t>
  </si>
  <si>
    <t>INE148I01020</t>
  </si>
  <si>
    <t>Nestle India Ltd.</t>
  </si>
  <si>
    <t>Food Products</t>
  </si>
  <si>
    <t>INE239A01016</t>
  </si>
  <si>
    <t>Tech Mahindra Ltd.</t>
  </si>
  <si>
    <t>IT - Software</t>
  </si>
  <si>
    <t>INE669C01036</t>
  </si>
  <si>
    <t>Ultratech Cement Ltd.</t>
  </si>
  <si>
    <t>INE481G01011</t>
  </si>
  <si>
    <t>ITC Ltd.</t>
  </si>
  <si>
    <t>INE154A01025</t>
  </si>
  <si>
    <t>IDFC Ltd.</t>
  </si>
  <si>
    <t>INE043D01016</t>
  </si>
  <si>
    <t>Metropolis Healthcare Ltd.</t>
  </si>
  <si>
    <t>Healthcare Services</t>
  </si>
  <si>
    <t>INE112L01020</t>
  </si>
  <si>
    <t>Sun Pharmaceutical Industries Ltd.</t>
  </si>
  <si>
    <t>INE044A01036</t>
  </si>
  <si>
    <t>Bharat Electronics Ltd.</t>
  </si>
  <si>
    <t>Aerospace &amp; Defense</t>
  </si>
  <si>
    <t>INE263A01024</t>
  </si>
  <si>
    <t>Dabur India Ltd.</t>
  </si>
  <si>
    <t>Personal Products</t>
  </si>
  <si>
    <t>INE016A01026</t>
  </si>
  <si>
    <t>Indian Oil Corporation Ltd.</t>
  </si>
  <si>
    <t>INE242A01010</t>
  </si>
  <si>
    <t>Container Corporation of India Ltd.</t>
  </si>
  <si>
    <t>Transport Services</t>
  </si>
  <si>
    <t>INE111A01025</t>
  </si>
  <si>
    <t>Aarti Industries Ltd.</t>
  </si>
  <si>
    <t>Chemicals &amp; Petrochemicals</t>
  </si>
  <si>
    <t>INE769A01020</t>
  </si>
  <si>
    <t>Bharat Heavy Electricals Ltd.</t>
  </si>
  <si>
    <t>Electrical Equipment</t>
  </si>
  <si>
    <t>INE257A01026</t>
  </si>
  <si>
    <t>Aurobindo Pharma Ltd.</t>
  </si>
  <si>
    <t>INE406A01037</t>
  </si>
  <si>
    <t>The Indian Hotels Company Ltd.</t>
  </si>
  <si>
    <t>INE053A01029</t>
  </si>
  <si>
    <t>Biocon Ltd.</t>
  </si>
  <si>
    <t>INE376G01013</t>
  </si>
  <si>
    <t>Sub Total:</t>
  </si>
  <si>
    <t>b) Unlisted</t>
  </si>
  <si>
    <t>NIL</t>
  </si>
  <si>
    <t>Total:</t>
  </si>
  <si>
    <t>DEBT INSTRUMENTS</t>
  </si>
  <si>
    <t xml:space="preserve">Zero Coupon Bond </t>
  </si>
  <si>
    <t>Shriram Finance Ltd.**</t>
  </si>
  <si>
    <t>CARE AA+</t>
  </si>
  <si>
    <t>INE721A07NZ0</t>
  </si>
  <si>
    <t>b) Privately Placed / Unlisted</t>
  </si>
  <si>
    <t>TERM DEPOSITS</t>
  </si>
  <si>
    <t>Deposits (Maturity not exceeding 91 days)</t>
  </si>
  <si>
    <t>Deposits (Placed as F &amp; O margin)</t>
  </si>
  <si>
    <t>MONEY MARKET INSTRUMENTS</t>
  </si>
  <si>
    <t>Certificate of Deposit (CD) / Commercial Paper (CP)</t>
  </si>
  <si>
    <t>Piramal Capital &amp; Housing Finance Ltd.CP**</t>
  </si>
  <si>
    <t>CARE A1+</t>
  </si>
  <si>
    <t>INE516Y14CS8</t>
  </si>
  <si>
    <t>Treasury Bills</t>
  </si>
  <si>
    <t>182 Days Treasury-Bill 10/08/2023</t>
  </si>
  <si>
    <t>Sovereign</t>
  </si>
  <si>
    <t>IN002022Y468</t>
  </si>
  <si>
    <t>182 Days Treasury-Bill 22/09/2023</t>
  </si>
  <si>
    <t>IN002022Y526</t>
  </si>
  <si>
    <t>364 Days Treasury-Bill 14/09/2023</t>
  </si>
  <si>
    <t>IN002022Z242</t>
  </si>
  <si>
    <t>TREPS-Triparty Repo</t>
  </si>
  <si>
    <t/>
  </si>
  <si>
    <t>Mutual Fund Units</t>
  </si>
  <si>
    <t>JM Liquid Fund **</t>
  </si>
  <si>
    <t>NA</t>
  </si>
  <si>
    <t>INF192K01CM6</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</si>
  <si>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</si>
  <si>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</si>
  <si>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</si>
  <si>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</si>
  <si>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</si>
  <si>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</si>
  <si>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</si>
  <si>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</si>
  <si>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June 30, 2023:</t>
  </si>
  <si>
    <t>Underlying</t>
  </si>
  <si>
    <t>Long / Short</t>
  </si>
  <si>
    <t>Futures price when purchased (Rs.)</t>
  </si>
  <si>
    <t>Current  price of the Contract (Rs.)</t>
  </si>
  <si>
    <t>Total Margin maintained in(Rs. In Lakhs)</t>
  </si>
  <si>
    <t>Aarti Industries Ltd.Jul-2023</t>
  </si>
  <si>
    <t>Short</t>
  </si>
  <si>
    <t>Aditya Birla Fashion and Retail Ltd.Jul-2023</t>
  </si>
  <si>
    <t>Aurobindo Pharma Ltd.Jul-2023</t>
  </si>
  <si>
    <t>Bajaj Auto Ltd.Jul-2023</t>
  </si>
  <si>
    <t>Bharat Electronics Ltd.Jul-2023</t>
  </si>
  <si>
    <t>Bharat Heavy Electricals Ltd.Jul-2023</t>
  </si>
  <si>
    <t>Biocon Ltd.Jul-2023</t>
  </si>
  <si>
    <t>Canara BankJul-2023</t>
  </si>
  <si>
    <t>Cipla Ltd.Jul-2023</t>
  </si>
  <si>
    <t>Container Corporation of India Ltd.Jul-2023</t>
  </si>
  <si>
    <t>Coromandel International Ltd.Jul-2023</t>
  </si>
  <si>
    <t>Dabur India Ltd.Jul-2023</t>
  </si>
  <si>
    <t>Delta Corp Ltd.Jul-2023</t>
  </si>
  <si>
    <t>Dr. Reddy's Laboratories Ltd.Jul-2023</t>
  </si>
  <si>
    <t>Exide Industries Ltd.Jul-2023</t>
  </si>
  <si>
    <t>Granules India Ltd.Jul-2023</t>
  </si>
  <si>
    <t>Grasim Industries Ltd.Jul-2023</t>
  </si>
  <si>
    <t>HDFC Bank Ltd.Jul-2023</t>
  </si>
  <si>
    <t>Hindustan Unilever Ltd.Jul-2023</t>
  </si>
  <si>
    <t>Indiabulls Housing Finance Ltd.Jul-2023</t>
  </si>
  <si>
    <t>Vodafone Idea Ltd.Jul-2023</t>
  </si>
  <si>
    <t>IDFC Ltd.Jul-2023</t>
  </si>
  <si>
    <t>The Indian Hotels Company Ltd.Jul-2023</t>
  </si>
  <si>
    <t>IndusInd Bank Ltd.Jul-2023</t>
  </si>
  <si>
    <t>Indus Towers Ltd.Jul-2023</t>
  </si>
  <si>
    <t>Indian Oil Corporation Ltd.Jul-2023</t>
  </si>
  <si>
    <t>ITC Ltd.Jul-2023</t>
  </si>
  <si>
    <t>Jindal Steel &amp; Power Ltd.Jul-2023</t>
  </si>
  <si>
    <t>JSW Steel Ltd.Jul-2023</t>
  </si>
  <si>
    <t>LIC Housing Finance Ltd.Jul-2023</t>
  </si>
  <si>
    <t>Larsen &amp; Toubro Ltd.Jul-2023</t>
  </si>
  <si>
    <t>Manappuram Finance Ltd.Jul-2023</t>
  </si>
  <si>
    <t>United Spirits Ltd.Jul-2023</t>
  </si>
  <si>
    <t>Metropolis Healthcare Ltd.Jul-2023</t>
  </si>
  <si>
    <t>Nestle India Ltd.Jul-2023</t>
  </si>
  <si>
    <t>NMDC Ltd.Jul-2023</t>
  </si>
  <si>
    <t>Piramal Enterprises Ltd.Jul-2023</t>
  </si>
  <si>
    <t>Punjab National BankJul-2023</t>
  </si>
  <si>
    <t>Reliance Industries Ltd.Jul-2023</t>
  </si>
  <si>
    <t>Sun Pharmaceutical Industries Ltd.Jul-2023</t>
  </si>
  <si>
    <t>Tata Power Company Ltd.Jul-2023</t>
  </si>
  <si>
    <t>Tata Steel Ltd.Jul-2023</t>
  </si>
  <si>
    <t>Tech Mahindra Ltd.Jul-2023</t>
  </si>
  <si>
    <t>Trent Ltd.Jul-2023</t>
  </si>
  <si>
    <t>Ultratech Cement Ltd.Jul-2023</t>
  </si>
  <si>
    <t>Zee Entertainment Enterprises Ltd.Jul-2023</t>
  </si>
  <si>
    <t>Total outstanding exposure in derivative instruments at the end of the period - Short -(Rs in Lakhs) : (7,944.33)</t>
  </si>
  <si>
    <t>Total 66.50% of existing assets hedged through futures as on 30/06/2023</t>
  </si>
  <si>
    <t>For the period ended June 30,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</si>
  <si>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</si>
  <si>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</si>
  <si>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</si>
  <si>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</si>
  <si>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</si>
  <si>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30/06/2023</t>
  </si>
  <si>
    <t>For the period ended June 30,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</si>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</sst>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8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2" fontId="5" fillId="0" borderId="3" xfId="2"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3" applyFont="1" applyAlignment="1">
      <alignment horizontal="left" vertical="top" wrapText="1"/>
    </xf>
    <xf numFmtId="0" fontId="1" fillId="0" borderId="0" xfId="2"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4" fillId="0" borderId="0" xfId="3" applyFont="1" applyFill="1" applyAlignment="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3" borderId="3" xfId="3" applyFont="1" applyFill="1" applyBorder="1" applyAlignment="1">
      <alignment wrapText="1"/>
    </xf>
    <xf numFmtId="0" fontId="4" fillId="3" borderId="3" xfId="2" applyFont="1" applyFill="1" applyBorder="1" applyAlignment="1">
      <alignment horizontal="left" wrapText="1"/>
    </xf>
    <xf numFmtId="165" fontId="4" fillId="3" borderId="3" xfId="5" applyNumberFormat="1" applyFont="1" applyFill="1" applyBorder="1"/>
    <xf numFmtId="0" fontId="5" fillId="0" borderId="0" xfId="3" applyFont="1" applyFill="1" applyBorder="1" applyAlignment="1"/>
    <xf numFmtId="0" fontId="5" fillId="0" borderId="0" xfId="2" applyFont="1" applyAlignment="1">
      <alignment horizontal="left" wrapText="1"/>
    </xf>
    <xf numFmtId="165" fontId="5" fillId="0" borderId="0" xfId="6" applyNumberFormat="1" applyFont="1"/>
    <xf numFmtId="0" fontId="5" fillId="0" borderId="0" xfId="2" applyFont="1" applyFill="1" applyAlignment="1">
      <alignment wrapText="1"/>
    </xf>
    <xf numFmtId="165" fontId="5" fillId="0" borderId="0" xfId="6" applyNumberFormat="1" applyFont="1" applyFill="1"/>
    <xf numFmtId="0" fontId="7" fillId="0" borderId="0" xfId="7" applyFont="1" applyBorder="1"/>
    <xf numFmtId="0" fontId="4" fillId="0" borderId="0" xfId="2" applyFont="1" applyFill="1" applyBorder="1" applyAlignment="1">
      <alignment horizontal="left"/>
    </xf>
    <xf numFmtId="164" fontId="5" fillId="0" borderId="0" xfId="2" applyNumberFormat="1"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Fill="1" applyBorder="1" applyAlignment="1">
      <alignment horizontal="left"/>
    </xf>
    <xf numFmtId="0" fontId="3" fillId="0" borderId="3" xfId="2" applyFont="1" applyBorder="1"/>
    <xf numFmtId="4" fontId="5" fillId="0" borderId="3" xfId="2" applyNumberFormat="1" applyFont="1" applyBorder="1"/>
    <xf numFmtId="164" fontId="5" fillId="0" borderId="3" xfId="1" applyFont="1" applyBorder="1"/>
    <xf numFmtId="4" fontId="7" fillId="0" borderId="0" xfId="7" applyNumberFormat="1" applyFont="1" applyBorder="1"/>
    <xf numFmtId="0" fontId="4" fillId="0" borderId="0" xfId="2" applyFont="1"/>
    <xf numFmtId="0" fontId="5" fillId="0" borderId="4" xfId="2" applyFont="1" applyFill="1" applyBorder="1" applyAlignment="1">
      <alignment horizontal="left"/>
    </xf>
    <xf numFmtId="0" fontId="5" fillId="0" borderId="3" xfId="2"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7" applyFont="1"/>
    <xf numFmtId="0" fontId="10" fillId="0" borderId="0" xfId="2" applyFont="1" applyFill="1" applyBorder="1" applyAlignment="1">
      <alignment horizontal="left" wrapText="1"/>
    </xf>
    <xf numFmtId="0" fontId="9" fillId="0" borderId="0" xfId="8"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horizontal="left" vertical="top" wrapText="1"/>
    </xf>
    <xf numFmtId="0" fontId="1" fillId="0" borderId="0" xfId="2" applyAlignment="1">
      <alignment horizontal="left" vertical="top" wrapText="1"/>
    </xf>
  </cellXfs>
  <cellStyles count="9">
    <cellStyle name="Comma" xfId="1" builtinId="3"/>
    <cellStyle name="Comma 2" xfId="5"/>
    <cellStyle name="Comma 4" xfId="6"/>
    <cellStyle name="Normal" xfId="0" builtinId="0"/>
    <cellStyle name="Normal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895350</xdr:colOff>
      <xdr:row>174</xdr:row>
      <xdr:rowOff>66675</xdr:rowOff>
    </xdr:from>
    <xdr:to>
      <xdr:col>0</xdr:col>
      <xdr:colOff>2695575</xdr:colOff>
      <xdr:row>180</xdr:row>
      <xdr:rowOff>142874</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895350" y="31727775"/>
          <a:ext cx="1800225" cy="1162049"/>
        </a:xfrm>
        <a:prstGeom prst="rect">
          <a:avLst/>
        </a:prstGeom>
        <a:noFill/>
        <a:ln w="9525">
          <a:noFill/>
          <a:miter lim="800000"/>
          <a:headEnd/>
          <a:tailEnd/>
        </a:ln>
      </xdr:spPr>
    </xdr:pic>
    <xdr:clientData/>
  </xdr:twoCellAnchor>
  <xdr:twoCellAnchor editAs="oneCell">
    <xdr:from>
      <xdr:col>1</xdr:col>
      <xdr:colOff>314325</xdr:colOff>
      <xdr:row>174</xdr:row>
      <xdr:rowOff>95250</xdr:rowOff>
    </xdr:from>
    <xdr:to>
      <xdr:col>2</xdr:col>
      <xdr:colOff>228600</xdr:colOff>
      <xdr:row>180</xdr:row>
      <xdr:rowOff>95249</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657600" y="31756350"/>
          <a:ext cx="1809750" cy="108584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3/monthly/Template%20Portfolio%20Disclosure%20-30.06%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Midcap Fund"/>
      <sheetName val="JM Medium to Long Duration Fund"/>
      <sheetName val="JM Dynamic Bond Fund"/>
      <sheetName val="JM Low Duration Fund"/>
      <sheetName val="JM Value Fund"/>
      <sheetName val="JM Focused Fund"/>
      <sheetName val="JM Arbitrage Fund"/>
      <sheetName val="JM Equity Hybrid Fund"/>
      <sheetName val="JM Large Cap Fund"/>
      <sheetName val="JM Flexicap Fund"/>
      <sheetName val="JM Tax Gain Fund"/>
      <sheetName val="JM Liquid Fund"/>
      <sheetName val="JM Overnight Fund"/>
      <sheetName val="Index"/>
      <sheetName val="Final (2)"/>
      <sheetName val="Final (203)"/>
      <sheetName val="Scheme Names"/>
      <sheetName val="SH 30.06.2023"/>
      <sheetName val="GHS 3006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84"/>
  <sheetViews>
    <sheetView tabSelected="1" zoomScaleNormal="100" workbookViewId="0">
      <selection activeCell="A151" sqref="A151"/>
    </sheetView>
  </sheetViews>
  <sheetFormatPr defaultRowHeight="12.75" x14ac:dyDescent="0.2"/>
  <cols>
    <col min="1" max="1" width="50.140625" style="83" customWidth="1"/>
    <col min="2" max="2" width="28.42578125" style="84" customWidth="1"/>
    <col min="3" max="3" width="13.42578125" style="85" customWidth="1"/>
    <col min="4" max="4" width="15" style="2" customWidth="1"/>
    <col min="5" max="5" width="12.42578125" style="2" customWidth="1"/>
    <col min="6" max="6" width="13.85546875" style="2" customWidth="1"/>
    <col min="7" max="7" width="11.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25.5" x14ac:dyDescent="0.25">
      <c r="A3" s="4" t="s">
        <v>2</v>
      </c>
      <c r="B3" s="4" t="s">
        <v>3</v>
      </c>
      <c r="C3" s="5" t="s">
        <v>4</v>
      </c>
      <c r="D3" s="4" t="s">
        <v>5</v>
      </c>
      <c r="E3" s="4" t="s">
        <v>6</v>
      </c>
      <c r="F3" s="4" t="s">
        <v>7</v>
      </c>
      <c r="G3" s="6" t="s">
        <v>8</v>
      </c>
      <c r="H3" s="7" t="s">
        <v>9</v>
      </c>
    </row>
    <row r="4" spans="1:8" ht="14.25" x14ac:dyDescent="0.3">
      <c r="A4" s="9" t="s">
        <v>10</v>
      </c>
      <c r="B4" s="10"/>
      <c r="C4" s="11"/>
      <c r="D4" s="12"/>
      <c r="E4" s="12"/>
      <c r="F4" s="13"/>
      <c r="G4" s="14"/>
      <c r="H4" s="15"/>
    </row>
    <row r="5" spans="1:8" ht="14.25" x14ac:dyDescent="0.3">
      <c r="A5" s="16" t="s">
        <v>11</v>
      </c>
      <c r="B5" s="10"/>
      <c r="C5" s="11"/>
      <c r="D5" s="12"/>
      <c r="E5" s="12"/>
      <c r="F5" s="13"/>
      <c r="G5" s="14"/>
      <c r="H5" s="15"/>
    </row>
    <row r="6" spans="1:8" s="22" customFormat="1" ht="14.25" x14ac:dyDescent="0.3">
      <c r="A6" s="17" t="s">
        <v>12</v>
      </c>
      <c r="B6" s="18" t="s">
        <v>13</v>
      </c>
      <c r="C6" s="19">
        <v>554200</v>
      </c>
      <c r="D6" s="20">
        <v>910.27350000000001</v>
      </c>
      <c r="E6" s="20">
        <f t="shared" ref="E6:E51" si="0">(+D6/$D$94*100)</f>
        <v>7.619262226522638</v>
      </c>
      <c r="F6" s="20" t="s">
        <v>14</v>
      </c>
      <c r="G6" s="15"/>
      <c r="H6" s="21"/>
    </row>
    <row r="7" spans="1:8" s="22" customFormat="1" ht="14.25" x14ac:dyDescent="0.3">
      <c r="A7" s="17" t="s">
        <v>15</v>
      </c>
      <c r="B7" s="18" t="s">
        <v>16</v>
      </c>
      <c r="C7" s="19">
        <v>29700</v>
      </c>
      <c r="D7" s="20">
        <v>505.31580000000002</v>
      </c>
      <c r="E7" s="20">
        <f t="shared" si="0"/>
        <v>4.2296448126909869</v>
      </c>
      <c r="F7" s="20" t="s">
        <v>17</v>
      </c>
      <c r="G7" s="15"/>
      <c r="H7" s="15"/>
    </row>
    <row r="8" spans="1:8" s="22" customFormat="1" ht="14.25" x14ac:dyDescent="0.3">
      <c r="A8" s="17" t="s">
        <v>18</v>
      </c>
      <c r="B8" s="18" t="s">
        <v>19</v>
      </c>
      <c r="C8" s="19">
        <v>226125</v>
      </c>
      <c r="D8" s="20">
        <v>501.65831250000002</v>
      </c>
      <c r="E8" s="20">
        <f t="shared" si="0"/>
        <v>4.1990305452727554</v>
      </c>
      <c r="F8" s="20" t="s">
        <v>20</v>
      </c>
      <c r="G8" s="15"/>
      <c r="H8" s="14"/>
    </row>
    <row r="9" spans="1:8" s="22" customFormat="1" ht="14.25" x14ac:dyDescent="0.3">
      <c r="A9" s="17" t="s">
        <v>21</v>
      </c>
      <c r="B9" s="18" t="s">
        <v>22</v>
      </c>
      <c r="C9" s="19">
        <v>158000</v>
      </c>
      <c r="D9" s="20">
        <v>469.10199999999998</v>
      </c>
      <c r="E9" s="20">
        <f t="shared" si="0"/>
        <v>3.9265244445611378</v>
      </c>
      <c r="F9" s="20" t="s">
        <v>23</v>
      </c>
      <c r="G9" s="15"/>
      <c r="H9" s="15"/>
    </row>
    <row r="10" spans="1:8" s="22" customFormat="1" ht="14.25" x14ac:dyDescent="0.3">
      <c r="A10" s="17" t="s">
        <v>24</v>
      </c>
      <c r="B10" s="18" t="s">
        <v>25</v>
      </c>
      <c r="C10" s="19">
        <v>18600</v>
      </c>
      <c r="D10" s="20">
        <v>460.45229999999998</v>
      </c>
      <c r="E10" s="20">
        <f t="shared" si="0"/>
        <v>3.8541238611312645</v>
      </c>
      <c r="F10" s="20" t="s">
        <v>26</v>
      </c>
      <c r="G10" s="15"/>
      <c r="H10" s="14"/>
    </row>
    <row r="11" spans="1:8" s="22" customFormat="1" ht="14.25" x14ac:dyDescent="0.3">
      <c r="A11" s="17" t="s">
        <v>27</v>
      </c>
      <c r="B11" s="18" t="s">
        <v>28</v>
      </c>
      <c r="C11" s="19">
        <v>318000</v>
      </c>
      <c r="D11" s="20">
        <v>420.87299999999999</v>
      </c>
      <c r="E11" s="20">
        <f t="shared" si="0"/>
        <v>3.5228332485382277</v>
      </c>
      <c r="F11" s="20" t="s">
        <v>29</v>
      </c>
      <c r="G11" s="15"/>
      <c r="H11" s="14"/>
    </row>
    <row r="12" spans="1:8" s="22" customFormat="1" ht="14.25" x14ac:dyDescent="0.3">
      <c r="A12" s="17" t="s">
        <v>30</v>
      </c>
      <c r="B12" s="18" t="s">
        <v>31</v>
      </c>
      <c r="C12" s="19">
        <v>387000</v>
      </c>
      <c r="D12" s="20">
        <v>404.99549999999999</v>
      </c>
      <c r="E12" s="20">
        <f t="shared" si="0"/>
        <v>3.3899338111695543</v>
      </c>
      <c r="F12" s="20" t="s">
        <v>32</v>
      </c>
      <c r="G12" s="15"/>
      <c r="H12" s="14"/>
    </row>
    <row r="13" spans="1:8" s="22" customFormat="1" ht="14.25" x14ac:dyDescent="0.3">
      <c r="A13" s="17" t="s">
        <v>33</v>
      </c>
      <c r="B13" s="18" t="s">
        <v>34</v>
      </c>
      <c r="C13" s="19">
        <v>330000</v>
      </c>
      <c r="D13" s="20">
        <v>369.6</v>
      </c>
      <c r="E13" s="20">
        <f t="shared" si="0"/>
        <v>3.0936628594842843</v>
      </c>
      <c r="F13" s="20" t="s">
        <v>35</v>
      </c>
      <c r="G13" s="15"/>
      <c r="H13" s="14"/>
    </row>
    <row r="14" spans="1:8" s="22" customFormat="1" ht="14.25" x14ac:dyDescent="0.3">
      <c r="A14" s="17" t="s">
        <v>36</v>
      </c>
      <c r="B14" s="18" t="s">
        <v>37</v>
      </c>
      <c r="C14" s="19">
        <v>13500</v>
      </c>
      <c r="D14" s="20">
        <v>344.28375</v>
      </c>
      <c r="E14" s="20">
        <f t="shared" si="0"/>
        <v>2.8817582535145356</v>
      </c>
      <c r="F14" s="20" t="s">
        <v>38</v>
      </c>
      <c r="G14" s="15"/>
      <c r="H14" s="14"/>
    </row>
    <row r="15" spans="1:8" s="22" customFormat="1" ht="14.25" x14ac:dyDescent="0.3">
      <c r="A15" s="17" t="s">
        <v>39</v>
      </c>
      <c r="B15" s="18" t="s">
        <v>28</v>
      </c>
      <c r="C15" s="19">
        <v>82000</v>
      </c>
      <c r="D15" s="20">
        <v>321.60399999999998</v>
      </c>
      <c r="E15" s="20">
        <f t="shared" si="0"/>
        <v>2.6919219433484405</v>
      </c>
      <c r="F15" s="20" t="s">
        <v>40</v>
      </c>
      <c r="G15" s="15"/>
      <c r="H15" s="14"/>
    </row>
    <row r="16" spans="1:8" s="22" customFormat="1" ht="14.25" x14ac:dyDescent="0.3">
      <c r="A16" s="17" t="s">
        <v>41</v>
      </c>
      <c r="B16" s="18" t="s">
        <v>16</v>
      </c>
      <c r="C16" s="19">
        <v>102600</v>
      </c>
      <c r="D16" s="20">
        <v>309.69810000000001</v>
      </c>
      <c r="E16" s="20">
        <f t="shared" si="0"/>
        <v>2.5922659892393121</v>
      </c>
      <c r="F16" s="20" t="s">
        <v>42</v>
      </c>
      <c r="G16" s="15"/>
      <c r="H16" s="15"/>
    </row>
    <row r="17" spans="1:8" s="22" customFormat="1" ht="14.25" x14ac:dyDescent="0.3">
      <c r="A17" s="17" t="s">
        <v>43</v>
      </c>
      <c r="B17" s="18" t="s">
        <v>44</v>
      </c>
      <c r="C17" s="19">
        <v>9600</v>
      </c>
      <c r="D17" s="20">
        <v>257.10239999999999</v>
      </c>
      <c r="E17" s="20">
        <f t="shared" si="0"/>
        <v>2.1520242044487881</v>
      </c>
      <c r="F17" s="20" t="s">
        <v>45</v>
      </c>
      <c r="G17" s="15"/>
      <c r="H17" s="15"/>
    </row>
    <row r="18" spans="1:8" s="22" customFormat="1" ht="14.25" x14ac:dyDescent="0.3">
      <c r="A18" s="17" t="s">
        <v>46</v>
      </c>
      <c r="B18" s="18" t="s">
        <v>47</v>
      </c>
      <c r="C18" s="19">
        <v>24500</v>
      </c>
      <c r="D18" s="20">
        <v>223.489</v>
      </c>
      <c r="E18" s="20">
        <f t="shared" si="0"/>
        <v>1.8706699642945972</v>
      </c>
      <c r="F18" s="20" t="s">
        <v>48</v>
      </c>
      <c r="G18" s="15"/>
      <c r="H18" s="14"/>
    </row>
    <row r="19" spans="1:8" s="22" customFormat="1" ht="14.25" x14ac:dyDescent="0.3">
      <c r="A19" s="17" t="s">
        <v>49</v>
      </c>
      <c r="B19" s="18" t="s">
        <v>50</v>
      </c>
      <c r="C19" s="19">
        <v>101400</v>
      </c>
      <c r="D19" s="20">
        <v>215.93129999999999</v>
      </c>
      <c r="E19" s="20">
        <f t="shared" si="0"/>
        <v>1.8074097484041092</v>
      </c>
      <c r="F19" s="20" t="s">
        <v>51</v>
      </c>
      <c r="G19" s="15"/>
      <c r="H19" s="15"/>
    </row>
    <row r="20" spans="1:8" s="22" customFormat="1" ht="14.25" x14ac:dyDescent="0.3">
      <c r="A20" s="17" t="s">
        <v>52</v>
      </c>
      <c r="B20" s="18" t="s">
        <v>28</v>
      </c>
      <c r="C20" s="19">
        <v>16500</v>
      </c>
      <c r="D20" s="20">
        <v>155.4795</v>
      </c>
      <c r="E20" s="20">
        <f t="shared" si="0"/>
        <v>1.3014100502196611</v>
      </c>
      <c r="F20" s="20" t="s">
        <v>53</v>
      </c>
      <c r="G20" s="15"/>
      <c r="H20" s="14"/>
    </row>
    <row r="21" spans="1:8" s="22" customFormat="1" ht="14.25" x14ac:dyDescent="0.3">
      <c r="A21" s="17" t="s">
        <v>54</v>
      </c>
      <c r="B21" s="18" t="s">
        <v>55</v>
      </c>
      <c r="C21" s="19">
        <v>84000</v>
      </c>
      <c r="D21" s="20">
        <v>148.97399999999999</v>
      </c>
      <c r="E21" s="20">
        <f t="shared" si="0"/>
        <v>1.2469570639307674</v>
      </c>
      <c r="F21" s="20" t="s">
        <v>56</v>
      </c>
      <c r="G21" s="15"/>
      <c r="H21" s="14"/>
    </row>
    <row r="22" spans="1:8" s="22" customFormat="1" ht="14.25" x14ac:dyDescent="0.3">
      <c r="A22" s="17" t="s">
        <v>57</v>
      </c>
      <c r="B22" s="18" t="s">
        <v>22</v>
      </c>
      <c r="C22" s="19">
        <v>2875</v>
      </c>
      <c r="D22" s="20">
        <v>148.33850000000001</v>
      </c>
      <c r="E22" s="20">
        <f t="shared" si="0"/>
        <v>1.2416377383160431</v>
      </c>
      <c r="F22" s="20" t="s">
        <v>58</v>
      </c>
      <c r="G22" s="15"/>
      <c r="H22" s="15"/>
    </row>
    <row r="23" spans="1:8" s="22" customFormat="1" ht="14.25" x14ac:dyDescent="0.3">
      <c r="A23" s="17" t="s">
        <v>59</v>
      </c>
      <c r="B23" s="18" t="s">
        <v>16</v>
      </c>
      <c r="C23" s="19">
        <v>9500</v>
      </c>
      <c r="D23" s="20">
        <v>130.59174999999999</v>
      </c>
      <c r="E23" s="20">
        <f t="shared" si="0"/>
        <v>1.0930921177761275</v>
      </c>
      <c r="F23" s="20" t="s">
        <v>60</v>
      </c>
      <c r="G23" s="15"/>
      <c r="H23" s="21"/>
    </row>
    <row r="24" spans="1:8" s="22" customFormat="1" ht="14.25" x14ac:dyDescent="0.3">
      <c r="A24" s="17" t="s">
        <v>61</v>
      </c>
      <c r="B24" s="18" t="s">
        <v>62</v>
      </c>
      <c r="C24" s="19">
        <v>13300</v>
      </c>
      <c r="D24" s="20">
        <v>126.13720000000001</v>
      </c>
      <c r="E24" s="20">
        <f t="shared" si="0"/>
        <v>1.0558061981583904</v>
      </c>
      <c r="F24" s="20" t="s">
        <v>63</v>
      </c>
      <c r="G24" s="15"/>
      <c r="H24" s="15"/>
    </row>
    <row r="25" spans="1:8" s="22" customFormat="1" ht="14.25" x14ac:dyDescent="0.3">
      <c r="A25" s="17" t="s">
        <v>64</v>
      </c>
      <c r="B25" s="18" t="s">
        <v>22</v>
      </c>
      <c r="C25" s="19">
        <v>12350</v>
      </c>
      <c r="D25" s="20">
        <v>125.34632499999999</v>
      </c>
      <c r="E25" s="20">
        <f t="shared" si="0"/>
        <v>1.04918633718979</v>
      </c>
      <c r="F25" s="20" t="s">
        <v>65</v>
      </c>
      <c r="G25" s="15"/>
      <c r="H25" s="15"/>
    </row>
    <row r="26" spans="1:8" s="22" customFormat="1" ht="14.25" x14ac:dyDescent="0.3">
      <c r="A26" s="17" t="s">
        <v>66</v>
      </c>
      <c r="B26" s="18" t="s">
        <v>16</v>
      </c>
      <c r="C26" s="19">
        <v>224000</v>
      </c>
      <c r="D26" s="20">
        <v>115.696</v>
      </c>
      <c r="E26" s="20">
        <f t="shared" si="0"/>
        <v>0.96841022237795915</v>
      </c>
      <c r="F26" s="20" t="s">
        <v>67</v>
      </c>
      <c r="G26" s="15"/>
      <c r="H26" s="14"/>
    </row>
    <row r="27" spans="1:8" s="22" customFormat="1" ht="14.25" x14ac:dyDescent="0.3">
      <c r="A27" s="17" t="s">
        <v>68</v>
      </c>
      <c r="B27" s="18" t="s">
        <v>69</v>
      </c>
      <c r="C27" s="19">
        <v>2250</v>
      </c>
      <c r="D27" s="20">
        <v>105.55987500000001</v>
      </c>
      <c r="E27" s="20">
        <f t="shared" si="0"/>
        <v>0.88356781585309419</v>
      </c>
      <c r="F27" s="20" t="s">
        <v>70</v>
      </c>
      <c r="G27" s="15"/>
      <c r="H27" s="15"/>
    </row>
    <row r="28" spans="1:8" s="22" customFormat="1" ht="14.25" x14ac:dyDescent="0.3">
      <c r="A28" s="17" t="s">
        <v>71</v>
      </c>
      <c r="B28" s="18" t="s">
        <v>72</v>
      </c>
      <c r="C28" s="19">
        <v>39200</v>
      </c>
      <c r="D28" s="20">
        <v>99.548400000000001</v>
      </c>
      <c r="E28" s="20">
        <f t="shared" si="0"/>
        <v>0.83324996699427833</v>
      </c>
      <c r="F28" s="20" t="s">
        <v>73</v>
      </c>
      <c r="G28" s="15"/>
      <c r="H28" s="15"/>
    </row>
    <row r="29" spans="1:8" s="22" customFormat="1" ht="14.25" x14ac:dyDescent="0.3">
      <c r="A29" s="17" t="s">
        <v>74</v>
      </c>
      <c r="B29" s="18" t="s">
        <v>13</v>
      </c>
      <c r="C29" s="19">
        <v>1280000</v>
      </c>
      <c r="D29" s="20">
        <v>95.36</v>
      </c>
      <c r="E29" s="20">
        <f t="shared" si="0"/>
        <v>0.79819180270676759</v>
      </c>
      <c r="F29" s="20" t="s">
        <v>75</v>
      </c>
      <c r="G29" s="15"/>
      <c r="H29" s="21"/>
    </row>
    <row r="30" spans="1:8" s="22" customFormat="1" ht="14.25" x14ac:dyDescent="0.3">
      <c r="A30" s="17" t="s">
        <v>76</v>
      </c>
      <c r="B30" s="18" t="s">
        <v>50</v>
      </c>
      <c r="C30" s="19">
        <v>5200</v>
      </c>
      <c r="D30" s="20">
        <v>91.735799999999998</v>
      </c>
      <c r="E30" s="20">
        <f t="shared" si="0"/>
        <v>0.76785616164793935</v>
      </c>
      <c r="F30" s="20" t="s">
        <v>77</v>
      </c>
      <c r="G30" s="15"/>
      <c r="H30" s="14"/>
    </row>
    <row r="31" spans="1:8" s="22" customFormat="1" ht="14.25" x14ac:dyDescent="0.3">
      <c r="A31" s="17" t="s">
        <v>78</v>
      </c>
      <c r="B31" s="18" t="s">
        <v>34</v>
      </c>
      <c r="C31" s="19">
        <v>15000</v>
      </c>
      <c r="D31" s="20">
        <v>87.157499999999999</v>
      </c>
      <c r="E31" s="20">
        <f t="shared" si="0"/>
        <v>0.72953441741207103</v>
      </c>
      <c r="F31" s="20" t="s">
        <v>79</v>
      </c>
      <c r="G31" s="15"/>
      <c r="H31" s="14"/>
    </row>
    <row r="32" spans="1:8" s="22" customFormat="1" ht="14.25" x14ac:dyDescent="0.3">
      <c r="A32" s="17" t="s">
        <v>80</v>
      </c>
      <c r="B32" s="18" t="s">
        <v>81</v>
      </c>
      <c r="C32" s="19">
        <v>4275</v>
      </c>
      <c r="D32" s="20">
        <v>74.156287500000005</v>
      </c>
      <c r="E32" s="20">
        <f t="shared" si="0"/>
        <v>0.620710369144991</v>
      </c>
      <c r="F32" s="20" t="s">
        <v>82</v>
      </c>
      <c r="G32" s="15"/>
      <c r="H32" s="15"/>
    </row>
    <row r="33" spans="1:8" s="22" customFormat="1" ht="14.25" x14ac:dyDescent="0.3">
      <c r="A33" s="17" t="s">
        <v>83</v>
      </c>
      <c r="B33" s="18" t="s">
        <v>84</v>
      </c>
      <c r="C33" s="19">
        <v>28800</v>
      </c>
      <c r="D33" s="20">
        <v>68.169600000000003</v>
      </c>
      <c r="E33" s="20">
        <f t="shared" si="0"/>
        <v>0.57059999909604942</v>
      </c>
      <c r="F33" s="20" t="s">
        <v>85</v>
      </c>
      <c r="G33" s="15"/>
      <c r="H33" s="15"/>
    </row>
    <row r="34" spans="1:8" s="22" customFormat="1" ht="14.25" x14ac:dyDescent="0.3">
      <c r="A34" s="17" t="s">
        <v>86</v>
      </c>
      <c r="B34" s="18" t="s">
        <v>34</v>
      </c>
      <c r="C34" s="19">
        <v>8100</v>
      </c>
      <c r="D34" s="20">
        <v>63.568800000000003</v>
      </c>
      <c r="E34" s="20">
        <f t="shared" si="0"/>
        <v>0.53208992311143011</v>
      </c>
      <c r="F34" s="20" t="s">
        <v>87</v>
      </c>
      <c r="G34" s="15"/>
      <c r="H34" s="14"/>
    </row>
    <row r="35" spans="1:8" s="22" customFormat="1" ht="14.25" x14ac:dyDescent="0.3">
      <c r="A35" s="17" t="s">
        <v>88</v>
      </c>
      <c r="B35" s="18" t="s">
        <v>28</v>
      </c>
      <c r="C35" s="19">
        <v>51000</v>
      </c>
      <c r="D35" s="20">
        <v>62.933999999999997</v>
      </c>
      <c r="E35" s="20">
        <f t="shared" si="0"/>
        <v>0.52677645670666651</v>
      </c>
      <c r="F35" s="20" t="s">
        <v>89</v>
      </c>
      <c r="G35" s="15"/>
      <c r="H35" s="15"/>
    </row>
    <row r="36" spans="1:8" s="22" customFormat="1" ht="14.25" x14ac:dyDescent="0.3">
      <c r="A36" s="17" t="s">
        <v>90</v>
      </c>
      <c r="B36" s="18" t="s">
        <v>91</v>
      </c>
      <c r="C36" s="19">
        <v>240</v>
      </c>
      <c r="D36" s="20">
        <v>54.94632</v>
      </c>
      <c r="E36" s="20">
        <f t="shared" si="0"/>
        <v>0.45991717924604575</v>
      </c>
      <c r="F36" s="20" t="s">
        <v>92</v>
      </c>
      <c r="G36" s="15"/>
      <c r="H36" s="14"/>
    </row>
    <row r="37" spans="1:8" s="22" customFormat="1" ht="14.25" x14ac:dyDescent="0.3">
      <c r="A37" s="17" t="s">
        <v>93</v>
      </c>
      <c r="B37" s="18" t="s">
        <v>94</v>
      </c>
      <c r="C37" s="19">
        <v>4800</v>
      </c>
      <c r="D37" s="20">
        <v>54.280799999999999</v>
      </c>
      <c r="E37" s="20">
        <f t="shared" si="0"/>
        <v>0.45434657722698729</v>
      </c>
      <c r="F37" s="20" t="s">
        <v>95</v>
      </c>
      <c r="G37" s="15"/>
      <c r="H37" s="14"/>
    </row>
    <row r="38" spans="1:8" s="22" customFormat="1" ht="14.25" x14ac:dyDescent="0.3">
      <c r="A38" s="17" t="s">
        <v>96</v>
      </c>
      <c r="B38" s="18" t="s">
        <v>81</v>
      </c>
      <c r="C38" s="19">
        <v>600</v>
      </c>
      <c r="D38" s="20">
        <v>49.768500000000003</v>
      </c>
      <c r="E38" s="20">
        <f t="shared" si="0"/>
        <v>0.41657727278745565</v>
      </c>
      <c r="F38" s="20" t="s">
        <v>97</v>
      </c>
      <c r="G38" s="15"/>
      <c r="H38" s="14"/>
    </row>
    <row r="39" spans="1:8" s="22" customFormat="1" ht="14.25" x14ac:dyDescent="0.3">
      <c r="A39" s="17" t="s">
        <v>98</v>
      </c>
      <c r="B39" s="18" t="s">
        <v>44</v>
      </c>
      <c r="C39" s="19">
        <v>9600</v>
      </c>
      <c r="D39" s="20">
        <v>43.3536</v>
      </c>
      <c r="E39" s="20">
        <f t="shared" si="0"/>
        <v>0.36288263567353313</v>
      </c>
      <c r="F39" s="20" t="s">
        <v>99</v>
      </c>
      <c r="G39" s="15"/>
      <c r="H39" s="21"/>
    </row>
    <row r="40" spans="1:8" s="22" customFormat="1" ht="14.25" x14ac:dyDescent="0.3">
      <c r="A40" s="17" t="s">
        <v>100</v>
      </c>
      <c r="B40" s="18" t="s">
        <v>28</v>
      </c>
      <c r="C40" s="19">
        <v>40000</v>
      </c>
      <c r="D40" s="20">
        <v>41.08</v>
      </c>
      <c r="E40" s="20">
        <f t="shared" si="0"/>
        <v>0.34385192171973589</v>
      </c>
      <c r="F40" s="20" t="s">
        <v>101</v>
      </c>
      <c r="G40" s="15"/>
      <c r="H40" s="21"/>
    </row>
    <row r="41" spans="1:8" s="22" customFormat="1" ht="14.25" x14ac:dyDescent="0.3">
      <c r="A41" s="17" t="s">
        <v>102</v>
      </c>
      <c r="B41" s="18" t="s">
        <v>103</v>
      </c>
      <c r="C41" s="19">
        <v>2400</v>
      </c>
      <c r="D41" s="20">
        <v>35.834400000000002</v>
      </c>
      <c r="E41" s="20">
        <f t="shared" si="0"/>
        <v>0.2999446763309081</v>
      </c>
      <c r="F41" s="20" t="s">
        <v>104</v>
      </c>
      <c r="G41" s="15"/>
      <c r="H41" s="14"/>
    </row>
    <row r="42" spans="1:8" s="22" customFormat="1" ht="14.25" x14ac:dyDescent="0.3">
      <c r="A42" s="17" t="s">
        <v>105</v>
      </c>
      <c r="B42" s="18" t="s">
        <v>22</v>
      </c>
      <c r="C42" s="19">
        <v>2800</v>
      </c>
      <c r="D42" s="20">
        <v>29.444800000000001</v>
      </c>
      <c r="E42" s="20">
        <f t="shared" si="0"/>
        <v>0.24646180780558127</v>
      </c>
      <c r="F42" s="20" t="s">
        <v>106</v>
      </c>
      <c r="G42" s="15"/>
      <c r="H42" s="14"/>
    </row>
    <row r="43" spans="1:8" s="22" customFormat="1" ht="14.25" x14ac:dyDescent="0.3">
      <c r="A43" s="17" t="s">
        <v>107</v>
      </c>
      <c r="B43" s="18" t="s">
        <v>108</v>
      </c>
      <c r="C43" s="19">
        <v>22800</v>
      </c>
      <c r="D43" s="20">
        <v>28.670999999999999</v>
      </c>
      <c r="E43" s="20">
        <f t="shared" si="0"/>
        <v>0.2399848697085333</v>
      </c>
      <c r="F43" s="20" t="s">
        <v>109</v>
      </c>
      <c r="G43" s="15"/>
      <c r="H43" s="15"/>
    </row>
    <row r="44" spans="1:8" s="22" customFormat="1" ht="14.25" x14ac:dyDescent="0.3">
      <c r="A44" s="17" t="s">
        <v>110</v>
      </c>
      <c r="B44" s="18" t="s">
        <v>111</v>
      </c>
      <c r="C44" s="19">
        <v>5000</v>
      </c>
      <c r="D44" s="20">
        <v>28.647500000000001</v>
      </c>
      <c r="E44" s="20">
        <f t="shared" si="0"/>
        <v>0.23978816765983774</v>
      </c>
      <c r="F44" s="20" t="s">
        <v>112</v>
      </c>
      <c r="G44" s="15"/>
      <c r="H44" s="15"/>
    </row>
    <row r="45" spans="1:8" s="22" customFormat="1" ht="14.25" x14ac:dyDescent="0.3">
      <c r="A45" s="17" t="s">
        <v>113</v>
      </c>
      <c r="B45" s="18" t="s">
        <v>37</v>
      </c>
      <c r="C45" s="19">
        <v>29250</v>
      </c>
      <c r="D45" s="20">
        <v>26.705249999999999</v>
      </c>
      <c r="E45" s="20">
        <f t="shared" si="0"/>
        <v>0.22353095259264791</v>
      </c>
      <c r="F45" s="20" t="s">
        <v>114</v>
      </c>
      <c r="G45" s="15"/>
      <c r="H45" s="21"/>
    </row>
    <row r="46" spans="1:8" s="22" customFormat="1" ht="14.25" x14ac:dyDescent="0.3">
      <c r="A46" s="17" t="s">
        <v>115</v>
      </c>
      <c r="B46" s="18" t="s">
        <v>116</v>
      </c>
      <c r="C46" s="19">
        <v>4000</v>
      </c>
      <c r="D46" s="20">
        <v>26.472000000000001</v>
      </c>
      <c r="E46" s="20">
        <f t="shared" si="0"/>
        <v>0.22157858013059514</v>
      </c>
      <c r="F46" s="20" t="s">
        <v>117</v>
      </c>
      <c r="G46" s="15"/>
      <c r="H46" s="15"/>
    </row>
    <row r="47" spans="1:8" s="22" customFormat="1" ht="14.25" x14ac:dyDescent="0.3">
      <c r="A47" s="17" t="s">
        <v>118</v>
      </c>
      <c r="B47" s="18" t="s">
        <v>119</v>
      </c>
      <c r="C47" s="19">
        <v>5000</v>
      </c>
      <c r="D47" s="20">
        <v>25.18</v>
      </c>
      <c r="E47" s="20">
        <f t="shared" si="0"/>
        <v>0.21076415260231135</v>
      </c>
      <c r="F47" s="20" t="s">
        <v>120</v>
      </c>
      <c r="G47" s="15"/>
      <c r="H47" s="15"/>
    </row>
    <row r="48" spans="1:8" s="22" customFormat="1" ht="14.25" x14ac:dyDescent="0.3">
      <c r="A48" s="17" t="s">
        <v>121</v>
      </c>
      <c r="B48" s="18" t="s">
        <v>122</v>
      </c>
      <c r="C48" s="19">
        <v>21000</v>
      </c>
      <c r="D48" s="20">
        <v>18.406500000000001</v>
      </c>
      <c r="E48" s="20">
        <f t="shared" si="0"/>
        <v>0.15406792592829402</v>
      </c>
      <c r="F48" s="20" t="s">
        <v>123</v>
      </c>
      <c r="G48" s="15"/>
      <c r="H48" s="15"/>
    </row>
    <row r="49" spans="1:8" s="22" customFormat="1" ht="14.25" x14ac:dyDescent="0.3">
      <c r="A49" s="17" t="s">
        <v>124</v>
      </c>
      <c r="B49" s="18" t="s">
        <v>22</v>
      </c>
      <c r="C49" s="19">
        <v>1100</v>
      </c>
      <c r="D49" s="20">
        <v>8.0008499999999998</v>
      </c>
      <c r="E49" s="20">
        <f t="shared" si="0"/>
        <v>6.6969514310889697E-2</v>
      </c>
      <c r="F49" s="20" t="s">
        <v>125</v>
      </c>
      <c r="G49" s="15"/>
      <c r="H49" s="15"/>
    </row>
    <row r="50" spans="1:8" s="22" customFormat="1" ht="14.25" x14ac:dyDescent="0.3">
      <c r="A50" s="17" t="s">
        <v>126</v>
      </c>
      <c r="B50" s="18" t="s">
        <v>72</v>
      </c>
      <c r="C50" s="19">
        <v>2000</v>
      </c>
      <c r="D50" s="20">
        <v>7.85</v>
      </c>
      <c r="E50" s="20">
        <f t="shared" si="0"/>
        <v>6.5706854564263062E-2</v>
      </c>
      <c r="F50" s="20" t="s">
        <v>127</v>
      </c>
      <c r="G50" s="15"/>
      <c r="H50" s="21"/>
    </row>
    <row r="51" spans="1:8" s="22" customFormat="1" ht="14.25" x14ac:dyDescent="0.3">
      <c r="A51" s="17" t="s">
        <v>128</v>
      </c>
      <c r="B51" s="18" t="s">
        <v>22</v>
      </c>
      <c r="C51" s="19">
        <v>2500</v>
      </c>
      <c r="D51" s="20">
        <v>6.6375000000000002</v>
      </c>
      <c r="E51" s="20">
        <f t="shared" si="0"/>
        <v>5.5557865881566387E-2</v>
      </c>
      <c r="F51" s="20" t="s">
        <v>129</v>
      </c>
      <c r="G51" s="15"/>
      <c r="H51" s="15"/>
    </row>
    <row r="52" spans="1:8" s="22" customFormat="1" ht="14.25" x14ac:dyDescent="0.3">
      <c r="A52" s="16" t="s">
        <v>130</v>
      </c>
      <c r="B52" s="18"/>
      <c r="C52" s="19"/>
      <c r="D52" s="23">
        <f>IF(ISERROR(SUM(D6:D51)),0,SUM(D6:D51))</f>
        <v>7898.4115200000006</v>
      </c>
      <c r="E52" s="23">
        <f>IF(ISERROR(SUM(E6:E51)),0,SUM(E6:E51))</f>
        <v>66.112073507431859</v>
      </c>
      <c r="F52" s="23"/>
      <c r="G52" s="15"/>
      <c r="H52" s="14"/>
    </row>
    <row r="53" spans="1:8" s="22" customFormat="1" ht="14.25" x14ac:dyDescent="0.3">
      <c r="A53" s="16"/>
      <c r="B53" s="16"/>
      <c r="C53" s="24"/>
      <c r="D53" s="25"/>
      <c r="E53" s="25"/>
      <c r="F53" s="25"/>
      <c r="G53" s="15"/>
      <c r="H53" s="14"/>
    </row>
    <row r="54" spans="1:8" s="22" customFormat="1" ht="14.25" x14ac:dyDescent="0.3">
      <c r="A54" s="16" t="s">
        <v>131</v>
      </c>
      <c r="B54" s="16"/>
      <c r="C54" s="24"/>
      <c r="D54" s="26" t="s">
        <v>132</v>
      </c>
      <c r="E54" s="26" t="s">
        <v>132</v>
      </c>
      <c r="F54" s="26"/>
      <c r="G54" s="15"/>
      <c r="H54" s="14"/>
    </row>
    <row r="55" spans="1:8" s="22" customFormat="1" ht="14.25" x14ac:dyDescent="0.3">
      <c r="A55" s="16"/>
      <c r="B55" s="9"/>
      <c r="C55" s="24"/>
      <c r="D55" s="26"/>
      <c r="E55" s="26"/>
      <c r="F55" s="27"/>
      <c r="G55" s="15"/>
      <c r="H55" s="14"/>
    </row>
    <row r="56" spans="1:8" s="22" customFormat="1" ht="14.25" x14ac:dyDescent="0.3">
      <c r="A56" s="16" t="s">
        <v>133</v>
      </c>
      <c r="B56" s="16"/>
      <c r="C56" s="24"/>
      <c r="D56" s="23">
        <f>IF(ISERROR(+D52),0,D52)+IF(ISERROR(+#REF!),0,#REF!)</f>
        <v>7898.4115200000006</v>
      </c>
      <c r="E56" s="23">
        <f>IF(ISERROR(+E52),0,E52)+IF(ISERROR(+#REF!),0,#REF!)</f>
        <v>66.112073507431859</v>
      </c>
      <c r="F56" s="28"/>
      <c r="G56" s="15"/>
      <c r="H56" s="14"/>
    </row>
    <row r="57" spans="1:8" s="22" customFormat="1" ht="14.25" x14ac:dyDescent="0.3">
      <c r="A57" s="16"/>
      <c r="B57" s="9"/>
      <c r="C57" s="24"/>
      <c r="D57" s="26"/>
      <c r="E57" s="26"/>
      <c r="F57" s="27"/>
      <c r="G57" s="15"/>
      <c r="H57" s="14"/>
    </row>
    <row r="58" spans="1:8" s="22" customFormat="1" ht="14.25" x14ac:dyDescent="0.3">
      <c r="A58" s="16" t="s">
        <v>134</v>
      </c>
      <c r="B58" s="9"/>
      <c r="C58" s="24"/>
      <c r="D58" s="26"/>
      <c r="E58" s="26"/>
      <c r="F58" s="27"/>
      <c r="G58" s="15"/>
      <c r="H58" s="14"/>
    </row>
    <row r="59" spans="1:8" s="22" customFormat="1" ht="14.25" x14ac:dyDescent="0.3">
      <c r="A59" s="16" t="s">
        <v>11</v>
      </c>
      <c r="B59" s="9"/>
      <c r="C59" s="24"/>
      <c r="D59" s="26" t="s">
        <v>132</v>
      </c>
      <c r="E59" s="26" t="s">
        <v>132</v>
      </c>
      <c r="F59" s="29"/>
      <c r="G59" s="15"/>
      <c r="H59" s="14"/>
    </row>
    <row r="60" spans="1:8" s="22" customFormat="1" ht="14.25" x14ac:dyDescent="0.3">
      <c r="A60" s="16"/>
      <c r="B60" s="9"/>
      <c r="C60" s="30"/>
      <c r="D60" s="29"/>
      <c r="E60" s="29"/>
      <c r="F60" s="29"/>
      <c r="G60" s="15"/>
      <c r="H60" s="14"/>
    </row>
    <row r="61" spans="1:8" s="22" customFormat="1" ht="14.25" x14ac:dyDescent="0.3">
      <c r="A61" s="16" t="s">
        <v>135</v>
      </c>
      <c r="B61" s="9"/>
      <c r="C61" s="30"/>
      <c r="D61" s="29"/>
      <c r="E61" s="29"/>
      <c r="F61" s="29"/>
      <c r="G61" s="15"/>
      <c r="H61" s="14"/>
    </row>
    <row r="62" spans="1:8" s="22" customFormat="1" ht="14.25" x14ac:dyDescent="0.3">
      <c r="A62" s="17" t="s">
        <v>136</v>
      </c>
      <c r="B62" s="18" t="s">
        <v>137</v>
      </c>
      <c r="C62" s="19">
        <v>35000</v>
      </c>
      <c r="D62" s="20">
        <v>544.75715000000002</v>
      </c>
      <c r="E62" s="20">
        <f>(+D62/$D$94*100)</f>
        <v>4.5597807424066801</v>
      </c>
      <c r="F62" s="20" t="s">
        <v>138</v>
      </c>
      <c r="G62" s="15">
        <v>8.2098999999999993</v>
      </c>
      <c r="H62" s="14"/>
    </row>
    <row r="63" spans="1:8" s="22" customFormat="1" ht="14.25" x14ac:dyDescent="0.3">
      <c r="A63" s="16" t="s">
        <v>130</v>
      </c>
      <c r="B63" s="9"/>
      <c r="C63" s="30"/>
      <c r="D63" s="26">
        <f>IF(ISERROR(SUM(D62)),0,SUM(D62))</f>
        <v>544.75715000000002</v>
      </c>
      <c r="E63" s="26">
        <f>IF(ISERROR(SUM(E62)),0,SUM(E62))</f>
        <v>4.5597807424066801</v>
      </c>
      <c r="F63" s="31"/>
      <c r="G63" s="15"/>
      <c r="H63" s="14"/>
    </row>
    <row r="64" spans="1:8" s="22" customFormat="1" ht="14.25" x14ac:dyDescent="0.3">
      <c r="A64" s="16"/>
      <c r="B64" s="9"/>
      <c r="C64" s="30"/>
      <c r="D64" s="29"/>
      <c r="E64" s="29"/>
      <c r="F64" s="29"/>
      <c r="G64" s="15"/>
      <c r="H64" s="14"/>
    </row>
    <row r="65" spans="1:8" s="22" customFormat="1" ht="14.25" x14ac:dyDescent="0.3">
      <c r="A65" s="16" t="s">
        <v>139</v>
      </c>
      <c r="B65" s="9"/>
      <c r="C65" s="30"/>
      <c r="D65" s="26" t="s">
        <v>132</v>
      </c>
      <c r="E65" s="26" t="s">
        <v>132</v>
      </c>
      <c r="F65" s="27"/>
      <c r="G65" s="15"/>
      <c r="H65" s="14"/>
    </row>
    <row r="66" spans="1:8" s="22" customFormat="1" ht="14.25" x14ac:dyDescent="0.3">
      <c r="A66" s="16"/>
      <c r="B66" s="9"/>
      <c r="C66" s="30"/>
      <c r="D66" s="29"/>
      <c r="E66" s="29"/>
      <c r="F66" s="29"/>
      <c r="G66" s="15"/>
      <c r="H66" s="14"/>
    </row>
    <row r="67" spans="1:8" s="22" customFormat="1" ht="14.25" x14ac:dyDescent="0.3">
      <c r="A67" s="16" t="s">
        <v>133</v>
      </c>
      <c r="B67" s="9"/>
      <c r="C67" s="30"/>
      <c r="D67" s="26">
        <f>IF(ISERROR(+#REF!),0,#REF!)+IF(ISERROR(+#REF!),0,#REF!)+IF(ISERROR(+D63),0,D63)</f>
        <v>544.75715000000002</v>
      </c>
      <c r="E67" s="26">
        <f>IF(ISERROR(+#REF!),0,#REF!)+IF(ISERROR(+#REF!),0,#REF!)+IF(ISERROR(+E63),0,E63)</f>
        <v>4.5597807424066801</v>
      </c>
      <c r="F67" s="26">
        <f>IF(ISERROR(+#REF!),0,#REF!)+IF(ISERROR(+#REF!),0,#REF!)+IF(ISERROR(+#REF!),0,#REF!)</f>
        <v>0</v>
      </c>
      <c r="G67" s="15"/>
      <c r="H67" s="14"/>
    </row>
    <row r="68" spans="1:8" s="22" customFormat="1" ht="14.25" x14ac:dyDescent="0.3">
      <c r="A68" s="16"/>
      <c r="B68" s="9"/>
      <c r="C68" s="30"/>
      <c r="D68" s="26"/>
      <c r="E68" s="26"/>
      <c r="F68" s="26"/>
      <c r="G68" s="15"/>
      <c r="H68" s="14"/>
    </row>
    <row r="69" spans="1:8" s="22" customFormat="1" ht="14.25" x14ac:dyDescent="0.3">
      <c r="A69" s="16" t="s">
        <v>140</v>
      </c>
      <c r="B69" s="9"/>
      <c r="C69" s="30"/>
      <c r="D69" s="26"/>
      <c r="E69" s="26"/>
      <c r="F69" s="26"/>
      <c r="G69" s="15"/>
      <c r="H69" s="14"/>
    </row>
    <row r="70" spans="1:8" s="22" customFormat="1" ht="14.25" x14ac:dyDescent="0.3">
      <c r="A70" s="16"/>
      <c r="B70" s="9"/>
      <c r="C70" s="30"/>
      <c r="D70" s="20"/>
      <c r="E70" s="20"/>
      <c r="F70" s="32"/>
      <c r="G70" s="15"/>
      <c r="H70" s="14"/>
    </row>
    <row r="71" spans="1:8" s="22" customFormat="1" ht="14.25" x14ac:dyDescent="0.3">
      <c r="A71" s="16" t="s">
        <v>141</v>
      </c>
      <c r="B71" s="9"/>
      <c r="C71" s="30"/>
      <c r="D71" s="26" t="s">
        <v>132</v>
      </c>
      <c r="E71" s="26" t="s">
        <v>132</v>
      </c>
      <c r="F71" s="26"/>
      <c r="G71" s="15"/>
      <c r="H71" s="14"/>
    </row>
    <row r="72" spans="1:8" s="22" customFormat="1" ht="14.25" x14ac:dyDescent="0.3">
      <c r="A72" s="16"/>
      <c r="B72" s="9"/>
      <c r="C72" s="30"/>
      <c r="D72" s="26"/>
      <c r="E72" s="26"/>
      <c r="F72" s="26"/>
      <c r="G72" s="15"/>
      <c r="H72" s="14"/>
    </row>
    <row r="73" spans="1:8" s="22" customFormat="1" ht="14.25" x14ac:dyDescent="0.3">
      <c r="A73" s="16" t="s">
        <v>142</v>
      </c>
      <c r="B73" s="9"/>
      <c r="C73" s="30"/>
      <c r="D73" s="26" t="s">
        <v>132</v>
      </c>
      <c r="E73" s="26" t="s">
        <v>132</v>
      </c>
      <c r="F73" s="26"/>
      <c r="G73" s="15"/>
      <c r="H73" s="14"/>
    </row>
    <row r="74" spans="1:8" s="22" customFormat="1" ht="14.25" x14ac:dyDescent="0.3">
      <c r="A74" s="16"/>
      <c r="B74" s="9"/>
      <c r="C74" s="30"/>
      <c r="D74" s="26"/>
      <c r="E74" s="26"/>
      <c r="F74" s="26"/>
      <c r="G74" s="15"/>
      <c r="H74" s="14"/>
    </row>
    <row r="75" spans="1:8" s="22" customFormat="1" ht="14.25" x14ac:dyDescent="0.3">
      <c r="A75" s="16" t="s">
        <v>143</v>
      </c>
      <c r="B75" s="9"/>
      <c r="C75" s="30"/>
      <c r="D75" s="26"/>
      <c r="E75" s="26"/>
      <c r="F75" s="27"/>
      <c r="G75" s="15"/>
      <c r="H75" s="14"/>
    </row>
    <row r="76" spans="1:8" s="22" customFormat="1" ht="14.25" x14ac:dyDescent="0.3">
      <c r="A76" s="16" t="s">
        <v>144</v>
      </c>
      <c r="B76" s="9"/>
      <c r="C76" s="30"/>
      <c r="D76" s="26"/>
      <c r="E76" s="26"/>
      <c r="F76" s="27"/>
      <c r="G76" s="15"/>
      <c r="H76" s="14"/>
    </row>
    <row r="77" spans="1:8" s="22" customFormat="1" ht="14.25" x14ac:dyDescent="0.3">
      <c r="A77" s="17" t="s">
        <v>145</v>
      </c>
      <c r="B77" s="18" t="s">
        <v>146</v>
      </c>
      <c r="C77" s="19">
        <v>100</v>
      </c>
      <c r="D77" s="20">
        <v>493.51049999999998</v>
      </c>
      <c r="E77" s="20">
        <f>(+D77/$D$94*100)</f>
        <v>4.1308309107562735</v>
      </c>
      <c r="F77" s="20" t="s">
        <v>147</v>
      </c>
      <c r="G77" s="15">
        <v>8.2751999999999999</v>
      </c>
      <c r="H77" s="14"/>
    </row>
    <row r="78" spans="1:8" s="22" customFormat="1" ht="14.25" x14ac:dyDescent="0.3">
      <c r="A78" s="16" t="s">
        <v>130</v>
      </c>
      <c r="B78" s="33"/>
      <c r="C78" s="34"/>
      <c r="D78" s="26">
        <f>IF(ISERROR(SUM(D77:D77)),0,SUM(D77:D77))</f>
        <v>493.51049999999998</v>
      </c>
      <c r="E78" s="26">
        <f>IF(ISERROR(SUM(E77:E77)),0,SUM(E77:E77))</f>
        <v>4.1308309107562735</v>
      </c>
      <c r="F78" s="35"/>
      <c r="G78" s="15"/>
      <c r="H78" s="14"/>
    </row>
    <row r="79" spans="1:8" s="22" customFormat="1" ht="14.25" x14ac:dyDescent="0.3">
      <c r="A79" s="16" t="s">
        <v>148</v>
      </c>
      <c r="B79" s="18"/>
      <c r="C79" s="19"/>
      <c r="D79" s="20"/>
      <c r="E79" s="29"/>
      <c r="F79" s="36"/>
      <c r="G79" s="15"/>
      <c r="H79" s="14"/>
    </row>
    <row r="80" spans="1:8" s="22" customFormat="1" ht="14.25" x14ac:dyDescent="0.3">
      <c r="A80" s="17" t="s">
        <v>149</v>
      </c>
      <c r="B80" s="18" t="s">
        <v>150</v>
      </c>
      <c r="C80" s="19">
        <v>500000</v>
      </c>
      <c r="D80" s="20">
        <v>496.3415</v>
      </c>
      <c r="E80" s="20">
        <f>(+D80/$D$94*100)</f>
        <v>4.1545272298991307</v>
      </c>
      <c r="F80" s="20" t="s">
        <v>151</v>
      </c>
      <c r="G80" s="15">
        <v>6.726</v>
      </c>
      <c r="H80" s="14"/>
    </row>
    <row r="81" spans="1:8" s="22" customFormat="1" ht="14.25" x14ac:dyDescent="0.3">
      <c r="A81" s="17" t="s">
        <v>152</v>
      </c>
      <c r="B81" s="18" t="s">
        <v>150</v>
      </c>
      <c r="C81" s="19">
        <v>500000</v>
      </c>
      <c r="D81" s="20">
        <v>492.48099999999999</v>
      </c>
      <c r="E81" s="20">
        <f>(+D81/$D$94*100)</f>
        <v>4.1222136869634189</v>
      </c>
      <c r="F81" s="20" t="s">
        <v>153</v>
      </c>
      <c r="G81" s="15">
        <v>6.7142999999999997</v>
      </c>
      <c r="H81" s="14"/>
    </row>
    <row r="82" spans="1:8" s="22" customFormat="1" ht="14.25" x14ac:dyDescent="0.3">
      <c r="A82" s="17" t="s">
        <v>154</v>
      </c>
      <c r="B82" s="18" t="s">
        <v>150</v>
      </c>
      <c r="C82" s="19">
        <v>100000</v>
      </c>
      <c r="D82" s="20">
        <v>98.647000000000006</v>
      </c>
      <c r="E82" s="20">
        <f>(+D82/$D$94*100)</f>
        <v>0.82570497862431325</v>
      </c>
      <c r="F82" s="20" t="s">
        <v>155</v>
      </c>
      <c r="G82" s="15">
        <v>6.6749000000000001</v>
      </c>
      <c r="H82" s="14"/>
    </row>
    <row r="83" spans="1:8" s="22" customFormat="1" ht="14.25" x14ac:dyDescent="0.3">
      <c r="A83" s="16" t="s">
        <v>130</v>
      </c>
      <c r="B83" s="33"/>
      <c r="C83" s="34"/>
      <c r="D83" s="26">
        <f>IF(ISERROR(SUM(D80:D82)),0,SUM(D80:D82))</f>
        <v>1087.4694999999999</v>
      </c>
      <c r="E83" s="26">
        <f>IF(ISERROR(SUM(E80:E82)),0,SUM(E80:E82))</f>
        <v>9.1024458954868646</v>
      </c>
      <c r="F83" s="35"/>
      <c r="G83" s="15"/>
      <c r="H83" s="14"/>
    </row>
    <row r="84" spans="1:8" s="22" customFormat="1" ht="14.25" x14ac:dyDescent="0.3">
      <c r="A84" s="17" t="s">
        <v>156</v>
      </c>
      <c r="B84" s="18"/>
      <c r="C84" s="19">
        <v>0</v>
      </c>
      <c r="D84" s="20">
        <v>104.33951</v>
      </c>
      <c r="E84" s="20">
        <f>(+D84/$D$94*100)</f>
        <v>0.8733529947613341</v>
      </c>
      <c r="F84" s="20" t="s">
        <v>157</v>
      </c>
      <c r="G84" s="15">
        <v>6.7206000000000001</v>
      </c>
      <c r="H84" s="14"/>
    </row>
    <row r="85" spans="1:8" s="22" customFormat="1" ht="14.25" x14ac:dyDescent="0.3">
      <c r="A85" s="16" t="s">
        <v>130</v>
      </c>
      <c r="B85" s="9"/>
      <c r="C85" s="30"/>
      <c r="D85" s="26">
        <f>IF(ISERROR(SUM(D84:D84)),0,SUM(D84:D84))</f>
        <v>104.33951</v>
      </c>
      <c r="E85" s="26">
        <f>IF(ISERROR(SUM(E84:E84)),0,SUM(E84:E84))</f>
        <v>0.8733529947613341</v>
      </c>
      <c r="F85" s="20"/>
      <c r="G85" s="15"/>
      <c r="H85" s="14"/>
    </row>
    <row r="86" spans="1:8" s="22" customFormat="1" ht="14.25" x14ac:dyDescent="0.3">
      <c r="A86" s="16" t="s">
        <v>158</v>
      </c>
      <c r="B86" s="9"/>
      <c r="C86" s="30"/>
      <c r="D86" s="26"/>
      <c r="E86" s="26"/>
      <c r="F86" s="26"/>
      <c r="G86" s="15"/>
      <c r="H86" s="14"/>
    </row>
    <row r="87" spans="1:8" s="22" customFormat="1" ht="14.25" x14ac:dyDescent="0.3">
      <c r="A87" s="17" t="s">
        <v>159</v>
      </c>
      <c r="B87" s="18" t="s">
        <v>160</v>
      </c>
      <c r="C87" s="19">
        <v>1849095.7220000001</v>
      </c>
      <c r="D87" s="20">
        <v>1157.5431674506099</v>
      </c>
      <c r="E87" s="20">
        <f>(+D87/$D$94*100)</f>
        <v>9.6889835102590602</v>
      </c>
      <c r="F87" s="20" t="s">
        <v>161</v>
      </c>
      <c r="G87" s="15"/>
      <c r="H87" s="14"/>
    </row>
    <row r="88" spans="1:8" s="22" customFormat="1" ht="14.25" x14ac:dyDescent="0.3">
      <c r="A88" s="16" t="s">
        <v>130</v>
      </c>
      <c r="B88" s="9"/>
      <c r="C88" s="30"/>
      <c r="D88" s="26">
        <f>IF(ISERROR(SUM(D87:D87)),0,SUM(D87:D87))</f>
        <v>1157.5431674506099</v>
      </c>
      <c r="E88" s="26">
        <f>IF(ISERROR(SUM(E87:E87)),0,SUM(E87:E87))</f>
        <v>9.6889835102590602</v>
      </c>
      <c r="F88" s="31"/>
      <c r="G88" s="15"/>
      <c r="H88" s="14"/>
    </row>
    <row r="89" spans="1:8" s="22" customFormat="1" ht="14.25" x14ac:dyDescent="0.3">
      <c r="A89" s="16"/>
      <c r="B89" s="9"/>
      <c r="C89" s="30"/>
      <c r="D89" s="26"/>
      <c r="E89" s="26"/>
      <c r="F89" s="27"/>
      <c r="G89" s="15"/>
      <c r="H89" s="14"/>
    </row>
    <row r="90" spans="1:8" s="22" customFormat="1" ht="14.25" x14ac:dyDescent="0.3">
      <c r="A90" s="16" t="s">
        <v>133</v>
      </c>
      <c r="B90" s="9"/>
      <c r="C90" s="30" t="s">
        <v>162</v>
      </c>
      <c r="D90" s="26">
        <f>+IF(ISERROR(D67),0,D67)+IF(ISERROR(D85),0,D85)+IF(ISERROR(D56),0,D56)+IF(ISERROR(#REF!),0,#REF!)+IF(ISERROR(#REF!),0,#REF!)+IF(ISERROR(D83),0,D83)+IF(ISERROR(D88),0,D88)+IF(ISERROR(#REF!),0,#REF!)+D78</f>
        <v>11286.031347450611</v>
      </c>
      <c r="E90" s="26">
        <f>+IF(ISERROR(E67),0,E67)+IF(ISERROR(E85),0,E85)+IF(ISERROR(E56),0,E56)+IF(ISERROR(#REF!),0,#REF!)+IF(ISERROR(#REF!),0,#REF!)+IF(ISERROR(E83),0,E83)+IF(ISERROR(E88),0,E88)+IF(ISERROR(#REF!),0,#REF!)+E78</f>
        <v>94.467467561102083</v>
      </c>
      <c r="F90" s="26">
        <f>+IF(ISERROR(F67),0,F67)+IF(ISERROR(F85),0,F85)+IF(ISERROR(F56),0,F56)+IF(ISERROR(#REF!),0,#REF!)+IF(ISERROR(#REF!),0,#REF!)+IF(ISERROR(F83),0,F83)+IF(ISERROR(#REF!),0,#REF!)+IF(ISERROR(F88),0,F88)+IF(ISERROR(#REF!),0,#REF!)+F78</f>
        <v>0</v>
      </c>
      <c r="G90" s="15"/>
      <c r="H90" s="14"/>
    </row>
    <row r="91" spans="1:8" s="22" customFormat="1" ht="14.25" x14ac:dyDescent="0.3">
      <c r="A91" s="16"/>
      <c r="B91" s="9"/>
      <c r="C91" s="30"/>
      <c r="D91" s="26"/>
      <c r="E91" s="26"/>
      <c r="F91" s="37"/>
      <c r="G91" s="38"/>
      <c r="H91" s="39"/>
    </row>
    <row r="92" spans="1:8" s="22" customFormat="1" ht="14.25" x14ac:dyDescent="0.3">
      <c r="A92" s="16" t="s">
        <v>163</v>
      </c>
      <c r="B92" s="9"/>
      <c r="C92" s="30"/>
      <c r="D92" s="26">
        <f>+D94-D90</f>
        <v>660.9718260500922</v>
      </c>
      <c r="E92" s="26">
        <f>D92/$D$94*100</f>
        <v>5.5325324388979356</v>
      </c>
      <c r="F92" s="37"/>
      <c r="G92" s="38"/>
      <c r="H92" s="39"/>
    </row>
    <row r="93" spans="1:8" s="22" customFormat="1" ht="14.25" x14ac:dyDescent="0.3">
      <c r="A93" s="16"/>
      <c r="B93" s="9"/>
      <c r="C93" s="30"/>
      <c r="D93" s="29"/>
      <c r="E93" s="29"/>
      <c r="F93" s="37"/>
      <c r="G93" s="38"/>
      <c r="H93" s="39"/>
    </row>
    <row r="94" spans="1:8" s="22" customFormat="1" ht="14.25" x14ac:dyDescent="0.3">
      <c r="A94" s="16" t="s">
        <v>164</v>
      </c>
      <c r="B94" s="9"/>
      <c r="C94" s="30"/>
      <c r="D94" s="26">
        <v>11947.003173500703</v>
      </c>
      <c r="E94" s="26">
        <f>+E90+E92</f>
        <v>100.00000000000001</v>
      </c>
      <c r="F94" s="37"/>
      <c r="G94" s="38"/>
      <c r="H94" s="39"/>
    </row>
    <row r="95" spans="1:8" s="22" customFormat="1" ht="14.25" x14ac:dyDescent="0.3">
      <c r="A95" s="40"/>
      <c r="B95" s="41"/>
      <c r="C95" s="42"/>
      <c r="D95" s="43"/>
      <c r="E95" s="43"/>
      <c r="F95" s="37"/>
      <c r="G95" s="38"/>
      <c r="H95" s="39"/>
    </row>
    <row r="96" spans="1:8" s="22" customFormat="1" ht="14.25" x14ac:dyDescent="0.3">
      <c r="A96" s="44" t="s">
        <v>165</v>
      </c>
      <c r="B96" s="41"/>
      <c r="C96" s="42"/>
      <c r="D96" s="43"/>
      <c r="E96" s="43"/>
      <c r="F96" s="37"/>
      <c r="G96" s="38"/>
      <c r="H96" s="39"/>
    </row>
    <row r="97" spans="1:8" s="22" customFormat="1" ht="13.5" x14ac:dyDescent="0.2">
      <c r="A97" s="45" t="s">
        <v>166</v>
      </c>
      <c r="B97" s="45"/>
      <c r="C97" s="45"/>
      <c r="D97" s="45"/>
      <c r="E97" s="45"/>
      <c r="F97" s="45"/>
      <c r="G97" s="45"/>
      <c r="H97" s="45"/>
    </row>
    <row r="98" spans="1:8" s="22" customFormat="1" ht="27.75" customHeight="1" x14ac:dyDescent="0.2">
      <c r="A98" s="45" t="s">
        <v>167</v>
      </c>
      <c r="B98" s="45"/>
      <c r="C98" s="45"/>
      <c r="D98" s="45"/>
      <c r="E98" s="45"/>
      <c r="F98" s="45"/>
      <c r="G98" s="45"/>
      <c r="H98" s="46"/>
    </row>
    <row r="99" spans="1:8" s="22" customFormat="1" ht="13.5" x14ac:dyDescent="0.2">
      <c r="A99" s="47" t="s">
        <v>168</v>
      </c>
      <c r="B99" s="47"/>
      <c r="C99" s="47"/>
      <c r="D99" s="47"/>
      <c r="E99" s="47"/>
      <c r="F99" s="47"/>
      <c r="G99" s="47"/>
      <c r="H99" s="46"/>
    </row>
    <row r="100" spans="1:8" s="22" customFormat="1" ht="53.25" customHeight="1" x14ac:dyDescent="0.2">
      <c r="A100" s="48" t="s">
        <v>169</v>
      </c>
      <c r="B100" s="48"/>
      <c r="C100" s="48"/>
      <c r="D100" s="48"/>
      <c r="E100" s="48"/>
      <c r="F100" s="48"/>
      <c r="G100" s="48"/>
      <c r="H100" s="46"/>
    </row>
    <row r="101" spans="1:8" s="22" customFormat="1" x14ac:dyDescent="0.2">
      <c r="A101" s="86"/>
      <c r="B101" s="86"/>
      <c r="C101" s="86"/>
      <c r="D101" s="86"/>
      <c r="E101" s="86"/>
      <c r="F101" s="86"/>
      <c r="G101" s="86"/>
      <c r="H101" s="87"/>
    </row>
    <row r="102" spans="1:8" s="22" customFormat="1" ht="14.25" x14ac:dyDescent="0.3">
      <c r="A102" s="49" t="s">
        <v>170</v>
      </c>
      <c r="B102" s="50"/>
      <c r="C102" s="51"/>
      <c r="D102" s="52"/>
      <c r="E102" s="52"/>
      <c r="F102" s="53"/>
      <c r="G102" s="38"/>
      <c r="H102" s="39"/>
    </row>
    <row r="103" spans="1:8" ht="39" x14ac:dyDescent="0.3">
      <c r="A103" s="54" t="s">
        <v>171</v>
      </c>
      <c r="B103" s="55" t="s">
        <v>172</v>
      </c>
      <c r="C103" s="56" t="s">
        <v>4</v>
      </c>
      <c r="D103" s="54" t="s">
        <v>173</v>
      </c>
      <c r="E103" s="54" t="s">
        <v>174</v>
      </c>
      <c r="F103" s="54" t="s">
        <v>175</v>
      </c>
      <c r="G103" s="39"/>
      <c r="H103" s="39"/>
    </row>
    <row r="104" spans="1:8" ht="14.25" x14ac:dyDescent="0.3">
      <c r="A104" s="17" t="s">
        <v>176</v>
      </c>
      <c r="B104" s="18" t="s">
        <v>177</v>
      </c>
      <c r="C104" s="19">
        <v>5000</v>
      </c>
      <c r="D104" s="20">
        <v>515.49</v>
      </c>
      <c r="E104" s="20">
        <v>507.35</v>
      </c>
      <c r="F104" s="20">
        <v>5.1253250000000001</v>
      </c>
      <c r="G104" s="39"/>
      <c r="H104" s="39"/>
    </row>
    <row r="105" spans="1:8" ht="14.25" x14ac:dyDescent="0.3">
      <c r="A105" s="17" t="s">
        <v>178</v>
      </c>
      <c r="B105" s="18" t="s">
        <v>177</v>
      </c>
      <c r="C105" s="19">
        <v>101400</v>
      </c>
      <c r="D105" s="20">
        <v>212.82434871999999</v>
      </c>
      <c r="E105" s="20">
        <v>214</v>
      </c>
      <c r="F105" s="20">
        <v>45.006136500000004</v>
      </c>
      <c r="G105" s="39"/>
      <c r="H105" s="39"/>
    </row>
    <row r="106" spans="1:8" ht="14.25" x14ac:dyDescent="0.3">
      <c r="A106" s="17" t="s">
        <v>179</v>
      </c>
      <c r="B106" s="18" t="s">
        <v>177</v>
      </c>
      <c r="C106" s="19">
        <v>1100</v>
      </c>
      <c r="D106" s="20">
        <v>734</v>
      </c>
      <c r="E106" s="20">
        <v>732.55</v>
      </c>
      <c r="F106" s="20">
        <v>1.6606893</v>
      </c>
      <c r="G106" s="39"/>
      <c r="H106" s="39"/>
    </row>
    <row r="107" spans="1:8" ht="14.25" x14ac:dyDescent="0.3">
      <c r="A107" s="17" t="s">
        <v>180</v>
      </c>
      <c r="B107" s="18" t="s">
        <v>177</v>
      </c>
      <c r="C107" s="19">
        <v>2250</v>
      </c>
      <c r="D107" s="20">
        <v>4522.8</v>
      </c>
      <c r="E107" s="20">
        <v>4725.7</v>
      </c>
      <c r="F107" s="20">
        <v>37.472512500000001</v>
      </c>
      <c r="G107" s="39"/>
      <c r="H107" s="39"/>
    </row>
    <row r="108" spans="1:8" ht="14.25" x14ac:dyDescent="0.3">
      <c r="A108" s="17" t="s">
        <v>181</v>
      </c>
      <c r="B108" s="18" t="s">
        <v>177</v>
      </c>
      <c r="C108" s="19">
        <v>22800</v>
      </c>
      <c r="D108" s="20">
        <v>111.3625</v>
      </c>
      <c r="E108" s="20">
        <v>126.35</v>
      </c>
      <c r="F108" s="20">
        <v>5.6440830000000002</v>
      </c>
      <c r="G108" s="39"/>
      <c r="H108" s="39"/>
    </row>
    <row r="109" spans="1:8" ht="14.25" x14ac:dyDescent="0.3">
      <c r="A109" s="17" t="s">
        <v>182</v>
      </c>
      <c r="B109" s="18" t="s">
        <v>177</v>
      </c>
      <c r="C109" s="19">
        <v>21000</v>
      </c>
      <c r="D109" s="20">
        <v>86.05</v>
      </c>
      <c r="E109" s="20">
        <v>88.3</v>
      </c>
      <c r="F109" s="20">
        <v>4.6932375000000004</v>
      </c>
      <c r="G109" s="39"/>
      <c r="H109" s="39"/>
    </row>
    <row r="110" spans="1:8" ht="14.25" x14ac:dyDescent="0.3">
      <c r="A110" s="17" t="s">
        <v>183</v>
      </c>
      <c r="B110" s="18" t="s">
        <v>177</v>
      </c>
      <c r="C110" s="19">
        <v>2500</v>
      </c>
      <c r="D110" s="20">
        <v>245.5</v>
      </c>
      <c r="E110" s="20">
        <v>265.8</v>
      </c>
      <c r="F110" s="20">
        <v>1.3229438</v>
      </c>
      <c r="G110" s="39"/>
      <c r="H110" s="39"/>
    </row>
    <row r="111" spans="1:8" ht="14.25" x14ac:dyDescent="0.3">
      <c r="A111" s="17" t="s">
        <v>184</v>
      </c>
      <c r="B111" s="18" t="s">
        <v>177</v>
      </c>
      <c r="C111" s="19">
        <v>102600</v>
      </c>
      <c r="D111" s="20">
        <v>300.60000000000002</v>
      </c>
      <c r="E111" s="20">
        <v>303.95</v>
      </c>
      <c r="F111" s="20">
        <v>71.241079499999998</v>
      </c>
      <c r="G111" s="39"/>
      <c r="H111" s="39"/>
    </row>
    <row r="112" spans="1:8" ht="14.25" x14ac:dyDescent="0.3">
      <c r="A112" s="17" t="s">
        <v>185</v>
      </c>
      <c r="B112" s="18" t="s">
        <v>177</v>
      </c>
      <c r="C112" s="19">
        <v>12350</v>
      </c>
      <c r="D112" s="20">
        <v>1012.3131004000001</v>
      </c>
      <c r="E112" s="20">
        <v>1012.45</v>
      </c>
      <c r="F112" s="20">
        <v>22.170231000000001</v>
      </c>
      <c r="G112" s="39"/>
      <c r="H112" s="39"/>
    </row>
    <row r="113" spans="1:8" ht="14.25" x14ac:dyDescent="0.3">
      <c r="A113" s="17" t="s">
        <v>186</v>
      </c>
      <c r="B113" s="18" t="s">
        <v>177</v>
      </c>
      <c r="C113" s="19">
        <v>4000</v>
      </c>
      <c r="D113" s="20">
        <v>651.79999999999995</v>
      </c>
      <c r="E113" s="20">
        <v>664.75</v>
      </c>
      <c r="F113" s="20">
        <v>5.0151599999999998</v>
      </c>
      <c r="G113" s="39"/>
      <c r="H113" s="39"/>
    </row>
    <row r="114" spans="1:8" ht="14.25" x14ac:dyDescent="0.3">
      <c r="A114" s="17" t="s">
        <v>187</v>
      </c>
      <c r="B114" s="18" t="s">
        <v>177</v>
      </c>
      <c r="C114" s="19">
        <v>13300</v>
      </c>
      <c r="D114" s="20">
        <v>942.05001578999997</v>
      </c>
      <c r="E114" s="20">
        <v>947.65</v>
      </c>
      <c r="F114" s="20">
        <v>22.3313983</v>
      </c>
      <c r="G114" s="39"/>
      <c r="H114" s="39"/>
    </row>
    <row r="115" spans="1:8" ht="14.25" x14ac:dyDescent="0.3">
      <c r="A115" s="17" t="s">
        <v>188</v>
      </c>
      <c r="B115" s="18" t="s">
        <v>177</v>
      </c>
      <c r="C115" s="19">
        <v>5000</v>
      </c>
      <c r="D115" s="20">
        <v>565.125</v>
      </c>
      <c r="E115" s="20">
        <v>573.20000000000005</v>
      </c>
      <c r="F115" s="20">
        <v>5.0837000000000003</v>
      </c>
      <c r="G115" s="39"/>
      <c r="H115" s="39"/>
    </row>
    <row r="116" spans="1:8" ht="14.25" x14ac:dyDescent="0.3">
      <c r="A116" s="17" t="s">
        <v>189</v>
      </c>
      <c r="B116" s="18" t="s">
        <v>177</v>
      </c>
      <c r="C116" s="19">
        <v>39200</v>
      </c>
      <c r="D116" s="20">
        <v>239.0821</v>
      </c>
      <c r="E116" s="20">
        <v>254.45</v>
      </c>
      <c r="F116" s="20">
        <v>26.583480000000002</v>
      </c>
      <c r="G116" s="39"/>
      <c r="H116" s="39"/>
    </row>
    <row r="117" spans="1:8" ht="14.25" x14ac:dyDescent="0.3">
      <c r="A117" s="17" t="s">
        <v>190</v>
      </c>
      <c r="B117" s="18" t="s">
        <v>177</v>
      </c>
      <c r="C117" s="19">
        <v>2875</v>
      </c>
      <c r="D117" s="20">
        <v>5031.7782043500001</v>
      </c>
      <c r="E117" s="20">
        <v>5144.05</v>
      </c>
      <c r="F117" s="20">
        <v>26.2299331</v>
      </c>
      <c r="G117" s="39"/>
      <c r="H117" s="39"/>
    </row>
    <row r="118" spans="1:8" ht="14.25" x14ac:dyDescent="0.3">
      <c r="A118" s="17" t="s">
        <v>191</v>
      </c>
      <c r="B118" s="18" t="s">
        <v>177</v>
      </c>
      <c r="C118" s="19">
        <v>28800</v>
      </c>
      <c r="D118" s="20">
        <v>208.81874999999999</v>
      </c>
      <c r="E118" s="20">
        <v>238.4</v>
      </c>
      <c r="F118" s="20">
        <v>12.091752</v>
      </c>
      <c r="G118" s="39"/>
      <c r="H118" s="39"/>
    </row>
    <row r="119" spans="1:8" ht="14.25" x14ac:dyDescent="0.3">
      <c r="A119" s="17" t="s">
        <v>192</v>
      </c>
      <c r="B119" s="18" t="s">
        <v>177</v>
      </c>
      <c r="C119" s="19">
        <v>158000</v>
      </c>
      <c r="D119" s="20">
        <v>295.97590886</v>
      </c>
      <c r="E119" s="20">
        <v>299.2</v>
      </c>
      <c r="F119" s="20">
        <v>97.527079999999998</v>
      </c>
      <c r="G119" s="39"/>
      <c r="H119" s="39"/>
    </row>
    <row r="120" spans="1:8" ht="14.25" x14ac:dyDescent="0.3">
      <c r="A120" s="17" t="s">
        <v>193</v>
      </c>
      <c r="B120" s="18" t="s">
        <v>177</v>
      </c>
      <c r="C120" s="19">
        <v>4275</v>
      </c>
      <c r="D120" s="20">
        <v>1728.66664444</v>
      </c>
      <c r="E120" s="20">
        <v>1745.7</v>
      </c>
      <c r="F120" s="20">
        <v>13.1566168</v>
      </c>
      <c r="G120" s="39"/>
      <c r="H120" s="39"/>
    </row>
    <row r="121" spans="1:8" ht="14.25" x14ac:dyDescent="0.3">
      <c r="A121" s="17" t="s">
        <v>194</v>
      </c>
      <c r="B121" s="18" t="s">
        <v>177</v>
      </c>
      <c r="C121" s="19">
        <v>29700</v>
      </c>
      <c r="D121" s="20">
        <v>1657.655</v>
      </c>
      <c r="E121" s="20">
        <v>1705.95</v>
      </c>
      <c r="F121" s="20">
        <v>89.586857300000005</v>
      </c>
      <c r="G121" s="39"/>
      <c r="H121" s="39"/>
    </row>
    <row r="122" spans="1:8" ht="14.25" x14ac:dyDescent="0.3">
      <c r="A122" s="17" t="s">
        <v>195</v>
      </c>
      <c r="B122" s="18" t="s">
        <v>177</v>
      </c>
      <c r="C122" s="19">
        <v>9600</v>
      </c>
      <c r="D122" s="20">
        <v>2663.02654063</v>
      </c>
      <c r="E122" s="20">
        <v>2694.95</v>
      </c>
      <c r="F122" s="20">
        <v>45.625727999999995</v>
      </c>
      <c r="G122" s="39"/>
      <c r="H122" s="39"/>
    </row>
    <row r="123" spans="1:8" ht="14.25" x14ac:dyDescent="0.3">
      <c r="A123" s="17" t="s">
        <v>196</v>
      </c>
      <c r="B123" s="18" t="s">
        <v>177</v>
      </c>
      <c r="C123" s="19">
        <v>51000</v>
      </c>
      <c r="D123" s="20">
        <v>116.97498</v>
      </c>
      <c r="E123" s="20">
        <v>124.3</v>
      </c>
      <c r="F123" s="20">
        <v>21.172139999999999</v>
      </c>
      <c r="G123" s="39"/>
      <c r="H123" s="39"/>
    </row>
    <row r="124" spans="1:8" ht="14.25" x14ac:dyDescent="0.3">
      <c r="A124" s="17" t="s">
        <v>197</v>
      </c>
      <c r="B124" s="18" t="s">
        <v>177</v>
      </c>
      <c r="C124" s="19">
        <v>1280000</v>
      </c>
      <c r="D124" s="20">
        <v>7.5906000000000002</v>
      </c>
      <c r="E124" s="20">
        <v>7.5</v>
      </c>
      <c r="F124" s="20">
        <v>31.625599999999999</v>
      </c>
      <c r="G124" s="39"/>
      <c r="H124" s="39"/>
    </row>
    <row r="125" spans="1:8" ht="14.25" x14ac:dyDescent="0.3">
      <c r="A125" s="17" t="s">
        <v>198</v>
      </c>
      <c r="B125" s="18" t="s">
        <v>177</v>
      </c>
      <c r="C125" s="19">
        <v>40000</v>
      </c>
      <c r="D125" s="20">
        <v>100.875</v>
      </c>
      <c r="E125" s="20">
        <v>103.5</v>
      </c>
      <c r="F125" s="20">
        <v>15.723000000000001</v>
      </c>
      <c r="G125" s="39"/>
      <c r="H125" s="39"/>
    </row>
    <row r="126" spans="1:8" ht="14.25" x14ac:dyDescent="0.3">
      <c r="A126" s="17" t="s">
        <v>199</v>
      </c>
      <c r="B126" s="18" t="s">
        <v>177</v>
      </c>
      <c r="C126" s="19">
        <v>2000</v>
      </c>
      <c r="D126" s="20">
        <v>387</v>
      </c>
      <c r="E126" s="20">
        <v>394.65</v>
      </c>
      <c r="F126" s="20">
        <v>1.63809</v>
      </c>
      <c r="G126" s="39"/>
      <c r="H126" s="39"/>
    </row>
    <row r="127" spans="1:8" ht="14.25" x14ac:dyDescent="0.3">
      <c r="A127" s="17" t="s">
        <v>200</v>
      </c>
      <c r="B127" s="18" t="s">
        <v>177</v>
      </c>
      <c r="C127" s="19">
        <v>9500</v>
      </c>
      <c r="D127" s="20">
        <v>1318.79206316</v>
      </c>
      <c r="E127" s="20">
        <v>1381.25</v>
      </c>
      <c r="F127" s="20">
        <v>28.7991788</v>
      </c>
      <c r="G127" s="39"/>
      <c r="H127" s="39"/>
    </row>
    <row r="128" spans="1:8" ht="14.25" x14ac:dyDescent="0.3">
      <c r="A128" s="17" t="s">
        <v>201</v>
      </c>
      <c r="B128" s="18" t="s">
        <v>177</v>
      </c>
      <c r="C128" s="19">
        <v>554200</v>
      </c>
      <c r="D128" s="20">
        <v>165.10582638</v>
      </c>
      <c r="E128" s="20">
        <v>165.55</v>
      </c>
      <c r="F128" s="20">
        <v>221.63566399999999</v>
      </c>
      <c r="G128" s="39"/>
      <c r="H128" s="39"/>
    </row>
    <row r="129" spans="1:8" ht="14.25" x14ac:dyDescent="0.3">
      <c r="A129" s="17" t="s">
        <v>202</v>
      </c>
      <c r="B129" s="18" t="s">
        <v>177</v>
      </c>
      <c r="C129" s="19">
        <v>29250</v>
      </c>
      <c r="D129" s="20">
        <v>89.8</v>
      </c>
      <c r="E129" s="20">
        <v>92</v>
      </c>
      <c r="F129" s="20">
        <v>4.7398943999999998</v>
      </c>
      <c r="G129" s="39"/>
      <c r="H129" s="39"/>
    </row>
    <row r="130" spans="1:8" ht="14.25" x14ac:dyDescent="0.3">
      <c r="A130" s="17" t="s">
        <v>203</v>
      </c>
      <c r="B130" s="18" t="s">
        <v>177</v>
      </c>
      <c r="C130" s="19">
        <v>9600</v>
      </c>
      <c r="D130" s="20">
        <v>455.79160000000002</v>
      </c>
      <c r="E130" s="20">
        <v>454.2</v>
      </c>
      <c r="F130" s="20">
        <v>7.6959119999999999</v>
      </c>
      <c r="G130" s="39"/>
      <c r="H130" s="39"/>
    </row>
    <row r="131" spans="1:8" ht="14.25" x14ac:dyDescent="0.3">
      <c r="A131" s="17" t="s">
        <v>204</v>
      </c>
      <c r="B131" s="18" t="s">
        <v>177</v>
      </c>
      <c r="C131" s="19">
        <v>15000</v>
      </c>
      <c r="D131" s="20">
        <v>586.45833332999996</v>
      </c>
      <c r="E131" s="20">
        <v>585.20000000000005</v>
      </c>
      <c r="F131" s="20">
        <v>21.5054625</v>
      </c>
      <c r="G131" s="39"/>
      <c r="H131" s="39"/>
    </row>
    <row r="132" spans="1:8" ht="14.25" x14ac:dyDescent="0.3">
      <c r="A132" s="17" t="s">
        <v>205</v>
      </c>
      <c r="B132" s="18" t="s">
        <v>177</v>
      </c>
      <c r="C132" s="19">
        <v>8100</v>
      </c>
      <c r="D132" s="20">
        <v>752.66666667000004</v>
      </c>
      <c r="E132" s="20">
        <v>784.7</v>
      </c>
      <c r="F132" s="20">
        <v>12.246228</v>
      </c>
      <c r="G132" s="39"/>
      <c r="H132" s="39"/>
    </row>
    <row r="133" spans="1:8" ht="14.25" x14ac:dyDescent="0.3">
      <c r="A133" s="17" t="s">
        <v>206</v>
      </c>
      <c r="B133" s="18" t="s">
        <v>177</v>
      </c>
      <c r="C133" s="19">
        <v>82000</v>
      </c>
      <c r="D133" s="20">
        <v>395.85730732000002</v>
      </c>
      <c r="E133" s="20">
        <v>395.2</v>
      </c>
      <c r="F133" s="20">
        <v>67.196129999999997</v>
      </c>
      <c r="G133" s="39"/>
      <c r="H133" s="39"/>
    </row>
    <row r="134" spans="1:8" ht="14.25" x14ac:dyDescent="0.3">
      <c r="A134" s="17" t="s">
        <v>207</v>
      </c>
      <c r="B134" s="18" t="s">
        <v>177</v>
      </c>
      <c r="C134" s="19">
        <v>18600</v>
      </c>
      <c r="D134" s="20">
        <v>2404.6782548400001</v>
      </c>
      <c r="E134" s="20">
        <v>2486.15</v>
      </c>
      <c r="F134" s="20">
        <v>81.686549999999997</v>
      </c>
      <c r="G134" s="39"/>
      <c r="H134" s="39"/>
    </row>
    <row r="135" spans="1:8" ht="14.25" x14ac:dyDescent="0.3">
      <c r="A135" s="17" t="s">
        <v>208</v>
      </c>
      <c r="B135" s="18" t="s">
        <v>177</v>
      </c>
      <c r="C135" s="19">
        <v>318000</v>
      </c>
      <c r="D135" s="20">
        <v>125.90556981</v>
      </c>
      <c r="E135" s="20">
        <v>133.30000000000001</v>
      </c>
      <c r="F135" s="20">
        <v>106.754985</v>
      </c>
      <c r="G135" s="39"/>
      <c r="H135" s="39"/>
    </row>
    <row r="136" spans="1:8" ht="14.25" x14ac:dyDescent="0.3">
      <c r="A136" s="17" t="s">
        <v>209</v>
      </c>
      <c r="B136" s="18" t="s">
        <v>177</v>
      </c>
      <c r="C136" s="19">
        <v>24500</v>
      </c>
      <c r="D136" s="20">
        <v>911.47</v>
      </c>
      <c r="E136" s="20">
        <v>918.8</v>
      </c>
      <c r="F136" s="20">
        <v>39.657415</v>
      </c>
      <c r="G136" s="39"/>
      <c r="H136" s="39"/>
    </row>
    <row r="137" spans="1:8" ht="14.25" x14ac:dyDescent="0.3">
      <c r="A137" s="17" t="s">
        <v>210</v>
      </c>
      <c r="B137" s="18" t="s">
        <v>177</v>
      </c>
      <c r="C137" s="19">
        <v>2400</v>
      </c>
      <c r="D137" s="20">
        <v>1436.8667</v>
      </c>
      <c r="E137" s="20">
        <v>1499.9</v>
      </c>
      <c r="F137" s="20">
        <v>8.2790099999999995</v>
      </c>
      <c r="G137" s="39"/>
      <c r="H137" s="39"/>
    </row>
    <row r="138" spans="1:8" ht="14.25" x14ac:dyDescent="0.3">
      <c r="A138" s="17" t="s">
        <v>211</v>
      </c>
      <c r="B138" s="18" t="s">
        <v>177</v>
      </c>
      <c r="C138" s="19">
        <v>240</v>
      </c>
      <c r="D138" s="20">
        <v>22711.26670833</v>
      </c>
      <c r="E138" s="20">
        <v>23037.5</v>
      </c>
      <c r="F138" s="20">
        <v>9.7657451999999996</v>
      </c>
      <c r="G138" s="39"/>
      <c r="H138" s="39"/>
    </row>
    <row r="139" spans="1:8" ht="14.25" x14ac:dyDescent="0.3">
      <c r="A139" s="17" t="s">
        <v>212</v>
      </c>
      <c r="B139" s="18" t="s">
        <v>177</v>
      </c>
      <c r="C139" s="19">
        <v>387000</v>
      </c>
      <c r="D139" s="20">
        <v>107.80346744000001</v>
      </c>
      <c r="E139" s="20">
        <v>105.45</v>
      </c>
      <c r="F139" s="20">
        <v>85.304474999999996</v>
      </c>
      <c r="G139" s="39"/>
      <c r="H139" s="39"/>
    </row>
    <row r="140" spans="1:8" ht="14.25" x14ac:dyDescent="0.3">
      <c r="A140" s="17" t="s">
        <v>213</v>
      </c>
      <c r="B140" s="18" t="s">
        <v>177</v>
      </c>
      <c r="C140" s="19">
        <v>16500</v>
      </c>
      <c r="D140" s="20">
        <v>871.98180485</v>
      </c>
      <c r="E140" s="20">
        <v>947.9</v>
      </c>
      <c r="F140" s="20">
        <v>38.951508799999999</v>
      </c>
      <c r="G140" s="39"/>
      <c r="H140" s="39"/>
    </row>
    <row r="141" spans="1:8" ht="14.25" x14ac:dyDescent="0.3">
      <c r="A141" s="17" t="s">
        <v>214</v>
      </c>
      <c r="B141" s="18" t="s">
        <v>177</v>
      </c>
      <c r="C141" s="19">
        <v>224000</v>
      </c>
      <c r="D141" s="20">
        <v>52.528514289999997</v>
      </c>
      <c r="E141" s="20">
        <v>52.05</v>
      </c>
      <c r="F141" s="20">
        <v>27.443919999999999</v>
      </c>
      <c r="G141" s="39"/>
      <c r="H141" s="39"/>
    </row>
    <row r="142" spans="1:8" ht="14.25" x14ac:dyDescent="0.3">
      <c r="A142" s="17" t="s">
        <v>215</v>
      </c>
      <c r="B142" s="18" t="s">
        <v>177</v>
      </c>
      <c r="C142" s="19">
        <v>13500</v>
      </c>
      <c r="D142" s="20">
        <v>2526.4805555600001</v>
      </c>
      <c r="E142" s="20">
        <v>2564.6999999999998</v>
      </c>
      <c r="F142" s="20">
        <v>61.193306299999996</v>
      </c>
      <c r="G142" s="39"/>
      <c r="H142" s="39"/>
    </row>
    <row r="143" spans="1:8" ht="14.25" x14ac:dyDescent="0.3">
      <c r="A143" s="17" t="s">
        <v>216</v>
      </c>
      <c r="B143" s="18" t="s">
        <v>177</v>
      </c>
      <c r="C143" s="19">
        <v>2800</v>
      </c>
      <c r="D143" s="20">
        <v>986.6875</v>
      </c>
      <c r="E143" s="20">
        <v>1056.0999999999999</v>
      </c>
      <c r="F143" s="20">
        <v>5.223204</v>
      </c>
      <c r="G143" s="39"/>
      <c r="H143" s="39"/>
    </row>
    <row r="144" spans="1:8" ht="14.25" x14ac:dyDescent="0.3">
      <c r="A144" s="17" t="s">
        <v>217</v>
      </c>
      <c r="B144" s="18" t="s">
        <v>177</v>
      </c>
      <c r="C144" s="19">
        <v>226125</v>
      </c>
      <c r="D144" s="20">
        <v>219.90221643000001</v>
      </c>
      <c r="E144" s="20">
        <v>223.5</v>
      </c>
      <c r="F144" s="20">
        <v>101.8071281</v>
      </c>
      <c r="G144" s="39"/>
      <c r="H144" s="39"/>
    </row>
    <row r="145" spans="1:8" ht="14.25" x14ac:dyDescent="0.3">
      <c r="A145" s="17" t="s">
        <v>218</v>
      </c>
      <c r="B145" s="18" t="s">
        <v>177</v>
      </c>
      <c r="C145" s="19">
        <v>330000</v>
      </c>
      <c r="D145" s="20">
        <v>111.06413999999999</v>
      </c>
      <c r="E145" s="20">
        <v>112.5</v>
      </c>
      <c r="F145" s="20">
        <v>76.848749999999995</v>
      </c>
      <c r="G145" s="39"/>
      <c r="H145" s="39"/>
    </row>
    <row r="146" spans="1:8" ht="14.25" x14ac:dyDescent="0.3">
      <c r="A146" s="17" t="s">
        <v>219</v>
      </c>
      <c r="B146" s="18" t="s">
        <v>177</v>
      </c>
      <c r="C146" s="19">
        <v>4800</v>
      </c>
      <c r="D146" s="20">
        <v>1096.20625</v>
      </c>
      <c r="E146" s="20">
        <v>1137.8</v>
      </c>
      <c r="F146" s="20">
        <v>9.9903840000000006</v>
      </c>
      <c r="G146" s="39"/>
      <c r="H146" s="39"/>
    </row>
    <row r="147" spans="1:8" ht="14.25" x14ac:dyDescent="0.3">
      <c r="A147" s="17" t="s">
        <v>220</v>
      </c>
      <c r="B147" s="18" t="s">
        <v>177</v>
      </c>
      <c r="C147" s="19">
        <v>5200</v>
      </c>
      <c r="D147" s="20">
        <v>1756.17688462</v>
      </c>
      <c r="E147" s="20">
        <v>1777.4</v>
      </c>
      <c r="F147" s="20">
        <v>17.995055000000001</v>
      </c>
      <c r="G147" s="39"/>
      <c r="H147" s="39"/>
    </row>
    <row r="148" spans="1:8" ht="14.25" x14ac:dyDescent="0.3">
      <c r="A148" s="17" t="s">
        <v>221</v>
      </c>
      <c r="B148" s="18" t="s">
        <v>177</v>
      </c>
      <c r="C148" s="19">
        <v>600</v>
      </c>
      <c r="D148" s="20">
        <v>8219.4416333299996</v>
      </c>
      <c r="E148" s="20">
        <v>8306.9</v>
      </c>
      <c r="F148" s="20">
        <v>8.8222304999999999</v>
      </c>
      <c r="G148" s="39"/>
      <c r="H148" s="39"/>
    </row>
    <row r="149" spans="1:8" ht="14.25" x14ac:dyDescent="0.3">
      <c r="A149" s="17" t="s">
        <v>222</v>
      </c>
      <c r="B149" s="18" t="s">
        <v>177</v>
      </c>
      <c r="C149" s="19">
        <v>84000</v>
      </c>
      <c r="D149" s="20">
        <v>194.73211429</v>
      </c>
      <c r="E149" s="20">
        <v>178.5</v>
      </c>
      <c r="F149" s="20">
        <v>38.871630000000003</v>
      </c>
      <c r="G149" s="39"/>
      <c r="H149" s="39"/>
    </row>
    <row r="151" spans="1:8" ht="14.25" x14ac:dyDescent="0.3">
      <c r="A151" s="57" t="s">
        <v>223</v>
      </c>
      <c r="B151" s="58"/>
      <c r="C151" s="59"/>
      <c r="D151" s="39"/>
      <c r="E151" s="57"/>
      <c r="F151" s="58"/>
    </row>
    <row r="152" spans="1:8" ht="14.25" x14ac:dyDescent="0.3">
      <c r="A152" s="60"/>
      <c r="B152" s="50"/>
      <c r="C152" s="61"/>
      <c r="D152" s="39"/>
      <c r="E152" s="62"/>
      <c r="F152" s="62"/>
      <c r="G152" s="62"/>
    </row>
    <row r="153" spans="1:8" ht="14.25" x14ac:dyDescent="0.3">
      <c r="A153" s="63" t="s">
        <v>224</v>
      </c>
      <c r="B153" s="63"/>
      <c r="C153" s="63"/>
      <c r="D153" s="64"/>
      <c r="E153" s="62"/>
      <c r="F153" s="62"/>
      <c r="G153" s="62"/>
    </row>
    <row r="154" spans="1:8" ht="14.25" x14ac:dyDescent="0.3">
      <c r="A154" s="65" t="s">
        <v>225</v>
      </c>
      <c r="B154" s="66"/>
      <c r="C154" s="67"/>
      <c r="D154" s="68"/>
      <c r="E154" s="62"/>
      <c r="F154" s="62"/>
      <c r="G154" s="62"/>
    </row>
    <row r="155" spans="1:8" ht="14.25" x14ac:dyDescent="0.3">
      <c r="A155" s="69" t="s">
        <v>226</v>
      </c>
      <c r="B155" s="69"/>
      <c r="C155" s="69"/>
      <c r="D155" s="27">
        <v>1164</v>
      </c>
      <c r="E155" s="62"/>
      <c r="F155" s="62"/>
      <c r="G155" s="62"/>
    </row>
    <row r="156" spans="1:8" ht="14.25" x14ac:dyDescent="0.3">
      <c r="A156" s="69" t="s">
        <v>227</v>
      </c>
      <c r="B156" s="69"/>
      <c r="C156" s="69"/>
      <c r="D156" s="70">
        <v>1324</v>
      </c>
      <c r="E156" s="62"/>
      <c r="F156" s="62"/>
      <c r="G156" s="62"/>
    </row>
    <row r="157" spans="1:8" ht="14.25" x14ac:dyDescent="0.3">
      <c r="A157" s="69" t="s">
        <v>228</v>
      </c>
      <c r="B157" s="69"/>
      <c r="C157" s="69"/>
      <c r="D157" s="71">
        <v>8238.4107119750006</v>
      </c>
      <c r="E157" s="62"/>
      <c r="F157" s="62"/>
      <c r="G157" s="62"/>
    </row>
    <row r="158" spans="1:8" ht="14.25" x14ac:dyDescent="0.3">
      <c r="A158" s="69" t="s">
        <v>229</v>
      </c>
      <c r="B158" s="69"/>
      <c r="C158" s="69"/>
      <c r="D158" s="71">
        <v>8938.6973222250017</v>
      </c>
      <c r="E158" s="62"/>
      <c r="F158" s="62"/>
      <c r="G158" s="62"/>
    </row>
    <row r="159" spans="1:8" ht="14.25" x14ac:dyDescent="0.3">
      <c r="A159" s="69" t="s">
        <v>230</v>
      </c>
      <c r="B159" s="69"/>
      <c r="C159" s="69"/>
      <c r="D159" s="72">
        <v>-275.18</v>
      </c>
      <c r="E159" s="62"/>
      <c r="F159" s="62"/>
      <c r="G159" s="73"/>
    </row>
    <row r="160" spans="1:8" ht="14.25" x14ac:dyDescent="0.3">
      <c r="A160" s="60"/>
      <c r="B160" s="50"/>
      <c r="C160" s="39"/>
      <c r="D160" s="39"/>
      <c r="E160" s="62"/>
      <c r="F160" s="62"/>
      <c r="G160" s="62"/>
    </row>
    <row r="161" spans="1:7" ht="14.25" x14ac:dyDescent="0.3">
      <c r="A161" s="74" t="s">
        <v>231</v>
      </c>
      <c r="B161" s="74"/>
      <c r="C161" s="74"/>
      <c r="D161" s="39"/>
      <c r="E161" s="62"/>
      <c r="F161" s="62"/>
      <c r="G161" s="73"/>
    </row>
    <row r="162" spans="1:7" ht="14.25" x14ac:dyDescent="0.3">
      <c r="A162" s="65" t="s">
        <v>232</v>
      </c>
      <c r="B162" s="66"/>
      <c r="C162" s="67"/>
      <c r="D162" s="68"/>
      <c r="E162" s="62"/>
      <c r="F162" s="62"/>
      <c r="G162" s="73"/>
    </row>
    <row r="163" spans="1:7" ht="14.25" x14ac:dyDescent="0.3">
      <c r="A163" s="69" t="s">
        <v>226</v>
      </c>
      <c r="B163" s="69"/>
      <c r="C163" s="75"/>
      <c r="D163" s="76" t="s">
        <v>233</v>
      </c>
      <c r="E163" s="62"/>
      <c r="F163" s="62"/>
      <c r="G163" s="62"/>
    </row>
    <row r="164" spans="1:7" ht="14.25" x14ac:dyDescent="0.3">
      <c r="A164" s="69" t="s">
        <v>227</v>
      </c>
      <c r="B164" s="69"/>
      <c r="C164" s="75"/>
      <c r="D164" s="76" t="s">
        <v>233</v>
      </c>
      <c r="E164" s="62"/>
      <c r="F164" s="62"/>
      <c r="G164" s="62"/>
    </row>
    <row r="165" spans="1:7" ht="14.25" x14ac:dyDescent="0.3">
      <c r="A165" s="69" t="s">
        <v>228</v>
      </c>
      <c r="B165" s="69"/>
      <c r="C165" s="75"/>
      <c r="D165" s="76" t="s">
        <v>233</v>
      </c>
      <c r="E165" s="62"/>
      <c r="F165" s="62"/>
      <c r="G165" s="62"/>
    </row>
    <row r="166" spans="1:7" ht="14.25" x14ac:dyDescent="0.3">
      <c r="A166" s="69" t="s">
        <v>229</v>
      </c>
      <c r="B166" s="69"/>
      <c r="C166" s="75"/>
      <c r="D166" s="76" t="s">
        <v>233</v>
      </c>
      <c r="E166" s="62"/>
      <c r="F166" s="62"/>
      <c r="G166" s="62"/>
    </row>
    <row r="167" spans="1:7" ht="14.25" x14ac:dyDescent="0.3">
      <c r="A167" s="69" t="s">
        <v>230</v>
      </c>
      <c r="B167" s="69"/>
      <c r="C167" s="75"/>
      <c r="D167" s="76" t="s">
        <v>233</v>
      </c>
      <c r="E167" s="62"/>
      <c r="F167" s="62"/>
      <c r="G167" s="62"/>
    </row>
    <row r="168" spans="1:7" ht="14.25" x14ac:dyDescent="0.3">
      <c r="A168" s="77"/>
      <c r="B168" s="58"/>
      <c r="C168" s="78"/>
      <c r="D168" s="39"/>
      <c r="E168" s="62"/>
      <c r="F168" s="62"/>
      <c r="G168" s="62"/>
    </row>
    <row r="169" spans="1:7" ht="14.25" x14ac:dyDescent="0.3">
      <c r="A169" s="79" t="s">
        <v>234</v>
      </c>
      <c r="B169" s="80"/>
      <c r="C169" s="80"/>
      <c r="D169" s="39"/>
      <c r="E169" s="62"/>
      <c r="F169" s="62"/>
      <c r="G169" s="62"/>
    </row>
    <row r="170" spans="1:7" ht="14.25" x14ac:dyDescent="0.3">
      <c r="A170" s="62" t="s">
        <v>235</v>
      </c>
      <c r="B170" s="80"/>
      <c r="C170" s="80"/>
      <c r="D170" s="39"/>
      <c r="E170" s="62"/>
      <c r="F170" s="62"/>
      <c r="G170" s="62"/>
    </row>
    <row r="171" spans="1:7" ht="14.25" x14ac:dyDescent="0.3">
      <c r="A171" s="62" t="s">
        <v>236</v>
      </c>
      <c r="B171" s="62"/>
      <c r="C171" s="62"/>
      <c r="D171" s="39"/>
      <c r="E171" s="62"/>
      <c r="F171" s="62"/>
      <c r="G171" s="62"/>
    </row>
    <row r="172" spans="1:7" ht="14.25" x14ac:dyDescent="0.3">
      <c r="A172" s="62" t="s">
        <v>237</v>
      </c>
      <c r="B172" s="62"/>
      <c r="C172" s="62"/>
      <c r="D172" s="39"/>
      <c r="E172" s="62"/>
      <c r="F172" s="62"/>
    </row>
    <row r="173" spans="1:7" ht="14.25" x14ac:dyDescent="0.3">
      <c r="A173" s="62"/>
      <c r="B173" s="80"/>
      <c r="C173" s="80"/>
      <c r="D173" s="39"/>
      <c r="E173" s="62"/>
      <c r="F173" s="80"/>
    </row>
    <row r="174" spans="1:7" ht="14.25" x14ac:dyDescent="0.3">
      <c r="A174" s="81" t="s">
        <v>238</v>
      </c>
      <c r="B174" s="82" t="s">
        <v>239</v>
      </c>
      <c r="C174" s="82"/>
      <c r="D174" s="39"/>
      <c r="E174" s="81"/>
      <c r="F174" s="82"/>
    </row>
    <row r="175" spans="1:7" ht="14.25" x14ac:dyDescent="0.3">
      <c r="A175" s="80"/>
      <c r="B175" s="80"/>
      <c r="C175" s="80"/>
      <c r="D175" s="39"/>
      <c r="E175" s="80"/>
      <c r="F175" s="80"/>
    </row>
    <row r="176" spans="1:7" ht="14.25" x14ac:dyDescent="0.3">
      <c r="A176" s="80"/>
      <c r="B176" s="80"/>
      <c r="C176" s="80"/>
      <c r="D176" s="39"/>
      <c r="E176" s="80"/>
      <c r="F176" s="80"/>
    </row>
    <row r="177" spans="1:6" ht="14.25" x14ac:dyDescent="0.3">
      <c r="A177" s="80"/>
      <c r="B177" s="80"/>
      <c r="C177" s="80"/>
      <c r="D177" s="39"/>
      <c r="E177" s="80"/>
      <c r="F177" s="80"/>
    </row>
    <row r="178" spans="1:6" ht="14.25" x14ac:dyDescent="0.3">
      <c r="A178" s="80"/>
      <c r="B178" s="80"/>
      <c r="C178" s="80"/>
      <c r="D178" s="39"/>
      <c r="E178" s="80"/>
      <c r="F178" s="80"/>
    </row>
    <row r="179" spans="1:6" ht="14.25" x14ac:dyDescent="0.3">
      <c r="A179" s="80"/>
      <c r="B179" s="80"/>
      <c r="C179" s="80"/>
      <c r="D179" s="39"/>
      <c r="E179" s="80"/>
      <c r="F179" s="80"/>
    </row>
    <row r="180" spans="1:6" ht="14.25" x14ac:dyDescent="0.3">
      <c r="A180" s="80"/>
      <c r="B180" s="80"/>
      <c r="C180" s="80"/>
      <c r="D180" s="39"/>
      <c r="E180" s="80"/>
      <c r="F180" s="80"/>
    </row>
    <row r="181" spans="1:6" ht="14.25" x14ac:dyDescent="0.3">
      <c r="A181" s="80"/>
      <c r="B181" s="80"/>
      <c r="C181" s="80"/>
      <c r="D181" s="39"/>
      <c r="E181" s="80"/>
      <c r="F181" s="80"/>
    </row>
    <row r="182" spans="1:6" x14ac:dyDescent="0.2">
      <c r="E182" s="83"/>
      <c r="F182" s="84"/>
    </row>
    <row r="183" spans="1:6" ht="14.25" x14ac:dyDescent="0.3">
      <c r="A183" s="57"/>
      <c r="B183" s="58"/>
      <c r="C183" s="59"/>
      <c r="D183" s="39"/>
      <c r="E183" s="57"/>
      <c r="F183" s="58"/>
    </row>
    <row r="184" spans="1:6" ht="14.25" x14ac:dyDescent="0.3">
      <c r="A184" s="60"/>
      <c r="B184" s="50"/>
      <c r="C184" s="61"/>
      <c r="D184" s="39"/>
      <c r="E184" s="60"/>
      <c r="F184" s="50"/>
    </row>
  </sheetData>
  <mergeCells count="17">
    <mergeCell ref="A163:C163"/>
    <mergeCell ref="A164:C164"/>
    <mergeCell ref="A165:C165"/>
    <mergeCell ref="A166:C166"/>
    <mergeCell ref="A167:C167"/>
    <mergeCell ref="A153:C153"/>
    <mergeCell ref="A155:C155"/>
    <mergeCell ref="A156:C156"/>
    <mergeCell ref="A157:C157"/>
    <mergeCell ref="A158:C158"/>
    <mergeCell ref="A159:C159"/>
    <mergeCell ref="A1:H1"/>
    <mergeCell ref="A2:H2"/>
    <mergeCell ref="A97:H97"/>
    <mergeCell ref="A98:H98"/>
    <mergeCell ref="A99:H99"/>
    <mergeCell ref="A100:H100"/>
  </mergeCells>
  <pageMargins left="0.75" right="0.25" top="1" bottom="1" header="0.5" footer="0.5"/>
  <pageSetup paperSize="9" scale="5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2023-07-03T13:39:04Z</dcterms:created>
  <dcterms:modified xsi:type="dcterms:W3CDTF">2023-07-03T13:53:55Z</dcterms:modified>
</cp:coreProperties>
</file>