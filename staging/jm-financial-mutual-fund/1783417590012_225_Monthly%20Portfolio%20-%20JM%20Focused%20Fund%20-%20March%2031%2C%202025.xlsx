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Focused Fund" sheetId="1" r:id="rId1"/>
  </sheets>
  <definedNames>
    <definedName name="_xlnm._FilterDatabase" localSheetId="0" hidden="1">'JM Focused Fund'!$A$4:$H$59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 l="1"/>
  <c r="D59" i="1"/>
  <c r="D35" i="1" l="1"/>
  <c r="E35" i="1"/>
  <c r="E58" i="1" l="1"/>
  <c r="D58" i="1"/>
  <c r="E54" i="1"/>
  <c r="D54" i="1"/>
  <c r="E40" i="1"/>
  <c r="D40" i="1"/>
</calcChain>
</file>

<file path=xl/sharedStrings.xml><?xml version="1.0" encoding="utf-8"?>
<sst xmlns="http://schemas.openxmlformats.org/spreadsheetml/2006/main" count="143" uniqueCount="115">
  <si>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</si>
  <si>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</si>
  <si>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</si>
  <si>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</si>
  <si>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</si>
  <si>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</si>
  <si>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</si>
  <si>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</si>
  <si>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</si>
  <si>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</si>
  <si>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</si>
  <si>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</si>
  <si>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</si>
  <si>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</si>
  <si>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</si>
  <si>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</si>
  <si>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</si>
  <si>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</si>
  <si>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</si>
  <si>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</si>
  <si>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Focused Fund  (An open-ended equity scheme investing in maximum of 30 stocks of large cap, mid cap and small cap companies.)</t>
  </si>
  <si>
    <t>JM Financial Mutual Fund</t>
  </si>
  <si>
    <t>Equity &amp; Equity related</t>
  </si>
  <si>
    <t>a) Listed / awaiting listing on Stock Exchanges</t>
  </si>
  <si>
    <t>INE009A01021</t>
  </si>
  <si>
    <t>INE296A01024</t>
  </si>
  <si>
    <t>INE280A01028</t>
  </si>
  <si>
    <t>INE090A01021</t>
  </si>
  <si>
    <t>INE040A01034</t>
  </si>
  <si>
    <t>INE646L01027</t>
  </si>
  <si>
    <t>INE585B01010</t>
  </si>
  <si>
    <t>INE397D01024</t>
  </si>
  <si>
    <t>INE00H001014</t>
  </si>
  <si>
    <t>INE371P01015</t>
  </si>
  <si>
    <t>Gas</t>
  </si>
  <si>
    <t>INE002S01010</t>
  </si>
  <si>
    <t>INE020B01018</t>
  </si>
  <si>
    <t>INE013P01021</t>
  </si>
  <si>
    <t>Healthcare Services</t>
  </si>
  <si>
    <t>INE027H01010</t>
  </si>
  <si>
    <t>INE836A01035</t>
  </si>
  <si>
    <t>INE758T01015</t>
  </si>
  <si>
    <t>INE200M01039</t>
  </si>
  <si>
    <t>INE501A01019</t>
  </si>
  <si>
    <t>INE849A01020</t>
  </si>
  <si>
    <t>Construction</t>
  </si>
  <si>
    <t>INE018A01030</t>
  </si>
  <si>
    <t>INE191A01027</t>
  </si>
  <si>
    <t>INE797F01020</t>
  </si>
  <si>
    <t>INE880J01026</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</si>
  <si>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</si>
  <si>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</si>
  <si>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</si>
  <si>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</si>
  <si>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</si>
  <si>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</si>
  <si>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</si>
  <si>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</si>
  <si>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</si>
  <si>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</si>
  <si>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</si>
  <si>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GRAND TOTAL</t>
  </si>
  <si>
    <t>IT - Software</t>
  </si>
  <si>
    <t>Finance</t>
  </si>
  <si>
    <t>Consumer Durables</t>
  </si>
  <si>
    <t>Banks</t>
  </si>
  <si>
    <t>Transport Services</t>
  </si>
  <si>
    <t>Automobiles</t>
  </si>
  <si>
    <t>Telecom - Services</t>
  </si>
  <si>
    <t>Retailing</t>
  </si>
  <si>
    <t>Pharmaceuticals &amp; Biotechnology</t>
  </si>
  <si>
    <t>Beverages</t>
  </si>
  <si>
    <t>Chemicals &amp; Petrochemicals</t>
  </si>
  <si>
    <t>Leisure Services</t>
  </si>
  <si>
    <t>Transport Infrastructure</t>
  </si>
  <si>
    <t>Cash &amp; Cash Equivalents</t>
  </si>
  <si>
    <t>Net Receivable/Payable</t>
  </si>
  <si>
    <t>INE121A01024</t>
  </si>
  <si>
    <t>INE066A01021</t>
  </si>
  <si>
    <t>CCIL</t>
  </si>
  <si>
    <t>Monthly Portfolio Statement for the period ended 31.03.2025</t>
  </si>
  <si>
    <t>Bajaj Finance Limited</t>
  </si>
  <si>
    <t>Cholamandalam Invest &amp; Finance Co Ltd</t>
  </si>
  <si>
    <t>InterGlobe Aviation Limited</t>
  </si>
  <si>
    <t>HDFC Bank Limited</t>
  </si>
  <si>
    <t>REC Limited</t>
  </si>
  <si>
    <t>Amber Enterprises India Limited</t>
  </si>
  <si>
    <t>ICICI Bank Limited</t>
  </si>
  <si>
    <t>Eicher Motors Limited</t>
  </si>
  <si>
    <t>Maruti Suzuki India Limited</t>
  </si>
  <si>
    <t>Infosys Limited</t>
  </si>
  <si>
    <t>Varun Beverages Limited</t>
  </si>
  <si>
    <t>Bharti Airtel Limited</t>
  </si>
  <si>
    <t>Jubilant Foodworks Limited</t>
  </si>
  <si>
    <t>JSW Infrastructure Limited</t>
  </si>
  <si>
    <t>PB Fintech Limited</t>
  </si>
  <si>
    <t>Financial Technology (Fintech)</t>
  </si>
  <si>
    <t>Trent Limited</t>
  </si>
  <si>
    <t>Max Healthcare Institute Limited</t>
  </si>
  <si>
    <t>Titan Company Limited</t>
  </si>
  <si>
    <t>Cummins India Limited</t>
  </si>
  <si>
    <t>Industrial Products</t>
  </si>
  <si>
    <t>One Source Specialty Pharma Ltd</t>
  </si>
  <si>
    <t>Mahanagar Gas Limited</t>
  </si>
  <si>
    <t>Larsen &amp; Toubro Limited</t>
  </si>
  <si>
    <t>Tata Steel Limited</t>
  </si>
  <si>
    <t>Ferrous Metals</t>
  </si>
  <si>
    <t>Zomato Limited</t>
  </si>
  <si>
    <t>Deepak Fertilizers and Petro. Corp. Ltd</t>
  </si>
  <si>
    <t>Birlasoft Ltd</t>
  </si>
  <si>
    <t>SWIGGY LIMITED</t>
  </si>
  <si>
    <t>Orchid Pharma Limited</t>
  </si>
  <si>
    <t>INE417T01026</t>
  </si>
  <si>
    <t>INE298A01020</t>
  </si>
  <si>
    <t>INE081A01020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</si>
</sst>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cellStyleXfs>
  <cellXfs count="5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7" fillId="0" borderId="0" xfId="3" applyFont="1" applyAlignment="1">
      <alignment horizontal="center"/>
    </xf>
    <xf numFmtId="0" fontId="8" fillId="0" borderId="0" xfId="2" applyFont="1" applyAlignment="1">
      <alignment horizontal="left" wrapText="1"/>
    </xf>
    <xf numFmtId="0" fontId="9" fillId="0" borderId="0" xfId="4" applyFont="1"/>
    <xf numFmtId="0" fontId="4" fillId="0" borderId="0" xfId="2" applyFont="1" applyAlignment="1">
      <alignment horizontal="right"/>
    </xf>
    <xf numFmtId="0" fontId="7" fillId="0" borderId="0" xfId="4" applyFont="1"/>
    <xf numFmtId="165" fontId="4" fillId="0" borderId="0" xfId="5" applyNumberFormat="1" applyFont="1" applyFill="1"/>
    <xf numFmtId="0" fontId="4" fillId="0" borderId="0" xfId="0" applyFont="1"/>
    <xf numFmtId="0" fontId="4"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5"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5" fillId="0" borderId="1" xfId="0" applyFont="1" applyBorder="1" applyAlignment="1">
      <alignment horizontal="left" wrapText="1"/>
    </xf>
    <xf numFmtId="0" fontId="1" fillId="0" borderId="0" xfId="0" applyFont="1" applyAlignment="1">
      <alignment horizontal="center"/>
    </xf>
    <xf numFmtId="0" fontId="5" fillId="0" borderId="1" xfId="0" applyFont="1" applyBorder="1" applyAlignment="1">
      <alignment horizontal="center" vertical="center" wrapText="1"/>
    </xf>
    <xf numFmtId="165" fontId="5" fillId="0" borderId="1" xfId="1" applyNumberFormat="1" applyFont="1" applyFill="1" applyBorder="1" applyAlignment="1">
      <alignment horizontal="center" vertical="center"/>
    </xf>
    <xf numFmtId="0" fontId="5" fillId="0" borderId="1" xfId="0" applyFont="1" applyBorder="1" applyAlignment="1">
      <alignment horizontal="left" vertical="center" wrapText="1"/>
    </xf>
    <xf numFmtId="4" fontId="5" fillId="0" borderId="1" xfId="0" applyNumberFormat="1" applyFont="1" applyBorder="1" applyAlignment="1">
      <alignment horizontal="center" wrapText="1"/>
    </xf>
    <xf numFmtId="10" fontId="5"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5" fillId="0" borderId="1" xfId="2" applyFont="1" applyBorder="1" applyAlignment="1">
      <alignment wrapText="1"/>
    </xf>
    <xf numFmtId="0" fontId="4" fillId="0" borderId="1" xfId="2" applyFont="1" applyBorder="1" applyAlignment="1">
      <alignment wrapText="1"/>
    </xf>
    <xf numFmtId="10" fontId="5" fillId="0" borderId="1" xfId="8" applyNumberFormat="1" applyFont="1" applyBorder="1" applyAlignment="1">
      <alignment horizontal="center" wrapText="1"/>
    </xf>
    <xf numFmtId="10" fontId="4" fillId="0" borderId="1" xfId="0" applyNumberFormat="1" applyFont="1" applyBorder="1"/>
    <xf numFmtId="0" fontId="10" fillId="0" borderId="0" xfId="6" applyFont="1" applyAlignment="1">
      <alignment vertical="top" wrapText="1"/>
    </xf>
    <xf numFmtId="0" fontId="4" fillId="0" borderId="0" xfId="2" applyFont="1" applyAlignment="1">
      <alignment vertical="top" wrapText="1"/>
    </xf>
    <xf numFmtId="0" fontId="5" fillId="0" borderId="0" xfId="2" applyFont="1" applyAlignment="1">
      <alignment horizontal="center"/>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4" fillId="0" borderId="0" xfId="2" applyFont="1" applyAlignment="1">
      <alignment horizontal="left" vertical="top" wrapText="1"/>
    </xf>
    <xf numFmtId="0" fontId="9" fillId="0" borderId="0" xfId="6" applyFont="1" applyAlignment="1">
      <alignment horizontal="left" vertical="top" wrapText="1"/>
    </xf>
  </cellXfs>
  <cellStyles count="9">
    <cellStyle name="Comma" xfId="1" builtinId="3"/>
    <cellStyle name="Comma 4" xfId="5"/>
    <cellStyle name="Normal" xfId="0" builtinId="0"/>
    <cellStyle name="Normal 2 2 2" xfId="2"/>
    <cellStyle name="Normal 2 3 2" xfId="7"/>
    <cellStyle name="Normal 4_CR" xfId="4"/>
    <cellStyle name="Normal 4_IF" xfId="3"/>
    <cellStyle name="Normal 4_LD" xfId="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714375</xdr:colOff>
      <xdr:row>71</xdr:row>
      <xdr:rowOff>123825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1171257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828675</xdr:colOff>
      <xdr:row>71</xdr:row>
      <xdr:rowOff>38100</xdr:rowOff>
    </xdr:from>
    <xdr:ext cx="2943225" cy="1689100"/>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1626850"/>
          <a:ext cx="2943225"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4"/>
  <sheetViews>
    <sheetView tabSelected="1" zoomScaleNormal="100" workbookViewId="0">
      <selection activeCell="B7" sqref="B7"/>
    </sheetView>
  </sheetViews>
  <sheetFormatPr defaultColWidth="9.140625" defaultRowHeight="12.75" x14ac:dyDescent="0.2"/>
  <cols>
    <col min="1" max="1" width="52.7109375" style="4" customWidth="1"/>
    <col min="2" max="2" width="31.85546875" style="3" customWidth="1"/>
    <col min="3" max="3" width="21.42578125" style="2" customWidth="1"/>
    <col min="4" max="4" width="11.5703125" style="1" customWidth="1"/>
    <col min="5" max="5" width="10.28515625" style="1" customWidth="1"/>
    <col min="6" max="6" width="16.28515625" style="1" customWidth="1"/>
    <col min="7" max="7" width="9.5703125" style="1" bestFit="1" customWidth="1"/>
    <col min="8" max="8" width="12.28515625" style="1" customWidth="1"/>
    <col min="9" max="16384" width="9.140625" style="1"/>
  </cols>
  <sheetData>
    <row r="1" spans="1:8" x14ac:dyDescent="0.2">
      <c r="A1" s="49" t="s">
        <v>21</v>
      </c>
      <c r="B1" s="49"/>
      <c r="C1" s="49"/>
      <c r="D1" s="49"/>
      <c r="E1" s="49"/>
      <c r="F1" s="49"/>
      <c r="G1" s="49"/>
      <c r="H1" s="49"/>
    </row>
    <row r="2" spans="1:8" x14ac:dyDescent="0.2">
      <c r="A2" s="49" t="s">
        <v>20</v>
      </c>
      <c r="B2" s="49"/>
      <c r="C2" s="49"/>
      <c r="D2" s="49"/>
      <c r="E2" s="49"/>
      <c r="F2" s="49"/>
      <c r="G2" s="49"/>
      <c r="H2" s="49"/>
    </row>
    <row r="3" spans="1:8" ht="12.75" customHeight="1" x14ac:dyDescent="0.2">
      <c r="A3" s="50" t="s">
        <v>80</v>
      </c>
      <c r="B3" s="50"/>
      <c r="C3" s="50"/>
      <c r="D3" s="50"/>
      <c r="E3" s="50"/>
      <c r="F3" s="50"/>
      <c r="G3" s="50"/>
      <c r="H3" s="50"/>
    </row>
    <row r="4" spans="1:8" s="32" customFormat="1" ht="25.5" x14ac:dyDescent="0.2">
      <c r="A4" s="33" t="s">
        <v>19</v>
      </c>
      <c r="B4" s="35" t="s">
        <v>18</v>
      </c>
      <c r="C4" s="34" t="s">
        <v>17</v>
      </c>
      <c r="D4" s="33" t="s">
        <v>16</v>
      </c>
      <c r="E4" s="33" t="s">
        <v>15</v>
      </c>
      <c r="F4" s="33" t="s">
        <v>14</v>
      </c>
      <c r="G4" s="33" t="s">
        <v>13</v>
      </c>
      <c r="H4" s="33" t="s">
        <v>12</v>
      </c>
    </row>
    <row r="5" spans="1:8" ht="14.25" x14ac:dyDescent="0.3">
      <c r="A5" s="31" t="s">
        <v>22</v>
      </c>
      <c r="B5" s="30"/>
      <c r="C5" s="29"/>
      <c r="D5" s="36"/>
      <c r="E5" s="28"/>
      <c r="F5" s="27"/>
      <c r="G5" s="26"/>
      <c r="H5" s="25"/>
    </row>
    <row r="6" spans="1:8" ht="14.25" x14ac:dyDescent="0.3">
      <c r="A6" s="31" t="s">
        <v>23</v>
      </c>
      <c r="B6" s="30"/>
      <c r="C6" s="29"/>
      <c r="D6" s="36"/>
      <c r="E6" s="28"/>
      <c r="F6" s="27"/>
      <c r="G6" s="26"/>
      <c r="H6" s="25"/>
    </row>
    <row r="7" spans="1:8" ht="14.25" x14ac:dyDescent="0.3">
      <c r="A7" s="38" t="s">
        <v>81</v>
      </c>
      <c r="B7" s="38" t="s">
        <v>63</v>
      </c>
      <c r="C7" s="29">
        <v>18000</v>
      </c>
      <c r="D7" s="39">
        <v>1610.2080000000001</v>
      </c>
      <c r="E7" s="40">
        <v>6.5302468833438876E-2</v>
      </c>
      <c r="F7" s="27" t="s">
        <v>25</v>
      </c>
      <c r="G7" s="26"/>
      <c r="H7" s="25"/>
    </row>
    <row r="8" spans="1:8" ht="14.25" x14ac:dyDescent="0.3">
      <c r="A8" s="38" t="s">
        <v>82</v>
      </c>
      <c r="B8" s="38" t="s">
        <v>63</v>
      </c>
      <c r="C8" s="29">
        <v>86661</v>
      </c>
      <c r="D8" s="39">
        <v>1317.2038695000001</v>
      </c>
      <c r="E8" s="40">
        <v>5.3419598359534193E-2</v>
      </c>
      <c r="F8" s="27" t="s">
        <v>77</v>
      </c>
      <c r="G8" s="26"/>
      <c r="H8" s="25"/>
    </row>
    <row r="9" spans="1:8" ht="14.25" x14ac:dyDescent="0.3">
      <c r="A9" s="38" t="s">
        <v>83</v>
      </c>
      <c r="B9" s="38" t="s">
        <v>66</v>
      </c>
      <c r="C9" s="29">
        <v>25000</v>
      </c>
      <c r="D9" s="39">
        <v>1278.8375000000001</v>
      </c>
      <c r="E9" s="40">
        <v>5.1863638726663192E-2</v>
      </c>
      <c r="F9" s="27" t="s">
        <v>29</v>
      </c>
      <c r="G9" s="26"/>
      <c r="H9" s="25"/>
    </row>
    <row r="10" spans="1:8" ht="14.25" x14ac:dyDescent="0.3">
      <c r="A10" s="38" t="s">
        <v>84</v>
      </c>
      <c r="B10" s="38" t="s">
        <v>65</v>
      </c>
      <c r="C10" s="29">
        <v>66000</v>
      </c>
      <c r="D10" s="39">
        <v>1206.6120000000001</v>
      </c>
      <c r="E10" s="40">
        <v>4.893451189166452E-2</v>
      </c>
      <c r="F10" s="27" t="s">
        <v>28</v>
      </c>
      <c r="G10" s="26"/>
      <c r="H10" s="25"/>
    </row>
    <row r="11" spans="1:8" ht="14.25" x14ac:dyDescent="0.3">
      <c r="A11" s="38" t="s">
        <v>85</v>
      </c>
      <c r="B11" s="38" t="s">
        <v>63</v>
      </c>
      <c r="C11" s="29">
        <v>273000</v>
      </c>
      <c r="D11" s="39">
        <v>1171.7159999999999</v>
      </c>
      <c r="E11" s="40">
        <v>4.7519294135690338E-2</v>
      </c>
      <c r="F11" s="27" t="s">
        <v>36</v>
      </c>
      <c r="G11" s="26"/>
      <c r="H11" s="25"/>
    </row>
    <row r="12" spans="1:8" ht="14.25" x14ac:dyDescent="0.3">
      <c r="A12" s="38" t="s">
        <v>86</v>
      </c>
      <c r="B12" s="38" t="s">
        <v>64</v>
      </c>
      <c r="C12" s="29">
        <v>15298</v>
      </c>
      <c r="D12" s="39">
        <v>1103.1158330000001</v>
      </c>
      <c r="E12" s="40">
        <v>4.4737193768851886E-2</v>
      </c>
      <c r="F12" s="27" t="s">
        <v>33</v>
      </c>
      <c r="G12" s="26"/>
      <c r="H12" s="25"/>
    </row>
    <row r="13" spans="1:8" ht="14.25" x14ac:dyDescent="0.3">
      <c r="A13" s="38" t="s">
        <v>87</v>
      </c>
      <c r="B13" s="38" t="s">
        <v>65</v>
      </c>
      <c r="C13" s="29">
        <v>80000</v>
      </c>
      <c r="D13" s="39">
        <v>1078.68</v>
      </c>
      <c r="E13" s="40">
        <v>4.374619122576328E-2</v>
      </c>
      <c r="F13" s="27" t="s">
        <v>27</v>
      </c>
      <c r="G13" s="26"/>
      <c r="H13" s="25"/>
    </row>
    <row r="14" spans="1:8" ht="14.25" x14ac:dyDescent="0.3">
      <c r="A14" s="38" t="s">
        <v>88</v>
      </c>
      <c r="B14" s="38" t="s">
        <v>67</v>
      </c>
      <c r="C14" s="29">
        <v>20000</v>
      </c>
      <c r="D14" s="39">
        <v>1069.54</v>
      </c>
      <c r="E14" s="40">
        <v>4.3375515781884214E-2</v>
      </c>
      <c r="F14" s="27" t="s">
        <v>78</v>
      </c>
      <c r="G14" s="26"/>
      <c r="H14" s="25"/>
    </row>
    <row r="15" spans="1:8" ht="14.25" x14ac:dyDescent="0.3">
      <c r="A15" s="38" t="s">
        <v>89</v>
      </c>
      <c r="B15" s="38" t="s">
        <v>67</v>
      </c>
      <c r="C15" s="29">
        <v>8250</v>
      </c>
      <c r="D15" s="39">
        <v>950.57737499999996</v>
      </c>
      <c r="E15" s="40">
        <v>3.8550950811764469E-2</v>
      </c>
      <c r="F15" s="27" t="s">
        <v>30</v>
      </c>
      <c r="G15" s="26"/>
      <c r="H15" s="25"/>
    </row>
    <row r="16" spans="1:8" ht="14.25" x14ac:dyDescent="0.3">
      <c r="A16" s="38" t="s">
        <v>90</v>
      </c>
      <c r="B16" s="38" t="s">
        <v>62</v>
      </c>
      <c r="C16" s="29">
        <v>60110</v>
      </c>
      <c r="D16" s="39">
        <v>944.11771499999998</v>
      </c>
      <c r="E16" s="40">
        <v>3.8288977361238437E-2</v>
      </c>
      <c r="F16" s="27" t="s">
        <v>24</v>
      </c>
      <c r="G16" s="26"/>
      <c r="H16" s="25"/>
    </row>
    <row r="17" spans="1:8" ht="14.25" x14ac:dyDescent="0.3">
      <c r="A17" s="38" t="s">
        <v>91</v>
      </c>
      <c r="B17" s="38" t="s">
        <v>71</v>
      </c>
      <c r="C17" s="29">
        <v>165000</v>
      </c>
      <c r="D17" s="39">
        <v>890.42250000000001</v>
      </c>
      <c r="E17" s="40">
        <v>3.6111351797309864E-2</v>
      </c>
      <c r="F17" s="27" t="s">
        <v>42</v>
      </c>
      <c r="G17" s="26"/>
      <c r="H17" s="25"/>
    </row>
    <row r="18" spans="1:8" ht="14.25" x14ac:dyDescent="0.3">
      <c r="A18" s="38" t="s">
        <v>92</v>
      </c>
      <c r="B18" s="38" t="s">
        <v>68</v>
      </c>
      <c r="C18" s="29">
        <v>50000</v>
      </c>
      <c r="D18" s="39">
        <v>866.7</v>
      </c>
      <c r="E18" s="40">
        <v>3.5149278688182815E-2</v>
      </c>
      <c r="F18" s="27" t="s">
        <v>31</v>
      </c>
      <c r="G18" s="26"/>
      <c r="H18" s="25"/>
    </row>
    <row r="19" spans="1:8" ht="14.25" x14ac:dyDescent="0.3">
      <c r="A19" s="38" t="s">
        <v>93</v>
      </c>
      <c r="B19" s="38" t="s">
        <v>73</v>
      </c>
      <c r="C19" s="29">
        <v>128440</v>
      </c>
      <c r="D19" s="39">
        <v>853.29114000000004</v>
      </c>
      <c r="E19" s="40">
        <v>3.4605478345468114E-2</v>
      </c>
      <c r="F19" s="27" t="s">
        <v>48</v>
      </c>
      <c r="G19" s="26"/>
      <c r="H19" s="25"/>
    </row>
    <row r="20" spans="1:8" ht="14.25" x14ac:dyDescent="0.3">
      <c r="A20" s="38" t="s">
        <v>94</v>
      </c>
      <c r="B20" s="38" t="s">
        <v>74</v>
      </c>
      <c r="C20" s="29">
        <v>250131</v>
      </c>
      <c r="D20" s="39">
        <v>799.91893800000003</v>
      </c>
      <c r="E20" s="40">
        <v>3.2440952670724853E-2</v>
      </c>
      <c r="F20" s="27" t="s">
        <v>49</v>
      </c>
      <c r="G20" s="26"/>
      <c r="H20" s="25"/>
    </row>
    <row r="21" spans="1:8" ht="14.25" x14ac:dyDescent="0.3">
      <c r="A21" s="38" t="s">
        <v>95</v>
      </c>
      <c r="B21" s="38" t="s">
        <v>96</v>
      </c>
      <c r="C21" s="29">
        <v>50000</v>
      </c>
      <c r="D21" s="39">
        <v>794.875</v>
      </c>
      <c r="E21" s="40">
        <v>3.2236394250916484E-2</v>
      </c>
      <c r="F21" s="27" t="s">
        <v>112</v>
      </c>
      <c r="G21" s="26"/>
      <c r="H21" s="25"/>
    </row>
    <row r="22" spans="1:8" ht="14.25" x14ac:dyDescent="0.3">
      <c r="A22" s="38" t="s">
        <v>97</v>
      </c>
      <c r="B22" s="38" t="s">
        <v>69</v>
      </c>
      <c r="C22" s="29">
        <v>14109</v>
      </c>
      <c r="D22" s="39">
        <v>751.32541349999997</v>
      </c>
      <c r="E22" s="40">
        <v>3.0470227696579772E-2</v>
      </c>
      <c r="F22" s="27" t="s">
        <v>44</v>
      </c>
      <c r="G22" s="26"/>
      <c r="H22" s="25"/>
    </row>
    <row r="23" spans="1:8" ht="14.25" x14ac:dyDescent="0.3">
      <c r="A23" s="38" t="s">
        <v>98</v>
      </c>
      <c r="B23" s="38" t="s">
        <v>38</v>
      </c>
      <c r="C23" s="29">
        <v>66000</v>
      </c>
      <c r="D23" s="39">
        <v>723.98699999999997</v>
      </c>
      <c r="E23" s="40">
        <v>2.9361510129942783E-2</v>
      </c>
      <c r="F23" s="27" t="s">
        <v>39</v>
      </c>
      <c r="G23" s="26"/>
      <c r="H23" s="25"/>
    </row>
    <row r="24" spans="1:8" ht="14.25" x14ac:dyDescent="0.3">
      <c r="A24" s="38" t="s">
        <v>99</v>
      </c>
      <c r="B24" s="38" t="s">
        <v>64</v>
      </c>
      <c r="C24" s="29">
        <v>23600</v>
      </c>
      <c r="D24" s="39">
        <v>722.95060000000001</v>
      </c>
      <c r="E24" s="40">
        <v>2.9319478616809714E-2</v>
      </c>
      <c r="F24" s="27" t="s">
        <v>26</v>
      </c>
      <c r="G24" s="26"/>
      <c r="H24" s="25"/>
    </row>
    <row r="25" spans="1:8" ht="14.25" x14ac:dyDescent="0.3">
      <c r="A25" s="38" t="s">
        <v>100</v>
      </c>
      <c r="B25" s="38" t="s">
        <v>101</v>
      </c>
      <c r="C25" s="29">
        <v>23500</v>
      </c>
      <c r="D25" s="39">
        <v>717.18475000000001</v>
      </c>
      <c r="E25" s="40">
        <v>2.9085642839119324E-2</v>
      </c>
      <c r="F25" s="27" t="s">
        <v>113</v>
      </c>
      <c r="G25" s="26"/>
      <c r="H25" s="25"/>
    </row>
    <row r="26" spans="1:8" ht="14.25" x14ac:dyDescent="0.3">
      <c r="A26" s="38" t="s">
        <v>102</v>
      </c>
      <c r="B26" s="38" t="s">
        <v>70</v>
      </c>
      <c r="C26" s="29">
        <v>40100</v>
      </c>
      <c r="D26" s="39">
        <v>702.65224999999998</v>
      </c>
      <c r="E26" s="40">
        <v>2.8496272938881621E-2</v>
      </c>
      <c r="F26" s="27" t="s">
        <v>37</v>
      </c>
      <c r="G26" s="26"/>
      <c r="H26" s="25"/>
    </row>
    <row r="27" spans="1:8" ht="14.25" x14ac:dyDescent="0.3">
      <c r="A27" s="38" t="s">
        <v>103</v>
      </c>
      <c r="B27" s="38" t="s">
        <v>34</v>
      </c>
      <c r="C27" s="29">
        <v>50000</v>
      </c>
      <c r="D27" s="39">
        <v>693.47500000000002</v>
      </c>
      <c r="E27" s="40">
        <v>2.8124086810069893E-2</v>
      </c>
      <c r="F27" s="27" t="s">
        <v>35</v>
      </c>
      <c r="G27" s="26"/>
      <c r="H27" s="25"/>
    </row>
    <row r="28" spans="1:8" ht="14.25" x14ac:dyDescent="0.3">
      <c r="A28" s="38" t="s">
        <v>104</v>
      </c>
      <c r="B28" s="38" t="s">
        <v>45</v>
      </c>
      <c r="C28" s="29">
        <v>19607</v>
      </c>
      <c r="D28" s="39">
        <v>684.73526100000004</v>
      </c>
      <c r="E28" s="40">
        <v>2.7769644071206412E-2</v>
      </c>
      <c r="F28" s="27" t="s">
        <v>46</v>
      </c>
      <c r="G28" s="26"/>
      <c r="H28" s="25"/>
    </row>
    <row r="29" spans="1:8" ht="14.25" x14ac:dyDescent="0.3">
      <c r="A29" s="38" t="s">
        <v>105</v>
      </c>
      <c r="B29" s="38" t="s">
        <v>106</v>
      </c>
      <c r="C29" s="29">
        <v>380000</v>
      </c>
      <c r="D29" s="39">
        <v>586.11199999999997</v>
      </c>
      <c r="E29" s="40">
        <v>2.3769948114097387E-2</v>
      </c>
      <c r="F29" s="27" t="s">
        <v>114</v>
      </c>
      <c r="G29" s="26"/>
      <c r="H29" s="25"/>
    </row>
    <row r="30" spans="1:8" ht="14.25" x14ac:dyDescent="0.3">
      <c r="A30" s="38" t="s">
        <v>107</v>
      </c>
      <c r="B30" s="38" t="s">
        <v>69</v>
      </c>
      <c r="C30" s="29">
        <v>285000</v>
      </c>
      <c r="D30" s="39">
        <v>574.84500000000003</v>
      </c>
      <c r="E30" s="40">
        <v>2.3313011546681032E-2</v>
      </c>
      <c r="F30" s="27" t="s">
        <v>41</v>
      </c>
      <c r="G30" s="26"/>
      <c r="H30" s="25"/>
    </row>
    <row r="31" spans="1:8" ht="14.25" x14ac:dyDescent="0.3">
      <c r="A31" s="38" t="s">
        <v>108</v>
      </c>
      <c r="B31" s="38" t="s">
        <v>72</v>
      </c>
      <c r="C31" s="29">
        <v>46650</v>
      </c>
      <c r="D31" s="39">
        <v>520.70730000000003</v>
      </c>
      <c r="E31" s="40">
        <v>2.1117440870740987E-2</v>
      </c>
      <c r="F31" s="27" t="s">
        <v>43</v>
      </c>
      <c r="G31" s="26"/>
      <c r="H31" s="25"/>
    </row>
    <row r="32" spans="1:8" ht="14.25" x14ac:dyDescent="0.3">
      <c r="A32" s="38" t="s">
        <v>109</v>
      </c>
      <c r="B32" s="38" t="s">
        <v>62</v>
      </c>
      <c r="C32" s="29">
        <v>128500</v>
      </c>
      <c r="D32" s="39">
        <v>498.19450000000001</v>
      </c>
      <c r="E32" s="40">
        <v>2.0204427508272636E-2</v>
      </c>
      <c r="F32" s="27" t="s">
        <v>40</v>
      </c>
      <c r="G32" s="26"/>
      <c r="H32" s="25"/>
    </row>
    <row r="33" spans="1:8" ht="14.25" x14ac:dyDescent="0.3">
      <c r="A33" s="38" t="s">
        <v>110</v>
      </c>
      <c r="B33" s="38" t="s">
        <v>69</v>
      </c>
      <c r="C33" s="29">
        <v>145000</v>
      </c>
      <c r="D33" s="39">
        <v>478.79</v>
      </c>
      <c r="E33" s="40">
        <v>1.9417472185433309E-2</v>
      </c>
      <c r="F33" s="27" t="s">
        <v>32</v>
      </c>
      <c r="G33" s="26"/>
      <c r="H33" s="25"/>
    </row>
    <row r="34" spans="1:8" ht="14.25" x14ac:dyDescent="0.3">
      <c r="A34" s="38" t="s">
        <v>111</v>
      </c>
      <c r="B34" s="38" t="s">
        <v>70</v>
      </c>
      <c r="C34" s="29">
        <v>35733</v>
      </c>
      <c r="D34" s="39">
        <v>277.32381299999997</v>
      </c>
      <c r="E34" s="40">
        <v>1.1246950490373249E-2</v>
      </c>
      <c r="F34" s="27" t="s">
        <v>47</v>
      </c>
      <c r="G34" s="26"/>
      <c r="H34" s="25"/>
    </row>
    <row r="35" spans="1:8" ht="14.25" x14ac:dyDescent="0.3">
      <c r="A35" s="31" t="s">
        <v>50</v>
      </c>
      <c r="B35" s="30"/>
      <c r="C35" s="29"/>
      <c r="D35" s="36">
        <f>SUM(D7:D34)</f>
        <v>23868.098758000007</v>
      </c>
      <c r="E35" s="43">
        <f>SUM(E7:E34)</f>
        <v>0.96797791046730386</v>
      </c>
      <c r="F35" s="27"/>
      <c r="G35" s="26"/>
      <c r="H35" s="25"/>
    </row>
    <row r="36" spans="1:8" ht="14.25" x14ac:dyDescent="0.3">
      <c r="A36" s="31" t="s">
        <v>51</v>
      </c>
      <c r="B36" s="30"/>
      <c r="C36" s="29"/>
      <c r="D36" s="36"/>
      <c r="E36" s="37"/>
      <c r="F36" s="27"/>
      <c r="G36" s="26"/>
      <c r="H36" s="25"/>
    </row>
    <row r="37" spans="1:8" ht="14.25" x14ac:dyDescent="0.3">
      <c r="A37" s="31" t="s">
        <v>50</v>
      </c>
      <c r="B37" s="30"/>
      <c r="C37" s="29"/>
      <c r="D37" s="36" t="s">
        <v>52</v>
      </c>
      <c r="E37" s="37" t="s">
        <v>52</v>
      </c>
      <c r="F37" s="27"/>
      <c r="G37" s="26"/>
      <c r="H37" s="25"/>
    </row>
    <row r="38" spans="1:8" ht="14.25" x14ac:dyDescent="0.3">
      <c r="A38" s="31" t="s">
        <v>53</v>
      </c>
      <c r="B38" s="30"/>
      <c r="C38" s="29"/>
      <c r="D38" s="36"/>
      <c r="E38" s="37"/>
      <c r="F38" s="27"/>
      <c r="G38" s="26"/>
      <c r="H38" s="25"/>
    </row>
    <row r="39" spans="1:8" ht="14.25" x14ac:dyDescent="0.3">
      <c r="A39" s="31" t="s">
        <v>50</v>
      </c>
      <c r="B39" s="30"/>
      <c r="C39" s="29"/>
      <c r="D39" s="36" t="s">
        <v>52</v>
      </c>
      <c r="E39" s="37" t="s">
        <v>52</v>
      </c>
      <c r="F39" s="27"/>
      <c r="G39" s="26"/>
      <c r="H39" s="25"/>
    </row>
    <row r="40" spans="1:8" ht="14.25" x14ac:dyDescent="0.3">
      <c r="A40" s="31" t="s">
        <v>54</v>
      </c>
      <c r="B40" s="30"/>
      <c r="C40" s="29"/>
      <c r="D40" s="36">
        <f>+D35</f>
        <v>23868.098758000007</v>
      </c>
      <c r="E40" s="43">
        <f>+E35</f>
        <v>0.96797791046730386</v>
      </c>
      <c r="F40" s="27"/>
      <c r="G40" s="26"/>
      <c r="H40" s="25"/>
    </row>
    <row r="41" spans="1:8" ht="14.25" x14ac:dyDescent="0.3">
      <c r="A41" s="31"/>
      <c r="B41" s="30"/>
      <c r="C41" s="29"/>
      <c r="D41" s="36"/>
      <c r="E41" s="37"/>
      <c r="F41" s="27"/>
      <c r="G41" s="26"/>
      <c r="H41" s="25"/>
    </row>
    <row r="42" spans="1:8" ht="14.25" x14ac:dyDescent="0.3">
      <c r="A42" s="31" t="s">
        <v>55</v>
      </c>
      <c r="B42" s="30"/>
      <c r="C42" s="29"/>
      <c r="D42" s="36"/>
      <c r="E42" s="37"/>
      <c r="F42" s="27"/>
      <c r="G42" s="26"/>
      <c r="H42" s="25"/>
    </row>
    <row r="43" spans="1:8" ht="14.25" x14ac:dyDescent="0.3">
      <c r="A43" s="31" t="s">
        <v>56</v>
      </c>
      <c r="B43" s="30"/>
      <c r="C43" s="29"/>
      <c r="D43" s="36"/>
      <c r="E43" s="37"/>
      <c r="F43" s="27"/>
      <c r="G43" s="26"/>
      <c r="H43" s="25"/>
    </row>
    <row r="44" spans="1:8" ht="14.25" x14ac:dyDescent="0.3">
      <c r="A44" s="31" t="s">
        <v>50</v>
      </c>
      <c r="B44" s="30"/>
      <c r="C44" s="29"/>
      <c r="D44" s="36" t="s">
        <v>52</v>
      </c>
      <c r="E44" s="37" t="s">
        <v>52</v>
      </c>
      <c r="F44" s="27"/>
      <c r="G44" s="26"/>
      <c r="H44" s="25"/>
    </row>
    <row r="45" spans="1:8" ht="14.25" x14ac:dyDescent="0.3">
      <c r="A45" s="31" t="s">
        <v>57</v>
      </c>
      <c r="B45" s="30"/>
      <c r="C45" s="29"/>
      <c r="D45" s="36"/>
      <c r="E45" s="37"/>
      <c r="F45" s="27"/>
      <c r="G45" s="26"/>
      <c r="H45" s="25"/>
    </row>
    <row r="46" spans="1:8" ht="14.25" x14ac:dyDescent="0.3">
      <c r="A46" s="31" t="s">
        <v>50</v>
      </c>
      <c r="B46" s="30"/>
      <c r="C46" s="29"/>
      <c r="D46" s="36" t="s">
        <v>52</v>
      </c>
      <c r="E46" s="37" t="s">
        <v>52</v>
      </c>
      <c r="F46" s="27"/>
      <c r="G46" s="26"/>
      <c r="H46" s="25"/>
    </row>
    <row r="47" spans="1:8" ht="14.25" x14ac:dyDescent="0.3">
      <c r="A47" s="31" t="s">
        <v>58</v>
      </c>
      <c r="B47" s="30"/>
      <c r="C47" s="29"/>
      <c r="D47" s="36"/>
      <c r="E47" s="37"/>
      <c r="F47" s="27"/>
      <c r="G47" s="26"/>
      <c r="H47" s="25"/>
    </row>
    <row r="48" spans="1:8" ht="14.25" x14ac:dyDescent="0.3">
      <c r="A48" s="31" t="s">
        <v>50</v>
      </c>
      <c r="B48" s="30"/>
      <c r="C48" s="29"/>
      <c r="D48" s="36" t="s">
        <v>52</v>
      </c>
      <c r="E48" s="37" t="s">
        <v>52</v>
      </c>
      <c r="F48" s="27"/>
      <c r="G48" s="26"/>
      <c r="H48" s="25"/>
    </row>
    <row r="49" spans="1:8" ht="14.25" x14ac:dyDescent="0.3">
      <c r="A49" s="31" t="s">
        <v>54</v>
      </c>
      <c r="B49" s="30"/>
      <c r="C49" s="29"/>
      <c r="D49" s="36" t="s">
        <v>52</v>
      </c>
      <c r="E49" s="37" t="s">
        <v>52</v>
      </c>
      <c r="F49" s="27"/>
      <c r="G49" s="26"/>
      <c r="H49" s="25"/>
    </row>
    <row r="50" spans="1:8" ht="14.25" x14ac:dyDescent="0.3">
      <c r="A50" s="31"/>
      <c r="B50" s="30"/>
      <c r="C50" s="29"/>
      <c r="D50" s="36"/>
      <c r="E50" s="37"/>
      <c r="F50" s="27"/>
      <c r="G50" s="26"/>
      <c r="H50" s="25"/>
    </row>
    <row r="51" spans="1:8" ht="14.25" x14ac:dyDescent="0.3">
      <c r="A51" s="31" t="s">
        <v>59</v>
      </c>
      <c r="B51" s="30"/>
      <c r="C51" s="29"/>
      <c r="D51" s="36"/>
      <c r="E51" s="37"/>
      <c r="F51" s="27"/>
      <c r="G51" s="26"/>
      <c r="H51" s="25"/>
    </row>
    <row r="52" spans="1:8" ht="14.25" x14ac:dyDescent="0.3">
      <c r="A52" s="31" t="s">
        <v>60</v>
      </c>
      <c r="B52" s="30"/>
      <c r="C52" s="29"/>
      <c r="D52" s="36"/>
      <c r="E52" s="37"/>
      <c r="F52" s="27"/>
      <c r="G52" s="26"/>
      <c r="H52" s="25"/>
    </row>
    <row r="53" spans="1:8" ht="14.25" x14ac:dyDescent="0.3">
      <c r="A53" s="42" t="s">
        <v>79</v>
      </c>
      <c r="B53" s="30"/>
      <c r="C53" s="29">
        <v>9101.8065000000006</v>
      </c>
      <c r="D53" s="39">
        <v>910.01446759999999</v>
      </c>
      <c r="E53" s="40">
        <v>3.6905909924946016E-2</v>
      </c>
      <c r="F53" s="27"/>
      <c r="G53" s="44">
        <v>6.6703239999999997E-2</v>
      </c>
      <c r="H53" s="25"/>
    </row>
    <row r="54" spans="1:8" ht="14.25" x14ac:dyDescent="0.3">
      <c r="A54" s="31" t="s">
        <v>50</v>
      </c>
      <c r="B54" s="30"/>
      <c r="C54" s="29"/>
      <c r="D54" s="36">
        <f>+D53</f>
        <v>910.01446759999999</v>
      </c>
      <c r="E54" s="43">
        <f>+E53</f>
        <v>3.6905909924946016E-2</v>
      </c>
      <c r="F54" s="27"/>
      <c r="G54" s="26"/>
      <c r="H54" s="25"/>
    </row>
    <row r="55" spans="1:8" ht="14.25" x14ac:dyDescent="0.3">
      <c r="A55" s="31"/>
      <c r="B55" s="30"/>
      <c r="C55" s="29"/>
      <c r="D55" s="36"/>
      <c r="E55" s="37"/>
      <c r="F55" s="27"/>
      <c r="G55" s="26"/>
      <c r="H55" s="25"/>
    </row>
    <row r="56" spans="1:8" ht="14.25" x14ac:dyDescent="0.3">
      <c r="A56" s="41" t="s">
        <v>75</v>
      </c>
      <c r="B56" s="30"/>
      <c r="C56" s="29"/>
      <c r="D56" s="36"/>
      <c r="E56" s="37"/>
      <c r="F56" s="27"/>
      <c r="G56" s="26"/>
      <c r="H56" s="25"/>
    </row>
    <row r="57" spans="1:8" ht="14.25" x14ac:dyDescent="0.3">
      <c r="A57" s="42" t="s">
        <v>76</v>
      </c>
      <c r="B57" s="30"/>
      <c r="C57" s="29"/>
      <c r="D57" s="39">
        <v>-120.4237268</v>
      </c>
      <c r="E57" s="40">
        <v>-4.8838203922496708E-3</v>
      </c>
      <c r="F57" s="27"/>
      <c r="G57" s="26"/>
      <c r="H57" s="25"/>
    </row>
    <row r="58" spans="1:8" ht="14.25" x14ac:dyDescent="0.3">
      <c r="A58" s="41" t="s">
        <v>54</v>
      </c>
      <c r="B58" s="30"/>
      <c r="C58" s="29"/>
      <c r="D58" s="36">
        <f>+D57</f>
        <v>-120.4237268</v>
      </c>
      <c r="E58" s="43">
        <f>+E57</f>
        <v>-4.8838203922496708E-3</v>
      </c>
      <c r="F58" s="27"/>
      <c r="G58" s="26"/>
      <c r="H58" s="25"/>
    </row>
    <row r="59" spans="1:8" ht="14.25" x14ac:dyDescent="0.3">
      <c r="A59" s="31" t="s">
        <v>61</v>
      </c>
      <c r="B59" s="30"/>
      <c r="C59" s="29"/>
      <c r="D59" s="36">
        <f>+D58+D54+D40</f>
        <v>24657.689498800006</v>
      </c>
      <c r="E59" s="43">
        <f>+E58+E54+E40</f>
        <v>1.0000000000000002</v>
      </c>
      <c r="F59" s="27"/>
      <c r="G59" s="26"/>
      <c r="H59" s="25"/>
    </row>
    <row r="60" spans="1:8" ht="14.25" x14ac:dyDescent="0.3">
      <c r="A60" s="24"/>
      <c r="B60" s="23"/>
      <c r="C60" s="22"/>
      <c r="D60" s="21"/>
      <c r="E60" s="21"/>
      <c r="F60" s="20"/>
      <c r="G60" s="19"/>
      <c r="H60" s="19"/>
    </row>
    <row r="61" spans="1:8" ht="13.5" x14ac:dyDescent="0.2">
      <c r="A61" s="51" t="s">
        <v>11</v>
      </c>
      <c r="B61" s="51"/>
      <c r="C61" s="51"/>
      <c r="D61" s="51"/>
      <c r="E61" s="51"/>
      <c r="F61" s="51"/>
      <c r="G61" s="51"/>
      <c r="H61" s="51"/>
    </row>
    <row r="62" spans="1:8" ht="13.5" x14ac:dyDescent="0.2">
      <c r="A62" s="51" t="s">
        <v>10</v>
      </c>
      <c r="B62" s="51"/>
      <c r="C62" s="51"/>
      <c r="D62" s="51"/>
      <c r="E62" s="51"/>
      <c r="F62" s="52"/>
      <c r="G62" s="52"/>
      <c r="H62" s="52"/>
    </row>
    <row r="63" spans="1:8" ht="13.5" x14ac:dyDescent="0.2">
      <c r="A63" s="53" t="s">
        <v>9</v>
      </c>
      <c r="B63" s="53"/>
      <c r="C63" s="53"/>
      <c r="D63" s="53"/>
      <c r="E63" s="53"/>
      <c r="F63" s="52"/>
      <c r="G63" s="52"/>
      <c r="H63" s="52"/>
    </row>
    <row r="64" spans="1:8" ht="58.5" customHeight="1" x14ac:dyDescent="0.2">
      <c r="A64" s="45" t="s">
        <v>8</v>
      </c>
      <c r="B64" s="45"/>
      <c r="C64" s="45"/>
      <c r="D64" s="45"/>
      <c r="E64" s="45"/>
      <c r="F64" s="46"/>
      <c r="G64" s="46"/>
      <c r="H64" s="46"/>
    </row>
    <row r="65" spans="1:8" ht="14.25" x14ac:dyDescent="0.3">
      <c r="A65" s="12"/>
      <c r="B65" s="11"/>
      <c r="C65" s="18"/>
      <c r="D65" s="16"/>
      <c r="E65" s="9"/>
      <c r="F65" s="9"/>
      <c r="G65" s="16"/>
      <c r="H65" s="16"/>
    </row>
    <row r="66" spans="1:8" ht="14.25" x14ac:dyDescent="0.3">
      <c r="A66" s="17" t="s">
        <v>7</v>
      </c>
      <c r="B66" s="14"/>
      <c r="C66" s="14"/>
      <c r="D66" s="9"/>
      <c r="E66" s="9"/>
      <c r="F66" s="9"/>
      <c r="G66" s="16"/>
      <c r="H66" s="16"/>
    </row>
    <row r="67" spans="1:8" ht="14.25" x14ac:dyDescent="0.3">
      <c r="A67" s="15" t="s">
        <v>6</v>
      </c>
      <c r="B67" s="14"/>
      <c r="C67" s="14"/>
      <c r="D67" s="9"/>
      <c r="E67" s="9"/>
      <c r="F67" s="9"/>
      <c r="G67" s="16"/>
      <c r="H67" s="16"/>
    </row>
    <row r="68" spans="1:8" ht="14.25" x14ac:dyDescent="0.3">
      <c r="A68" s="15" t="s">
        <v>5</v>
      </c>
      <c r="B68" s="14"/>
      <c r="C68" s="14"/>
      <c r="D68" s="9"/>
      <c r="E68" s="9"/>
      <c r="F68" s="9"/>
      <c r="G68" s="16"/>
      <c r="H68" s="16"/>
    </row>
    <row r="69" spans="1:8" ht="14.25" x14ac:dyDescent="0.3">
      <c r="A69" s="15" t="s">
        <v>4</v>
      </c>
      <c r="B69" s="14"/>
      <c r="C69" s="14"/>
      <c r="D69" s="9"/>
      <c r="E69" s="9"/>
      <c r="F69" s="9"/>
      <c r="G69" s="16"/>
      <c r="H69" s="16"/>
    </row>
    <row r="70" spans="1:8" ht="14.25" x14ac:dyDescent="0.3">
      <c r="A70" s="15"/>
      <c r="B70" s="14"/>
      <c r="C70" s="14"/>
      <c r="D70" s="9"/>
      <c r="E70" s="9"/>
      <c r="F70" s="9"/>
      <c r="G70" s="9"/>
      <c r="H70" s="9"/>
    </row>
    <row r="71" spans="1:8" ht="14.25" x14ac:dyDescent="0.3">
      <c r="A71" s="13" t="s">
        <v>3</v>
      </c>
      <c r="B71" s="47" t="s">
        <v>2</v>
      </c>
      <c r="C71" s="47"/>
      <c r="D71" s="9"/>
      <c r="E71" s="9"/>
      <c r="F71" s="9"/>
      <c r="G71" s="9"/>
      <c r="H71" s="9"/>
    </row>
    <row r="72" spans="1:8" ht="14.25" x14ac:dyDescent="0.3">
      <c r="A72" s="12"/>
      <c r="B72" s="11"/>
      <c r="C72" s="10"/>
      <c r="D72" s="9"/>
      <c r="E72" s="9"/>
      <c r="F72" s="9"/>
      <c r="G72" s="9"/>
      <c r="H72" s="9"/>
    </row>
    <row r="73" spans="1:8" ht="14.25" x14ac:dyDescent="0.3">
      <c r="A73" s="12"/>
      <c r="B73" s="11"/>
      <c r="C73" s="10"/>
      <c r="D73" s="9"/>
      <c r="E73" s="9"/>
      <c r="F73" s="9"/>
      <c r="G73" s="9"/>
      <c r="H73" s="9"/>
    </row>
    <row r="74" spans="1:8" ht="14.25" x14ac:dyDescent="0.3">
      <c r="A74" s="12"/>
      <c r="B74" s="11"/>
      <c r="C74" s="10"/>
      <c r="D74" s="9"/>
      <c r="E74" s="9"/>
      <c r="F74" s="9"/>
      <c r="G74" s="9"/>
      <c r="H74" s="9"/>
    </row>
    <row r="75" spans="1:8" ht="14.25" x14ac:dyDescent="0.3">
      <c r="A75" s="12"/>
      <c r="B75" s="11"/>
      <c r="C75" s="10"/>
      <c r="D75" s="9"/>
      <c r="E75" s="9"/>
      <c r="F75" s="9"/>
      <c r="G75" s="9"/>
      <c r="H75" s="9"/>
    </row>
    <row r="76" spans="1:8" ht="14.25" x14ac:dyDescent="0.3">
      <c r="A76" s="12"/>
      <c r="B76" s="11"/>
      <c r="C76" s="10"/>
      <c r="D76" s="9"/>
      <c r="E76" s="9"/>
      <c r="F76" s="9"/>
      <c r="G76" s="9"/>
      <c r="H76" s="9"/>
    </row>
    <row r="77" spans="1:8" ht="14.25" x14ac:dyDescent="0.3">
      <c r="A77" s="12"/>
      <c r="B77" s="11"/>
      <c r="C77" s="10"/>
      <c r="D77" s="9"/>
      <c r="E77" s="9"/>
      <c r="F77" s="9"/>
      <c r="G77" s="9"/>
      <c r="H77" s="9"/>
    </row>
    <row r="78" spans="1:8" x14ac:dyDescent="0.2">
      <c r="A78" s="7"/>
      <c r="B78" s="6"/>
      <c r="D78" s="5"/>
      <c r="E78" s="5"/>
      <c r="F78" s="5"/>
      <c r="G78" s="5"/>
      <c r="H78" s="5"/>
    </row>
    <row r="79" spans="1:8" x14ac:dyDescent="0.2">
      <c r="A79" s="7"/>
      <c r="B79" s="6"/>
      <c r="D79" s="5"/>
      <c r="E79" s="5"/>
      <c r="F79" s="5"/>
      <c r="G79" s="5"/>
      <c r="H79" s="5"/>
    </row>
    <row r="80" spans="1:8" x14ac:dyDescent="0.2">
      <c r="A80" s="7"/>
      <c r="B80" s="6"/>
      <c r="D80" s="5"/>
      <c r="E80" s="5"/>
      <c r="F80" s="5"/>
      <c r="G80" s="5"/>
      <c r="H80" s="5"/>
    </row>
    <row r="81" spans="1:8" x14ac:dyDescent="0.2">
      <c r="A81" s="7"/>
      <c r="B81" s="6"/>
      <c r="D81" s="5"/>
      <c r="E81" s="5"/>
      <c r="F81" s="5"/>
      <c r="G81" s="5"/>
      <c r="H81" s="5"/>
    </row>
    <row r="82" spans="1:8" x14ac:dyDescent="0.2">
      <c r="A82" s="7"/>
      <c r="B82" s="6"/>
      <c r="D82" s="5"/>
      <c r="E82" s="5"/>
      <c r="F82" s="5"/>
      <c r="G82" s="5"/>
      <c r="H82" s="5"/>
    </row>
    <row r="83" spans="1:8" x14ac:dyDescent="0.2">
      <c r="A83" s="8" t="s">
        <v>1</v>
      </c>
      <c r="B83" s="48" t="s">
        <v>0</v>
      </c>
      <c r="C83" s="48"/>
      <c r="D83" s="48"/>
      <c r="E83" s="48"/>
      <c r="F83" s="5"/>
      <c r="G83" s="5"/>
      <c r="H83" s="5"/>
    </row>
    <row r="84" spans="1:8" x14ac:dyDescent="0.2">
      <c r="A84" s="7"/>
      <c r="B84" s="6"/>
      <c r="D84" s="5"/>
      <c r="E84" s="5"/>
      <c r="F84" s="5"/>
      <c r="G84" s="5"/>
      <c r="H84" s="5"/>
    </row>
  </sheetData>
  <mergeCells count="9">
    <mergeCell ref="A64:H64"/>
    <mergeCell ref="B71:C71"/>
    <mergeCell ref="B83:E83"/>
    <mergeCell ref="A1:H1"/>
    <mergeCell ref="A2:H2"/>
    <mergeCell ref="A3:H3"/>
    <mergeCell ref="A61:H61"/>
    <mergeCell ref="A62:H62"/>
    <mergeCell ref="A63:H6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2025-04-08T06:50:23Z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