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May 2023\Monthly\For Sent\"/>
    </mc:Choice>
  </mc:AlternateContent>
  <bookViews>
    <workbookView xWindow="0" yWindow="0" windowWidth="20490" windowHeight="7770"/>
  </bookViews>
  <sheets>
    <sheet name="JM Liquid Fund" sheetId="1" r:id="rId1"/>
  </sheets>
  <definedNames>
    <definedName name="_xlnm._FilterDatabase" localSheetId="0" hidden="1">'JM Liquid Fund'!$A$1:$H$67</definedName>
    <definedName name="Afs">#REF!</definedName>
    <definedName name="_xlnm.Database">#REF!</definedName>
    <definedName name="EBLDB">#REF!</definedName>
    <definedName name="fl">#REF!</definedName>
    <definedName name="_xlnm.Print_Area" localSheetId="0">'JM Liquid Fund'!$A$1:$H$112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58" i="1" l="1"/>
  <c r="E62" i="1" s="1"/>
  <c r="E60" i="1"/>
  <c r="D60" i="1"/>
  <c r="D62" i="1"/>
  <c r="D58" i="1"/>
  <c r="E47" i="1"/>
  <c r="D47" i="1"/>
  <c r="E59" i="1" l="1"/>
  <c r="E57" i="1"/>
  <c r="E56" i="1"/>
  <c r="E55" i="1"/>
  <c r="E54" i="1"/>
  <c r="E53" i="1"/>
  <c r="E52" i="1"/>
  <c r="E51" i="1"/>
  <c r="E50" i="1"/>
  <c r="E49" i="1"/>
  <c r="E46" i="1"/>
  <c r="E45" i="1"/>
  <c r="E44" i="1"/>
  <c r="E43" i="1"/>
  <c r="E42" i="1"/>
  <c r="E41" i="1"/>
  <c r="E40" i="1"/>
  <c r="E39" i="1"/>
  <c r="E38" i="1"/>
  <c r="E37" i="1"/>
  <c r="E36" i="1"/>
  <c r="E35" i="1"/>
  <c r="E34" i="1"/>
  <c r="E33" i="1"/>
  <c r="E32" i="1"/>
  <c r="E31" i="1"/>
  <c r="E30" i="1"/>
  <c r="E29" i="1"/>
  <c r="E28" i="1"/>
  <c r="E27" i="1"/>
  <c r="E26" i="1"/>
  <c r="E25" i="1"/>
  <c r="E24" i="1"/>
  <c r="E23" i="1"/>
  <c r="E22" i="1"/>
  <c r="E21" i="1"/>
  <c r="D7" i="1"/>
  <c r="D11" i="1" s="1"/>
  <c r="E6" i="1"/>
  <c r="E7" i="1" s="1"/>
  <c r="E11" i="1" s="1"/>
  <c r="D64" i="1" l="1"/>
  <c r="E64" i="1" s="1"/>
  <c r="E66" i="1" l="1"/>
</calcChain>
</file>

<file path=xl/sharedStrings.xml><?xml version="1.0" encoding="utf-8"?>
<sst xmlns="http://schemas.openxmlformats.org/spreadsheetml/2006/main" count="180" uniqueCount="133">
  <si>
    <t>JM Liquid Fund (An Open-Ended Liquid Scheme) A relatively low interest rate risk and moderate credit risk.</t>
  </si>
  <si>
    <t>Portfolio as on 31.05.2023</t>
  </si>
  <si>
    <t>Name of the Instruments</t>
  </si>
  <si>
    <t>Industry/Rating</t>
  </si>
  <si>
    <t>Quantity</t>
  </si>
  <si>
    <t>Market Value (Rs. In Lakhs)</t>
  </si>
  <si>
    <t>% age to NAV</t>
  </si>
  <si>
    <t>ISIN</t>
  </si>
  <si>
    <t>Yield %</t>
  </si>
  <si>
    <t>^YTC (AT1/Tier 2 bonds)</t>
  </si>
  <si>
    <t>DEBT INSTRUMENTS</t>
  </si>
  <si>
    <t>a) Listed/Awaiting Listing On  Stock Exchange</t>
  </si>
  <si>
    <t>Sikka Ports &amp; Terminals Ltd**</t>
  </si>
  <si>
    <t>CARE AAA</t>
  </si>
  <si>
    <t>INE941D07190</t>
  </si>
  <si>
    <t>Sub Total:</t>
  </si>
  <si>
    <t>b) Privately Placed / Unlisted</t>
  </si>
  <si>
    <t>NIL</t>
  </si>
  <si>
    <t>Total:</t>
  </si>
  <si>
    <t>TERM DEPOSITS</t>
  </si>
  <si>
    <t>Deposits (Maturity not exceeding 91 days)</t>
  </si>
  <si>
    <t>Deposits (Placed as F &amp; O margin)</t>
  </si>
  <si>
    <t>MONEY MARKET INSTRUMENTS</t>
  </si>
  <si>
    <t>Certificate of Deposit (CD) / Commercial Paper (CP)</t>
  </si>
  <si>
    <t>NABARD CP</t>
  </si>
  <si>
    <t>CRISIL A1+</t>
  </si>
  <si>
    <t>INE261F14JR7</t>
  </si>
  <si>
    <t>Mahindra&amp;Mahindra Financial Services Ltd.CP**</t>
  </si>
  <si>
    <t>INE774D14RL0</t>
  </si>
  <si>
    <t>Bank of Baroda CD</t>
  </si>
  <si>
    <t>IND A1+</t>
  </si>
  <si>
    <t>INE028A16DB3</t>
  </si>
  <si>
    <t>Infina Finance Pvt.Ltd.CP</t>
  </si>
  <si>
    <t>CARE A1+</t>
  </si>
  <si>
    <t>INE879F14GM3</t>
  </si>
  <si>
    <t>Export-Import Bank of India.CD**</t>
  </si>
  <si>
    <t>INE514E16CA8</t>
  </si>
  <si>
    <t>Tata Power Renewable Energy Ltd.CP**</t>
  </si>
  <si>
    <t>INE607M14AE4</t>
  </si>
  <si>
    <t>SIDBI Ltd.CP</t>
  </si>
  <si>
    <t>INE556F14IZ5</t>
  </si>
  <si>
    <t>Birla Group Holdings Pvt. Ltd.CP**</t>
  </si>
  <si>
    <t>INE09OL14CW1</t>
  </si>
  <si>
    <t>ICICI Bank Ltd.CD**</t>
  </si>
  <si>
    <t>INE090A165Y4</t>
  </si>
  <si>
    <t>Godrej &amp; Boyce Mfg.Company Ltd.CP**</t>
  </si>
  <si>
    <t>INE982D14AN1</t>
  </si>
  <si>
    <t>Aditya Birla Money Ltd.CP**</t>
  </si>
  <si>
    <t>INE865C14JA8</t>
  </si>
  <si>
    <t>Larsen &amp; Toubro Ltd.CP**</t>
  </si>
  <si>
    <t>INE018A14JN1</t>
  </si>
  <si>
    <t>Reliance Industries Ltd.CP**</t>
  </si>
  <si>
    <t>INE002A14JY2</t>
  </si>
  <si>
    <t>Punjab National Bank CD**</t>
  </si>
  <si>
    <t>INE160A16NF4</t>
  </si>
  <si>
    <t>SIDBI Ltd.CP**</t>
  </si>
  <si>
    <t>INE556F14JD0</t>
  </si>
  <si>
    <t>Godrej Properties Ltd.CP**</t>
  </si>
  <si>
    <t>INE484J14RA6</t>
  </si>
  <si>
    <t>AXIS Bank Ltd.CD**</t>
  </si>
  <si>
    <t>INE238AD6165</t>
  </si>
  <si>
    <t>Reliance Retail Ventures Ltd.CP**</t>
  </si>
  <si>
    <t>INE929O14AB4</t>
  </si>
  <si>
    <t>Aditya Birla Housing Finance Ltd.CP**</t>
  </si>
  <si>
    <t>ICRA A1+</t>
  </si>
  <si>
    <t>INE831R14CR7</t>
  </si>
  <si>
    <t>Canara Bank.CD**</t>
  </si>
  <si>
    <t>INE476A16UO1</t>
  </si>
  <si>
    <t>INE476A16VH3</t>
  </si>
  <si>
    <t>Tata Motors Finance Ltd.CP**</t>
  </si>
  <si>
    <t>INE601U14JL6</t>
  </si>
  <si>
    <t>INE090A169X8</t>
  </si>
  <si>
    <t>Kotak Mahindra Bank Ltd.CD**</t>
  </si>
  <si>
    <t>INE237A168P0</t>
  </si>
  <si>
    <t>INE160A16NJ6</t>
  </si>
  <si>
    <t>INE09OL14DG2</t>
  </si>
  <si>
    <t>Treasury Bills</t>
  </si>
  <si>
    <t>91 Days Treasury-Bill 08/06/2023</t>
  </si>
  <si>
    <t>Sovereign</t>
  </si>
  <si>
    <t>IN002022X494</t>
  </si>
  <si>
    <t>364 Days Treasury-Bill 15/06/2023</t>
  </si>
  <si>
    <t>IN002022Z119</t>
  </si>
  <si>
    <t>364 Days Treasury-Bill 22/06/2023</t>
  </si>
  <si>
    <t>IN002022Z127</t>
  </si>
  <si>
    <t>91 Days Treasury-Bill 03/08/2023</t>
  </si>
  <si>
    <t>IN002023X054</t>
  </si>
  <si>
    <t>91 Days Treasury-Bill 31/08/2023</t>
  </si>
  <si>
    <t>IN002023X096</t>
  </si>
  <si>
    <t>182 Days Treasury-Bill 29/06/2023</t>
  </si>
  <si>
    <t>IN002022Y401</t>
  </si>
  <si>
    <t>91 Days Treasury-Bill 01/06/2023</t>
  </si>
  <si>
    <t>IN002022X486</t>
  </si>
  <si>
    <t>182 Days Treasury-Bill 15/06/2023</t>
  </si>
  <si>
    <t>IN002022Y385</t>
  </si>
  <si>
    <t>364 Days Treasury-Bill 06/07/2023</t>
  </si>
  <si>
    <t>IN002022Z143</t>
  </si>
  <si>
    <t>TREPS-Triparty Repo</t>
  </si>
  <si>
    <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</si>
  <si>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</si>
  <si>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</si>
  <si>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</si>
  <si>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</si>
  <si>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</si>
  <si>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</si>
  <si>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</si>
  <si>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</si>
  <si>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</si>
  <si>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</si>
  <si>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with maturity of upto 91 days only.</t>
  </si>
  <si>
    <t>*Investors should consult their financial advisers if in doubt about whether the product is suitable for them.</t>
  </si>
  <si>
    <t xml:space="preserve">         Riskometer of the scheme </t>
  </si>
  <si>
    <t>CRISIL Liquid Debt B-I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</si>
  <si>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</si>
  <si>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</si>
  <si>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</si>
  <si>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</si>
  <si>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</si>
  <si>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</si>
  <si>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</si>
  <si>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</si>
  <si>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</si>
  <si>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</si>
  <si>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</si>
  <si>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</si>
  <si>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 xml:space="preserve"> JM Liquid Fund</t>
  </si>
  <si>
    <t>Description (if any)</t>
  </si>
  <si>
    <t>Annualised Portfolio YTM* :</t>
  </si>
  <si>
    <t>Macaulay Duration</t>
  </si>
  <si>
    <t>Residual Maturity</t>
  </si>
  <si>
    <t xml:space="preserve">As on (Date) </t>
  </si>
  <si>
    <t>31.05.2023</t>
  </si>
  <si>
    <t xml:space="preserve">* in case of semi annual YTM,  it will be annualised </t>
  </si>
  <si>
    <t>Note - Aggregate investments by other schemes of JM Mutual Fund at the end of the period is Rs.702.17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</si>
</sst>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amily val="2"/>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9">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6" fillId="0" borderId="0"/>
    <xf numFmtId="0" fontId="1" fillId="0" borderId="0"/>
    <xf numFmtId="0" fontId="6" fillId="0" borderId="0"/>
    <xf numFmtId="0" fontId="6" fillId="0" borderId="0"/>
    <xf numFmtId="0" fontId="6" fillId="0" borderId="0"/>
  </cellStyleXfs>
  <cellXfs count="84">
    <xf numFmtId="0" fontId="0" fillId="0" borderId="0" xfId="0"/>
    <xf numFmtId="0" fontId="3" fillId="0" borderId="0" xfId="0" applyFont="1"/>
    <xf numFmtId="0" fontId="4" fillId="0" borderId="3" xfId="0" applyFont="1" applyFill="1" applyBorder="1" applyAlignment="1">
      <alignment horizontal="center" vertical="center" wrapText="1"/>
    </xf>
    <xf numFmtId="165" fontId="4" fillId="0" borderId="3" xfId="1" applyNumberFormat="1" applyFont="1" applyFill="1" applyBorder="1" applyAlignment="1">
      <alignment horizontal="center" vertical="center"/>
    </xf>
    <xf numFmtId="0" fontId="3" fillId="0" borderId="0" xfId="0" applyFont="1" applyAlignment="1">
      <alignment horizontal="center"/>
    </xf>
    <xf numFmtId="0" fontId="4" fillId="0" borderId="3" xfId="0" applyFont="1" applyFill="1" applyBorder="1" applyAlignment="1">
      <alignment wrapText="1"/>
    </xf>
    <xf numFmtId="0" fontId="4" fillId="0" borderId="3" xfId="0"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0" applyFont="1" applyFill="1" applyBorder="1" applyAlignment="1">
      <alignment horizontal="right"/>
    </xf>
    <xf numFmtId="166" fontId="5" fillId="0" borderId="3" xfId="0" applyNumberFormat="1" applyFont="1" applyFill="1" applyBorder="1"/>
    <xf numFmtId="0" fontId="5" fillId="0" borderId="3" xfId="0" applyFont="1" applyBorder="1"/>
    <xf numFmtId="0" fontId="3" fillId="0" borderId="0" xfId="0" applyFont="1" applyFill="1"/>
    <xf numFmtId="164" fontId="5" fillId="0" borderId="3" xfId="1" applyFont="1" applyFill="1" applyBorder="1" applyAlignment="1">
      <alignment horizontal="right"/>
    </xf>
    <xf numFmtId="4" fontId="5" fillId="0" borderId="3" xfId="0" applyNumberFormat="1" applyFont="1" applyFill="1" applyBorder="1" applyAlignment="1">
      <alignment wrapText="1"/>
    </xf>
    <xf numFmtId="0" fontId="5" fillId="0" borderId="3" xfId="0" applyFont="1" applyFill="1" applyBorder="1" applyAlignment="1">
      <alignment wrapText="1"/>
    </xf>
    <xf numFmtId="165" fontId="5" fillId="0" borderId="3" xfId="1" applyNumberFormat="1" applyFont="1" applyFill="1" applyBorder="1"/>
    <xf numFmtId="164" fontId="5" fillId="0" borderId="3" xfId="1" applyFont="1" applyFill="1" applyBorder="1"/>
    <xf numFmtId="165" fontId="4" fillId="0" borderId="3" xfId="1" applyNumberFormat="1" applyFont="1" applyFill="1" applyBorder="1" applyAlignment="1">
      <alignment horizontal="right"/>
    </xf>
    <xf numFmtId="164" fontId="5" fillId="0" borderId="4" xfId="1" applyFont="1" applyFill="1" applyBorder="1"/>
    <xf numFmtId="2" fontId="5" fillId="0" borderId="3" xfId="0" applyNumberFormat="1" applyFont="1" applyFill="1" applyBorder="1" applyAlignment="1">
      <alignment horizontal="right"/>
    </xf>
    <xf numFmtId="0" fontId="5" fillId="0" borderId="3" xfId="0" applyFont="1" applyFill="1" applyBorder="1" applyAlignment="1">
      <alignment horizontal="left" wrapText="1"/>
    </xf>
    <xf numFmtId="165" fontId="5" fillId="0" borderId="3" xfId="1" applyNumberFormat="1" applyFont="1" applyFill="1" applyBorder="1" applyAlignment="1">
      <alignment horizontal="right"/>
    </xf>
    <xf numFmtId="0" fontId="5" fillId="0" borderId="0" xfId="0" applyFont="1" applyFill="1" applyBorder="1" applyAlignment="1">
      <alignment horizontal="right"/>
    </xf>
    <xf numFmtId="0" fontId="5" fillId="0" borderId="0" xfId="0" applyFont="1" applyFill="1"/>
    <xf numFmtId="0" fontId="5" fillId="0" borderId="0" xfId="0" applyFont="1"/>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0" applyFont="1" applyFill="1" applyBorder="1" applyAlignment="1">
      <alignment wrapText="1"/>
    </xf>
    <xf numFmtId="0" fontId="5" fillId="0" borderId="0" xfId="0" applyFont="1" applyFill="1" applyAlignment="1">
      <alignment horizontal="right"/>
    </xf>
    <xf numFmtId="0" fontId="7" fillId="0" borderId="0" xfId="4" applyFont="1" applyBorder="1" applyAlignment="1">
      <alignment horizontal="left" vertical="center" wrapText="1"/>
    </xf>
    <xf numFmtId="164" fontId="5" fillId="0" borderId="0" xfId="1" applyFont="1" applyFill="1" applyAlignment="1">
      <alignment horizontal="right"/>
    </xf>
    <xf numFmtId="0" fontId="9" fillId="0" borderId="0" xfId="6" applyFont="1" applyBorder="1"/>
    <xf numFmtId="0" fontId="10" fillId="0" borderId="0" xfId="5" applyFont="1" applyFill="1" applyBorder="1" applyAlignment="1">
      <alignment horizontal="left" wrapText="1"/>
    </xf>
    <xf numFmtId="0" fontId="5" fillId="0" borderId="0" xfId="5" applyFont="1"/>
    <xf numFmtId="164" fontId="5" fillId="0" borderId="0" xfId="1" applyFont="1" applyFill="1" applyBorder="1" applyAlignment="1">
      <alignment horizontal="right"/>
    </xf>
    <xf numFmtId="0" fontId="7" fillId="0" borderId="0" xfId="6" applyFont="1" applyBorder="1"/>
    <xf numFmtId="0" fontId="7" fillId="0" borderId="0" xfId="7" applyFont="1" applyBorder="1"/>
    <xf numFmtId="0" fontId="9" fillId="0" borderId="0" xfId="8" applyFont="1" applyAlignment="1">
      <alignment horizontal="center"/>
    </xf>
    <xf numFmtId="0" fontId="4" fillId="0" borderId="0" xfId="5" applyFont="1" applyFill="1" applyBorder="1" applyAlignment="1">
      <alignment horizontal="left"/>
    </xf>
    <xf numFmtId="0" fontId="7" fillId="0" borderId="0" xfId="5" applyNumberFormat="1" applyFont="1" applyFill="1" applyBorder="1"/>
    <xf numFmtId="0" fontId="5" fillId="0" borderId="0" xfId="5" applyFont="1" applyAlignment="1">
      <alignment wrapText="1"/>
    </xf>
    <xf numFmtId="0" fontId="5" fillId="0" borderId="0" xfId="5" applyFont="1" applyAlignment="1">
      <alignment horizontal="left" wrapText="1"/>
    </xf>
    <xf numFmtId="165" fontId="5" fillId="0" borderId="0" xfId="1" applyNumberFormat="1" applyFont="1"/>
    <xf numFmtId="0" fontId="3" fillId="0" borderId="0" xfId="0" applyFont="1" applyFill="1" applyAlignment="1">
      <alignment horizontal="left" wrapText="1"/>
    </xf>
    <xf numFmtId="0" fontId="9" fillId="0" borderId="8" xfId="5" applyFont="1" applyBorder="1" applyAlignment="1">
      <alignment vertical="center" wrapText="1"/>
    </xf>
    <xf numFmtId="0" fontId="7" fillId="0" borderId="8" xfId="5" applyFont="1" applyBorder="1" applyAlignment="1">
      <alignment vertical="center" wrapText="1"/>
    </xf>
    <xf numFmtId="0" fontId="7" fillId="0" borderId="10" xfId="5" applyFont="1" applyBorder="1" applyAlignment="1">
      <alignment vertical="center" wrapText="1"/>
    </xf>
    <xf numFmtId="0" fontId="7" fillId="3" borderId="10" xfId="5" applyFont="1" applyFill="1" applyBorder="1" applyAlignment="1">
      <alignment horizontal="center" vertical="center" wrapText="1"/>
    </xf>
    <xf numFmtId="0" fontId="5" fillId="0" borderId="3" xfId="5" applyFont="1" applyBorder="1" applyAlignment="1">
      <alignment wrapText="1"/>
    </xf>
    <xf numFmtId="0" fontId="5" fillId="0" borderId="3" xfId="5" applyFont="1" applyBorder="1" applyAlignment="1">
      <alignment horizontal="center" wrapText="1"/>
    </xf>
    <xf numFmtId="0" fontId="5" fillId="0" borderId="3" xfId="5" applyFont="1" applyBorder="1" applyAlignment="1">
      <alignment horizontal="left" wrapText="1"/>
    </xf>
    <xf numFmtId="166" fontId="5" fillId="0" borderId="3" xfId="5" applyNumberFormat="1" applyFont="1" applyFill="1" applyBorder="1" applyAlignment="1">
      <alignment horizontal="center" wrapText="1"/>
    </xf>
    <xf numFmtId="0" fontId="5" fillId="0" borderId="3" xfId="5" applyFont="1" applyFill="1" applyBorder="1" applyAlignment="1">
      <alignment horizontal="left" wrapText="1"/>
    </xf>
    <xf numFmtId="0" fontId="5" fillId="0" borderId="3" xfId="5" applyFont="1" applyFill="1" applyBorder="1" applyAlignment="1">
      <alignment horizontal="center" wrapText="1"/>
    </xf>
    <xf numFmtId="0" fontId="5" fillId="0" borderId="4" xfId="5" applyFont="1" applyBorder="1" applyAlignment="1">
      <alignment horizontal="left" wrapText="1"/>
    </xf>
    <xf numFmtId="0" fontId="5" fillId="0" borderId="11" xfId="5" applyFont="1" applyBorder="1" applyAlignment="1">
      <alignment horizontal="left" wrapText="1"/>
    </xf>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4" fillId="0" borderId="3" xfId="0" applyFont="1" applyBorder="1" applyAlignment="1">
      <alignment horizontal="center" vertical="center"/>
    </xf>
    <xf numFmtId="0" fontId="4" fillId="0" borderId="3" xfId="0" applyFont="1" applyBorder="1" applyAlignment="1">
      <alignment horizontal="center" vertical="center" wrapText="1"/>
    </xf>
    <xf numFmtId="0" fontId="5" fillId="0" borderId="3" xfId="0" applyFont="1" applyFill="1" applyBorder="1"/>
    <xf numFmtId="0" fontId="5" fillId="0" borderId="3" xfId="2" applyNumberFormat="1" applyFont="1" applyFill="1" applyBorder="1" applyAlignment="1">
      <alignment horizontal="center" wrapText="1"/>
    </xf>
    <xf numFmtId="0" fontId="5" fillId="0" borderId="3" xfId="5" applyNumberFormat="1" applyFont="1" applyBorder="1" applyAlignment="1">
      <alignment horizontal="center"/>
    </xf>
    <xf numFmtId="0" fontId="5" fillId="0" borderId="8" xfId="5" applyFont="1" applyBorder="1" applyAlignment="1">
      <alignment vertical="center" wrapText="1"/>
    </xf>
    <xf numFmtId="164" fontId="4" fillId="0" borderId="3" xfId="1" applyFont="1" applyFill="1" applyBorder="1"/>
    <xf numFmtId="0" fontId="7" fillId="0" borderId="0" xfId="4" applyFont="1" applyBorder="1" applyAlignment="1">
      <alignment horizontal="left" wrapText="1"/>
    </xf>
    <xf numFmtId="0" fontId="5" fillId="0" borderId="0" xfId="5" applyFont="1" applyAlignment="1">
      <alignment horizontal="left" wrapText="1"/>
    </xf>
    <xf numFmtId="0" fontId="2" fillId="2" borderId="1" xfId="0" applyFont="1" applyFill="1" applyBorder="1" applyAlignment="1">
      <alignment horizontal="center" vertical="top" wrapText="1"/>
    </xf>
    <xf numFmtId="0" fontId="2" fillId="2" borderId="2" xfId="0" applyFont="1" applyFill="1" applyBorder="1" applyAlignment="1">
      <alignment horizontal="center" vertical="top" wrapText="1"/>
    </xf>
    <xf numFmtId="0" fontId="5" fillId="0" borderId="0" xfId="3" applyFont="1" applyAlignment="1">
      <alignment horizontal="left" wrapText="1"/>
    </xf>
    <xf numFmtId="0" fontId="5" fillId="0" borderId="2" xfId="5" applyFont="1" applyBorder="1" applyAlignment="1">
      <alignment horizontal="center" wrapText="1"/>
    </xf>
    <xf numFmtId="0" fontId="5" fillId="0" borderId="11" xfId="5" applyFont="1" applyBorder="1" applyAlignment="1">
      <alignment horizontal="center" wrapText="1"/>
    </xf>
    <xf numFmtId="0" fontId="8" fillId="0" borderId="0" xfId="4" applyFont="1" applyBorder="1" applyAlignment="1">
      <alignment horizontal="left" vertical="top" wrapText="1"/>
    </xf>
    <xf numFmtId="0" fontId="5" fillId="0" borderId="0" xfId="5" applyFont="1" applyAlignment="1">
      <alignment horizontal="left" vertical="top" wrapText="1"/>
    </xf>
    <xf numFmtId="0" fontId="4" fillId="0" borderId="0" xfId="5" applyFont="1" applyFill="1" applyBorder="1" applyAlignment="1">
      <alignment horizontal="center"/>
    </xf>
    <xf numFmtId="0" fontId="9" fillId="0" borderId="5" xfId="5" applyFont="1" applyBorder="1" applyAlignment="1">
      <alignment horizontal="center" vertical="center" wrapText="1"/>
    </xf>
    <xf numFmtId="0" fontId="9" fillId="0" borderId="6" xfId="5" applyFont="1" applyBorder="1" applyAlignment="1">
      <alignment horizontal="center" vertical="center" wrapText="1"/>
    </xf>
    <xf numFmtId="0" fontId="9" fillId="0" borderId="7" xfId="5" applyFont="1" applyBorder="1" applyAlignment="1">
      <alignment horizontal="center" vertical="center" wrapText="1"/>
    </xf>
    <xf numFmtId="0" fontId="9" fillId="0" borderId="9" xfId="5" applyFont="1" applyBorder="1" applyAlignment="1">
      <alignment horizontal="left" vertical="top" wrapText="1"/>
    </xf>
    <xf numFmtId="0" fontId="9" fillId="0" borderId="8" xfId="5" applyFont="1" applyBorder="1" applyAlignment="1">
      <alignment horizontal="left" vertical="top" wrapText="1"/>
    </xf>
  </cellXfs>
  <cellStyles count="9">
    <cellStyle name="Comma" xfId="1" builtinId="3"/>
    <cellStyle name="Normal" xfId="0" builtinId="0"/>
    <cellStyle name="Normal 2 2" xfId="5"/>
    <cellStyle name="Normal 2 3 2" xfId="3"/>
    <cellStyle name="Normal 4_IF" xfId="8"/>
    <cellStyle name="Normal 4_LD" xfId="4"/>
    <cellStyle name="Normal 4_LF" xfId="6"/>
    <cellStyle name="Normal 4_ON" xfId="7"/>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419100</xdr:colOff>
      <xdr:row>80</xdr:row>
      <xdr:rowOff>133350</xdr:rowOff>
    </xdr:from>
    <xdr:to>
      <xdr:col>3</xdr:col>
      <xdr:colOff>542925</xdr:colOff>
      <xdr:row>87</xdr:row>
      <xdr:rowOff>38099</xdr:rowOff>
    </xdr:to>
    <xdr:pic>
      <xdr:nvPicPr>
        <xdr:cNvPr id="2" name="Picture 3"/>
        <xdr:cNvPicPr>
          <a:picLocks noChangeAspect="1"/>
        </xdr:cNvPicPr>
      </xdr:nvPicPr>
      <xdr:blipFill>
        <a:blip xmlns:r="http://schemas.openxmlformats.org/officeDocument/2006/relationships" r:embed="rId1" cstate="print"/>
        <a:srcRect/>
        <a:stretch>
          <a:fillRect/>
        </a:stretch>
      </xdr:blipFill>
      <xdr:spPr bwMode="auto">
        <a:xfrm>
          <a:off x="3467100" y="15535275"/>
          <a:ext cx="1838325" cy="1171574"/>
        </a:xfrm>
        <a:prstGeom prst="rect">
          <a:avLst/>
        </a:prstGeom>
        <a:noFill/>
        <a:ln w="9525">
          <a:noFill/>
          <a:miter lim="800000"/>
          <a:headEnd/>
          <a:tailEnd/>
        </a:ln>
      </xdr:spPr>
    </xdr:pic>
    <xdr:clientData/>
  </xdr:twoCellAnchor>
  <xdr:twoCellAnchor editAs="oneCell">
    <xdr:from>
      <xdr:col>0</xdr:col>
      <xdr:colOff>790575</xdr:colOff>
      <xdr:row>80</xdr:row>
      <xdr:rowOff>142875</xdr:rowOff>
    </xdr:from>
    <xdr:to>
      <xdr:col>0</xdr:col>
      <xdr:colOff>2628900</xdr:colOff>
      <xdr:row>87</xdr:row>
      <xdr:rowOff>38099</xdr:rowOff>
    </xdr:to>
    <xdr:pic>
      <xdr:nvPicPr>
        <xdr:cNvPr id="3" name="Picture 1"/>
        <xdr:cNvPicPr>
          <a:picLocks noChangeAspect="1"/>
        </xdr:cNvPicPr>
      </xdr:nvPicPr>
      <xdr:blipFill>
        <a:blip xmlns:r="http://schemas.openxmlformats.org/officeDocument/2006/relationships" r:embed="rId2" cstate="print"/>
        <a:srcRect/>
        <a:stretch>
          <a:fillRect/>
        </a:stretch>
      </xdr:blipFill>
      <xdr:spPr bwMode="auto">
        <a:xfrm>
          <a:off x="790575" y="16021050"/>
          <a:ext cx="1838325" cy="11620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07"/>
  <sheetViews>
    <sheetView tabSelected="1" topLeftCell="A43" zoomScaleNormal="100" workbookViewId="0">
      <selection activeCell="E64" sqref="E64"/>
    </sheetView>
  </sheetViews>
  <sheetFormatPr defaultRowHeight="12.75" x14ac:dyDescent="0.2"/>
  <cols>
    <col min="1" max="1" width="45.7109375" style="59" customWidth="1"/>
    <col min="2" max="2" width="12.85546875" style="60" customWidth="1"/>
    <col min="3" max="3" width="12.85546875" style="61" customWidth="1"/>
    <col min="4" max="8" width="12.85546875" style="1" customWidth="1"/>
    <col min="9" max="16384" width="9.140625" style="1"/>
  </cols>
  <sheetData>
    <row r="1" spans="1:8" x14ac:dyDescent="0.2">
      <c r="A1" s="71" t="s">
        <v>0</v>
      </c>
      <c r="B1" s="71"/>
      <c r="C1" s="71"/>
      <c r="D1" s="71"/>
      <c r="E1" s="71"/>
      <c r="F1" s="71"/>
      <c r="G1" s="71"/>
      <c r="H1" s="71"/>
    </row>
    <row r="2" spans="1:8" x14ac:dyDescent="0.2">
      <c r="A2" s="72" t="s">
        <v>1</v>
      </c>
      <c r="B2" s="72"/>
      <c r="C2" s="72"/>
      <c r="D2" s="72"/>
      <c r="E2" s="72"/>
      <c r="F2" s="72"/>
      <c r="G2" s="72"/>
      <c r="H2" s="72"/>
    </row>
    <row r="3" spans="1:8" s="4" customFormat="1" ht="25.5" x14ac:dyDescent="0.2">
      <c r="A3" s="2" t="s">
        <v>2</v>
      </c>
      <c r="B3" s="2" t="s">
        <v>3</v>
      </c>
      <c r="C3" s="3" t="s">
        <v>4</v>
      </c>
      <c r="D3" s="2" t="s">
        <v>5</v>
      </c>
      <c r="E3" s="2" t="s">
        <v>6</v>
      </c>
      <c r="F3" s="2" t="s">
        <v>7</v>
      </c>
      <c r="G3" s="62" t="s">
        <v>8</v>
      </c>
      <c r="H3" s="63" t="s">
        <v>9</v>
      </c>
    </row>
    <row r="4" spans="1:8" s="12" customFormat="1" ht="14.25" x14ac:dyDescent="0.3">
      <c r="A4" s="5" t="s">
        <v>10</v>
      </c>
      <c r="B4" s="6"/>
      <c r="C4" s="7"/>
      <c r="D4" s="8"/>
      <c r="E4" s="8"/>
      <c r="F4" s="9"/>
      <c r="G4" s="10"/>
      <c r="H4" s="11"/>
    </row>
    <row r="5" spans="1:8" s="12" customFormat="1" ht="14.25" x14ac:dyDescent="0.3">
      <c r="A5" s="5" t="s">
        <v>11</v>
      </c>
      <c r="B5" s="6"/>
      <c r="C5" s="7"/>
      <c r="D5" s="13"/>
      <c r="E5" s="13"/>
      <c r="F5" s="13"/>
      <c r="G5" s="10"/>
      <c r="H5" s="11"/>
    </row>
    <row r="6" spans="1:8" s="12" customFormat="1" ht="14.25" x14ac:dyDescent="0.3">
      <c r="A6" s="14" t="s">
        <v>12</v>
      </c>
      <c r="B6" s="15" t="s">
        <v>13</v>
      </c>
      <c r="C6" s="16">
        <v>250</v>
      </c>
      <c r="D6" s="17">
        <v>2499.37</v>
      </c>
      <c r="E6" s="17">
        <f>(+D6/$D$66*100)</f>
        <v>1.581123350253798</v>
      </c>
      <c r="F6" s="17" t="s">
        <v>14</v>
      </c>
      <c r="G6" s="10">
        <v>7.3102999999999998</v>
      </c>
      <c r="H6" s="11"/>
    </row>
    <row r="7" spans="1:8" s="12" customFormat="1" ht="14.25" x14ac:dyDescent="0.3">
      <c r="A7" s="5" t="s">
        <v>15</v>
      </c>
      <c r="B7" s="6"/>
      <c r="C7" s="18"/>
      <c r="D7" s="8">
        <f>IF(ISERROR(SUM(D6:D6)),0,SUM(D6:D6))</f>
        <v>2499.37</v>
      </c>
      <c r="E7" s="8">
        <f>IF(ISERROR(SUM(E6:E6)),0,SUM(E6:E6))</f>
        <v>1.581123350253798</v>
      </c>
      <c r="F7" s="8"/>
      <c r="G7" s="10"/>
      <c r="H7" s="11"/>
    </row>
    <row r="8" spans="1:8" s="12" customFormat="1" ht="14.25" x14ac:dyDescent="0.3">
      <c r="A8" s="5"/>
      <c r="B8" s="6"/>
      <c r="C8" s="18"/>
      <c r="D8" s="13"/>
      <c r="E8" s="13"/>
      <c r="F8" s="13"/>
      <c r="G8" s="10"/>
      <c r="H8" s="11"/>
    </row>
    <row r="9" spans="1:8" s="12" customFormat="1" ht="14.25" x14ac:dyDescent="0.3">
      <c r="A9" s="5" t="s">
        <v>16</v>
      </c>
      <c r="B9" s="6"/>
      <c r="C9" s="18"/>
      <c r="D9" s="8" t="s">
        <v>17</v>
      </c>
      <c r="E9" s="8" t="s">
        <v>17</v>
      </c>
      <c r="F9" s="9"/>
      <c r="G9" s="10"/>
      <c r="H9" s="11"/>
    </row>
    <row r="10" spans="1:8" s="12" customFormat="1" ht="14.25" x14ac:dyDescent="0.3">
      <c r="A10" s="5"/>
      <c r="B10" s="6"/>
      <c r="C10" s="18"/>
      <c r="D10" s="13"/>
      <c r="E10" s="13"/>
      <c r="F10" s="13"/>
      <c r="G10" s="10"/>
      <c r="H10" s="11"/>
    </row>
    <row r="11" spans="1:8" s="12" customFormat="1" ht="14.25" x14ac:dyDescent="0.3">
      <c r="A11" s="5" t="s">
        <v>18</v>
      </c>
      <c r="B11" s="6"/>
      <c r="C11" s="18"/>
      <c r="D11" s="8">
        <f>IF(ISERROR(+D7),0,D7)+IF(ISERROR(+#REF!),0,#REF!)+IF(ISERROR(+#REF!),0,#REF!)</f>
        <v>2499.37</v>
      </c>
      <c r="E11" s="8">
        <f>IF(ISERROR(+E7),0,E7)+IF(ISERROR(+#REF!),0,#REF!)+IF(ISERROR(+#REF!),0,#REF!)</f>
        <v>1.581123350253798</v>
      </c>
      <c r="F11" s="8"/>
      <c r="G11" s="10"/>
      <c r="H11" s="11"/>
    </row>
    <row r="12" spans="1:8" s="12" customFormat="1" ht="14.25" x14ac:dyDescent="0.3">
      <c r="A12" s="5"/>
      <c r="B12" s="6"/>
      <c r="C12" s="18"/>
      <c r="D12" s="8"/>
      <c r="E12" s="8"/>
      <c r="F12" s="8"/>
      <c r="G12" s="10"/>
      <c r="H12" s="11"/>
    </row>
    <row r="13" spans="1:8" s="12" customFormat="1" ht="14.25" x14ac:dyDescent="0.3">
      <c r="A13" s="5" t="s">
        <v>19</v>
      </c>
      <c r="B13" s="6"/>
      <c r="C13" s="18"/>
      <c r="D13" s="8"/>
      <c r="E13" s="8"/>
      <c r="F13" s="8"/>
      <c r="G13" s="10"/>
      <c r="H13" s="11"/>
    </row>
    <row r="14" spans="1:8" s="12" customFormat="1" ht="14.25" x14ac:dyDescent="0.3">
      <c r="A14" s="5"/>
      <c r="B14" s="6"/>
      <c r="C14" s="18"/>
      <c r="D14" s="17"/>
      <c r="E14" s="17"/>
      <c r="F14" s="19"/>
      <c r="G14" s="10"/>
      <c r="H14" s="11"/>
    </row>
    <row r="15" spans="1:8" s="12" customFormat="1" ht="14.25" x14ac:dyDescent="0.3">
      <c r="A15" s="5" t="s">
        <v>20</v>
      </c>
      <c r="B15" s="6"/>
      <c r="C15" s="18"/>
      <c r="D15" s="8" t="s">
        <v>17</v>
      </c>
      <c r="E15" s="8" t="s">
        <v>17</v>
      </c>
      <c r="F15" s="8"/>
      <c r="G15" s="10"/>
      <c r="H15" s="11"/>
    </row>
    <row r="16" spans="1:8" s="12" customFormat="1" ht="14.25" x14ac:dyDescent="0.3">
      <c r="A16" s="5"/>
      <c r="B16" s="6"/>
      <c r="C16" s="18"/>
      <c r="D16" s="8"/>
      <c r="E16" s="8"/>
      <c r="F16" s="8"/>
      <c r="G16" s="10"/>
      <c r="H16" s="11"/>
    </row>
    <row r="17" spans="1:8" s="12" customFormat="1" ht="14.25" x14ac:dyDescent="0.3">
      <c r="A17" s="5" t="s">
        <v>21</v>
      </c>
      <c r="B17" s="6"/>
      <c r="C17" s="18"/>
      <c r="D17" s="8" t="s">
        <v>17</v>
      </c>
      <c r="E17" s="8" t="s">
        <v>17</v>
      </c>
      <c r="F17" s="8"/>
      <c r="G17" s="10"/>
      <c r="H17" s="11"/>
    </row>
    <row r="18" spans="1:8" s="12" customFormat="1" ht="14.25" x14ac:dyDescent="0.3">
      <c r="A18" s="5"/>
      <c r="B18" s="6"/>
      <c r="C18" s="18"/>
      <c r="D18" s="8"/>
      <c r="E18" s="8"/>
      <c r="F18" s="8"/>
      <c r="G18" s="10"/>
      <c r="H18" s="11"/>
    </row>
    <row r="19" spans="1:8" s="12" customFormat="1" ht="14.25" x14ac:dyDescent="0.3">
      <c r="A19" s="5" t="s">
        <v>22</v>
      </c>
      <c r="B19" s="6"/>
      <c r="C19" s="18"/>
      <c r="D19" s="8"/>
      <c r="E19" s="8"/>
      <c r="F19" s="9"/>
      <c r="G19" s="10"/>
      <c r="H19" s="11"/>
    </row>
    <row r="20" spans="1:8" s="12" customFormat="1" ht="14.25" x14ac:dyDescent="0.3">
      <c r="A20" s="5" t="s">
        <v>23</v>
      </c>
      <c r="B20" s="6"/>
      <c r="C20" s="18"/>
      <c r="D20" s="8"/>
      <c r="E20" s="8"/>
      <c r="F20" s="9"/>
      <c r="G20" s="10"/>
      <c r="H20" s="11"/>
    </row>
    <row r="21" spans="1:8" s="12" customFormat="1" ht="14.25" x14ac:dyDescent="0.3">
      <c r="A21" s="14" t="s">
        <v>24</v>
      </c>
      <c r="B21" s="15" t="s">
        <v>25</v>
      </c>
      <c r="C21" s="16">
        <v>2000</v>
      </c>
      <c r="D21" s="17">
        <v>10000</v>
      </c>
      <c r="E21" s="17">
        <f t="shared" ref="E21:E46" si="0">(+D21/$D$66*100)</f>
        <v>6.326087575084113</v>
      </c>
      <c r="F21" s="17" t="s">
        <v>26</v>
      </c>
      <c r="G21" s="10">
        <v>6.3521000000000001</v>
      </c>
      <c r="H21" s="11"/>
    </row>
    <row r="22" spans="1:8" s="12" customFormat="1" ht="14.25" x14ac:dyDescent="0.3">
      <c r="A22" s="14" t="s">
        <v>27</v>
      </c>
      <c r="B22" s="15" t="s">
        <v>25</v>
      </c>
      <c r="C22" s="16">
        <v>1500</v>
      </c>
      <c r="D22" s="17">
        <v>7498.5974999999999</v>
      </c>
      <c r="E22" s="17">
        <f t="shared" si="0"/>
        <v>4.7436784475306792</v>
      </c>
      <c r="F22" s="17" t="s">
        <v>28</v>
      </c>
      <c r="G22" s="10">
        <v>6.8449999999999998</v>
      </c>
      <c r="H22" s="11"/>
    </row>
    <row r="23" spans="1:8" s="12" customFormat="1" ht="14.25" x14ac:dyDescent="0.3">
      <c r="A23" s="14" t="s">
        <v>29</v>
      </c>
      <c r="B23" s="15" t="s">
        <v>30</v>
      </c>
      <c r="C23" s="16">
        <v>1000</v>
      </c>
      <c r="D23" s="17">
        <v>4992.7250000000004</v>
      </c>
      <c r="E23" s="17">
        <f t="shared" si="0"/>
        <v>3.1584415588311834</v>
      </c>
      <c r="F23" s="17" t="s">
        <v>31</v>
      </c>
      <c r="G23" s="10">
        <v>6.6481000000000003</v>
      </c>
      <c r="H23" s="11"/>
    </row>
    <row r="24" spans="1:8" s="12" customFormat="1" ht="14.25" x14ac:dyDescent="0.3">
      <c r="A24" s="14" t="s">
        <v>32</v>
      </c>
      <c r="B24" s="15" t="s">
        <v>33</v>
      </c>
      <c r="C24" s="16">
        <v>1000</v>
      </c>
      <c r="D24" s="17">
        <v>4992.1750000000002</v>
      </c>
      <c r="E24" s="17">
        <f t="shared" si="0"/>
        <v>3.1580936240145538</v>
      </c>
      <c r="F24" s="17" t="s">
        <v>34</v>
      </c>
      <c r="G24" s="10">
        <v>7.1515000000000004</v>
      </c>
      <c r="H24" s="11"/>
    </row>
    <row r="25" spans="1:8" s="12" customFormat="1" ht="14.25" x14ac:dyDescent="0.3">
      <c r="A25" s="14" t="s">
        <v>35</v>
      </c>
      <c r="B25" s="15" t="s">
        <v>25</v>
      </c>
      <c r="C25" s="16">
        <v>1000</v>
      </c>
      <c r="D25" s="17">
        <v>4982.7049999999999</v>
      </c>
      <c r="E25" s="17">
        <f t="shared" si="0"/>
        <v>3.1521028190809495</v>
      </c>
      <c r="F25" s="17" t="s">
        <v>36</v>
      </c>
      <c r="G25" s="10">
        <v>6.6689999999999996</v>
      </c>
      <c r="H25" s="11"/>
    </row>
    <row r="26" spans="1:8" s="12" customFormat="1" ht="14.25" x14ac:dyDescent="0.3">
      <c r="A26" s="14" t="s">
        <v>37</v>
      </c>
      <c r="B26" s="15" t="s">
        <v>33</v>
      </c>
      <c r="C26" s="16">
        <v>1000</v>
      </c>
      <c r="D26" s="17">
        <v>4981.7</v>
      </c>
      <c r="E26" s="17">
        <f t="shared" si="0"/>
        <v>3.1514670472796524</v>
      </c>
      <c r="F26" s="17" t="s">
        <v>38</v>
      </c>
      <c r="G26" s="10">
        <v>7.0578000000000003</v>
      </c>
      <c r="H26" s="11"/>
    </row>
    <row r="27" spans="1:8" s="12" customFormat="1" ht="14.25" x14ac:dyDescent="0.3">
      <c r="A27" s="14" t="s">
        <v>39</v>
      </c>
      <c r="B27" s="15" t="s">
        <v>33</v>
      </c>
      <c r="C27" s="16">
        <v>1000</v>
      </c>
      <c r="D27" s="17">
        <v>4980.6549999999997</v>
      </c>
      <c r="E27" s="17">
        <f t="shared" si="0"/>
        <v>3.1508059711280567</v>
      </c>
      <c r="F27" s="17" t="s">
        <v>40</v>
      </c>
      <c r="G27" s="10">
        <v>6.7507999999999999</v>
      </c>
      <c r="H27" s="11"/>
    </row>
    <row r="28" spans="1:8" s="12" customFormat="1" ht="14.25" x14ac:dyDescent="0.3">
      <c r="A28" s="14" t="s">
        <v>41</v>
      </c>
      <c r="B28" s="15" t="s">
        <v>25</v>
      </c>
      <c r="C28" s="16">
        <v>1000</v>
      </c>
      <c r="D28" s="17">
        <v>4978.26</v>
      </c>
      <c r="E28" s="17">
        <f t="shared" si="0"/>
        <v>3.1492908731538241</v>
      </c>
      <c r="F28" s="17" t="s">
        <v>42</v>
      </c>
      <c r="G28" s="10">
        <v>7.2451999999999996</v>
      </c>
      <c r="H28" s="11"/>
    </row>
    <row r="29" spans="1:8" s="12" customFormat="1" ht="14.25" x14ac:dyDescent="0.3">
      <c r="A29" s="14" t="s">
        <v>43</v>
      </c>
      <c r="B29" s="15" t="s">
        <v>33</v>
      </c>
      <c r="C29" s="16">
        <v>1000</v>
      </c>
      <c r="D29" s="17">
        <v>4975.6350000000002</v>
      </c>
      <c r="E29" s="17">
        <f t="shared" si="0"/>
        <v>3.1476302751653646</v>
      </c>
      <c r="F29" s="17" t="s">
        <v>44</v>
      </c>
      <c r="G29" s="10">
        <v>6.6197999999999997</v>
      </c>
      <c r="H29" s="11"/>
    </row>
    <row r="30" spans="1:8" s="12" customFormat="1" ht="14.25" x14ac:dyDescent="0.3">
      <c r="A30" s="14" t="s">
        <v>45</v>
      </c>
      <c r="B30" s="15" t="s">
        <v>25</v>
      </c>
      <c r="C30" s="16">
        <v>1000</v>
      </c>
      <c r="D30" s="17">
        <v>4973.7150000000001</v>
      </c>
      <c r="E30" s="17">
        <f t="shared" si="0"/>
        <v>3.1464156663509484</v>
      </c>
      <c r="F30" s="17" t="s">
        <v>46</v>
      </c>
      <c r="G30" s="10">
        <v>6.8897000000000004</v>
      </c>
      <c r="H30" s="11"/>
    </row>
    <row r="31" spans="1:8" s="12" customFormat="1" ht="14.25" x14ac:dyDescent="0.3">
      <c r="A31" s="14" t="s">
        <v>47</v>
      </c>
      <c r="B31" s="15" t="s">
        <v>25</v>
      </c>
      <c r="C31" s="16">
        <v>1000</v>
      </c>
      <c r="D31" s="17">
        <v>4971.46</v>
      </c>
      <c r="E31" s="17">
        <f t="shared" si="0"/>
        <v>3.1449891336027673</v>
      </c>
      <c r="F31" s="17" t="s">
        <v>48</v>
      </c>
      <c r="G31" s="10">
        <v>7.2253999999999996</v>
      </c>
      <c r="H31" s="11"/>
    </row>
    <row r="32" spans="1:8" s="12" customFormat="1" ht="14.25" x14ac:dyDescent="0.3">
      <c r="A32" s="14" t="s">
        <v>49</v>
      </c>
      <c r="B32" s="15" t="s">
        <v>25</v>
      </c>
      <c r="C32" s="16">
        <v>1000</v>
      </c>
      <c r="D32" s="17">
        <v>4954.88</v>
      </c>
      <c r="E32" s="17">
        <f t="shared" si="0"/>
        <v>3.1345004804032772</v>
      </c>
      <c r="F32" s="17" t="s">
        <v>50</v>
      </c>
      <c r="G32" s="10">
        <v>6.9249000000000001</v>
      </c>
      <c r="H32" s="11"/>
    </row>
    <row r="33" spans="1:8" s="12" customFormat="1" ht="14.25" x14ac:dyDescent="0.3">
      <c r="A33" s="14" t="s">
        <v>51</v>
      </c>
      <c r="B33" s="15" t="s">
        <v>33</v>
      </c>
      <c r="C33" s="16">
        <v>1000</v>
      </c>
      <c r="D33" s="17">
        <v>4946.3950000000004</v>
      </c>
      <c r="E33" s="17">
        <f t="shared" si="0"/>
        <v>3.1291327950958188</v>
      </c>
      <c r="F33" s="17" t="s">
        <v>52</v>
      </c>
      <c r="G33" s="10">
        <v>6.9398999999999997</v>
      </c>
      <c r="H33" s="11"/>
    </row>
    <row r="34" spans="1:8" s="12" customFormat="1" ht="14.25" x14ac:dyDescent="0.3">
      <c r="A34" s="14" t="s">
        <v>53</v>
      </c>
      <c r="B34" s="15" t="s">
        <v>33</v>
      </c>
      <c r="C34" s="16">
        <v>1000</v>
      </c>
      <c r="D34" s="17">
        <v>4934.75</v>
      </c>
      <c r="E34" s="17">
        <f t="shared" si="0"/>
        <v>3.1217660661146329</v>
      </c>
      <c r="F34" s="17" t="s">
        <v>54</v>
      </c>
      <c r="G34" s="10">
        <v>6.9947999999999997</v>
      </c>
      <c r="H34" s="11"/>
    </row>
    <row r="35" spans="1:8" s="12" customFormat="1" ht="14.25" x14ac:dyDescent="0.3">
      <c r="A35" s="14" t="s">
        <v>55</v>
      </c>
      <c r="B35" s="15" t="s">
        <v>33</v>
      </c>
      <c r="C35" s="16">
        <v>1000</v>
      </c>
      <c r="D35" s="17">
        <v>4929.9849999999997</v>
      </c>
      <c r="E35" s="17">
        <f t="shared" si="0"/>
        <v>3.1187516853851056</v>
      </c>
      <c r="F35" s="17" t="s">
        <v>56</v>
      </c>
      <c r="G35" s="10">
        <v>7.0049999999999999</v>
      </c>
      <c r="H35" s="11"/>
    </row>
    <row r="36" spans="1:8" s="12" customFormat="1" ht="14.25" x14ac:dyDescent="0.3">
      <c r="A36" s="14" t="s">
        <v>57</v>
      </c>
      <c r="B36" s="15" t="s">
        <v>25</v>
      </c>
      <c r="C36" s="16">
        <v>1000</v>
      </c>
      <c r="D36" s="17">
        <v>4925.4549999999999</v>
      </c>
      <c r="E36" s="17">
        <f t="shared" si="0"/>
        <v>3.1158859677135924</v>
      </c>
      <c r="F36" s="17" t="s">
        <v>58</v>
      </c>
      <c r="G36" s="10">
        <v>7.4650999999999996</v>
      </c>
      <c r="H36" s="11"/>
    </row>
    <row r="37" spans="1:8" s="12" customFormat="1" ht="14.25" x14ac:dyDescent="0.3">
      <c r="A37" s="14" t="s">
        <v>59</v>
      </c>
      <c r="B37" s="15" t="s">
        <v>25</v>
      </c>
      <c r="C37" s="16">
        <v>900</v>
      </c>
      <c r="D37" s="17">
        <v>4495.0860000000002</v>
      </c>
      <c r="E37" s="17">
        <f t="shared" si="0"/>
        <v>2.8436307693534548</v>
      </c>
      <c r="F37" s="17" t="s">
        <v>60</v>
      </c>
      <c r="G37" s="10">
        <v>6.6502999999999997</v>
      </c>
      <c r="H37" s="11"/>
    </row>
    <row r="38" spans="1:8" s="12" customFormat="1" ht="14.25" x14ac:dyDescent="0.3">
      <c r="A38" s="14" t="s">
        <v>61</v>
      </c>
      <c r="B38" s="15" t="s">
        <v>33</v>
      </c>
      <c r="C38" s="16">
        <v>500</v>
      </c>
      <c r="D38" s="17">
        <v>2497.2550000000001</v>
      </c>
      <c r="E38" s="17">
        <f t="shared" si="0"/>
        <v>1.5797853827316681</v>
      </c>
      <c r="F38" s="17" t="s">
        <v>62</v>
      </c>
      <c r="G38" s="10">
        <v>6.6898999999999997</v>
      </c>
      <c r="H38" s="11"/>
    </row>
    <row r="39" spans="1:8" s="12" customFormat="1" ht="14.25" x14ac:dyDescent="0.3">
      <c r="A39" s="14" t="s">
        <v>63</v>
      </c>
      <c r="B39" s="15" t="s">
        <v>64</v>
      </c>
      <c r="C39" s="16">
        <v>500</v>
      </c>
      <c r="D39" s="17">
        <v>2487.8625000000002</v>
      </c>
      <c r="E39" s="17">
        <f t="shared" si="0"/>
        <v>1.5738436049767701</v>
      </c>
      <c r="F39" s="17" t="s">
        <v>65</v>
      </c>
      <c r="G39" s="10">
        <v>6.8495999999999997</v>
      </c>
      <c r="H39" s="11"/>
    </row>
    <row r="40" spans="1:8" s="12" customFormat="1" ht="14.25" x14ac:dyDescent="0.3">
      <c r="A40" s="14" t="s">
        <v>66</v>
      </c>
      <c r="B40" s="15" t="s">
        <v>25</v>
      </c>
      <c r="C40" s="16">
        <v>500</v>
      </c>
      <c r="D40" s="17">
        <v>2484.9899999999998</v>
      </c>
      <c r="E40" s="17">
        <f t="shared" si="0"/>
        <v>1.5720264363208269</v>
      </c>
      <c r="F40" s="17" t="s">
        <v>67</v>
      </c>
      <c r="G40" s="10">
        <v>6.8902999999999999</v>
      </c>
      <c r="H40" s="11"/>
    </row>
    <row r="41" spans="1:8" s="12" customFormat="1" ht="14.25" x14ac:dyDescent="0.3">
      <c r="A41" s="14" t="s">
        <v>66</v>
      </c>
      <c r="B41" s="15" t="s">
        <v>25</v>
      </c>
      <c r="C41" s="16">
        <v>500</v>
      </c>
      <c r="D41" s="17">
        <v>2477.0875000000001</v>
      </c>
      <c r="E41" s="17">
        <f t="shared" si="0"/>
        <v>1.5670272456146173</v>
      </c>
      <c r="F41" s="17" t="s">
        <v>68</v>
      </c>
      <c r="G41" s="10">
        <v>6.8901000000000003</v>
      </c>
      <c r="H41" s="11"/>
    </row>
    <row r="42" spans="1:8" s="12" customFormat="1" ht="14.25" x14ac:dyDescent="0.3">
      <c r="A42" s="14" t="s">
        <v>69</v>
      </c>
      <c r="B42" s="15" t="s">
        <v>33</v>
      </c>
      <c r="C42" s="16">
        <v>500</v>
      </c>
      <c r="D42" s="17">
        <v>2471.63</v>
      </c>
      <c r="E42" s="17">
        <f t="shared" si="0"/>
        <v>1.5635747833205149</v>
      </c>
      <c r="F42" s="17" t="s">
        <v>70</v>
      </c>
      <c r="G42" s="10">
        <v>7.3501000000000003</v>
      </c>
      <c r="H42" s="11"/>
    </row>
    <row r="43" spans="1:8" s="12" customFormat="1" ht="14.25" x14ac:dyDescent="0.3">
      <c r="A43" s="14" t="s">
        <v>43</v>
      </c>
      <c r="B43" s="15" t="s">
        <v>33</v>
      </c>
      <c r="C43" s="16">
        <v>500</v>
      </c>
      <c r="D43" s="17">
        <v>2468.62</v>
      </c>
      <c r="E43" s="17">
        <f t="shared" si="0"/>
        <v>1.5616706309604145</v>
      </c>
      <c r="F43" s="17" t="s">
        <v>71</v>
      </c>
      <c r="G43" s="10">
        <v>6.9249999999999998</v>
      </c>
      <c r="H43" s="11"/>
    </row>
    <row r="44" spans="1:8" s="12" customFormat="1" ht="14.25" x14ac:dyDescent="0.3">
      <c r="A44" s="14" t="s">
        <v>72</v>
      </c>
      <c r="B44" s="15" t="s">
        <v>25</v>
      </c>
      <c r="C44" s="16">
        <v>500</v>
      </c>
      <c r="D44" s="17">
        <v>2467.02</v>
      </c>
      <c r="E44" s="17">
        <f t="shared" si="0"/>
        <v>1.560658456948401</v>
      </c>
      <c r="F44" s="17" t="s">
        <v>73</v>
      </c>
      <c r="G44" s="10">
        <v>6.8727</v>
      </c>
      <c r="H44" s="11"/>
    </row>
    <row r="45" spans="1:8" s="12" customFormat="1" ht="14.25" x14ac:dyDescent="0.3">
      <c r="A45" s="14" t="s">
        <v>53</v>
      </c>
      <c r="B45" s="15" t="s">
        <v>33</v>
      </c>
      <c r="C45" s="16">
        <v>500</v>
      </c>
      <c r="D45" s="17">
        <v>2463.645</v>
      </c>
      <c r="E45" s="17">
        <f t="shared" si="0"/>
        <v>1.5585234023918102</v>
      </c>
      <c r="F45" s="17" t="s">
        <v>74</v>
      </c>
      <c r="G45" s="10">
        <v>6.9950000000000001</v>
      </c>
      <c r="H45" s="11"/>
    </row>
    <row r="46" spans="1:8" s="12" customFormat="1" ht="14.25" x14ac:dyDescent="0.3">
      <c r="A46" s="14" t="s">
        <v>41</v>
      </c>
      <c r="B46" s="15" t="s">
        <v>25</v>
      </c>
      <c r="C46" s="16">
        <v>500</v>
      </c>
      <c r="D46" s="17">
        <v>2462.335</v>
      </c>
      <c r="E46" s="17">
        <f t="shared" si="0"/>
        <v>1.5576946849194742</v>
      </c>
      <c r="F46" s="17" t="s">
        <v>75</v>
      </c>
      <c r="G46" s="10">
        <v>7.5449000000000002</v>
      </c>
      <c r="H46" s="11"/>
    </row>
    <row r="47" spans="1:8" s="12" customFormat="1" ht="14.25" x14ac:dyDescent="0.3">
      <c r="A47" s="5" t="s">
        <v>15</v>
      </c>
      <c r="B47" s="15"/>
      <c r="C47" s="16"/>
      <c r="D47" s="68">
        <f>SUM(D21:D46)</f>
        <v>113794.62350000002</v>
      </c>
      <c r="E47" s="68">
        <f>SUM(E21:E46)</f>
        <v>71.987475383472486</v>
      </c>
      <c r="F47" s="17"/>
      <c r="G47" s="10"/>
      <c r="H47" s="11"/>
    </row>
    <row r="48" spans="1:8" s="12" customFormat="1" ht="14.25" x14ac:dyDescent="0.3">
      <c r="A48" s="5" t="s">
        <v>76</v>
      </c>
      <c r="B48" s="15"/>
      <c r="C48" s="16"/>
      <c r="D48" s="17"/>
      <c r="E48" s="13"/>
      <c r="F48" s="20"/>
      <c r="G48" s="10"/>
      <c r="H48" s="11"/>
    </row>
    <row r="49" spans="1:8" s="12" customFormat="1" ht="14.25" x14ac:dyDescent="0.3">
      <c r="A49" s="14" t="s">
        <v>77</v>
      </c>
      <c r="B49" s="15" t="s">
        <v>78</v>
      </c>
      <c r="C49" s="16">
        <v>10000000</v>
      </c>
      <c r="D49" s="17">
        <v>9987.7800000000007</v>
      </c>
      <c r="E49" s="17">
        <f t="shared" ref="E49:E57" si="1">(+D49/$D$66*100)</f>
        <v>6.3183570960673618</v>
      </c>
      <c r="F49" s="17" t="s">
        <v>79</v>
      </c>
      <c r="G49" s="10">
        <v>6.3796999999999997</v>
      </c>
      <c r="H49" s="11"/>
    </row>
    <row r="50" spans="1:8" s="12" customFormat="1" ht="14.25" x14ac:dyDescent="0.3">
      <c r="A50" s="14" t="s">
        <v>80</v>
      </c>
      <c r="B50" s="15" t="s">
        <v>78</v>
      </c>
      <c r="C50" s="16">
        <v>2690000</v>
      </c>
      <c r="D50" s="17">
        <v>2683.3987400000001</v>
      </c>
      <c r="E50" s="17">
        <f t="shared" si="1"/>
        <v>1.6975415428110368</v>
      </c>
      <c r="F50" s="17" t="s">
        <v>81</v>
      </c>
      <c r="G50" s="10">
        <v>6.415</v>
      </c>
      <c r="H50" s="11"/>
    </row>
    <row r="51" spans="1:8" s="12" customFormat="1" ht="14.25" x14ac:dyDescent="0.3">
      <c r="A51" s="14" t="s">
        <v>82</v>
      </c>
      <c r="B51" s="15" t="s">
        <v>78</v>
      </c>
      <c r="C51" s="16">
        <v>2500000</v>
      </c>
      <c r="D51" s="17">
        <v>2490.8024999999998</v>
      </c>
      <c r="E51" s="17">
        <f t="shared" si="1"/>
        <v>1.5757034747238448</v>
      </c>
      <c r="F51" s="17" t="s">
        <v>83</v>
      </c>
      <c r="G51" s="10">
        <v>6.4188999999999998</v>
      </c>
      <c r="H51" s="11"/>
    </row>
    <row r="52" spans="1:8" s="12" customFormat="1" ht="14.25" x14ac:dyDescent="0.3">
      <c r="A52" s="14" t="s">
        <v>84</v>
      </c>
      <c r="B52" s="15" t="s">
        <v>78</v>
      </c>
      <c r="C52" s="16">
        <v>2500000</v>
      </c>
      <c r="D52" s="17">
        <v>2471.36</v>
      </c>
      <c r="E52" s="17">
        <f t="shared" si="1"/>
        <v>1.5634039789559879</v>
      </c>
      <c r="F52" s="17" t="s">
        <v>85</v>
      </c>
      <c r="G52" s="10">
        <v>6.7141000000000002</v>
      </c>
      <c r="H52" s="11"/>
    </row>
    <row r="53" spans="1:8" s="12" customFormat="1" ht="14.25" x14ac:dyDescent="0.3">
      <c r="A53" s="14" t="s">
        <v>86</v>
      </c>
      <c r="B53" s="15" t="s">
        <v>78</v>
      </c>
      <c r="C53" s="16">
        <v>2500000</v>
      </c>
      <c r="D53" s="17">
        <v>2458.5574999999999</v>
      </c>
      <c r="E53" s="17">
        <f t="shared" si="1"/>
        <v>1.555305005337986</v>
      </c>
      <c r="F53" s="17" t="s">
        <v>87</v>
      </c>
      <c r="G53" s="10">
        <v>6.7610999999999999</v>
      </c>
      <c r="H53" s="11"/>
    </row>
    <row r="54" spans="1:8" s="12" customFormat="1" ht="14.25" x14ac:dyDescent="0.3">
      <c r="A54" s="14" t="s">
        <v>88</v>
      </c>
      <c r="B54" s="15" t="s">
        <v>78</v>
      </c>
      <c r="C54" s="16">
        <v>1500000</v>
      </c>
      <c r="D54" s="17">
        <v>1492.6379999999999</v>
      </c>
      <c r="E54" s="17">
        <f t="shared" si="1"/>
        <v>0.94425587058984006</v>
      </c>
      <c r="F54" s="17" t="s">
        <v>89</v>
      </c>
      <c r="G54" s="10">
        <v>6.4295</v>
      </c>
      <c r="H54" s="11"/>
    </row>
    <row r="55" spans="1:8" s="12" customFormat="1" ht="14.25" x14ac:dyDescent="0.3">
      <c r="A55" s="14" t="s">
        <v>90</v>
      </c>
      <c r="B55" s="15" t="s">
        <v>78</v>
      </c>
      <c r="C55" s="16">
        <v>900000</v>
      </c>
      <c r="D55" s="17">
        <v>900</v>
      </c>
      <c r="E55" s="17">
        <f t="shared" si="1"/>
        <v>0.56934788175757023</v>
      </c>
      <c r="F55" s="17" t="s">
        <v>91</v>
      </c>
      <c r="G55" s="10">
        <v>6.4404000000000003</v>
      </c>
      <c r="H55" s="11"/>
    </row>
    <row r="56" spans="1:8" s="12" customFormat="1" ht="14.25" x14ac:dyDescent="0.3">
      <c r="A56" s="14" t="s">
        <v>92</v>
      </c>
      <c r="B56" s="15" t="s">
        <v>78</v>
      </c>
      <c r="C56" s="16">
        <v>500000</v>
      </c>
      <c r="D56" s="17">
        <v>498.77550000000002</v>
      </c>
      <c r="E56" s="17">
        <f t="shared" si="1"/>
        <v>0.31552974933063666</v>
      </c>
      <c r="F56" s="17" t="s">
        <v>93</v>
      </c>
      <c r="G56" s="10">
        <v>6.4005999999999998</v>
      </c>
      <c r="H56" s="11"/>
    </row>
    <row r="57" spans="1:8" s="12" customFormat="1" ht="14.25" x14ac:dyDescent="0.3">
      <c r="A57" s="14" t="s">
        <v>94</v>
      </c>
      <c r="B57" s="15" t="s">
        <v>78</v>
      </c>
      <c r="C57" s="16">
        <v>500000</v>
      </c>
      <c r="D57" s="17">
        <v>496.91250000000002</v>
      </c>
      <c r="E57" s="17">
        <f t="shared" si="1"/>
        <v>0.31435119921539845</v>
      </c>
      <c r="F57" s="17" t="s">
        <v>95</v>
      </c>
      <c r="G57" s="10">
        <v>6.4797000000000002</v>
      </c>
      <c r="H57" s="11"/>
    </row>
    <row r="58" spans="1:8" s="12" customFormat="1" ht="14.25" x14ac:dyDescent="0.3">
      <c r="A58" s="5" t="s">
        <v>15</v>
      </c>
      <c r="B58" s="21"/>
      <c r="C58" s="22"/>
      <c r="D58" s="8">
        <f>SUM(D49:D57)</f>
        <v>23480.224739999998</v>
      </c>
      <c r="E58" s="8">
        <f>SUM(E49:E57)</f>
        <v>14.853795798789664</v>
      </c>
      <c r="F58" s="20"/>
      <c r="G58" s="10"/>
      <c r="H58" s="11"/>
    </row>
    <row r="59" spans="1:8" s="12" customFormat="1" ht="14.25" x14ac:dyDescent="0.3">
      <c r="A59" s="14" t="s">
        <v>96</v>
      </c>
      <c r="B59" s="15"/>
      <c r="C59" s="16">
        <v>0</v>
      </c>
      <c r="D59" s="17">
        <v>20452.676880900002</v>
      </c>
      <c r="E59" s="17">
        <f>(+D59/$D$66*100)</f>
        <v>12.938542509347162</v>
      </c>
      <c r="F59" s="17" t="s">
        <v>97</v>
      </c>
      <c r="G59" s="10">
        <v>6.2102000000000004</v>
      </c>
      <c r="H59" s="11"/>
    </row>
    <row r="60" spans="1:8" s="12" customFormat="1" ht="14.25" x14ac:dyDescent="0.3">
      <c r="A60" s="5" t="s">
        <v>15</v>
      </c>
      <c r="B60" s="6"/>
      <c r="C60" s="18"/>
      <c r="D60" s="8">
        <f>IF(ISERROR(SUM(D59:D59)),0,SUM(D59:D59))</f>
        <v>20452.676880900002</v>
      </c>
      <c r="E60" s="8">
        <f>IF(ISERROR(SUM(E59:E59)),0,SUM(E59:E59))</f>
        <v>12.938542509347162</v>
      </c>
      <c r="F60" s="17"/>
      <c r="G60" s="10"/>
      <c r="H60" s="11"/>
    </row>
    <row r="61" spans="1:8" s="12" customFormat="1" ht="14.25" x14ac:dyDescent="0.3">
      <c r="A61" s="5"/>
      <c r="B61" s="6"/>
      <c r="C61" s="18"/>
      <c r="D61" s="8"/>
      <c r="E61" s="8"/>
      <c r="F61" s="8"/>
      <c r="G61" s="10"/>
      <c r="H61" s="11"/>
    </row>
    <row r="62" spans="1:8" s="12" customFormat="1" ht="14.25" x14ac:dyDescent="0.3">
      <c r="A62" s="5" t="s">
        <v>18</v>
      </c>
      <c r="B62" s="6"/>
      <c r="C62" s="18" t="s">
        <v>98</v>
      </c>
      <c r="D62" s="8">
        <f>+IF(ISERROR(D11),0,D11)+IF(ISERROR(D60),0,D60)+IF(ISERROR(#REF!),0,#REF!)+IF(ISERROR(#REF!),0,#REF!)+IF(ISERROR(#REF!),0,#REF!)+IF(ISERROR(#REF!),0,#REF!)+IF(ISERROR(#REF!),0,#REF!)+IF(ISERROR(#REF!),0,#REF!)+IF(ISERROR(#REF!),0,#REF!)+D58+D47</f>
        <v>160226.89512090001</v>
      </c>
      <c r="E62" s="8">
        <f>+IF(ISERROR(E11),0,E11)+IF(ISERROR(E60),0,E60)+IF(ISERROR(#REF!),0,#REF!)+IF(ISERROR(#REF!),0,#REF!)+IF(ISERROR(#REF!),0,#REF!)+IF(ISERROR(#REF!),0,#REF!)+IF(ISERROR(#REF!),0,#REF!)+IF(ISERROR(#REF!),0,#REF!)+IF(ISERROR(#REF!),0,#REF!)+E58+E47</f>
        <v>101.36093704186311</v>
      </c>
      <c r="F62" s="8"/>
      <c r="G62" s="10"/>
      <c r="H62" s="11"/>
    </row>
    <row r="63" spans="1:8" s="12" customFormat="1" ht="14.25" x14ac:dyDescent="0.3">
      <c r="A63" s="5"/>
      <c r="B63" s="6"/>
      <c r="C63" s="18"/>
      <c r="D63" s="8"/>
      <c r="E63" s="8"/>
      <c r="F63" s="9"/>
      <c r="G63" s="64"/>
      <c r="H63" s="11"/>
    </row>
    <row r="64" spans="1:8" s="12" customFormat="1" ht="14.25" x14ac:dyDescent="0.3">
      <c r="A64" s="5" t="s">
        <v>99</v>
      </c>
      <c r="B64" s="6"/>
      <c r="C64" s="18"/>
      <c r="D64" s="8">
        <f>+D66-D62</f>
        <v>-2151.3092029001855</v>
      </c>
      <c r="E64" s="8">
        <f>D64/$D$66*100</f>
        <v>-1.3609370418630973</v>
      </c>
      <c r="F64" s="9"/>
      <c r="G64" s="64"/>
      <c r="H64" s="11"/>
    </row>
    <row r="65" spans="1:8" s="12" customFormat="1" ht="14.25" x14ac:dyDescent="0.3">
      <c r="A65" s="5"/>
      <c r="B65" s="6"/>
      <c r="C65" s="18"/>
      <c r="D65" s="13"/>
      <c r="E65" s="13"/>
      <c r="F65" s="9"/>
      <c r="G65" s="64"/>
      <c r="H65" s="11"/>
    </row>
    <row r="66" spans="1:8" s="12" customFormat="1" ht="14.25" x14ac:dyDescent="0.3">
      <c r="A66" s="5" t="s">
        <v>100</v>
      </c>
      <c r="B66" s="6"/>
      <c r="C66" s="18"/>
      <c r="D66" s="8">
        <v>158075.58591799982</v>
      </c>
      <c r="E66" s="8">
        <f>+E62+E64</f>
        <v>100.00000000000001</v>
      </c>
      <c r="F66" s="9"/>
      <c r="G66" s="64"/>
      <c r="H66" s="11"/>
    </row>
    <row r="67" spans="1:8" s="12" customFormat="1" ht="14.25" x14ac:dyDescent="0.3">
      <c r="A67" s="26"/>
      <c r="B67" s="27"/>
      <c r="C67" s="28"/>
      <c r="D67" s="29"/>
      <c r="E67" s="29"/>
      <c r="F67" s="23"/>
      <c r="G67" s="24"/>
      <c r="H67" s="25"/>
    </row>
    <row r="68" spans="1:8" ht="14.25" x14ac:dyDescent="0.3">
      <c r="A68" s="30" t="s">
        <v>101</v>
      </c>
      <c r="B68" s="27"/>
      <c r="C68" s="28"/>
      <c r="D68" s="29"/>
      <c r="E68" s="29"/>
      <c r="F68" s="31"/>
      <c r="G68" s="24"/>
      <c r="H68" s="25"/>
    </row>
    <row r="69" spans="1:8" ht="14.25" x14ac:dyDescent="0.3">
      <c r="A69" s="73" t="s">
        <v>132</v>
      </c>
      <c r="B69" s="73"/>
      <c r="C69" s="73"/>
      <c r="D69" s="73"/>
      <c r="E69" s="73"/>
      <c r="F69" s="73"/>
      <c r="G69" s="73"/>
      <c r="H69" s="73"/>
    </row>
    <row r="70" spans="1:8" ht="14.25" x14ac:dyDescent="0.3">
      <c r="A70" s="73" t="s">
        <v>102</v>
      </c>
      <c r="B70" s="73"/>
      <c r="C70" s="73"/>
      <c r="D70" s="73"/>
      <c r="E70" s="73"/>
      <c r="F70" s="73"/>
      <c r="G70" s="73"/>
      <c r="H70" s="73"/>
    </row>
    <row r="71" spans="1:8" ht="26.25" customHeight="1" x14ac:dyDescent="0.3">
      <c r="A71" s="73" t="s">
        <v>103</v>
      </c>
      <c r="B71" s="73"/>
      <c r="C71" s="73"/>
      <c r="D71" s="73"/>
      <c r="E71" s="73"/>
      <c r="F71" s="73"/>
      <c r="G71" s="73"/>
      <c r="H71" s="73"/>
    </row>
    <row r="72" spans="1:8" ht="14.25" x14ac:dyDescent="0.3">
      <c r="A72" s="69" t="s">
        <v>104</v>
      </c>
      <c r="B72" s="69"/>
      <c r="C72" s="69"/>
      <c r="D72" s="69"/>
      <c r="E72" s="69"/>
      <c r="F72" s="69"/>
      <c r="G72" s="70"/>
      <c r="H72" s="70"/>
    </row>
    <row r="73" spans="1:8" ht="63.75" customHeight="1" x14ac:dyDescent="0.2">
      <c r="A73" s="76" t="s">
        <v>105</v>
      </c>
      <c r="B73" s="76"/>
      <c r="C73" s="76"/>
      <c r="D73" s="76"/>
      <c r="E73" s="76"/>
      <c r="F73" s="76"/>
      <c r="G73" s="76"/>
      <c r="H73" s="77"/>
    </row>
    <row r="74" spans="1:8" ht="14.25" x14ac:dyDescent="0.3">
      <c r="A74" s="32"/>
      <c r="B74" s="32"/>
      <c r="C74" s="32"/>
      <c r="D74" s="32"/>
      <c r="E74" s="32"/>
      <c r="F74" s="32"/>
      <c r="G74" s="33"/>
      <c r="H74" s="33"/>
    </row>
    <row r="75" spans="1:8" ht="14.25" x14ac:dyDescent="0.3">
      <c r="A75" s="34" t="s">
        <v>106</v>
      </c>
      <c r="B75" s="35"/>
      <c r="C75" s="35"/>
      <c r="D75" s="36"/>
      <c r="E75" s="36"/>
      <c r="F75" s="37"/>
      <c r="G75" s="36"/>
      <c r="H75" s="36"/>
    </row>
    <row r="76" spans="1:8" ht="14.25" x14ac:dyDescent="0.3">
      <c r="A76" s="38" t="s">
        <v>107</v>
      </c>
      <c r="B76" s="35"/>
      <c r="C76" s="35"/>
      <c r="D76" s="36"/>
      <c r="E76" s="36"/>
      <c r="F76" s="36"/>
      <c r="G76" s="36"/>
      <c r="H76" s="36"/>
    </row>
    <row r="77" spans="1:8" ht="14.25" x14ac:dyDescent="0.3">
      <c r="A77" s="38" t="s">
        <v>108</v>
      </c>
      <c r="B77" s="35"/>
      <c r="C77" s="35"/>
      <c r="D77" s="36"/>
      <c r="E77" s="36"/>
      <c r="F77" s="36"/>
      <c r="G77" s="36"/>
      <c r="H77" s="36"/>
    </row>
    <row r="78" spans="1:8" ht="14.25" x14ac:dyDescent="0.3">
      <c r="A78" s="38" t="s">
        <v>109</v>
      </c>
      <c r="B78" s="35"/>
      <c r="C78" s="35"/>
      <c r="D78" s="36"/>
      <c r="E78" s="36"/>
      <c r="F78" s="36"/>
      <c r="G78" s="36"/>
      <c r="H78" s="36"/>
    </row>
    <row r="79" spans="1:8" ht="14.25" x14ac:dyDescent="0.3">
      <c r="A79" s="39"/>
      <c r="B79" s="35"/>
      <c r="C79" s="35"/>
      <c r="D79" s="36"/>
      <c r="E79" s="36"/>
      <c r="F79" s="36"/>
      <c r="G79" s="36"/>
      <c r="H79" s="36"/>
    </row>
    <row r="80" spans="1:8" ht="14.25" x14ac:dyDescent="0.3">
      <c r="A80" s="40" t="s">
        <v>110</v>
      </c>
      <c r="B80" s="78" t="s">
        <v>111</v>
      </c>
      <c r="C80" s="78"/>
      <c r="D80" s="78"/>
      <c r="E80" s="41"/>
      <c r="F80" s="36"/>
      <c r="G80" s="36"/>
      <c r="H80" s="36"/>
    </row>
    <row r="81" spans="1:8" ht="14.25" x14ac:dyDescent="0.3">
      <c r="A81" s="42"/>
      <c r="B81" s="35"/>
      <c r="C81" s="35"/>
      <c r="D81" s="36"/>
      <c r="E81" s="36"/>
      <c r="F81" s="36"/>
      <c r="G81" s="36"/>
      <c r="H81" s="36"/>
    </row>
    <row r="82" spans="1:8" ht="14.25" x14ac:dyDescent="0.3">
      <c r="A82" s="35"/>
      <c r="B82" s="35"/>
      <c r="C82" s="35"/>
      <c r="D82" s="36"/>
      <c r="E82" s="36"/>
      <c r="F82" s="36"/>
      <c r="G82" s="36"/>
      <c r="H82" s="36"/>
    </row>
    <row r="83" spans="1:8" ht="14.25" x14ac:dyDescent="0.3">
      <c r="A83" s="43"/>
      <c r="B83" s="44"/>
      <c r="C83" s="45"/>
      <c r="D83" s="36"/>
      <c r="E83" s="36"/>
      <c r="F83" s="36"/>
      <c r="G83" s="36"/>
      <c r="H83" s="36"/>
    </row>
    <row r="84" spans="1:8" ht="14.25" x14ac:dyDescent="0.3">
      <c r="A84" s="43"/>
      <c r="B84" s="44"/>
      <c r="C84" s="45"/>
      <c r="D84" s="36"/>
      <c r="E84" s="36"/>
      <c r="F84" s="36"/>
      <c r="G84" s="36"/>
      <c r="H84" s="36"/>
    </row>
    <row r="85" spans="1:8" ht="14.25" x14ac:dyDescent="0.3">
      <c r="A85" s="43"/>
      <c r="B85" s="44"/>
      <c r="C85" s="45"/>
      <c r="D85" s="36"/>
      <c r="E85" s="36"/>
      <c r="F85" s="36"/>
      <c r="G85" s="36"/>
      <c r="H85" s="36"/>
    </row>
    <row r="86" spans="1:8" ht="14.25" x14ac:dyDescent="0.3">
      <c r="A86" s="43"/>
      <c r="B86" s="44"/>
      <c r="C86" s="45"/>
      <c r="D86" s="36"/>
      <c r="E86" s="36"/>
      <c r="F86" s="36"/>
      <c r="G86" s="36"/>
      <c r="H86" s="36"/>
    </row>
    <row r="87" spans="1:8" ht="14.25" x14ac:dyDescent="0.3">
      <c r="A87" s="43"/>
      <c r="B87" s="44"/>
      <c r="C87" s="45"/>
      <c r="D87" s="36"/>
      <c r="E87" s="36"/>
      <c r="F87" s="36"/>
      <c r="G87" s="36"/>
      <c r="H87" s="36"/>
    </row>
    <row r="88" spans="1:8" ht="14.25" x14ac:dyDescent="0.3">
      <c r="A88" s="43"/>
      <c r="B88" s="44"/>
      <c r="C88" s="45"/>
      <c r="D88" s="36"/>
      <c r="E88" s="36"/>
      <c r="F88" s="36"/>
      <c r="G88" s="36"/>
      <c r="H88" s="36"/>
    </row>
    <row r="89" spans="1:8" ht="15" thickBot="1" x14ac:dyDescent="0.35">
      <c r="A89" s="46"/>
      <c r="B89" s="46"/>
      <c r="C89" s="44"/>
      <c r="D89" s="36"/>
      <c r="E89" s="36"/>
      <c r="F89" s="36"/>
      <c r="G89" s="36"/>
      <c r="H89" s="36"/>
    </row>
    <row r="90" spans="1:8" ht="15" thickBot="1" x14ac:dyDescent="0.35">
      <c r="A90" s="79" t="s">
        <v>112</v>
      </c>
      <c r="B90" s="80"/>
      <c r="C90" s="80"/>
      <c r="D90" s="81"/>
      <c r="E90" s="36"/>
      <c r="F90" s="36"/>
      <c r="G90" s="36"/>
      <c r="H90" s="36"/>
    </row>
    <row r="91" spans="1:8" ht="15" thickBot="1" x14ac:dyDescent="0.35">
      <c r="A91" s="47" t="s">
        <v>113</v>
      </c>
      <c r="B91" s="82" t="s">
        <v>114</v>
      </c>
      <c r="C91" s="82" t="s">
        <v>115</v>
      </c>
      <c r="D91" s="82" t="s">
        <v>116</v>
      </c>
      <c r="E91" s="36"/>
      <c r="F91" s="36"/>
      <c r="G91" s="36"/>
      <c r="H91" s="36"/>
    </row>
    <row r="92" spans="1:8" ht="15" thickBot="1" x14ac:dyDescent="0.35">
      <c r="A92" s="47" t="s">
        <v>117</v>
      </c>
      <c r="B92" s="83"/>
      <c r="C92" s="83"/>
      <c r="D92" s="83"/>
      <c r="E92" s="36"/>
      <c r="F92" s="36"/>
      <c r="G92" s="36"/>
      <c r="H92" s="36"/>
    </row>
    <row r="93" spans="1:8" ht="15" thickBot="1" x14ac:dyDescent="0.35">
      <c r="A93" s="67" t="s">
        <v>118</v>
      </c>
      <c r="B93" s="49"/>
      <c r="C93" s="50" t="s">
        <v>119</v>
      </c>
      <c r="D93" s="49"/>
      <c r="E93" s="36"/>
      <c r="F93" s="36"/>
      <c r="G93" s="36"/>
      <c r="H93" s="36"/>
    </row>
    <row r="94" spans="1:8" ht="15" thickBot="1" x14ac:dyDescent="0.35">
      <c r="A94" s="48" t="s">
        <v>120</v>
      </c>
      <c r="B94" s="49"/>
      <c r="C94" s="49"/>
      <c r="D94" s="49"/>
      <c r="E94" s="36"/>
      <c r="F94" s="36"/>
      <c r="G94" s="36"/>
      <c r="H94" s="36"/>
    </row>
    <row r="95" spans="1:8" ht="15" thickBot="1" x14ac:dyDescent="0.35">
      <c r="A95" s="48" t="s">
        <v>121</v>
      </c>
      <c r="B95" s="49"/>
      <c r="C95" s="49"/>
      <c r="D95" s="49"/>
      <c r="E95" s="36"/>
      <c r="F95" s="36"/>
      <c r="G95" s="36"/>
      <c r="H95" s="36"/>
    </row>
    <row r="96" spans="1:8" ht="14.25" x14ac:dyDescent="0.3">
      <c r="A96" s="43"/>
      <c r="B96" s="44"/>
      <c r="C96" s="45"/>
      <c r="D96" s="36"/>
      <c r="E96" s="36"/>
      <c r="F96" s="36"/>
      <c r="G96" s="36"/>
      <c r="H96" s="36"/>
    </row>
    <row r="97" spans="1:8" ht="14.25" x14ac:dyDescent="0.3">
      <c r="A97" s="74" t="s">
        <v>122</v>
      </c>
      <c r="B97" s="75"/>
      <c r="C97" s="45"/>
      <c r="D97" s="36"/>
      <c r="E97" s="36"/>
      <c r="F97" s="36"/>
      <c r="G97" s="36"/>
      <c r="H97" s="36"/>
    </row>
    <row r="98" spans="1:8" ht="27" x14ac:dyDescent="0.3">
      <c r="A98" s="51" t="s">
        <v>123</v>
      </c>
      <c r="B98" s="52" t="s">
        <v>124</v>
      </c>
      <c r="C98" s="45"/>
      <c r="D98" s="36"/>
      <c r="E98" s="36"/>
      <c r="F98" s="36"/>
      <c r="G98" s="36"/>
      <c r="H98" s="36"/>
    </row>
    <row r="99" spans="1:8" ht="14.25" x14ac:dyDescent="0.3">
      <c r="A99" s="51" t="s">
        <v>125</v>
      </c>
      <c r="B99" s="53"/>
      <c r="C99" s="45"/>
      <c r="D99" s="36"/>
      <c r="E99" s="36"/>
      <c r="F99" s="36"/>
      <c r="G99" s="36"/>
      <c r="H99" s="36"/>
    </row>
    <row r="100" spans="1:8" ht="14.25" x14ac:dyDescent="0.3">
      <c r="A100" s="51"/>
      <c r="B100" s="53" t="s">
        <v>98</v>
      </c>
      <c r="C100" s="45"/>
      <c r="D100" s="36"/>
      <c r="E100" s="36"/>
      <c r="F100" s="36"/>
      <c r="G100" s="36"/>
      <c r="H100" s="36"/>
    </row>
    <row r="101" spans="1:8" ht="14.25" x14ac:dyDescent="0.3">
      <c r="A101" s="51" t="s">
        <v>126</v>
      </c>
      <c r="B101" s="65">
        <v>6.76</v>
      </c>
      <c r="C101" s="45"/>
      <c r="D101" s="36"/>
      <c r="E101" s="36"/>
      <c r="F101" s="36"/>
      <c r="G101" s="36"/>
      <c r="H101" s="36"/>
    </row>
    <row r="102" spans="1:8" ht="14.25" x14ac:dyDescent="0.3">
      <c r="A102" s="51" t="s">
        <v>98</v>
      </c>
      <c r="B102" s="54"/>
      <c r="C102" s="45"/>
      <c r="D102" s="36"/>
      <c r="E102" s="36"/>
      <c r="F102" s="36"/>
      <c r="G102" s="36"/>
      <c r="H102" s="36"/>
    </row>
    <row r="103" spans="1:8" ht="14.25" x14ac:dyDescent="0.3">
      <c r="A103" s="51" t="s">
        <v>127</v>
      </c>
      <c r="B103" s="66">
        <v>7.6200000000000004E-2</v>
      </c>
      <c r="C103" s="45"/>
      <c r="D103" s="36"/>
      <c r="E103" s="36"/>
      <c r="F103" s="36"/>
      <c r="G103" s="36"/>
      <c r="H103" s="36"/>
    </row>
    <row r="104" spans="1:8" ht="14.25" x14ac:dyDescent="0.3">
      <c r="A104" s="51" t="s">
        <v>128</v>
      </c>
      <c r="B104" s="66">
        <v>7.6700000000000004E-2</v>
      </c>
      <c r="C104" s="45"/>
      <c r="D104" s="36"/>
      <c r="E104" s="36"/>
      <c r="F104" s="36"/>
      <c r="G104" s="36"/>
      <c r="H104" s="36"/>
    </row>
    <row r="105" spans="1:8" ht="14.25" x14ac:dyDescent="0.3">
      <c r="A105" s="51" t="s">
        <v>98</v>
      </c>
      <c r="B105" s="55" t="s">
        <v>98</v>
      </c>
      <c r="C105" s="45"/>
      <c r="D105" s="36"/>
      <c r="E105" s="36"/>
      <c r="F105" s="36"/>
      <c r="G105" s="36"/>
      <c r="H105" s="36"/>
    </row>
    <row r="106" spans="1:8" ht="14.25" x14ac:dyDescent="0.3">
      <c r="A106" s="51" t="s">
        <v>129</v>
      </c>
      <c r="B106" s="56" t="s">
        <v>130</v>
      </c>
      <c r="C106" s="45"/>
      <c r="D106" s="36"/>
      <c r="E106" s="36"/>
      <c r="F106" s="36"/>
      <c r="G106" s="36"/>
      <c r="H106" s="36"/>
    </row>
    <row r="107" spans="1:8" ht="14.25" x14ac:dyDescent="0.3">
      <c r="A107" s="57" t="s">
        <v>131</v>
      </c>
      <c r="B107" s="58"/>
      <c r="C107" s="45"/>
      <c r="D107" s="36"/>
      <c r="E107" s="36"/>
      <c r="F107" s="36"/>
      <c r="G107" s="36"/>
      <c r="H107" s="36"/>
    </row>
  </sheetData>
  <mergeCells count="13">
    <mergeCell ref="A97:B97"/>
    <mergeCell ref="A73:H73"/>
    <mergeCell ref="B80:D80"/>
    <mergeCell ref="A90:D90"/>
    <mergeCell ref="B91:B92"/>
    <mergeCell ref="C91:C92"/>
    <mergeCell ref="D91:D92"/>
    <mergeCell ref="A72:H72"/>
    <mergeCell ref="A1:H1"/>
    <mergeCell ref="A2:H2"/>
    <mergeCell ref="A69:H69"/>
    <mergeCell ref="A70:H70"/>
    <mergeCell ref="A71:H71"/>
  </mergeCells>
  <pageMargins left="0.75" right="0.25" top="1" bottom="1" header="0.5" footer="0.5"/>
  <pageSetup paperSize="9" scale="4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Liquid Fund</vt:lpstr>
      <vt:lpstr>'JM Liquid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2023-06-01T10:51:02Z</dcterms:created>
  <dcterms:modified xsi:type="dcterms:W3CDTF">2023-06-01T13:02:33Z</dcterms:modified>
</cp:coreProperties>
</file>