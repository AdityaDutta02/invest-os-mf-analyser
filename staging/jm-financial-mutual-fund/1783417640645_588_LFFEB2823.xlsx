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LF" sheetId="1" r:id="rId1"/>
  </sheets>
  <definedNames>
    <definedName name="_xlnm._FilterDatabase" localSheetId="0" hidden="1">LF!$A$1:$H$69</definedName>
    <definedName name="Afs">#REF!</definedName>
    <definedName name="_xlnm.Database">#REF!</definedName>
    <definedName name="EBLDB">#REF!</definedName>
    <definedName name="fl">#REF!</definedName>
    <definedName name="_xlnm.Print_Area" localSheetId="0">LF!$A$1:$E$42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8" i="1" l="1"/>
  <c r="D56" i="1"/>
  <c r="E55" i="1"/>
  <c r="E56" i="1" s="1"/>
  <c r="D53" i="1"/>
  <c r="E52" i="1"/>
  <c r="E51" i="1"/>
  <c r="E50" i="1"/>
  <c r="E49" i="1"/>
  <c r="E48" i="1"/>
  <c r="E47" i="1"/>
  <c r="E46" i="1"/>
  <c r="E45" i="1"/>
  <c r="E44" i="1"/>
  <c r="E42" i="1"/>
  <c r="E41" i="1"/>
  <c r="E40" i="1"/>
  <c r="E39" i="1"/>
  <c r="E38" i="1"/>
  <c r="E37" i="1"/>
  <c r="E36" i="1"/>
  <c r="E35" i="1"/>
  <c r="E34" i="1"/>
  <c r="E33" i="1"/>
  <c r="E32" i="1"/>
  <c r="E31" i="1"/>
  <c r="E30" i="1"/>
  <c r="E29" i="1"/>
  <c r="E28" i="1"/>
  <c r="E27" i="1"/>
  <c r="E26" i="1"/>
  <c r="E25" i="1"/>
  <c r="E24" i="1"/>
  <c r="E53" i="1" s="1"/>
  <c r="F14" i="1"/>
  <c r="D10" i="1"/>
  <c r="D14" i="1" s="1"/>
  <c r="D58" i="1" s="1"/>
  <c r="D60" i="1" s="1"/>
  <c r="E60" i="1" s="1"/>
  <c r="E9" i="1"/>
  <c r="E8" i="1"/>
  <c r="E7" i="1"/>
  <c r="E6" i="1"/>
  <c r="E10" i="1" s="1"/>
  <c r="E14" i="1" s="1"/>
  <c r="E58" i="1" s="1"/>
  <c r="E62" i="1" l="1"/>
</calcChain>
</file>

<file path=xl/sharedStrings.xml><?xml version="1.0" encoding="utf-8"?>
<sst xmlns="http://schemas.openxmlformats.org/spreadsheetml/2006/main" count="166" uniqueCount="124">
  <si>
    <t>JM Liquid Fund (An Open-Ended Liquid Scheme) A relatively low interest rate risk and moderate credit risk.</t>
  </si>
  <si>
    <t>Portfolio as on 28.02.2023</t>
  </si>
  <si>
    <t>Name of the Instruments</t>
  </si>
  <si>
    <t>Industry/Rating</t>
  </si>
  <si>
    <t>Quantity</t>
  </si>
  <si>
    <t>Market Value (Rs. In Lakhs)</t>
  </si>
  <si>
    <t>% age to NAV</t>
  </si>
  <si>
    <t>ISIN</t>
  </si>
  <si>
    <t>Yield %</t>
  </si>
  <si>
    <t>^YTC (AT1/Tier 2 bonds)</t>
  </si>
  <si>
    <t>DEBT INSTRUMENTS</t>
  </si>
  <si>
    <t>a) Listed/Awaiting Listing On  Stock Exchange</t>
  </si>
  <si>
    <t>L&amp;T Finance Ltd.**</t>
  </si>
  <si>
    <t>CARE AAA</t>
  </si>
  <si>
    <t>INE027E07BE4</t>
  </si>
  <si>
    <t>Reliance Industries Ltd.**</t>
  </si>
  <si>
    <t>INE002A08641</t>
  </si>
  <si>
    <t>Cholamandalam Investment &amp; Finance Company Ltd.**</t>
  </si>
  <si>
    <t>CARE AA+</t>
  </si>
  <si>
    <t>INE121A07PU9</t>
  </si>
  <si>
    <t>INE121A07QA9</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</si>
  <si>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</si>
  <si>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</si>
  <si>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</si>
  <si>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</si>
  <si>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</si>
  <si>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</si>
  <si>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</si>
  <si>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</si>
  <si>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</si>
  <si>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HDFC Bank Ltd.CD</t>
  </si>
  <si>
    <t>CARE A1+</t>
  </si>
  <si>
    <t>INE040A16CX4</t>
  </si>
  <si>
    <t>Kotak Mahindra Bank CD</t>
  </si>
  <si>
    <t>CRISIL A1+</t>
  </si>
  <si>
    <t>INE237A167R8</t>
  </si>
  <si>
    <t>Birla Group Holdings Pvt.Ltd.CP**</t>
  </si>
  <si>
    <t>INE09OL14CA7</t>
  </si>
  <si>
    <t>SIDBI Ltd.CD**</t>
  </si>
  <si>
    <t>INE556F16945</t>
  </si>
  <si>
    <t>Export Import Bank Of India CP**</t>
  </si>
  <si>
    <t>INE514E14QT3</t>
  </si>
  <si>
    <t>Axis Bank CD**</t>
  </si>
  <si>
    <t>INE238A162Z1</t>
  </si>
  <si>
    <t>Mahindra&amp;Mahindra Financial Services Ltd.CP**</t>
  </si>
  <si>
    <t>INE774D14RJ4</t>
  </si>
  <si>
    <t>Redington Ltd.CP**</t>
  </si>
  <si>
    <t>INE891D14WR9</t>
  </si>
  <si>
    <t>Housing Development Finance Corporation Ltd.CP</t>
  </si>
  <si>
    <t>INE001A14ZX2</t>
  </si>
  <si>
    <t>Reliance Jio Infocomm Ltd.CP**</t>
  </si>
  <si>
    <t>INE110L14RP1</t>
  </si>
  <si>
    <t>IIFL Wealth Prime Ltd.CP**</t>
  </si>
  <si>
    <t>INE248U14MS5</t>
  </si>
  <si>
    <t>Canara Bank CD**</t>
  </si>
  <si>
    <t>INE476A16VB6</t>
  </si>
  <si>
    <t>Bank of Baroda CD**</t>
  </si>
  <si>
    <t>IND A1+</t>
  </si>
  <si>
    <t>INE028A16DD9</t>
  </si>
  <si>
    <t>Export-Import Bank of India CD**</t>
  </si>
  <si>
    <t>INE514E16BY0</t>
  </si>
  <si>
    <t>INE238A161Z3</t>
  </si>
  <si>
    <t>Aditya Birla Finance Ltd.CP**</t>
  </si>
  <si>
    <t>ICRA A1+</t>
  </si>
  <si>
    <t>INE860H14Z32</t>
  </si>
  <si>
    <t>INE476A16TT2</t>
  </si>
  <si>
    <t>INE040A16DF9</t>
  </si>
  <si>
    <t>INE476A16SX6</t>
  </si>
  <si>
    <t>Treasury Bills</t>
  </si>
  <si>
    <t>91 Days Treasury-Bill 02/03/2023</t>
  </si>
  <si>
    <t>IN002022X353</t>
  </si>
  <si>
    <t>91 Days Treasury-Bill 16/03/2023</t>
  </si>
  <si>
    <t>IN002022X379</t>
  </si>
  <si>
    <t>182 Days Treasury-Bill 30/03/2023</t>
  </si>
  <si>
    <t>IN002022Y278</t>
  </si>
  <si>
    <t>91 Days Treasury-Bill 30/03/2023</t>
  </si>
  <si>
    <t>IN002022X395</t>
  </si>
  <si>
    <t>91 Days Treasury-Bill 18/05/2023</t>
  </si>
  <si>
    <t>IN002022X460</t>
  </si>
  <si>
    <t>182 Days Treasury-Bill 02/03/2023</t>
  </si>
  <si>
    <t>IN002022Y229</t>
  </si>
  <si>
    <t>182 Days Treasury-Bill 16/03/2023</t>
  </si>
  <si>
    <t>IN002022Y252</t>
  </si>
  <si>
    <t>91 Days Treasury-Bill 11/05/2023</t>
  </si>
  <si>
    <t>IN002022X452</t>
  </si>
  <si>
    <t>364 Days Treasury-Bill 16/03/2023</t>
  </si>
  <si>
    <t>IN002021Z525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</si>
  <si>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</si>
  <si>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</si>
  <si>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</si>
  <si>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</si>
  <si>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</si>
  <si>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</si>
  <si>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</si>
  <si>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</si>
  <si>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</si>
  <si>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</si>
  <si>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</si>
  <si>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</si>
  <si>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</si>
  <si>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</si>
  <si>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</si>
  <si>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 xml:space="preserve">CRISIL Liquid Fund BI Index </t>
  </si>
  <si>
    <t>Potential Risk Class</t>
  </si>
  <si>
    <r>
      <t xml:space="preserve">Credit Risk </t>
    </r>
    <r>
      <rPr>
        <sz val="9"/>
        <color indexed="8"/>
        <rFont val="Symbol"/>
        <family val="1"/>
        <charset val="2"/>
      </rPr>
      <t>®</t>
    </r>
  </si>
  <si>
    <t>Relatively Low (Class A)</t>
  </si>
  <si>
    <t>Moderate (Class B)</t>
  </si>
  <si>
    <t>Relatively High (Class C)</t>
  </si>
  <si>
    <r>
      <t xml:space="preserve">Interest Rate Risk </t>
    </r>
    <r>
      <rPr>
        <sz val="9"/>
        <color indexed="8"/>
        <rFont val="Symbol"/>
        <family val="1"/>
        <charset val="2"/>
      </rPr>
      <t>¯</t>
    </r>
  </si>
  <si>
    <t>Relatively Low (Class I)</t>
  </si>
  <si>
    <t>B-I</t>
  </si>
  <si>
    <t>Moderate (Class II)</t>
  </si>
  <si>
    <t>Relatively High Class (Class III)</t>
  </si>
  <si>
    <t xml:space="preserve"> Portfolio Information</t>
  </si>
  <si>
    <t>Scheme Name :</t>
  </si>
  <si>
    <t>JM Liquid Fund</t>
  </si>
  <si>
    <t>Description (if any)</t>
  </si>
  <si>
    <t>Annualised Portfolio YTM*# :</t>
  </si>
  <si>
    <t>Macaulay Duration</t>
  </si>
  <si>
    <t>Residual Maturity</t>
  </si>
  <si>
    <t xml:space="preserve">As on (Date) </t>
  </si>
  <si>
    <t>28.02.2023</t>
  </si>
  <si>
    <t>* in case of semi annual YTM,  it will be annualised, # Calculated on amount invested in debt securities ( including accrued interest)</t>
  </si>
  <si>
    <t>Sovereign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</si>
</sst>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5"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
      <sz val="10"/>
      <color indexed="8"/>
      <name val="Tahoma"/>
      <family val="2"/>
    </font>
    <font>
      <b/>
      <sz val="9"/>
      <color indexed="8"/>
      <name val="Tahoma"/>
      <family val="2"/>
    </font>
    <font>
      <sz val="9"/>
      <color indexed="8"/>
      <name val="Symbol"/>
      <family val="1"/>
      <charset val="2"/>
    </font>
    <font>
      <sz val="9"/>
      <color indexed="8"/>
      <name val="Trebuchet MS"/>
      <family val="2"/>
    </font>
    <font>
      <sz val="8"/>
      <color indexed="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0" fontId="6" fillId="0" borderId="0"/>
    <xf numFmtId="0" fontId="4" fillId="0" borderId="0"/>
    <xf numFmtId="0" fontId="6" fillId="0" borderId="0"/>
  </cellStyleXfs>
  <cellXfs count="71">
    <xf numFmtId="0" fontId="0" fillId="0" borderId="0" xfId="0"/>
    <xf numFmtId="0" fontId="2" fillId="0" borderId="0" xfId="0" applyFont="1"/>
    <xf numFmtId="0" fontId="3" fillId="0" borderId="3" xfId="0" applyFont="1" applyFill="1" applyBorder="1" applyAlignment="1">
      <alignment horizontal="center" vertical="center" wrapText="1"/>
    </xf>
    <xf numFmtId="0" fontId="3" fillId="0" borderId="3" xfId="0" applyFont="1" applyFill="1" applyBorder="1" applyAlignment="1">
      <alignment horizontal="left" vertical="center" wrapText="1"/>
    </xf>
    <xf numFmtId="165" fontId="3" fillId="0" borderId="3" xfId="1" applyNumberFormat="1" applyFont="1" applyFill="1" applyBorder="1" applyAlignment="1">
      <alignment horizontal="center" vertical="center"/>
    </xf>
    <xf numFmtId="0" fontId="3" fillId="0" borderId="3" xfId="0" applyFont="1" applyBorder="1" applyAlignment="1">
      <alignment horizontal="center"/>
    </xf>
    <xf numFmtId="0" fontId="3" fillId="0" borderId="3" xfId="0" applyFont="1" applyBorder="1" applyAlignment="1">
      <alignment horizontal="center" wrapText="1"/>
    </xf>
    <xf numFmtId="0" fontId="2" fillId="0" borderId="0" xfId="0" applyFont="1" applyAlignment="1">
      <alignment horizontal="center"/>
    </xf>
    <xf numFmtId="0" fontId="3" fillId="0" borderId="3" xfId="0" applyFont="1" applyFill="1" applyBorder="1" applyAlignment="1">
      <alignment wrapText="1"/>
    </xf>
    <xf numFmtId="0" fontId="3" fillId="0" borderId="3" xfId="0" applyFont="1" applyFill="1" applyBorder="1" applyAlignment="1">
      <alignment horizontal="left" wrapText="1"/>
    </xf>
    <xf numFmtId="165" fontId="3" fillId="0" borderId="3" xfId="1" applyNumberFormat="1" applyFont="1" applyFill="1" applyBorder="1"/>
    <xf numFmtId="164" fontId="3" fillId="0" borderId="3" xfId="1" applyFont="1" applyFill="1" applyBorder="1" applyAlignment="1">
      <alignment horizontal="right"/>
    </xf>
    <xf numFmtId="0" fontId="2" fillId="0" borderId="3" xfId="0" applyFont="1" applyFill="1" applyBorder="1" applyAlignment="1">
      <alignment horizontal="right"/>
    </xf>
    <xf numFmtId="166" fontId="2" fillId="0" borderId="3" xfId="0" applyNumberFormat="1" applyFont="1" applyFill="1" applyBorder="1"/>
    <xf numFmtId="0" fontId="2" fillId="0" borderId="3" xfId="0" applyFont="1" applyBorder="1"/>
    <xf numFmtId="0" fontId="2" fillId="0" borderId="0" xfId="0" applyFont="1" applyFill="1"/>
    <xf numFmtId="164" fontId="2" fillId="0" borderId="3" xfId="1" applyFont="1" applyFill="1" applyBorder="1" applyAlignment="1">
      <alignment horizontal="right"/>
    </xf>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164" fontId="2" fillId="0" borderId="3" xfId="1" applyFont="1" applyFill="1" applyBorder="1"/>
    <xf numFmtId="165" fontId="3" fillId="0" borderId="3" xfId="1" applyNumberFormat="1" applyFont="1" applyFill="1" applyBorder="1" applyAlignment="1">
      <alignment horizontal="right"/>
    </xf>
    <xf numFmtId="164" fontId="2" fillId="0" borderId="4" xfId="1" applyFont="1" applyFill="1" applyBorder="1"/>
    <xf numFmtId="2" fontId="2" fillId="0" borderId="3" xfId="0" applyNumberFormat="1" applyFont="1" applyFill="1" applyBorder="1" applyAlignment="1">
      <alignment horizontal="right"/>
    </xf>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4" fontId="3" fillId="0" borderId="3"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0" applyFont="1" applyFill="1" applyBorder="1" applyAlignment="1">
      <alignment horizontal="left" wrapText="1"/>
    </xf>
    <xf numFmtId="165" fontId="2" fillId="0" borderId="0" xfId="1" applyNumberFormat="1" applyFont="1" applyFill="1" applyBorder="1" applyAlignment="1">
      <alignment horizontal="right"/>
    </xf>
    <xf numFmtId="164" fontId="2" fillId="0" borderId="0" xfId="1" applyFont="1" applyFill="1" applyBorder="1" applyAlignment="1">
      <alignment horizontal="right"/>
    </xf>
    <xf numFmtId="164" fontId="2" fillId="0" borderId="0" xfId="1" applyFont="1" applyFill="1" applyAlignment="1">
      <alignment horizontal="right"/>
    </xf>
    <xf numFmtId="0" fontId="6" fillId="0" borderId="0" xfId="3" applyBorder="1" applyAlignment="1">
      <alignment horizontal="left" vertical="center" wrapText="1"/>
    </xf>
    <xf numFmtId="0" fontId="8" fillId="0" borderId="0" xfId="4" applyFont="1" applyBorder="1"/>
    <xf numFmtId="0" fontId="1" fillId="0" borderId="0" xfId="5" applyFont="1" applyFill="1" applyBorder="1" applyAlignment="1">
      <alignment horizontal="left" wrapText="1"/>
    </xf>
    <xf numFmtId="0" fontId="3" fillId="0" borderId="0" xfId="5" applyFont="1" applyFill="1" applyBorder="1" applyAlignment="1">
      <alignment horizontal="left"/>
    </xf>
    <xf numFmtId="0" fontId="6" fillId="0" borderId="0" xfId="4" applyBorder="1"/>
    <xf numFmtId="0" fontId="9" fillId="0" borderId="0" xfId="6" applyFont="1"/>
    <xf numFmtId="0" fontId="10"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11" fillId="0" borderId="8" xfId="0" applyFont="1" applyBorder="1" applyAlignment="1">
      <alignment vertical="center" wrapText="1"/>
    </xf>
    <xf numFmtId="0" fontId="13" fillId="0" borderId="8" xfId="0" applyFont="1" applyBorder="1" applyAlignment="1">
      <alignment vertical="center" wrapText="1"/>
    </xf>
    <xf numFmtId="0" fontId="14" fillId="0" borderId="10" xfId="0" applyFont="1" applyBorder="1" applyAlignment="1">
      <alignment vertical="center" wrapText="1"/>
    </xf>
    <xf numFmtId="0" fontId="13" fillId="3" borderId="10" xfId="0" applyFont="1" applyFill="1" applyBorder="1" applyAlignment="1">
      <alignment horizontal="center" vertical="center" wrapText="1"/>
    </xf>
    <xf numFmtId="0" fontId="2" fillId="0" borderId="3" xfId="0" applyFont="1" applyBorder="1" applyAlignment="1">
      <alignment wrapText="1"/>
    </xf>
    <xf numFmtId="0" fontId="2" fillId="0" borderId="3" xfId="0" applyFont="1" applyBorder="1" applyAlignment="1">
      <alignment horizontal="left" wrapText="1"/>
    </xf>
    <xf numFmtId="0" fontId="0" fillId="0" borderId="3" xfId="0" applyBorder="1" applyAlignment="1">
      <alignment horizontal="center"/>
    </xf>
    <xf numFmtId="0" fontId="2" fillId="0" borderId="4" xfId="0" applyFont="1" applyBorder="1" applyAlignment="1">
      <alignment horizontal="left" wrapText="1"/>
    </xf>
    <xf numFmtId="0" fontId="2" fillId="0" borderId="11" xfId="0" applyFont="1" applyBorder="1" applyAlignment="1">
      <alignment horizontal="left" wrapText="1"/>
    </xf>
    <xf numFmtId="0" fontId="1" fillId="2" borderId="1" xfId="0" applyFont="1" applyFill="1" applyBorder="1" applyAlignment="1">
      <alignment horizontal="left"/>
    </xf>
    <xf numFmtId="0" fontId="1" fillId="2" borderId="2" xfId="0" applyFont="1" applyFill="1" applyBorder="1" applyAlignment="1">
      <alignment horizontal="left" wrapText="1"/>
    </xf>
    <xf numFmtId="0" fontId="5" fillId="0" borderId="0" xfId="2" applyFont="1" applyAlignment="1">
      <alignment horizontal="left" wrapText="1"/>
    </xf>
    <xf numFmtId="0" fontId="5" fillId="0" borderId="0" xfId="2" applyFont="1" applyAlignment="1">
      <alignment horizontal="left" vertical="top" wrapText="1"/>
    </xf>
    <xf numFmtId="0" fontId="7" fillId="0" borderId="0" xfId="3" applyFont="1" applyBorder="1" applyAlignment="1">
      <alignment horizontal="left"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9" xfId="0" applyFont="1" applyBorder="1" applyAlignment="1">
      <alignment horizontal="left" vertical="top" wrapText="1"/>
    </xf>
    <xf numFmtId="0" fontId="11" fillId="0" borderId="8" xfId="0" applyFont="1" applyBorder="1" applyAlignment="1">
      <alignment horizontal="left" vertical="top" wrapText="1"/>
    </xf>
    <xf numFmtId="0" fontId="2" fillId="0" borderId="4" xfId="0" applyFont="1" applyBorder="1" applyAlignment="1">
      <alignment horizontal="center" wrapText="1"/>
    </xf>
    <xf numFmtId="0" fontId="2" fillId="0" borderId="11" xfId="0" applyFont="1" applyBorder="1" applyAlignment="1">
      <alignment horizontal="center" wrapText="1"/>
    </xf>
    <xf numFmtId="0" fontId="2" fillId="0" borderId="3" xfId="0" applyFont="1" applyBorder="1" applyAlignment="1">
      <alignment horizontal="center" wrapText="1"/>
    </xf>
    <xf numFmtId="2" fontId="0" fillId="0" borderId="3" xfId="0" applyNumberFormat="1" applyBorder="1" applyAlignment="1">
      <alignment horizontal="center"/>
    </xf>
  </cellXfs>
  <cellStyles count="7">
    <cellStyle name="Comma" xfId="1" builtinId="3"/>
    <cellStyle name="Normal" xfId="0" builtinId="0"/>
    <cellStyle name="Normal 2 2" xfId="5"/>
    <cellStyle name="Normal 2 3 2" xfId="2"/>
    <cellStyle name="Normal 4_IF" xfId="6"/>
    <cellStyle name="Normal 4_LD" xfId="3"/>
    <cellStyle name="Normal 4_LF"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333375</xdr:colOff>
      <xdr:row>77</xdr:row>
      <xdr:rowOff>104775</xdr:rowOff>
    </xdr:from>
    <xdr:to>
      <xdr:col>5</xdr:col>
      <xdr:colOff>781050</xdr:colOff>
      <xdr:row>91</xdr:row>
      <xdr:rowOff>19050</xdr:rowOff>
    </xdr:to>
    <xdr:pic>
      <xdr:nvPicPr>
        <xdr:cNvPr id="2" name="Picture 3"/>
        <xdr:cNvPicPr>
          <a:picLocks noChangeAspect="1"/>
        </xdr:cNvPicPr>
      </xdr:nvPicPr>
      <xdr:blipFill>
        <a:blip xmlns:r="http://schemas.openxmlformats.org/officeDocument/2006/relationships" r:embed="rId1" cstate="print"/>
        <a:srcRect/>
        <a:stretch>
          <a:fillRect/>
        </a:stretch>
      </xdr:blipFill>
      <xdr:spPr bwMode="auto">
        <a:xfrm>
          <a:off x="5219700" y="14725650"/>
          <a:ext cx="3781425" cy="2181225"/>
        </a:xfrm>
        <a:prstGeom prst="rect">
          <a:avLst/>
        </a:prstGeom>
        <a:noFill/>
        <a:ln w="9525">
          <a:noFill/>
          <a:miter lim="800000"/>
          <a:headEnd/>
          <a:tailEnd/>
        </a:ln>
      </xdr:spPr>
    </xdr:pic>
    <xdr:clientData/>
  </xdr:twoCellAnchor>
  <xdr:twoCellAnchor editAs="oneCell">
    <xdr:from>
      <xdr:col>0</xdr:col>
      <xdr:colOff>257175</xdr:colOff>
      <xdr:row>77</xdr:row>
      <xdr:rowOff>85725</xdr:rowOff>
    </xdr:from>
    <xdr:to>
      <xdr:col>0</xdr:col>
      <xdr:colOff>3752850</xdr:colOff>
      <xdr:row>91</xdr:row>
      <xdr:rowOff>9525</xdr:rowOff>
    </xdr:to>
    <xdr:pic>
      <xdr:nvPicPr>
        <xdr:cNvPr id="3" name="Picture 1"/>
        <xdr:cNvPicPr>
          <a:picLocks noChangeAspect="1"/>
        </xdr:cNvPicPr>
      </xdr:nvPicPr>
      <xdr:blipFill>
        <a:blip xmlns:r="http://schemas.openxmlformats.org/officeDocument/2006/relationships" r:embed="rId2" cstate="print"/>
        <a:srcRect/>
        <a:stretch>
          <a:fillRect/>
        </a:stretch>
      </xdr:blipFill>
      <xdr:spPr bwMode="auto">
        <a:xfrm>
          <a:off x="257175" y="14706600"/>
          <a:ext cx="3495675" cy="21907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J113"/>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107" sqref="B107"/>
    </sheetView>
  </sheetViews>
  <sheetFormatPr defaultRowHeight="12.75" x14ac:dyDescent="0.2"/>
  <cols>
    <col min="1" max="1" width="57.42578125" style="47" customWidth="1"/>
    <col min="2" max="2" width="15.5703125" style="45" customWidth="1"/>
    <col min="3" max="3" width="13.42578125" style="46"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7" t="s">
        <v>0</v>
      </c>
      <c r="B1" s="57"/>
      <c r="C1" s="57"/>
      <c r="D1" s="57"/>
      <c r="E1" s="57"/>
      <c r="F1" s="57"/>
      <c r="G1" s="57"/>
      <c r="H1" s="57"/>
    </row>
    <row r="2" spans="1:8" x14ac:dyDescent="0.2">
      <c r="A2" s="58" t="s">
        <v>1</v>
      </c>
      <c r="B2" s="58"/>
      <c r="C2" s="58"/>
      <c r="D2" s="58"/>
      <c r="E2" s="58"/>
      <c r="F2" s="58"/>
      <c r="G2" s="58"/>
      <c r="H2" s="58"/>
    </row>
    <row r="3" spans="1:8" s="7" customFormat="1" ht="38.25" x14ac:dyDescent="0.2">
      <c r="A3" s="2" t="s">
        <v>2</v>
      </c>
      <c r="B3" s="3" t="s">
        <v>3</v>
      </c>
      <c r="C3" s="4" t="s">
        <v>4</v>
      </c>
      <c r="D3" s="2" t="s">
        <v>5</v>
      </c>
      <c r="E3" s="2" t="s">
        <v>6</v>
      </c>
      <c r="F3" s="2" t="s">
        <v>7</v>
      </c>
      <c r="G3" s="5" t="s">
        <v>8</v>
      </c>
      <c r="H3" s="6" t="s">
        <v>9</v>
      </c>
    </row>
    <row r="4" spans="1:8" s="15" customFormat="1" x14ac:dyDescent="0.2">
      <c r="A4" s="8" t="s">
        <v>10</v>
      </c>
      <c r="B4" s="9"/>
      <c r="C4" s="10"/>
      <c r="D4" s="11"/>
      <c r="E4" s="11"/>
      <c r="F4" s="12"/>
      <c r="G4" s="13"/>
      <c r="H4" s="14"/>
    </row>
    <row r="5" spans="1:8" s="15" customFormat="1" x14ac:dyDescent="0.2">
      <c r="A5" s="8" t="s">
        <v>11</v>
      </c>
      <c r="B5" s="9"/>
      <c r="C5" s="10"/>
      <c r="D5" s="16"/>
      <c r="E5" s="16"/>
      <c r="F5" s="16"/>
      <c r="G5" s="13"/>
      <c r="H5" s="14"/>
    </row>
    <row r="6" spans="1:8" s="15" customFormat="1" x14ac:dyDescent="0.2">
      <c r="A6" s="17" t="s">
        <v>12</v>
      </c>
      <c r="B6" s="18" t="s">
        <v>13</v>
      </c>
      <c r="C6" s="19">
        <v>500</v>
      </c>
      <c r="D6" s="20">
        <v>4999.88</v>
      </c>
      <c r="E6" s="20">
        <f>(+D6/$D$62*100)</f>
        <v>3.5041212090259255</v>
      </c>
      <c r="F6" s="20" t="s">
        <v>14</v>
      </c>
      <c r="G6" s="13">
        <v>7.5435999999999996</v>
      </c>
      <c r="H6" s="14"/>
    </row>
    <row r="7" spans="1:8" s="15" customFormat="1" x14ac:dyDescent="0.2">
      <c r="A7" s="17" t="s">
        <v>15</v>
      </c>
      <c r="B7" s="18" t="s">
        <v>13</v>
      </c>
      <c r="C7" s="19">
        <v>450</v>
      </c>
      <c r="D7" s="20">
        <v>4498.8975</v>
      </c>
      <c r="E7" s="20">
        <f>(+D7/$D$62*100)</f>
        <v>3.153012101687183</v>
      </c>
      <c r="F7" s="20" t="s">
        <v>16</v>
      </c>
      <c r="G7" s="13">
        <v>7.1150000000000002</v>
      </c>
      <c r="H7" s="14"/>
    </row>
    <row r="8" spans="1:8" s="15" customFormat="1" x14ac:dyDescent="0.2">
      <c r="A8" s="17" t="s">
        <v>17</v>
      </c>
      <c r="B8" s="18" t="s">
        <v>18</v>
      </c>
      <c r="C8" s="19">
        <v>250</v>
      </c>
      <c r="D8" s="20">
        <v>2497.9724999999999</v>
      </c>
      <c r="E8" s="20">
        <f>(+D8/$D$62*100)</f>
        <v>1.750681699723496</v>
      </c>
      <c r="F8" s="20" t="s">
        <v>19</v>
      </c>
      <c r="G8" s="13">
        <v>7.5495999999999999</v>
      </c>
      <c r="H8" s="14"/>
    </row>
    <row r="9" spans="1:8" s="15" customFormat="1" x14ac:dyDescent="0.2">
      <c r="A9" s="17" t="s">
        <v>17</v>
      </c>
      <c r="B9" s="18" t="s">
        <v>18</v>
      </c>
      <c r="C9" s="19">
        <v>250</v>
      </c>
      <c r="D9" s="20">
        <v>2486.4074999999998</v>
      </c>
      <c r="E9" s="20">
        <f>(+D9/$D$62*100)</f>
        <v>1.7425764728415738</v>
      </c>
      <c r="F9" s="20" t="s">
        <v>20</v>
      </c>
      <c r="G9" s="13">
        <v>8.1648999999999994</v>
      </c>
      <c r="H9" s="14"/>
    </row>
    <row r="10" spans="1:8" s="15" customFormat="1" x14ac:dyDescent="0.2">
      <c r="A10" s="8" t="s">
        <v>21</v>
      </c>
      <c r="B10" s="9"/>
      <c r="C10" s="21"/>
      <c r="D10" s="11">
        <f>IF(ISERROR(SUM(D6:D9)),0,SUM(D6:D9))</f>
        <v>14483.157499999999</v>
      </c>
      <c r="E10" s="11">
        <f>IF(ISERROR(SUM(E6:E9)),0,SUM(E6:E9))</f>
        <v>10.150391483278177</v>
      </c>
      <c r="F10" s="11"/>
      <c r="G10" s="13"/>
      <c r="H10" s="14"/>
    </row>
    <row r="11" spans="1:8" s="15" customFormat="1" x14ac:dyDescent="0.2">
      <c r="A11" s="8"/>
      <c r="B11" s="9"/>
      <c r="C11" s="21"/>
      <c r="D11" s="16"/>
      <c r="E11" s="16"/>
      <c r="F11" s="16"/>
      <c r="G11" s="13"/>
      <c r="H11" s="14"/>
    </row>
    <row r="12" spans="1:8" s="15" customFormat="1" x14ac:dyDescent="0.2">
      <c r="A12" s="8" t="s">
        <v>22</v>
      </c>
      <c r="B12" s="9"/>
      <c r="C12" s="21"/>
      <c r="D12" s="11" t="s">
        <v>23</v>
      </c>
      <c r="E12" s="11" t="s">
        <v>23</v>
      </c>
      <c r="F12" s="12"/>
      <c r="G12" s="13"/>
      <c r="H12" s="14"/>
    </row>
    <row r="13" spans="1:8" s="15" customFormat="1" x14ac:dyDescent="0.2">
      <c r="A13" s="8"/>
      <c r="B13" s="9"/>
      <c r="C13" s="21"/>
      <c r="D13" s="16"/>
      <c r="E13" s="16"/>
      <c r="F13" s="16"/>
      <c r="G13" s="13"/>
      <c r="H13" s="14"/>
    </row>
    <row r="14" spans="1:8" s="15" customFormat="1" x14ac:dyDescent="0.2">
      <c r="A14" s="8" t="s">
        <v>24</v>
      </c>
      <c r="B14" s="9"/>
      <c r="C14" s="21"/>
      <c r="D14" s="11">
        <f>IF(ISERROR(+D10),0,D10)+IF(ISERROR(+#REF!),0,#REF!)+IF(ISERROR(+#REF!),0,#REF!)</f>
        <v>14483.157499999999</v>
      </c>
      <c r="E14" s="11">
        <f>IF(ISERROR(+E10),0,E10)+IF(ISERROR(+#REF!),0,#REF!)+IF(ISERROR(+#REF!),0,#REF!)</f>
        <v>10.150391483278177</v>
      </c>
      <c r="F14" s="11">
        <f>IF(ISERROR(+F10),0,F10)+IF(ISERROR(+#REF!),0,#REF!)+IF(ISERROR(+#REF!),0,#REF!)</f>
        <v>0</v>
      </c>
      <c r="G14" s="13"/>
      <c r="H14" s="14"/>
    </row>
    <row r="15" spans="1:8" s="15" customFormat="1" x14ac:dyDescent="0.2">
      <c r="A15" s="8"/>
      <c r="B15" s="9"/>
      <c r="C15" s="21"/>
      <c r="D15" s="11"/>
      <c r="E15" s="11"/>
      <c r="F15" s="11"/>
      <c r="G15" s="13"/>
      <c r="H15" s="14"/>
    </row>
    <row r="16" spans="1:8" s="15" customFormat="1" x14ac:dyDescent="0.2">
      <c r="A16" s="8" t="s">
        <v>25</v>
      </c>
      <c r="B16" s="9"/>
      <c r="C16" s="21"/>
      <c r="D16" s="11"/>
      <c r="E16" s="11"/>
      <c r="F16" s="11"/>
      <c r="G16" s="13"/>
      <c r="H16" s="14"/>
    </row>
    <row r="17" spans="1:8" s="15" customFormat="1" x14ac:dyDescent="0.2">
      <c r="A17" s="8"/>
      <c r="B17" s="9"/>
      <c r="C17" s="21"/>
      <c r="D17" s="20"/>
      <c r="E17" s="20"/>
      <c r="F17" s="22"/>
      <c r="G17" s="13"/>
      <c r="H17" s="14"/>
    </row>
    <row r="18" spans="1:8" s="15" customFormat="1" x14ac:dyDescent="0.2">
      <c r="A18" s="8" t="s">
        <v>26</v>
      </c>
      <c r="B18" s="9"/>
      <c r="C18" s="21"/>
      <c r="D18" s="11" t="s">
        <v>23</v>
      </c>
      <c r="E18" s="11" t="s">
        <v>23</v>
      </c>
      <c r="F18" s="11"/>
      <c r="G18" s="13"/>
      <c r="H18" s="14"/>
    </row>
    <row r="19" spans="1:8" s="15" customFormat="1" x14ac:dyDescent="0.2">
      <c r="A19" s="8"/>
      <c r="B19" s="9"/>
      <c r="C19" s="21"/>
      <c r="D19" s="11"/>
      <c r="E19" s="11"/>
      <c r="F19" s="11"/>
      <c r="G19" s="13"/>
      <c r="H19" s="14"/>
    </row>
    <row r="20" spans="1:8" s="15" customFormat="1" x14ac:dyDescent="0.2">
      <c r="A20" s="8" t="s">
        <v>27</v>
      </c>
      <c r="B20" s="9"/>
      <c r="C20" s="21"/>
      <c r="D20" s="11" t="s">
        <v>23</v>
      </c>
      <c r="E20" s="11" t="s">
        <v>23</v>
      </c>
      <c r="F20" s="11"/>
      <c r="G20" s="13"/>
      <c r="H20" s="14"/>
    </row>
    <row r="21" spans="1:8" s="15" customFormat="1" x14ac:dyDescent="0.2">
      <c r="A21" s="8"/>
      <c r="B21" s="9"/>
      <c r="C21" s="21"/>
      <c r="D21" s="11"/>
      <c r="E21" s="11"/>
      <c r="F21" s="11"/>
      <c r="G21" s="13"/>
      <c r="H21" s="14"/>
    </row>
    <row r="22" spans="1:8" s="15" customFormat="1" x14ac:dyDescent="0.2">
      <c r="A22" s="8" t="s">
        <v>28</v>
      </c>
      <c r="B22" s="9"/>
      <c r="C22" s="21"/>
      <c r="D22" s="11"/>
      <c r="E22" s="11"/>
      <c r="F22" s="12"/>
      <c r="G22" s="13"/>
      <c r="H22" s="14"/>
    </row>
    <row r="23" spans="1:8" s="15" customFormat="1" x14ac:dyDescent="0.2">
      <c r="A23" s="8" t="s">
        <v>29</v>
      </c>
      <c r="B23" s="9"/>
      <c r="C23" s="21"/>
      <c r="D23" s="11"/>
      <c r="E23" s="11"/>
      <c r="F23" s="12"/>
      <c r="G23" s="13"/>
      <c r="H23" s="14"/>
    </row>
    <row r="24" spans="1:8" s="15" customFormat="1" x14ac:dyDescent="0.2">
      <c r="A24" s="17" t="s">
        <v>30</v>
      </c>
      <c r="B24" s="18" t="s">
        <v>31</v>
      </c>
      <c r="C24" s="19">
        <v>2000</v>
      </c>
      <c r="D24" s="20">
        <v>9990.6</v>
      </c>
      <c r="E24" s="20">
        <f t="shared" ref="E24:E42" si="0">(+D24/$D$62*100)</f>
        <v>7.0018227139240166</v>
      </c>
      <c r="F24" s="20" t="s">
        <v>32</v>
      </c>
      <c r="G24" s="13">
        <v>6.8685</v>
      </c>
      <c r="H24" s="14"/>
    </row>
    <row r="25" spans="1:8" s="15" customFormat="1" x14ac:dyDescent="0.2">
      <c r="A25" s="17" t="s">
        <v>33</v>
      </c>
      <c r="B25" s="18" t="s">
        <v>34</v>
      </c>
      <c r="C25" s="19">
        <v>2000</v>
      </c>
      <c r="D25" s="20">
        <v>9947.57</v>
      </c>
      <c r="E25" s="20">
        <f t="shared" si="0"/>
        <v>6.971665523026557</v>
      </c>
      <c r="F25" s="20" t="s">
        <v>35</v>
      </c>
      <c r="G25" s="13">
        <v>6.8705999999999996</v>
      </c>
      <c r="H25" s="14"/>
    </row>
    <row r="26" spans="1:8" s="15" customFormat="1" x14ac:dyDescent="0.2">
      <c r="A26" s="17" t="s">
        <v>36</v>
      </c>
      <c r="B26" s="18" t="s">
        <v>34</v>
      </c>
      <c r="C26" s="19">
        <v>1500</v>
      </c>
      <c r="D26" s="20">
        <v>7470.51</v>
      </c>
      <c r="E26" s="20">
        <f t="shared" si="0"/>
        <v>5.2356401620119408</v>
      </c>
      <c r="F26" s="20" t="s">
        <v>37</v>
      </c>
      <c r="G26" s="13">
        <v>7.5843999999999996</v>
      </c>
      <c r="H26" s="14"/>
    </row>
    <row r="27" spans="1:8" s="15" customFormat="1" x14ac:dyDescent="0.2">
      <c r="A27" s="17" t="s">
        <v>38</v>
      </c>
      <c r="B27" s="18" t="s">
        <v>31</v>
      </c>
      <c r="C27" s="19">
        <v>1300</v>
      </c>
      <c r="D27" s="20">
        <v>6497.5754999999999</v>
      </c>
      <c r="E27" s="20">
        <f t="shared" si="0"/>
        <v>4.5537677137845769</v>
      </c>
      <c r="F27" s="20" t="s">
        <v>39</v>
      </c>
      <c r="G27" s="13">
        <v>6.8189000000000002</v>
      </c>
      <c r="H27" s="14"/>
    </row>
    <row r="28" spans="1:8" s="15" customFormat="1" x14ac:dyDescent="0.2">
      <c r="A28" s="17" t="s">
        <v>40</v>
      </c>
      <c r="B28" s="18" t="s">
        <v>34</v>
      </c>
      <c r="C28" s="19">
        <v>1000</v>
      </c>
      <c r="D28" s="20">
        <v>5000</v>
      </c>
      <c r="E28" s="20">
        <f t="shared" si="0"/>
        <v>3.5042053099533641</v>
      </c>
      <c r="F28" s="20" t="s">
        <v>41</v>
      </c>
      <c r="G28" s="13">
        <v>6.8212999999999999</v>
      </c>
      <c r="H28" s="14"/>
    </row>
    <row r="29" spans="1:8" s="15" customFormat="1" x14ac:dyDescent="0.2">
      <c r="A29" s="17" t="s">
        <v>42</v>
      </c>
      <c r="B29" s="18" t="s">
        <v>34</v>
      </c>
      <c r="C29" s="19">
        <v>1000</v>
      </c>
      <c r="D29" s="20">
        <v>4993.4449999999997</v>
      </c>
      <c r="E29" s="20">
        <f t="shared" si="0"/>
        <v>3.4996112967920148</v>
      </c>
      <c r="F29" s="20" t="s">
        <v>43</v>
      </c>
      <c r="G29" s="13">
        <v>6.8449</v>
      </c>
      <c r="H29" s="14"/>
    </row>
    <row r="30" spans="1:8" s="15" customFormat="1" x14ac:dyDescent="0.2">
      <c r="A30" s="17" t="s">
        <v>44</v>
      </c>
      <c r="B30" s="18" t="s">
        <v>34</v>
      </c>
      <c r="C30" s="19">
        <v>1000</v>
      </c>
      <c r="D30" s="20">
        <v>4987.1400000000003</v>
      </c>
      <c r="E30" s="20">
        <f t="shared" si="0"/>
        <v>3.4951924938961638</v>
      </c>
      <c r="F30" s="20" t="s">
        <v>45</v>
      </c>
      <c r="G30" s="13">
        <v>7.24</v>
      </c>
      <c r="H30" s="14"/>
    </row>
    <row r="31" spans="1:8" s="15" customFormat="1" x14ac:dyDescent="0.2">
      <c r="A31" s="17" t="s">
        <v>46</v>
      </c>
      <c r="B31" s="18" t="s">
        <v>34</v>
      </c>
      <c r="C31" s="19">
        <v>1000</v>
      </c>
      <c r="D31" s="20">
        <v>4985.8</v>
      </c>
      <c r="E31" s="20">
        <f t="shared" si="0"/>
        <v>3.4942533668730964</v>
      </c>
      <c r="F31" s="20" t="s">
        <v>47</v>
      </c>
      <c r="G31" s="13">
        <v>7.4253999999999998</v>
      </c>
      <c r="H31" s="14"/>
    </row>
    <row r="32" spans="1:8" s="15" customFormat="1" x14ac:dyDescent="0.2">
      <c r="A32" s="17" t="s">
        <v>48</v>
      </c>
      <c r="B32" s="18" t="s">
        <v>34</v>
      </c>
      <c r="C32" s="19">
        <v>1000</v>
      </c>
      <c r="D32" s="20">
        <v>4985.5550000000003</v>
      </c>
      <c r="E32" s="20">
        <f t="shared" si="0"/>
        <v>3.4940816608129088</v>
      </c>
      <c r="F32" s="20" t="s">
        <v>49</v>
      </c>
      <c r="G32" s="13">
        <v>7.0503</v>
      </c>
      <c r="H32" s="14"/>
    </row>
    <row r="33" spans="1:8" s="15" customFormat="1" x14ac:dyDescent="0.2">
      <c r="A33" s="17" t="s">
        <v>50</v>
      </c>
      <c r="B33" s="18" t="s">
        <v>31</v>
      </c>
      <c r="C33" s="19">
        <v>1000</v>
      </c>
      <c r="D33" s="20">
        <v>4978.9449999999997</v>
      </c>
      <c r="E33" s="20">
        <f t="shared" si="0"/>
        <v>3.4894491013931503</v>
      </c>
      <c r="F33" s="20" t="s">
        <v>51</v>
      </c>
      <c r="G33" s="13">
        <v>7.016</v>
      </c>
      <c r="H33" s="14"/>
    </row>
    <row r="34" spans="1:8" s="15" customFormat="1" x14ac:dyDescent="0.2">
      <c r="A34" s="17" t="s">
        <v>52</v>
      </c>
      <c r="B34" s="18" t="s">
        <v>34</v>
      </c>
      <c r="C34" s="19">
        <v>1000</v>
      </c>
      <c r="D34" s="20">
        <v>4925.1000000000004</v>
      </c>
      <c r="E34" s="20">
        <f t="shared" si="0"/>
        <v>3.4517123144102628</v>
      </c>
      <c r="F34" s="20" t="s">
        <v>53</v>
      </c>
      <c r="G34" s="13">
        <v>8.5401000000000007</v>
      </c>
      <c r="H34" s="14"/>
    </row>
    <row r="35" spans="1:8" s="15" customFormat="1" x14ac:dyDescent="0.2">
      <c r="A35" s="17" t="s">
        <v>54</v>
      </c>
      <c r="B35" s="18" t="s">
        <v>34</v>
      </c>
      <c r="C35" s="19">
        <v>1000</v>
      </c>
      <c r="D35" s="20">
        <v>4921.3050000000003</v>
      </c>
      <c r="E35" s="20">
        <f t="shared" si="0"/>
        <v>3.449052622580008</v>
      </c>
      <c r="F35" s="20" t="s">
        <v>55</v>
      </c>
      <c r="G35" s="13">
        <v>7.58</v>
      </c>
      <c r="H35" s="14"/>
    </row>
    <row r="36" spans="1:8" s="15" customFormat="1" x14ac:dyDescent="0.2">
      <c r="A36" s="17" t="s">
        <v>56</v>
      </c>
      <c r="B36" s="18" t="s">
        <v>57</v>
      </c>
      <c r="C36" s="19">
        <v>748</v>
      </c>
      <c r="D36" s="20">
        <v>3731.5887400000001</v>
      </c>
      <c r="E36" s="20">
        <f t="shared" si="0"/>
        <v>2.6152506154540367</v>
      </c>
      <c r="F36" s="20" t="s">
        <v>58</v>
      </c>
      <c r="G36" s="13">
        <v>6.8560999999999996</v>
      </c>
      <c r="H36" s="14"/>
    </row>
    <row r="37" spans="1:8" s="15" customFormat="1" x14ac:dyDescent="0.2">
      <c r="A37" s="17" t="s">
        <v>59</v>
      </c>
      <c r="B37" s="18" t="s">
        <v>34</v>
      </c>
      <c r="C37" s="19">
        <v>700</v>
      </c>
      <c r="D37" s="20">
        <v>3489.4684999999999</v>
      </c>
      <c r="E37" s="20">
        <f t="shared" si="0"/>
        <v>2.445562809323</v>
      </c>
      <c r="F37" s="20" t="s">
        <v>60</v>
      </c>
      <c r="G37" s="13">
        <v>6.8849999999999998</v>
      </c>
      <c r="H37" s="14"/>
    </row>
    <row r="38" spans="1:8" s="15" customFormat="1" x14ac:dyDescent="0.2">
      <c r="A38" s="17" t="s">
        <v>42</v>
      </c>
      <c r="B38" s="18" t="s">
        <v>34</v>
      </c>
      <c r="C38" s="19">
        <v>600</v>
      </c>
      <c r="D38" s="20">
        <v>2996.6280000000002</v>
      </c>
      <c r="E38" s="20">
        <f t="shared" si="0"/>
        <v>2.100159949910986</v>
      </c>
      <c r="F38" s="20" t="s">
        <v>61</v>
      </c>
      <c r="G38" s="13">
        <v>6.8453999999999997</v>
      </c>
      <c r="H38" s="14"/>
    </row>
    <row r="39" spans="1:8" s="15" customFormat="1" x14ac:dyDescent="0.2">
      <c r="A39" s="17" t="s">
        <v>62</v>
      </c>
      <c r="B39" s="18" t="s">
        <v>63</v>
      </c>
      <c r="C39" s="19">
        <v>500</v>
      </c>
      <c r="D39" s="20">
        <v>2499.5100000000002</v>
      </c>
      <c r="E39" s="20">
        <f t="shared" si="0"/>
        <v>1.7517592428563065</v>
      </c>
      <c r="F39" s="20" t="s">
        <v>64</v>
      </c>
      <c r="G39" s="13">
        <v>7.1737000000000002</v>
      </c>
      <c r="H39" s="14"/>
    </row>
    <row r="40" spans="1:8" s="15" customFormat="1" x14ac:dyDescent="0.2">
      <c r="A40" s="17" t="s">
        <v>54</v>
      </c>
      <c r="B40" s="18" t="s">
        <v>34</v>
      </c>
      <c r="C40" s="19">
        <v>500</v>
      </c>
      <c r="D40" s="20">
        <v>2490.59</v>
      </c>
      <c r="E40" s="20">
        <f t="shared" si="0"/>
        <v>1.7455077405833499</v>
      </c>
      <c r="F40" s="20" t="s">
        <v>65</v>
      </c>
      <c r="G40" s="13">
        <v>6.8952999999999998</v>
      </c>
      <c r="H40" s="14"/>
    </row>
    <row r="41" spans="1:8" s="15" customFormat="1" x14ac:dyDescent="0.2">
      <c r="A41" s="17" t="s">
        <v>30</v>
      </c>
      <c r="B41" s="18" t="s">
        <v>31</v>
      </c>
      <c r="C41" s="19">
        <v>500</v>
      </c>
      <c r="D41" s="20">
        <v>2461.8074999999999</v>
      </c>
      <c r="E41" s="20">
        <f t="shared" si="0"/>
        <v>1.7253357827166032</v>
      </c>
      <c r="F41" s="20" t="s">
        <v>66</v>
      </c>
      <c r="G41" s="13">
        <v>7.5502000000000002</v>
      </c>
      <c r="H41" s="14"/>
    </row>
    <row r="42" spans="1:8" s="15" customFormat="1" x14ac:dyDescent="0.2">
      <c r="A42" s="17" t="s">
        <v>54</v>
      </c>
      <c r="B42" s="18" t="s">
        <v>34</v>
      </c>
      <c r="C42" s="19">
        <v>200</v>
      </c>
      <c r="D42" s="20">
        <v>997.55600000000004</v>
      </c>
      <c r="E42" s="20">
        <f t="shared" si="0"/>
        <v>0.6991282064351676</v>
      </c>
      <c r="F42" s="20" t="s">
        <v>67</v>
      </c>
      <c r="G42" s="13">
        <v>6.8802000000000003</v>
      </c>
      <c r="H42" s="14"/>
    </row>
    <row r="43" spans="1:8" s="15" customFormat="1" x14ac:dyDescent="0.2">
      <c r="A43" s="8" t="s">
        <v>68</v>
      </c>
      <c r="B43" s="18"/>
      <c r="C43" s="19"/>
      <c r="D43" s="20"/>
      <c r="E43" s="16"/>
      <c r="F43" s="23"/>
      <c r="G43" s="13"/>
      <c r="H43" s="14"/>
    </row>
    <row r="44" spans="1:8" s="15" customFormat="1" x14ac:dyDescent="0.2">
      <c r="A44" s="17" t="s">
        <v>69</v>
      </c>
      <c r="B44" s="18" t="s">
        <v>123</v>
      </c>
      <c r="C44" s="19">
        <v>15940800</v>
      </c>
      <c r="D44" s="20">
        <v>15937.866892799999</v>
      </c>
      <c r="E44" s="20">
        <f t="shared" ref="E44:E52" si="1">(+D44/$D$62*100)</f>
        <v>11.169911559015935</v>
      </c>
      <c r="F44" s="20" t="s">
        <v>70</v>
      </c>
      <c r="G44" s="13">
        <v>6.7172000000000001</v>
      </c>
      <c r="H44" s="14"/>
    </row>
    <row r="45" spans="1:8" s="15" customFormat="1" x14ac:dyDescent="0.2">
      <c r="A45" s="17" t="s">
        <v>71</v>
      </c>
      <c r="B45" s="18" t="s">
        <v>123</v>
      </c>
      <c r="C45" s="19">
        <v>2500000</v>
      </c>
      <c r="D45" s="20">
        <v>2493.3575000000001</v>
      </c>
      <c r="E45" s="20">
        <f t="shared" si="1"/>
        <v>1.7474473182224091</v>
      </c>
      <c r="F45" s="20" t="s">
        <v>72</v>
      </c>
      <c r="G45" s="13">
        <v>6.4825999999999997</v>
      </c>
      <c r="H45" s="14"/>
    </row>
    <row r="46" spans="1:8" s="15" customFormat="1" x14ac:dyDescent="0.2">
      <c r="A46" s="17" t="s">
        <v>73</v>
      </c>
      <c r="B46" s="18" t="s">
        <v>123</v>
      </c>
      <c r="C46" s="19">
        <v>2500000</v>
      </c>
      <c r="D46" s="20">
        <v>2487.23</v>
      </c>
      <c r="E46" s="20">
        <f t="shared" si="1"/>
        <v>1.7431529146150611</v>
      </c>
      <c r="F46" s="20" t="s">
        <v>74</v>
      </c>
      <c r="G46" s="13">
        <v>6.4626999999999999</v>
      </c>
      <c r="H46" s="14"/>
    </row>
    <row r="47" spans="1:8" s="15" customFormat="1" x14ac:dyDescent="0.2">
      <c r="A47" s="17" t="s">
        <v>75</v>
      </c>
      <c r="B47" s="18" t="s">
        <v>123</v>
      </c>
      <c r="C47" s="19">
        <v>2500000</v>
      </c>
      <c r="D47" s="20">
        <v>2487.23</v>
      </c>
      <c r="E47" s="20">
        <f t="shared" si="1"/>
        <v>1.7431529146150611</v>
      </c>
      <c r="F47" s="20" t="s">
        <v>76</v>
      </c>
      <c r="G47" s="13">
        <v>6.4626999999999999</v>
      </c>
      <c r="H47" s="14"/>
    </row>
    <row r="48" spans="1:8" s="15" customFormat="1" x14ac:dyDescent="0.2">
      <c r="A48" s="17" t="s">
        <v>77</v>
      </c>
      <c r="B48" s="18" t="s">
        <v>123</v>
      </c>
      <c r="C48" s="19">
        <v>2500000</v>
      </c>
      <c r="D48" s="20">
        <v>2463.7775000000001</v>
      </c>
      <c r="E48" s="20">
        <f t="shared" si="1"/>
        <v>1.7267164396087247</v>
      </c>
      <c r="F48" s="20" t="s">
        <v>78</v>
      </c>
      <c r="G48" s="13">
        <v>6.8798000000000004</v>
      </c>
      <c r="H48" s="14"/>
    </row>
    <row r="49" spans="1:8" s="15" customFormat="1" x14ac:dyDescent="0.2">
      <c r="A49" s="17" t="s">
        <v>79</v>
      </c>
      <c r="B49" s="18" t="s">
        <v>123</v>
      </c>
      <c r="C49" s="19">
        <v>1000000</v>
      </c>
      <c r="D49" s="20">
        <v>999.81600000000003</v>
      </c>
      <c r="E49" s="20">
        <f t="shared" si="1"/>
        <v>0.70071210723526656</v>
      </c>
      <c r="F49" s="20" t="s">
        <v>80</v>
      </c>
      <c r="G49" s="13">
        <v>6.7172000000000001</v>
      </c>
      <c r="H49" s="14"/>
    </row>
    <row r="50" spans="1:8" s="15" customFormat="1" x14ac:dyDescent="0.2">
      <c r="A50" s="17" t="s">
        <v>81</v>
      </c>
      <c r="B50" s="18" t="s">
        <v>123</v>
      </c>
      <c r="C50" s="19">
        <v>500000</v>
      </c>
      <c r="D50" s="20">
        <v>498.67149999999998</v>
      </c>
      <c r="E50" s="20">
        <f t="shared" si="1"/>
        <v>0.34948946364448175</v>
      </c>
      <c r="F50" s="20" t="s">
        <v>82</v>
      </c>
      <c r="G50" s="13">
        <v>6.4825999999999997</v>
      </c>
      <c r="H50" s="14"/>
    </row>
    <row r="51" spans="1:8" s="15" customFormat="1" x14ac:dyDescent="0.2">
      <c r="A51" s="17" t="s">
        <v>83</v>
      </c>
      <c r="B51" s="18" t="s">
        <v>123</v>
      </c>
      <c r="C51" s="19">
        <v>500000</v>
      </c>
      <c r="D51" s="20">
        <v>493.39249999999998</v>
      </c>
      <c r="E51" s="20">
        <f t="shared" si="1"/>
        <v>0.34578972367823302</v>
      </c>
      <c r="F51" s="20" t="s">
        <v>84</v>
      </c>
      <c r="G51" s="13">
        <v>6.8849</v>
      </c>
      <c r="H51" s="14"/>
    </row>
    <row r="52" spans="1:8" s="15" customFormat="1" x14ac:dyDescent="0.2">
      <c r="A52" s="17" t="s">
        <v>85</v>
      </c>
      <c r="B52" s="18" t="s">
        <v>123</v>
      </c>
      <c r="C52" s="19">
        <v>400000</v>
      </c>
      <c r="D52" s="20">
        <v>398.93720000000002</v>
      </c>
      <c r="E52" s="20">
        <f t="shared" si="1"/>
        <v>0.27959157091558545</v>
      </c>
      <c r="F52" s="20" t="s">
        <v>86</v>
      </c>
      <c r="G52" s="13">
        <v>6.4825999999999997</v>
      </c>
      <c r="H52" s="14"/>
    </row>
    <row r="53" spans="1:8" s="15" customFormat="1" x14ac:dyDescent="0.2">
      <c r="A53" s="8" t="s">
        <v>21</v>
      </c>
      <c r="B53" s="24"/>
      <c r="C53" s="25"/>
      <c r="D53" s="11">
        <f>IF(ISERROR(SUM(D24:D52)),0,SUM(D24:D52))</f>
        <v>120610.97333279999</v>
      </c>
      <c r="E53" s="11">
        <f>IF(ISERROR(SUM(E24:E52)),0,SUM(E24:E52))</f>
        <v>84.529122638288271</v>
      </c>
      <c r="F53" s="26"/>
      <c r="G53" s="13"/>
      <c r="H53" s="14"/>
    </row>
    <row r="54" spans="1:8" s="15" customFormat="1" x14ac:dyDescent="0.2">
      <c r="A54" s="8"/>
      <c r="B54" s="24"/>
      <c r="C54" s="25"/>
      <c r="D54" s="16"/>
      <c r="E54" s="16"/>
      <c r="F54" s="23"/>
      <c r="G54" s="13"/>
      <c r="H54" s="14"/>
    </row>
    <row r="55" spans="1:8" s="15" customFormat="1" x14ac:dyDescent="0.2">
      <c r="A55" s="17" t="s">
        <v>87</v>
      </c>
      <c r="B55" s="18"/>
      <c r="C55" s="19">
        <v>0</v>
      </c>
      <c r="D55" s="20">
        <v>17033.227671500001</v>
      </c>
      <c r="E55" s="20">
        <f>(+D55/$D$62*100)</f>
        <v>11.937585370422974</v>
      </c>
      <c r="F55" s="20" t="s">
        <v>88</v>
      </c>
      <c r="G55" s="13">
        <v>6.5233999999999996</v>
      </c>
      <c r="H55" s="14"/>
    </row>
    <row r="56" spans="1:8" s="15" customFormat="1" x14ac:dyDescent="0.2">
      <c r="A56" s="8" t="s">
        <v>21</v>
      </c>
      <c r="B56" s="9"/>
      <c r="C56" s="21"/>
      <c r="D56" s="11">
        <f>IF(ISERROR(SUM(D55:D55)),0,SUM(D55:D55))</f>
        <v>17033.227671500001</v>
      </c>
      <c r="E56" s="11">
        <f>IF(ISERROR(SUM(E55:E55)),0,SUM(E55:E55))</f>
        <v>11.937585370422974</v>
      </c>
      <c r="F56" s="20"/>
      <c r="G56" s="13"/>
      <c r="H56" s="14"/>
    </row>
    <row r="57" spans="1:8" s="15" customFormat="1" x14ac:dyDescent="0.2">
      <c r="A57" s="8"/>
      <c r="B57" s="9"/>
      <c r="C57" s="21"/>
      <c r="D57" s="11"/>
      <c r="E57" s="11"/>
      <c r="F57" s="11"/>
      <c r="G57" s="13"/>
      <c r="H57" s="14"/>
    </row>
    <row r="58" spans="1:8" s="15" customFormat="1" x14ac:dyDescent="0.2">
      <c r="A58" s="8" t="s">
        <v>24</v>
      </c>
      <c r="B58" s="9"/>
      <c r="C58" s="21" t="s">
        <v>89</v>
      </c>
      <c r="D58" s="11">
        <f>+IF(ISERROR(D14),0,D14)+IF(ISERROR(D56),0,D56)+IF(ISERROR(#REF!),0,#REF!)+IF(ISERROR(#REF!),0,#REF!)+IF(ISERROR(#REF!),0,#REF!)+IF(ISERROR(D53),0,D53)+IF(ISERROR(#REF!),0,#REF!)+IF(ISERROR(#REF!),0,#REF!)+IF(ISERROR(#REF!),0,#REF!)</f>
        <v>152127.35850429998</v>
      </c>
      <c r="E58" s="11">
        <f>+IF(ISERROR(E14),0,E14)+IF(ISERROR(E56),0,E56)+IF(ISERROR(#REF!),0,#REF!)+IF(ISERROR(#REF!),0,#REF!)+IF(ISERROR(#REF!),0,#REF!)+IF(ISERROR(E53),0,E53)+IF(ISERROR(#REF!),0,#REF!)+IF(ISERROR(#REF!),0,#REF!)+IF(ISERROR(#REF!),0,#REF!)</f>
        <v>106.61709949198942</v>
      </c>
      <c r="F58" s="11">
        <f>+IF(ISERROR(F14),0,F14)+IF(ISERROR(F56),0,F56)+IF(ISERROR(#REF!),0,#REF!)+IF(ISERROR(#REF!),0,#REF!)+IF(ISERROR(#REF!),0,#REF!)+IF(ISERROR(F53),0,F53)+IF(ISERROR(#REF!),0,#REF!)</f>
        <v>0</v>
      </c>
      <c r="G58" s="13"/>
      <c r="H58" s="14"/>
    </row>
    <row r="59" spans="1:8" s="15" customFormat="1" x14ac:dyDescent="0.2">
      <c r="A59" s="8"/>
      <c r="B59" s="9"/>
      <c r="C59" s="21"/>
      <c r="D59" s="11"/>
      <c r="E59" s="11"/>
      <c r="F59" s="27"/>
      <c r="H59" s="1"/>
    </row>
    <row r="60" spans="1:8" s="15" customFormat="1" x14ac:dyDescent="0.2">
      <c r="A60" s="8" t="s">
        <v>90</v>
      </c>
      <c r="B60" s="9"/>
      <c r="C60" s="21"/>
      <c r="D60" s="11">
        <f>+D62-D58</f>
        <v>-9441.6549641000747</v>
      </c>
      <c r="E60" s="11">
        <f>D60/$D$62*100</f>
        <v>-6.6170994919894044</v>
      </c>
      <c r="F60" s="27"/>
      <c r="H60" s="1"/>
    </row>
    <row r="61" spans="1:8" s="15" customFormat="1" x14ac:dyDescent="0.2">
      <c r="A61" s="8"/>
      <c r="B61" s="9"/>
      <c r="C61" s="21"/>
      <c r="D61" s="16"/>
      <c r="E61" s="16"/>
      <c r="F61" s="27"/>
      <c r="H61" s="1"/>
    </row>
    <row r="62" spans="1:8" s="15" customFormat="1" x14ac:dyDescent="0.2">
      <c r="A62" s="8" t="s">
        <v>91</v>
      </c>
      <c r="B62" s="9"/>
      <c r="C62" s="21"/>
      <c r="D62" s="11">
        <v>142685.7035401999</v>
      </c>
      <c r="E62" s="11">
        <f>+E58+E60</f>
        <v>100.00000000000001</v>
      </c>
      <c r="F62" s="27"/>
      <c r="H62" s="1"/>
    </row>
    <row r="63" spans="1:8" s="15" customFormat="1" x14ac:dyDescent="0.2">
      <c r="A63" s="28"/>
      <c r="B63" s="29"/>
      <c r="C63" s="30"/>
      <c r="D63" s="31"/>
      <c r="E63" s="31"/>
      <c r="F63" s="27"/>
      <c r="H63" s="1"/>
    </row>
    <row r="64" spans="1:8" s="15" customFormat="1" x14ac:dyDescent="0.2">
      <c r="A64" s="32"/>
      <c r="B64" s="29"/>
      <c r="C64" s="30"/>
      <c r="D64" s="31"/>
      <c r="E64" s="31"/>
      <c r="F64" s="33"/>
      <c r="H64" s="1"/>
    </row>
    <row r="65" spans="1:8" s="15" customFormat="1" x14ac:dyDescent="0.2">
      <c r="A65" s="32" t="s">
        <v>92</v>
      </c>
      <c r="B65" s="34"/>
      <c r="C65" s="35"/>
      <c r="D65" s="36"/>
      <c r="E65" s="33"/>
      <c r="F65" s="1"/>
      <c r="G65" s="37"/>
      <c r="H65" s="37"/>
    </row>
    <row r="66" spans="1:8" s="15" customFormat="1" ht="15" x14ac:dyDescent="0.25">
      <c r="A66" s="59" t="s">
        <v>93</v>
      </c>
      <c r="B66" s="59"/>
      <c r="C66" s="59"/>
      <c r="D66" s="59"/>
      <c r="E66" s="59"/>
      <c r="F66" s="59"/>
      <c r="G66" s="59"/>
      <c r="H66" s="36"/>
    </row>
    <row r="67" spans="1:8" s="15" customFormat="1" ht="31.5" customHeight="1" x14ac:dyDescent="0.2">
      <c r="A67" s="60" t="s">
        <v>94</v>
      </c>
      <c r="B67" s="60"/>
      <c r="C67" s="60"/>
      <c r="D67" s="60"/>
      <c r="E67" s="60"/>
      <c r="F67" s="60"/>
      <c r="G67" s="60"/>
      <c r="H67" s="60"/>
    </row>
    <row r="68" spans="1:8" s="15" customFormat="1" ht="15" customHeight="1" x14ac:dyDescent="0.2">
      <c r="A68" s="60" t="s">
        <v>95</v>
      </c>
      <c r="B68" s="60"/>
      <c r="C68" s="60"/>
      <c r="D68" s="60"/>
      <c r="E68" s="60"/>
      <c r="F68" s="60"/>
      <c r="G68" s="60"/>
      <c r="H68" s="60"/>
    </row>
    <row r="69" spans="1:8" s="15" customFormat="1" ht="66" customHeight="1" x14ac:dyDescent="0.2">
      <c r="A69" s="61" t="s">
        <v>96</v>
      </c>
      <c r="B69" s="61"/>
      <c r="C69" s="61"/>
      <c r="D69" s="61"/>
      <c r="E69" s="61"/>
      <c r="F69" s="61"/>
      <c r="G69" s="61"/>
      <c r="H69" s="61"/>
    </row>
    <row r="70" spans="1:8" ht="15" x14ac:dyDescent="0.2">
      <c r="A70" s="38"/>
      <c r="B70" s="38"/>
      <c r="C70" s="38"/>
      <c r="D70" s="38"/>
      <c r="E70" s="38"/>
      <c r="F70" s="38"/>
      <c r="G70" s="37"/>
      <c r="H70" s="37"/>
    </row>
    <row r="71" spans="1:8" ht="15" x14ac:dyDescent="0.25">
      <c r="A71" s="39" t="s">
        <v>97</v>
      </c>
      <c r="B71" s="40"/>
      <c r="C71" s="41"/>
    </row>
    <row r="72" spans="1:8" ht="15" x14ac:dyDescent="0.25">
      <c r="A72" s="42" t="s">
        <v>98</v>
      </c>
      <c r="B72" s="40"/>
      <c r="C72" s="40"/>
      <c r="D72" s="40"/>
    </row>
    <row r="73" spans="1:8" ht="15" x14ac:dyDescent="0.25">
      <c r="A73" s="42" t="s">
        <v>99</v>
      </c>
      <c r="B73" s="40"/>
      <c r="C73" s="40"/>
      <c r="D73" s="40"/>
    </row>
    <row r="74" spans="1:8" ht="15" x14ac:dyDescent="0.25">
      <c r="A74" s="42" t="s">
        <v>100</v>
      </c>
      <c r="B74" s="40"/>
      <c r="C74" s="40"/>
      <c r="D74" s="40"/>
    </row>
    <row r="75" spans="1:8" ht="15" x14ac:dyDescent="0.25">
      <c r="A75" s="42"/>
      <c r="B75" s="40"/>
      <c r="C75" s="40"/>
      <c r="D75" s="40"/>
    </row>
    <row r="76" spans="1:8" ht="14.25" x14ac:dyDescent="0.2">
      <c r="A76" s="43" t="s">
        <v>101</v>
      </c>
      <c r="B76" s="40"/>
      <c r="C76" s="40"/>
      <c r="D76" s="41" t="s">
        <v>102</v>
      </c>
    </row>
    <row r="78" spans="1:8" x14ac:dyDescent="0.2">
      <c r="A78" s="44"/>
    </row>
    <row r="93" spans="1:4" x14ac:dyDescent="0.2">
      <c r="C93" s="45"/>
      <c r="D93" s="45"/>
    </row>
    <row r="94" spans="1:4" ht="13.5" thickBot="1" x14ac:dyDescent="0.25">
      <c r="C94" s="45"/>
      <c r="D94" s="45"/>
    </row>
    <row r="95" spans="1:4" ht="13.5" thickBot="1" x14ac:dyDescent="0.25">
      <c r="A95" s="62" t="s">
        <v>103</v>
      </c>
      <c r="B95" s="63"/>
      <c r="C95" s="63"/>
      <c r="D95" s="64"/>
    </row>
    <row r="96" spans="1:4" ht="13.5" thickBot="1" x14ac:dyDescent="0.25">
      <c r="A96" s="48" t="s">
        <v>104</v>
      </c>
      <c r="B96" s="65" t="s">
        <v>105</v>
      </c>
      <c r="C96" s="65" t="s">
        <v>106</v>
      </c>
      <c r="D96" s="65" t="s">
        <v>107</v>
      </c>
    </row>
    <row r="97" spans="1:10" ht="13.5" thickBot="1" x14ac:dyDescent="0.25">
      <c r="A97" s="48" t="s">
        <v>108</v>
      </c>
      <c r="B97" s="66"/>
      <c r="C97" s="66"/>
      <c r="D97" s="66"/>
    </row>
    <row r="98" spans="1:10" ht="15.75" thickBot="1" x14ac:dyDescent="0.25">
      <c r="A98" s="49" t="s">
        <v>109</v>
      </c>
      <c r="B98" s="50"/>
      <c r="C98" s="51" t="s">
        <v>110</v>
      </c>
      <c r="D98" s="50"/>
    </row>
    <row r="99" spans="1:10" ht="15.75" thickBot="1" x14ac:dyDescent="0.25">
      <c r="A99" s="49" t="s">
        <v>111</v>
      </c>
      <c r="B99" s="50"/>
      <c r="C99" s="50"/>
      <c r="D99" s="50"/>
    </row>
    <row r="100" spans="1:10" ht="15.75" thickBot="1" x14ac:dyDescent="0.25">
      <c r="A100" s="49" t="s">
        <v>112</v>
      </c>
      <c r="B100" s="50"/>
      <c r="C100" s="50"/>
      <c r="D100" s="50"/>
    </row>
    <row r="103" spans="1:10" x14ac:dyDescent="0.2">
      <c r="A103" s="67" t="s">
        <v>113</v>
      </c>
      <c r="B103" s="68"/>
    </row>
    <row r="104" spans="1:10" x14ac:dyDescent="0.2">
      <c r="A104" s="52" t="s">
        <v>114</v>
      </c>
      <c r="B104" s="53" t="s">
        <v>115</v>
      </c>
    </row>
    <row r="105" spans="1:10" x14ac:dyDescent="0.2">
      <c r="A105" s="52" t="s">
        <v>116</v>
      </c>
      <c r="B105" s="53"/>
    </row>
    <row r="106" spans="1:10" x14ac:dyDescent="0.2">
      <c r="A106" s="52"/>
      <c r="B106" s="24" t="s">
        <v>89</v>
      </c>
    </row>
    <row r="107" spans="1:10" x14ac:dyDescent="0.2">
      <c r="A107" s="52" t="s">
        <v>117</v>
      </c>
      <c r="B107" s="70">
        <v>7.06</v>
      </c>
    </row>
    <row r="108" spans="1:10" x14ac:dyDescent="0.2">
      <c r="A108" s="52" t="s">
        <v>89</v>
      </c>
      <c r="B108" s="24"/>
    </row>
    <row r="109" spans="1:10" x14ac:dyDescent="0.2">
      <c r="A109" s="52" t="s">
        <v>118</v>
      </c>
      <c r="B109" s="54">
        <v>5.2600000000000001E-2</v>
      </c>
    </row>
    <row r="110" spans="1:10" x14ac:dyDescent="0.2">
      <c r="A110" s="52" t="s">
        <v>119</v>
      </c>
      <c r="B110" s="54">
        <v>5.3499999999999999E-2</v>
      </c>
    </row>
    <row r="111" spans="1:10" x14ac:dyDescent="0.2">
      <c r="A111" s="52" t="s">
        <v>89</v>
      </c>
      <c r="B111" s="24" t="s">
        <v>89</v>
      </c>
    </row>
    <row r="112" spans="1:10" s="46" customFormat="1" x14ac:dyDescent="0.2">
      <c r="A112" s="52" t="s">
        <v>120</v>
      </c>
      <c r="B112" s="69" t="s">
        <v>121</v>
      </c>
      <c r="D112" s="1"/>
      <c r="E112" s="1"/>
      <c r="F112" s="1"/>
      <c r="G112" s="1"/>
      <c r="H112" s="1"/>
      <c r="I112" s="1"/>
      <c r="J112" s="1"/>
    </row>
    <row r="113" spans="1:10" s="46" customFormat="1" ht="25.5" customHeight="1" x14ac:dyDescent="0.2">
      <c r="A113" s="55" t="s">
        <v>122</v>
      </c>
      <c r="B113" s="56"/>
      <c r="D113" s="1"/>
      <c r="E113" s="1"/>
      <c r="F113" s="1"/>
      <c r="G113" s="1"/>
      <c r="H113" s="1"/>
      <c r="I113" s="1"/>
      <c r="J113" s="1"/>
    </row>
  </sheetData>
  <mergeCells count="12">
    <mergeCell ref="A113:B113"/>
    <mergeCell ref="A1:H1"/>
    <mergeCell ref="A2:H2"/>
    <mergeCell ref="A66:G66"/>
    <mergeCell ref="A67:H67"/>
    <mergeCell ref="A68:H68"/>
    <mergeCell ref="A69:H69"/>
    <mergeCell ref="A95:D95"/>
    <mergeCell ref="B96:B97"/>
    <mergeCell ref="C96:C97"/>
    <mergeCell ref="D96:D97"/>
    <mergeCell ref="A103:B10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LF</vt:lpstr>
      <vt:lpstr>LF!Print_Area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2023-03-03T07:37:04Z</dcterms:created>
  <dcterms:modified xsi:type="dcterms:W3CDTF">2023-03-03T08:33:15Z</dcterms:modified>
</cp:coreProperties>
</file>