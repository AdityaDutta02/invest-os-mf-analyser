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3\Monthly\For sent\"/>
    </mc:Choice>
  </mc:AlternateContent>
  <bookViews>
    <workbookView xWindow="0" yWindow="0" windowWidth="20490" windowHeight="7770"/>
  </bookViews>
  <sheets>
    <sheet name="JM Overnight Fund" sheetId="1" r:id="rId1"/>
  </sheets>
  <definedNames>
    <definedName name="_xlnm._FilterDatabase" localSheetId="0" hidden="1">'JM Overnight Fund'!$A$1:$H$116</definedName>
    <definedName name="AAAAA">#REF!</definedName>
    <definedName name="Afs">#REF!</definedName>
    <definedName name="_xlnm.Database">#REF!</definedName>
    <definedName name="EBLDB">#REF!</definedName>
    <definedName name="fl">#REF!</definedName>
    <definedName name="_xlnm.Print_Area" localSheetId="0">'JM Overnight Fund'!$A$1:$E$18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9" i="1" l="1"/>
  <c r="F23" i="1" l="1"/>
  <c r="D21" i="1"/>
  <c r="E20" i="1"/>
  <c r="E21" i="1" s="1"/>
  <c r="E23" i="1" s="1"/>
  <c r="D19" i="1"/>
  <c r="E18" i="1"/>
  <c r="E17" i="1"/>
  <c r="D23" i="1" l="1"/>
  <c r="D25" i="1" s="1"/>
  <c r="E25" i="1" s="1"/>
  <c r="E27" i="1" s="1"/>
</calcChain>
</file>

<file path=xl/sharedStrings.xml><?xml version="1.0" encoding="utf-8"?>
<sst xmlns="http://schemas.openxmlformats.org/spreadsheetml/2006/main" count="73" uniqueCount="61">
  <si>
    <t>JM Overnight Fund (An open ended debt scheme investing in overnight securities) A relatively low interest rate risk and relatively low credit risk.</t>
  </si>
  <si>
    <t>Portfolio as on 31.08.2023</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</si>
  <si>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</si>
  <si>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</si>
  <si>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</si>
  <si>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</si>
  <si>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</si>
  <si>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</si>
  <si>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</si>
  <si>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</si>
  <si>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</si>
  <si>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</si>
  <si>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</si>
  <si>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</si>
  <si>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</si>
  <si>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</si>
  <si>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</si>
  <si>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</si>
  <si>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Certificate of Deposit (CD) / Commercial Paper (CP)</t>
  </si>
  <si>
    <t>SIDBI Ltd.CD</t>
  </si>
  <si>
    <t>CARE A1+</t>
  </si>
  <si>
    <t>INE556F16994</t>
  </si>
  <si>
    <t>Reliance Retail Ventures Ltd.CP</t>
  </si>
  <si>
    <t>INE929O14AL3</t>
  </si>
  <si>
    <t>Sub Total:</t>
  </si>
  <si>
    <t>TREPS-Triparty Repo</t>
  </si>
  <si>
    <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</si>
  <si>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</si>
  <si>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</si>
  <si>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</si>
  <si>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</si>
  <si>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</si>
  <si>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</si>
  <si>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</si>
  <si>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</si>
  <si>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</si>
  <si>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</si>
  <si>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</si>
  <si>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</si>
  <si>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</si>
  <si>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CRISIL Liquid Overnight Index</t>
  </si>
  <si>
    <t>Potential Risk Class</t>
  </si>
  <si>
    <t>Relatively Low (Class A)</t>
  </si>
  <si>
    <t>Moderate (Class B)</t>
  </si>
  <si>
    <t>Relatively High (Class C)</t>
  </si>
  <si>
    <t>Relatively Low (Class I)</t>
  </si>
  <si>
    <t>A-I</t>
  </si>
  <si>
    <t>Moderate (Class II)</t>
  </si>
  <si>
    <t>Relatively High Class (Class III)</t>
  </si>
  <si>
    <t>Portfolio Information</t>
  </si>
  <si>
    <t>Scheme Name :</t>
  </si>
  <si>
    <t xml:space="preserve"> JM Overnight Fund</t>
  </si>
  <si>
    <t>Description (if any)</t>
  </si>
  <si>
    <t>Annualised Portfolio YTM* :</t>
  </si>
  <si>
    <t>Macaulay Duration</t>
  </si>
  <si>
    <t>Residual Maturity</t>
  </si>
  <si>
    <t xml:space="preserve">As on (Date) </t>
  </si>
  <si>
    <t>31.08.2023</t>
  </si>
  <si>
    <t xml:space="preserve">* in case of semi annual YTM,  it will be annualised </t>
  </si>
  <si>
    <r>
      <t xml:space="preserve">Credit Risk </t>
    </r>
    <r>
      <rPr>
        <sz val="8"/>
        <color indexed="8"/>
        <rFont val="Century Gothic"/>
        <family val="2"/>
      </rPr>
      <t>®</t>
    </r>
  </si>
  <si>
    <r>
      <t xml:space="preserve">Interest Rate Risk </t>
    </r>
    <r>
      <rPr>
        <sz val="8"/>
        <color indexed="8"/>
        <rFont val="Century Gothic"/>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</si>
</sst>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0"/>
  </numFmts>
  <fonts count="12" x14ac:knownFonts="1">
    <font>
      <sz val="10"/>
      <name val="Arial"/>
    </font>
    <font>
      <b/>
      <sz val="10"/>
      <color indexed="9"/>
      <name val="Century Gothic"/>
      <family val="2"/>
    </font>
    <font>
      <sz val="10"/>
      <name val="Times New Roman"/>
      <family val="1"/>
    </font>
    <font>
      <sz val="10"/>
      <name val="Arial"/>
      <family val="2"/>
    </font>
    <font>
      <sz val="8"/>
      <name val="Century Gothic"/>
      <family val="2"/>
    </font>
    <font>
      <b/>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164" fontId="3" fillId="0" borderId="0" applyFont="0" applyFill="0" applyBorder="0" applyAlignment="0" applyProtection="0"/>
    <xf numFmtId="9" fontId="3" fillId="0" borderId="0" applyFont="0" applyFill="0" applyBorder="0" applyAlignment="0" applyProtection="0"/>
    <xf numFmtId="0" fontId="3" fillId="0" borderId="0"/>
    <xf numFmtId="0" fontId="6" fillId="0" borderId="0"/>
    <xf numFmtId="0" fontId="3" fillId="0" borderId="0"/>
    <xf numFmtId="164" fontId="3" fillId="0" borderId="0" applyFont="0" applyFill="0" applyBorder="0" applyAlignment="0" applyProtection="0"/>
    <xf numFmtId="0" fontId="6" fillId="0" borderId="0"/>
    <xf numFmtId="0" fontId="3" fillId="0" borderId="0"/>
    <xf numFmtId="0" fontId="6" fillId="0" borderId="0"/>
  </cellStyleXfs>
  <cellXfs count="86">
    <xf numFmtId="0" fontId="0" fillId="0" borderId="0" xfId="0"/>
    <xf numFmtId="0" fontId="2" fillId="0" borderId="0" xfId="0" applyFont="1"/>
    <xf numFmtId="0" fontId="2" fillId="0" borderId="0" xfId="0" applyFont="1" applyAlignment="1">
      <alignment horizontal="center"/>
    </xf>
    <xf numFmtId="0" fontId="2" fillId="0" borderId="0" xfId="0" applyFont="1" applyFill="1"/>
    <xf numFmtId="166" fontId="4" fillId="0" borderId="2" xfId="0" applyNumberFormat="1" applyFont="1" applyFill="1" applyBorder="1"/>
    <xf numFmtId="0" fontId="5" fillId="0" borderId="0" xfId="0" applyFont="1" applyFill="1" applyBorder="1" applyAlignment="1">
      <alignment wrapText="1"/>
    </xf>
    <xf numFmtId="0" fontId="5" fillId="0" borderId="0" xfId="0" applyFont="1" applyFill="1" applyBorder="1" applyAlignment="1">
      <alignment horizontal="left" wrapText="1"/>
    </xf>
    <xf numFmtId="165" fontId="5" fillId="0" borderId="0" xfId="1" applyNumberFormat="1" applyFont="1" applyFill="1" applyBorder="1" applyAlignment="1">
      <alignment horizontal="right"/>
    </xf>
    <xf numFmtId="164" fontId="5" fillId="0" borderId="0" xfId="1" applyFont="1" applyFill="1" applyBorder="1" applyAlignment="1">
      <alignment horizontal="right"/>
    </xf>
    <xf numFmtId="0" fontId="4" fillId="0" borderId="0" xfId="0" applyFont="1" applyFill="1" applyBorder="1" applyAlignment="1">
      <alignment horizontal="right"/>
    </xf>
    <xf numFmtId="0" fontId="4" fillId="0" borderId="0" xfId="0" applyFont="1" applyFill="1"/>
    <xf numFmtId="0" fontId="4" fillId="0" borderId="0" xfId="0" applyFont="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xf numFmtId="164" fontId="4" fillId="0" borderId="0" xfId="1" applyFont="1" applyFill="1" applyBorder="1"/>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5" fillId="0" borderId="2" xfId="0" applyFont="1" applyFill="1" applyBorder="1" applyAlignment="1">
      <alignment horizontal="center" vertical="top" wrapText="1"/>
    </xf>
    <xf numFmtId="165" fontId="5" fillId="0" borderId="2" xfId="1" applyNumberFormat="1" applyFont="1" applyFill="1" applyBorder="1" applyAlignment="1">
      <alignment horizontal="center" vertical="top"/>
    </xf>
    <xf numFmtId="0" fontId="5" fillId="0" borderId="2" xfId="0" applyFont="1" applyBorder="1" applyAlignment="1">
      <alignment horizontal="center" vertical="top"/>
    </xf>
    <xf numFmtId="0" fontId="5" fillId="0" borderId="2" xfId="0" applyFont="1" applyBorder="1" applyAlignment="1">
      <alignment horizontal="center" vertical="top" wrapText="1"/>
    </xf>
    <xf numFmtId="0" fontId="5" fillId="0" borderId="2" xfId="0" applyFont="1" applyFill="1" applyBorder="1" applyAlignment="1">
      <alignment wrapText="1"/>
    </xf>
    <xf numFmtId="0" fontId="5" fillId="0" borderId="2" xfId="0" applyFont="1" applyFill="1" applyBorder="1" applyAlignment="1">
      <alignment horizontal="left" wrapText="1"/>
    </xf>
    <xf numFmtId="165" fontId="5" fillId="0" borderId="2" xfId="1" applyNumberFormat="1" applyFont="1" applyFill="1" applyBorder="1"/>
    <xf numFmtId="164" fontId="5" fillId="0" borderId="2" xfId="1" applyFont="1" applyFill="1" applyBorder="1" applyAlignment="1">
      <alignment horizontal="right"/>
    </xf>
    <xf numFmtId="0" fontId="4" fillId="0" borderId="2" xfId="0" applyFont="1" applyFill="1" applyBorder="1" applyAlignment="1">
      <alignment horizontal="right"/>
    </xf>
    <xf numFmtId="0" fontId="4" fillId="0" borderId="2" xfId="0" applyFont="1" applyBorder="1"/>
    <xf numFmtId="164" fontId="4" fillId="0" borderId="2" xfId="1" applyFont="1" applyFill="1" applyBorder="1" applyAlignment="1">
      <alignment horizontal="right"/>
    </xf>
    <xf numFmtId="165" fontId="5" fillId="0" borderId="2" xfId="1" applyNumberFormat="1" applyFont="1" applyFill="1" applyBorder="1" applyAlignment="1">
      <alignment horizontal="right"/>
    </xf>
    <xf numFmtId="164" fontId="4" fillId="0" borderId="2" xfId="1" applyFont="1" applyFill="1" applyBorder="1"/>
    <xf numFmtId="164" fontId="4" fillId="0" borderId="3" xfId="1" applyFont="1" applyFill="1" applyBorder="1"/>
    <xf numFmtId="4" fontId="4" fillId="0" borderId="2" xfId="0" applyNumberFormat="1" applyFont="1" applyFill="1" applyBorder="1" applyAlignment="1">
      <alignment wrapText="1"/>
    </xf>
    <xf numFmtId="0" fontId="4" fillId="0" borderId="2" xfId="0" applyFont="1" applyFill="1" applyBorder="1" applyAlignment="1">
      <alignment wrapText="1"/>
    </xf>
    <xf numFmtId="165" fontId="4" fillId="0" borderId="2" xfId="1" applyNumberFormat="1" applyFont="1" applyFill="1" applyBorder="1"/>
    <xf numFmtId="0" fontId="4" fillId="0" borderId="2" xfId="0" applyFont="1" applyFill="1" applyBorder="1" applyAlignment="1">
      <alignment horizontal="left" wrapText="1"/>
    </xf>
    <xf numFmtId="165" fontId="4" fillId="0" borderId="2" xfId="1" applyNumberFormat="1" applyFont="1" applyFill="1" applyBorder="1" applyAlignment="1">
      <alignment horizontal="right"/>
    </xf>
    <xf numFmtId="4" fontId="5" fillId="0" borderId="2" xfId="0" applyNumberFormat="1" applyFont="1" applyFill="1" applyBorder="1" applyAlignment="1">
      <alignment horizontal="right"/>
    </xf>
    <xf numFmtId="0" fontId="4" fillId="0" borderId="0" xfId="5" applyFont="1" applyFill="1" applyAlignment="1">
      <alignment wrapText="1"/>
    </xf>
    <xf numFmtId="0" fontId="4" fillId="0" borderId="0" xfId="5" applyFont="1" applyFill="1" applyAlignment="1">
      <alignment horizontal="left" wrapText="1"/>
    </xf>
    <xf numFmtId="165" fontId="4" fillId="0" borderId="0" xfId="6" applyNumberFormat="1" applyFont="1" applyFill="1"/>
    <xf numFmtId="164" fontId="4" fillId="0" borderId="0" xfId="6" applyFont="1" applyFill="1" applyAlignment="1">
      <alignment horizontal="right"/>
    </xf>
    <xf numFmtId="0" fontId="4" fillId="0" borderId="0" xfId="5" applyFont="1" applyFill="1" applyAlignment="1">
      <alignment horizontal="right"/>
    </xf>
    <xf numFmtId="0" fontId="4" fillId="0" borderId="0" xfId="5" applyFont="1"/>
    <xf numFmtId="164" fontId="4" fillId="0" borderId="0" xfId="1" applyFont="1" applyFill="1" applyBorder="1" applyAlignment="1">
      <alignment horizontal="right"/>
    </xf>
    <xf numFmtId="0" fontId="9" fillId="0" borderId="0" xfId="7" applyFont="1"/>
    <xf numFmtId="0" fontId="10" fillId="0" borderId="0" xfId="5" applyFont="1" applyFill="1" applyBorder="1" applyAlignment="1">
      <alignment horizontal="left" wrapText="1"/>
    </xf>
    <xf numFmtId="0" fontId="7" fillId="0" borderId="0" xfId="7" applyFont="1" applyBorder="1"/>
    <xf numFmtId="0" fontId="5" fillId="0" borderId="0" xfId="8" applyFont="1" applyAlignment="1">
      <alignment horizontal="center"/>
    </xf>
    <xf numFmtId="0" fontId="9" fillId="0" borderId="0" xfId="9" applyFont="1" applyAlignment="1">
      <alignment horizontal="center"/>
    </xf>
    <xf numFmtId="0" fontId="7" fillId="0" borderId="0" xfId="5" applyNumberFormat="1" applyFont="1" applyFill="1" applyBorder="1"/>
    <xf numFmtId="0" fontId="4" fillId="0" borderId="0" xfId="5" applyFont="1" applyAlignment="1">
      <alignment wrapText="1"/>
    </xf>
    <xf numFmtId="0" fontId="4" fillId="0" borderId="0" xfId="5" applyFont="1" applyAlignment="1">
      <alignment horizontal="left" wrapText="1"/>
    </xf>
    <xf numFmtId="0" fontId="11" fillId="0" borderId="0" xfId="0" applyFont="1" applyFill="1" applyAlignment="1">
      <alignment horizontal="left" wrapText="1"/>
    </xf>
    <xf numFmtId="0" fontId="9" fillId="0" borderId="7" xfId="5" applyFont="1" applyBorder="1" applyAlignment="1">
      <alignment vertical="center" wrapText="1"/>
    </xf>
    <xf numFmtId="0" fontId="7" fillId="0" borderId="7" xfId="5" applyFont="1" applyBorder="1" applyAlignment="1">
      <alignment vertical="center" wrapText="1"/>
    </xf>
    <xf numFmtId="0" fontId="7" fillId="3" borderId="9" xfId="5" applyFont="1" applyFill="1" applyBorder="1" applyAlignment="1">
      <alignment horizontal="center" vertical="center" wrapText="1"/>
    </xf>
    <xf numFmtId="0" fontId="7" fillId="0" borderId="9" xfId="5" applyFont="1" applyBorder="1" applyAlignment="1">
      <alignment vertical="center" wrapText="1"/>
    </xf>
    <xf numFmtId="0" fontId="4" fillId="0" borderId="2" xfId="5" applyFont="1" applyBorder="1" applyAlignment="1">
      <alignment wrapText="1"/>
    </xf>
    <xf numFmtId="0" fontId="4" fillId="0" borderId="2" xfId="5" applyFont="1" applyBorder="1" applyAlignment="1">
      <alignment horizontal="center" wrapText="1"/>
    </xf>
    <xf numFmtId="0" fontId="4" fillId="0" borderId="2" xfId="5" applyFont="1" applyBorder="1" applyAlignment="1">
      <alignment horizontal="left" wrapText="1"/>
    </xf>
    <xf numFmtId="10" fontId="4" fillId="0" borderId="2" xfId="2" applyNumberFormat="1" applyFont="1" applyBorder="1" applyAlignment="1">
      <alignment horizontal="center"/>
    </xf>
    <xf numFmtId="166" fontId="4" fillId="0" borderId="2" xfId="5" applyNumberFormat="1" applyFont="1" applyFill="1" applyBorder="1" applyAlignment="1">
      <alignment horizontal="center" wrapText="1"/>
    </xf>
    <xf numFmtId="0" fontId="4" fillId="0" borderId="2" xfId="5" applyNumberFormat="1" applyFont="1" applyBorder="1" applyAlignment="1">
      <alignment horizontal="center"/>
    </xf>
    <xf numFmtId="0" fontId="4" fillId="0" borderId="2" xfId="5" applyFont="1" applyFill="1" applyBorder="1" applyAlignment="1">
      <alignment horizontal="left" wrapText="1"/>
    </xf>
    <xf numFmtId="167" fontId="4" fillId="0" borderId="0" xfId="5" applyNumberFormat="1" applyFont="1"/>
    <xf numFmtId="0" fontId="4" fillId="0" borderId="2" xfId="5" applyFont="1" applyFill="1" applyBorder="1" applyAlignment="1">
      <alignment horizontal="center" wrapText="1"/>
    </xf>
    <xf numFmtId="0" fontId="4" fillId="0" borderId="3" xfId="5" applyFont="1" applyBorder="1" applyAlignment="1">
      <alignment horizontal="left" wrapText="1"/>
    </xf>
    <xf numFmtId="0" fontId="4" fillId="0" borderId="11" xfId="5" applyFont="1" applyBorder="1" applyAlignment="1">
      <alignment horizontal="left" wrapText="1"/>
    </xf>
    <xf numFmtId="0" fontId="4" fillId="0" borderId="10" xfId="5" applyFont="1" applyBorder="1" applyAlignment="1">
      <alignment horizontal="center" wrapText="1"/>
    </xf>
    <xf numFmtId="0" fontId="4" fillId="0" borderId="11" xfId="5" applyFont="1" applyBorder="1" applyAlignment="1">
      <alignment horizontal="center" wrapText="1"/>
    </xf>
    <xf numFmtId="0" fontId="5" fillId="0" borderId="0" xfId="5" applyFont="1" applyFill="1" applyBorder="1" applyAlignment="1">
      <alignment horizontal="center"/>
    </xf>
    <xf numFmtId="0" fontId="9" fillId="0" borderId="0" xfId="9" applyFont="1" applyAlignment="1">
      <alignment horizontal="center"/>
    </xf>
    <xf numFmtId="0" fontId="9" fillId="0" borderId="4" xfId="5" applyFont="1" applyBorder="1" applyAlignment="1">
      <alignment horizontal="center" vertical="center" wrapText="1"/>
    </xf>
    <xf numFmtId="0" fontId="9" fillId="0" borderId="5" xfId="5" applyFont="1" applyBorder="1" applyAlignment="1">
      <alignment horizontal="center" vertical="center" wrapText="1"/>
    </xf>
    <xf numFmtId="0" fontId="9" fillId="0" borderId="6" xfId="5" applyFont="1" applyBorder="1" applyAlignment="1">
      <alignment horizontal="center" vertical="center" wrapText="1"/>
    </xf>
    <xf numFmtId="0" fontId="9" fillId="0" borderId="8" xfId="5" applyFont="1" applyBorder="1" applyAlignment="1">
      <alignment horizontal="center" vertical="center" wrapText="1"/>
    </xf>
    <xf numFmtId="0" fontId="9" fillId="0" borderId="7" xfId="5" applyFont="1" applyBorder="1" applyAlignment="1">
      <alignment horizontal="center" vertical="center" wrapText="1"/>
    </xf>
    <xf numFmtId="0" fontId="1" fillId="2" borderId="0" xfId="0" applyFont="1" applyFill="1" applyBorder="1" applyAlignment="1">
      <alignment horizontal="center" vertical="top" wrapText="1"/>
    </xf>
    <xf numFmtId="0" fontId="1" fillId="2" borderId="1" xfId="0" applyFont="1" applyFill="1" applyBorder="1" applyAlignment="1">
      <alignment horizontal="center" vertical="top"/>
    </xf>
    <xf numFmtId="0" fontId="4" fillId="0" borderId="0" xfId="3" applyFont="1" applyAlignment="1">
      <alignment horizontal="left" vertical="top"/>
    </xf>
    <xf numFmtId="0" fontId="4" fillId="0" borderId="0" xfId="3" applyFont="1" applyAlignment="1">
      <alignment horizontal="left" vertical="top" wrapText="1"/>
    </xf>
    <xf numFmtId="0" fontId="7" fillId="0" borderId="0" xfId="4" applyFont="1" applyBorder="1" applyAlignment="1">
      <alignment horizontal="left" vertical="top" wrapText="1"/>
    </xf>
    <xf numFmtId="0" fontId="4" fillId="0" borderId="0" xfId="5" applyFont="1" applyAlignment="1">
      <alignment horizontal="left" vertical="top" wrapText="1"/>
    </xf>
    <xf numFmtId="0" fontId="8" fillId="0" borderId="0" xfId="4" applyFont="1" applyBorder="1" applyAlignment="1">
      <alignment horizontal="left" vertical="top" wrapText="1"/>
    </xf>
  </cellXfs>
  <cellStyles count="10">
    <cellStyle name="Comma" xfId="1" builtinId="3"/>
    <cellStyle name="Comma 4 2" xfId="6"/>
    <cellStyle name="Normal" xfId="0" builtinId="0"/>
    <cellStyle name="Normal 2 2" xfId="5"/>
    <cellStyle name="Normal 2 3 2" xfId="3"/>
    <cellStyle name="Normal 4_IF" xfId="9"/>
    <cellStyle name="Normal 4_LD" xfId="4"/>
    <cellStyle name="Normal 4_ON" xfId="7"/>
    <cellStyle name="Normal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371475</xdr:colOff>
      <xdr:row>39</xdr:row>
      <xdr:rowOff>76200</xdr:rowOff>
    </xdr:from>
    <xdr:to>
      <xdr:col>3</xdr:col>
      <xdr:colOff>579904</xdr:colOff>
      <xdr:row>45</xdr:row>
      <xdr:rowOff>85725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76600" y="7200900"/>
          <a:ext cx="1846729"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704850</xdr:colOff>
      <xdr:row>39</xdr:row>
      <xdr:rowOff>28575</xdr:rowOff>
    </xdr:from>
    <xdr:to>
      <xdr:col>0</xdr:col>
      <xdr:colOff>2543175</xdr:colOff>
      <xdr:row>45</xdr:row>
      <xdr:rowOff>104776</xdr:rowOff>
    </xdr:to>
    <xdr:pic>
      <xdr:nvPicPr>
        <xdr:cNvPr id="3" name="Picture 1"/>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850" y="7153275"/>
          <a:ext cx="1838325" cy="1162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6"/>
  <sheetViews>
    <sheetView tabSelected="1" zoomScaleNormal="100" workbookViewId="0">
      <selection activeCell="K6" sqref="K6"/>
    </sheetView>
  </sheetViews>
  <sheetFormatPr defaultRowHeight="12.75" x14ac:dyDescent="0.2"/>
  <cols>
    <col min="1" max="1" width="43.5703125" style="16" customWidth="1"/>
    <col min="2" max="2" width="14.140625" style="17" customWidth="1"/>
    <col min="3" max="3" width="10.42578125" style="18" customWidth="1"/>
    <col min="4" max="4" width="12.28515625" style="1" customWidth="1"/>
    <col min="5" max="5" width="10.5703125" style="1" customWidth="1"/>
    <col min="6" max="6" width="13.28515625" style="1" customWidth="1"/>
    <col min="7" max="7" width="10.28515625" style="1" customWidth="1"/>
    <col min="8" max="8" width="12.7109375" style="1" customWidth="1"/>
    <col min="9" max="16384" width="9.140625" style="1"/>
  </cols>
  <sheetData>
    <row r="1" spans="1:8" x14ac:dyDescent="0.2">
      <c r="A1" s="79" t="s">
        <v>0</v>
      </c>
      <c r="B1" s="79"/>
      <c r="C1" s="79"/>
      <c r="D1" s="79"/>
      <c r="E1" s="79"/>
      <c r="F1" s="79"/>
      <c r="G1" s="79"/>
      <c r="H1" s="79"/>
    </row>
    <row r="2" spans="1:8" x14ac:dyDescent="0.2">
      <c r="A2" s="80" t="s">
        <v>1</v>
      </c>
      <c r="B2" s="80"/>
      <c r="C2" s="80"/>
      <c r="D2" s="80"/>
      <c r="E2" s="80"/>
      <c r="F2" s="80"/>
      <c r="G2" s="80"/>
      <c r="H2" s="80"/>
    </row>
    <row r="3" spans="1:8" s="2" customFormat="1" ht="25.5" x14ac:dyDescent="0.2">
      <c r="A3" s="19" t="s">
        <v>2</v>
      </c>
      <c r="B3" s="19" t="s">
        <v>3</v>
      </c>
      <c r="C3" s="20" t="s">
        <v>4</v>
      </c>
      <c r="D3" s="19" t="s">
        <v>5</v>
      </c>
      <c r="E3" s="19" t="s">
        <v>6</v>
      </c>
      <c r="F3" s="19" t="s">
        <v>7</v>
      </c>
      <c r="G3" s="21" t="s">
        <v>8</v>
      </c>
      <c r="H3" s="22" t="s">
        <v>9</v>
      </c>
    </row>
    <row r="4" spans="1:8" s="3" customFormat="1" ht="14.25" x14ac:dyDescent="0.3">
      <c r="A4" s="23" t="s">
        <v>10</v>
      </c>
      <c r="B4" s="24"/>
      <c r="C4" s="25"/>
      <c r="D4" s="26"/>
      <c r="E4" s="26"/>
      <c r="F4" s="27"/>
      <c r="G4" s="4"/>
      <c r="H4" s="28"/>
    </row>
    <row r="5" spans="1:8" s="3" customFormat="1" ht="14.25" x14ac:dyDescent="0.3">
      <c r="A5" s="23" t="s">
        <v>11</v>
      </c>
      <c r="B5" s="24"/>
      <c r="C5" s="25"/>
      <c r="D5" s="26" t="s">
        <v>12</v>
      </c>
      <c r="E5" s="26" t="s">
        <v>12</v>
      </c>
      <c r="F5" s="29"/>
      <c r="G5" s="4"/>
      <c r="H5" s="28"/>
    </row>
    <row r="6" spans="1:8" s="3" customFormat="1" ht="14.25" x14ac:dyDescent="0.3">
      <c r="A6" s="23"/>
      <c r="B6" s="24"/>
      <c r="C6" s="30"/>
      <c r="D6" s="29"/>
      <c r="E6" s="29"/>
      <c r="F6" s="29"/>
      <c r="G6" s="4"/>
      <c r="H6" s="28"/>
    </row>
    <row r="7" spans="1:8" s="3" customFormat="1" ht="14.25" x14ac:dyDescent="0.3">
      <c r="A7" s="23" t="s">
        <v>13</v>
      </c>
      <c r="B7" s="24"/>
      <c r="C7" s="30"/>
      <c r="D7" s="26" t="s">
        <v>12</v>
      </c>
      <c r="E7" s="26" t="s">
        <v>12</v>
      </c>
      <c r="F7" s="27"/>
      <c r="G7" s="4"/>
      <c r="H7" s="28"/>
    </row>
    <row r="8" spans="1:8" s="3" customFormat="1" ht="14.25" x14ac:dyDescent="0.3">
      <c r="A8" s="23"/>
      <c r="B8" s="24"/>
      <c r="C8" s="30"/>
      <c r="D8" s="26"/>
      <c r="E8" s="26"/>
      <c r="F8" s="26"/>
      <c r="G8" s="4"/>
      <c r="H8" s="28"/>
    </row>
    <row r="9" spans="1:8" s="3" customFormat="1" ht="14.25" x14ac:dyDescent="0.3">
      <c r="A9" s="23" t="s">
        <v>14</v>
      </c>
      <c r="B9" s="24"/>
      <c r="C9" s="30"/>
      <c r="D9" s="26"/>
      <c r="E9" s="26"/>
      <c r="F9" s="26"/>
      <c r="G9" s="4"/>
      <c r="H9" s="28"/>
    </row>
    <row r="10" spans="1:8" s="3" customFormat="1" ht="14.25" x14ac:dyDescent="0.3">
      <c r="A10" s="23"/>
      <c r="B10" s="24"/>
      <c r="C10" s="30"/>
      <c r="D10" s="31"/>
      <c r="E10" s="31"/>
      <c r="F10" s="32"/>
      <c r="G10" s="4"/>
      <c r="H10" s="28"/>
    </row>
    <row r="11" spans="1:8" s="3" customFormat="1" ht="14.25" x14ac:dyDescent="0.3">
      <c r="A11" s="23" t="s">
        <v>15</v>
      </c>
      <c r="B11" s="24"/>
      <c r="C11" s="30"/>
      <c r="D11" s="26" t="s">
        <v>12</v>
      </c>
      <c r="E11" s="26" t="s">
        <v>12</v>
      </c>
      <c r="F11" s="26"/>
      <c r="G11" s="4"/>
      <c r="H11" s="28"/>
    </row>
    <row r="12" spans="1:8" s="3" customFormat="1" ht="14.25" x14ac:dyDescent="0.3">
      <c r="A12" s="23"/>
      <c r="B12" s="24"/>
      <c r="C12" s="30"/>
      <c r="D12" s="26"/>
      <c r="E12" s="26"/>
      <c r="F12" s="26"/>
      <c r="G12" s="4"/>
      <c r="H12" s="28"/>
    </row>
    <row r="13" spans="1:8" s="3" customFormat="1" ht="14.25" x14ac:dyDescent="0.3">
      <c r="A13" s="23" t="s">
        <v>16</v>
      </c>
      <c r="B13" s="24"/>
      <c r="C13" s="30"/>
      <c r="D13" s="26" t="s">
        <v>12</v>
      </c>
      <c r="E13" s="26" t="s">
        <v>12</v>
      </c>
      <c r="F13" s="26"/>
      <c r="G13" s="4"/>
      <c r="H13" s="28"/>
    </row>
    <row r="14" spans="1:8" s="3" customFormat="1" ht="14.25" x14ac:dyDescent="0.3">
      <c r="A14" s="23"/>
      <c r="B14" s="24"/>
      <c r="C14" s="30"/>
      <c r="D14" s="26"/>
      <c r="E14" s="26"/>
      <c r="F14" s="26"/>
      <c r="G14" s="4"/>
      <c r="H14" s="28"/>
    </row>
    <row r="15" spans="1:8" s="3" customFormat="1" ht="14.25" x14ac:dyDescent="0.3">
      <c r="A15" s="23" t="s">
        <v>17</v>
      </c>
      <c r="B15" s="24"/>
      <c r="C15" s="30"/>
      <c r="D15" s="26"/>
      <c r="E15" s="26"/>
      <c r="F15" s="27"/>
      <c r="G15" s="4"/>
      <c r="H15" s="28"/>
    </row>
    <row r="16" spans="1:8" s="3" customFormat="1" ht="14.25" x14ac:dyDescent="0.3">
      <c r="A16" s="23" t="s">
        <v>18</v>
      </c>
      <c r="B16" s="24"/>
      <c r="C16" s="30"/>
      <c r="D16" s="26"/>
      <c r="E16" s="26"/>
      <c r="F16" s="27"/>
      <c r="G16" s="4"/>
      <c r="H16" s="28"/>
    </row>
    <row r="17" spans="1:8" s="3" customFormat="1" ht="14.25" x14ac:dyDescent="0.3">
      <c r="A17" s="33" t="s">
        <v>19</v>
      </c>
      <c r="B17" s="34" t="s">
        <v>20</v>
      </c>
      <c r="C17" s="35">
        <v>500</v>
      </c>
      <c r="D17" s="31">
        <v>2500</v>
      </c>
      <c r="E17" s="31">
        <f>(+D17/$D$27*100)</f>
        <v>3.93371232688565</v>
      </c>
      <c r="F17" s="31" t="s">
        <v>21</v>
      </c>
      <c r="G17" s="4">
        <v>6.7720000000000002</v>
      </c>
      <c r="H17" s="28"/>
    </row>
    <row r="18" spans="1:8" s="3" customFormat="1" ht="14.25" x14ac:dyDescent="0.3">
      <c r="A18" s="33" t="s">
        <v>22</v>
      </c>
      <c r="B18" s="34" t="s">
        <v>20</v>
      </c>
      <c r="C18" s="35">
        <v>500</v>
      </c>
      <c r="D18" s="31">
        <v>2500</v>
      </c>
      <c r="E18" s="31">
        <f>(+D18/$D$27*100)</f>
        <v>3.93371232688565</v>
      </c>
      <c r="F18" s="31" t="s">
        <v>23</v>
      </c>
      <c r="G18" s="4">
        <v>6.8875999999999999</v>
      </c>
      <c r="H18" s="28"/>
    </row>
    <row r="19" spans="1:8" s="3" customFormat="1" ht="14.25" x14ac:dyDescent="0.3">
      <c r="A19" s="23" t="s">
        <v>24</v>
      </c>
      <c r="B19" s="36"/>
      <c r="C19" s="37"/>
      <c r="D19" s="26">
        <f>IF(ISERROR(SUM(D17:D18)),0,SUM(D17:D18))</f>
        <v>5000</v>
      </c>
      <c r="E19" s="26">
        <f>IF(ISERROR(SUM(E17:E18)),0,SUM(E17:E18))</f>
        <v>7.8674246537713</v>
      </c>
      <c r="F19" s="38"/>
      <c r="G19" s="4"/>
      <c r="H19" s="28"/>
    </row>
    <row r="20" spans="1:8" s="3" customFormat="1" ht="14.25" x14ac:dyDescent="0.3">
      <c r="A20" s="33" t="s">
        <v>25</v>
      </c>
      <c r="B20" s="34"/>
      <c r="C20" s="35">
        <v>0</v>
      </c>
      <c r="D20" s="31">
        <v>58505.337175500004</v>
      </c>
      <c r="E20" s="31">
        <f>(+D20/$D$27*100)</f>
        <v>92.057266414346245</v>
      </c>
      <c r="F20" s="31" t="s">
        <v>26</v>
      </c>
      <c r="G20" s="4">
        <v>6.6632999999999996</v>
      </c>
      <c r="H20" s="28"/>
    </row>
    <row r="21" spans="1:8" s="3" customFormat="1" ht="14.25" x14ac:dyDescent="0.3">
      <c r="A21" s="23" t="s">
        <v>24</v>
      </c>
      <c r="B21" s="24"/>
      <c r="C21" s="30"/>
      <c r="D21" s="26">
        <f>IF(ISERROR(SUM(D20:D20)),0,SUM(D20:D20))</f>
        <v>58505.337175500004</v>
      </c>
      <c r="E21" s="26">
        <f>IF(ISERROR(SUM(E20:E20)),0,SUM(E20:E20))</f>
        <v>92.057266414346245</v>
      </c>
      <c r="F21" s="31"/>
      <c r="G21" s="4"/>
      <c r="H21" s="28"/>
    </row>
    <row r="22" spans="1:8" s="3" customFormat="1" ht="14.25" x14ac:dyDescent="0.3">
      <c r="A22" s="23"/>
      <c r="B22" s="24"/>
      <c r="C22" s="30"/>
      <c r="D22" s="26"/>
      <c r="E22" s="26"/>
      <c r="F22" s="27"/>
      <c r="G22" s="4"/>
      <c r="H22" s="28"/>
    </row>
    <row r="23" spans="1:8" s="3" customFormat="1" ht="14.25" x14ac:dyDescent="0.3">
      <c r="A23" s="23" t="s">
        <v>27</v>
      </c>
      <c r="B23" s="24"/>
      <c r="C23" s="30" t="s">
        <v>28</v>
      </c>
      <c r="D23" s="26">
        <f>+IF(ISERROR(#REF!),0,#REF!)+IF(ISERROR(D21),0,D21)+IF(ISERROR(#REF!),0,#REF!)+IF(ISERROR(#REF!),0,#REF!)+IF(ISERROR(#REF!),0,#REF!)+IF(ISERROR(#REF!),0,#REF!)+IF(ISERROR(#REF!),0,#REF!)+IF(ISERROR(#REF!),0,#REF!)+IF(ISERROR(D19),0,D19)</f>
        <v>63505.337175500004</v>
      </c>
      <c r="E23" s="26">
        <f>+IF(ISERROR(#REF!),0,#REF!)+IF(ISERROR(E21),0,E21)+IF(ISERROR(#REF!),0,#REF!)+IF(ISERROR(#REF!),0,#REF!)+IF(ISERROR(#REF!),0,#REF!)+IF(ISERROR(#REF!),0,#REF!)+IF(ISERROR(#REF!),0,#REF!)+IF(ISERROR(#REF!),0,#REF!)+IF(ISERROR(E19),0,E19)</f>
        <v>99.924691068117539</v>
      </c>
      <c r="F23" s="26">
        <f>+IF(ISERROR(#REF!),0,#REF!)+IF(ISERROR(F21),0,F21)+IF(ISERROR(#REF!),0,#REF!)+IF(ISERROR(#REF!),0,#REF!)+IF(ISERROR(#REF!),0,#REF!)+IF(ISERROR(#REF!),0,#REF!)+IF(ISERROR(#REF!),0,#REF!)+IF(ISERROR(#REF!),0,#REF!)+IF(ISERROR(#REF!),0,#REF!)+F19</f>
        <v>0</v>
      </c>
      <c r="G23" s="4"/>
      <c r="H23" s="28"/>
    </row>
    <row r="24" spans="1:8" s="3" customFormat="1" ht="14.25" x14ac:dyDescent="0.3">
      <c r="A24" s="23"/>
      <c r="B24" s="24"/>
      <c r="C24" s="30"/>
      <c r="D24" s="26"/>
      <c r="E24" s="26"/>
      <c r="F24" s="9"/>
      <c r="G24" s="10"/>
      <c r="H24" s="11"/>
    </row>
    <row r="25" spans="1:8" s="3" customFormat="1" ht="14.25" x14ac:dyDescent="0.3">
      <c r="A25" s="23" t="s">
        <v>29</v>
      </c>
      <c r="B25" s="24"/>
      <c r="C25" s="30"/>
      <c r="D25" s="26">
        <f>+D27-D23</f>
        <v>47.861234900003183</v>
      </c>
      <c r="E25" s="26">
        <f>D25/$D$27*100</f>
        <v>7.5308931882444877E-2</v>
      </c>
      <c r="F25" s="9"/>
      <c r="G25" s="10"/>
      <c r="H25" s="11"/>
    </row>
    <row r="26" spans="1:8" s="3" customFormat="1" ht="14.25" x14ac:dyDescent="0.3">
      <c r="A26" s="23"/>
      <c r="B26" s="24"/>
      <c r="C26" s="30"/>
      <c r="D26" s="29"/>
      <c r="E26" s="29"/>
      <c r="F26" s="9"/>
      <c r="G26" s="10"/>
      <c r="H26" s="11"/>
    </row>
    <row r="27" spans="1:8" s="3" customFormat="1" ht="14.25" x14ac:dyDescent="0.3">
      <c r="A27" s="23" t="s">
        <v>30</v>
      </c>
      <c r="B27" s="24"/>
      <c r="C27" s="30"/>
      <c r="D27" s="26">
        <v>63553.198410400008</v>
      </c>
      <c r="E27" s="26">
        <f>+E23+E25</f>
        <v>99.999999999999986</v>
      </c>
      <c r="F27" s="9"/>
      <c r="G27" s="10"/>
      <c r="H27" s="11"/>
    </row>
    <row r="28" spans="1:8" s="3" customFormat="1" ht="14.25" x14ac:dyDescent="0.3">
      <c r="A28" s="5"/>
      <c r="B28" s="6"/>
      <c r="C28" s="7"/>
      <c r="D28" s="8"/>
      <c r="E28" s="8"/>
      <c r="F28" s="9"/>
      <c r="G28" s="10"/>
      <c r="H28" s="11"/>
    </row>
    <row r="29" spans="1:8" s="3" customFormat="1" ht="13.5" x14ac:dyDescent="0.2">
      <c r="A29" s="81" t="s">
        <v>31</v>
      </c>
      <c r="B29" s="81"/>
      <c r="C29" s="81"/>
      <c r="D29" s="81"/>
      <c r="E29" s="81"/>
      <c r="F29" s="81"/>
      <c r="G29" s="81"/>
      <c r="H29" s="81"/>
    </row>
    <row r="30" spans="1:8" s="3" customFormat="1" ht="25.5" customHeight="1" x14ac:dyDescent="0.2">
      <c r="A30" s="82" t="s">
        <v>32</v>
      </c>
      <c r="B30" s="82"/>
      <c r="C30" s="82"/>
      <c r="D30" s="82"/>
      <c r="E30" s="82"/>
      <c r="F30" s="82"/>
      <c r="G30" s="82"/>
      <c r="H30" s="82"/>
    </row>
    <row r="31" spans="1:8" s="3" customFormat="1" ht="13.5" x14ac:dyDescent="0.2">
      <c r="A31" s="83" t="s">
        <v>33</v>
      </c>
      <c r="B31" s="83"/>
      <c r="C31" s="83"/>
      <c r="D31" s="83"/>
      <c r="E31" s="83"/>
      <c r="F31" s="83"/>
      <c r="G31" s="84"/>
      <c r="H31" s="84"/>
    </row>
    <row r="32" spans="1:8" s="3" customFormat="1" ht="67.5" customHeight="1" x14ac:dyDescent="0.2">
      <c r="A32" s="85" t="s">
        <v>34</v>
      </c>
      <c r="B32" s="85"/>
      <c r="C32" s="85"/>
      <c r="D32" s="85"/>
      <c r="E32" s="85"/>
      <c r="F32" s="85"/>
      <c r="G32" s="84"/>
      <c r="H32" s="84"/>
    </row>
    <row r="33" spans="1:8" s="3" customFormat="1" ht="14.25" x14ac:dyDescent="0.3">
      <c r="A33" s="39"/>
      <c r="B33" s="40"/>
      <c r="C33" s="41"/>
      <c r="D33" s="42"/>
      <c r="E33" s="43"/>
      <c r="F33" s="44"/>
      <c r="G33" s="45"/>
      <c r="H33" s="45"/>
    </row>
    <row r="34" spans="1:8" s="3" customFormat="1" ht="14.25" x14ac:dyDescent="0.3">
      <c r="A34" s="46" t="s">
        <v>35</v>
      </c>
      <c r="B34" s="47"/>
      <c r="C34" s="47"/>
      <c r="D34" s="72"/>
      <c r="E34" s="72"/>
      <c r="F34" s="44"/>
      <c r="G34" s="45"/>
      <c r="H34" s="45"/>
    </row>
    <row r="35" spans="1:8" ht="14.25" x14ac:dyDescent="0.3">
      <c r="A35" s="48" t="s">
        <v>36</v>
      </c>
      <c r="B35" s="47"/>
      <c r="C35" s="47"/>
      <c r="D35" s="47"/>
      <c r="E35" s="44"/>
      <c r="F35" s="44"/>
      <c r="G35" s="44"/>
      <c r="H35" s="44"/>
    </row>
    <row r="36" spans="1:8" ht="14.25" x14ac:dyDescent="0.3">
      <c r="A36" s="48" t="s">
        <v>37</v>
      </c>
      <c r="B36" s="47"/>
      <c r="C36" s="47"/>
      <c r="D36" s="47"/>
      <c r="E36" s="44"/>
      <c r="F36" s="44"/>
      <c r="G36" s="44"/>
      <c r="H36" s="44"/>
    </row>
    <row r="37" spans="1:8" ht="14.25" x14ac:dyDescent="0.3">
      <c r="A37" s="48" t="s">
        <v>38</v>
      </c>
      <c r="B37" s="47"/>
      <c r="C37" s="47"/>
      <c r="D37" s="47"/>
      <c r="E37" s="44"/>
      <c r="F37" s="44"/>
      <c r="G37" s="44"/>
      <c r="H37" s="44"/>
    </row>
    <row r="38" spans="1:8" ht="14.25" x14ac:dyDescent="0.3">
      <c r="A38" s="48"/>
      <c r="B38" s="47"/>
      <c r="C38" s="47"/>
      <c r="D38" s="49"/>
      <c r="E38" s="49"/>
      <c r="F38" s="44"/>
      <c r="G38" s="44"/>
      <c r="H38" s="44"/>
    </row>
    <row r="39" spans="1:8" ht="14.25" x14ac:dyDescent="0.3">
      <c r="A39" s="50" t="s">
        <v>39</v>
      </c>
      <c r="B39" s="73" t="s">
        <v>40</v>
      </c>
      <c r="C39" s="73"/>
      <c r="D39" s="73"/>
      <c r="E39" s="44"/>
      <c r="F39" s="50"/>
      <c r="G39" s="44"/>
      <c r="H39" s="44"/>
    </row>
    <row r="40" spans="1:8" ht="14.25" x14ac:dyDescent="0.3">
      <c r="A40" s="51"/>
      <c r="B40" s="47"/>
      <c r="C40" s="47"/>
      <c r="D40" s="47"/>
      <c r="E40" s="44"/>
      <c r="F40" s="44"/>
      <c r="G40" s="44"/>
      <c r="H40" s="44"/>
    </row>
    <row r="41" spans="1:8" ht="14.25" x14ac:dyDescent="0.3">
      <c r="A41" s="47"/>
      <c r="B41" s="47"/>
      <c r="C41" s="47"/>
      <c r="D41" s="47"/>
      <c r="E41" s="44"/>
      <c r="F41" s="44"/>
      <c r="G41" s="44"/>
      <c r="H41" s="44"/>
    </row>
    <row r="42" spans="1:8" ht="14.25" x14ac:dyDescent="0.3">
      <c r="A42" s="52"/>
      <c r="B42" s="53"/>
      <c r="C42" s="14"/>
      <c r="D42" s="44"/>
      <c r="E42" s="44"/>
      <c r="F42" s="44"/>
      <c r="G42" s="44"/>
      <c r="H42" s="44"/>
    </row>
    <row r="43" spans="1:8" ht="14.25" x14ac:dyDescent="0.3">
      <c r="A43" s="52"/>
      <c r="B43" s="53"/>
      <c r="C43" s="14"/>
      <c r="D43" s="44"/>
      <c r="E43" s="44"/>
      <c r="F43" s="44"/>
      <c r="G43" s="44"/>
      <c r="H43" s="44"/>
    </row>
    <row r="44" spans="1:8" ht="14.25" x14ac:dyDescent="0.3">
      <c r="A44" s="52"/>
      <c r="B44" s="53"/>
      <c r="C44" s="14"/>
      <c r="D44" s="44"/>
      <c r="E44" s="44"/>
      <c r="F44" s="44"/>
      <c r="G44" s="44"/>
      <c r="H44" s="44"/>
    </row>
    <row r="45" spans="1:8" ht="14.25" x14ac:dyDescent="0.3">
      <c r="A45" s="52"/>
      <c r="B45" s="53"/>
      <c r="C45" s="14"/>
      <c r="D45" s="44"/>
      <c r="E45" s="44"/>
      <c r="F45" s="44"/>
      <c r="G45" s="44"/>
      <c r="H45" s="44"/>
    </row>
    <row r="46" spans="1:8" ht="14.25" x14ac:dyDescent="0.3">
      <c r="A46" s="52"/>
      <c r="B46" s="53"/>
      <c r="C46" s="14"/>
      <c r="D46" s="44"/>
      <c r="E46" s="44"/>
      <c r="F46" s="44"/>
      <c r="G46" s="44"/>
      <c r="H46" s="44"/>
    </row>
    <row r="47" spans="1:8" ht="15" thickBot="1" x14ac:dyDescent="0.35">
      <c r="A47" s="54"/>
      <c r="B47" s="54"/>
      <c r="C47" s="14"/>
      <c r="D47" s="44"/>
      <c r="E47" s="44"/>
      <c r="F47" s="44"/>
      <c r="G47" s="44"/>
      <c r="H47" s="44"/>
    </row>
    <row r="48" spans="1:8" ht="15" thickBot="1" x14ac:dyDescent="0.35">
      <c r="A48" s="74" t="s">
        <v>41</v>
      </c>
      <c r="B48" s="75"/>
      <c r="C48" s="75"/>
      <c r="D48" s="76"/>
      <c r="E48" s="44"/>
      <c r="F48" s="44"/>
      <c r="G48" s="44"/>
      <c r="H48" s="44"/>
    </row>
    <row r="49" spans="1:8" ht="15" thickBot="1" x14ac:dyDescent="0.35">
      <c r="A49" s="55" t="s">
        <v>59</v>
      </c>
      <c r="B49" s="77" t="s">
        <v>42</v>
      </c>
      <c r="C49" s="77" t="s">
        <v>43</v>
      </c>
      <c r="D49" s="77" t="s">
        <v>44</v>
      </c>
      <c r="E49" s="44"/>
      <c r="F49" s="44"/>
      <c r="G49" s="44"/>
      <c r="H49" s="44"/>
    </row>
    <row r="50" spans="1:8" ht="15" thickBot="1" x14ac:dyDescent="0.35">
      <c r="A50" s="55" t="s">
        <v>60</v>
      </c>
      <c r="B50" s="78"/>
      <c r="C50" s="78"/>
      <c r="D50" s="78"/>
      <c r="E50" s="44"/>
      <c r="F50" s="44"/>
      <c r="G50" s="44"/>
      <c r="H50" s="44"/>
    </row>
    <row r="51" spans="1:8" ht="15" thickBot="1" x14ac:dyDescent="0.35">
      <c r="A51" s="56" t="s">
        <v>45</v>
      </c>
      <c r="B51" s="57" t="s">
        <v>46</v>
      </c>
      <c r="C51" s="58"/>
      <c r="D51" s="58"/>
      <c r="E51" s="44"/>
      <c r="F51" s="44"/>
      <c r="G51" s="44"/>
      <c r="H51" s="44"/>
    </row>
    <row r="52" spans="1:8" ht="15" thickBot="1" x14ac:dyDescent="0.35">
      <c r="A52" s="56" t="s">
        <v>47</v>
      </c>
      <c r="B52" s="58"/>
      <c r="C52" s="58"/>
      <c r="D52" s="58"/>
      <c r="E52" s="44"/>
      <c r="F52" s="44"/>
      <c r="G52" s="44"/>
      <c r="H52" s="44"/>
    </row>
    <row r="53" spans="1:8" ht="15" thickBot="1" x14ac:dyDescent="0.35">
      <c r="A53" s="56" t="s">
        <v>48</v>
      </c>
      <c r="B53" s="58"/>
      <c r="C53" s="58"/>
      <c r="D53" s="58"/>
      <c r="E53" s="44"/>
      <c r="F53" s="44"/>
      <c r="G53" s="44"/>
      <c r="H53" s="44"/>
    </row>
    <row r="54" spans="1:8" ht="14.25" x14ac:dyDescent="0.3">
      <c r="A54" s="52"/>
      <c r="B54" s="53"/>
      <c r="C54" s="14"/>
      <c r="D54" s="44"/>
      <c r="E54" s="44"/>
      <c r="F54" s="44"/>
      <c r="G54" s="44"/>
      <c r="H54" s="44"/>
    </row>
    <row r="55" spans="1:8" ht="14.25" x14ac:dyDescent="0.3">
      <c r="A55" s="70" t="s">
        <v>49</v>
      </c>
      <c r="B55" s="71"/>
      <c r="C55" s="44"/>
      <c r="D55" s="44"/>
      <c r="E55" s="44"/>
      <c r="F55" s="44"/>
      <c r="G55" s="44"/>
      <c r="H55" s="44"/>
    </row>
    <row r="56" spans="1:8" ht="27" x14ac:dyDescent="0.3">
      <c r="A56" s="59" t="s">
        <v>50</v>
      </c>
      <c r="B56" s="60" t="s">
        <v>51</v>
      </c>
      <c r="C56" s="14"/>
      <c r="D56" s="44"/>
      <c r="E56" s="44"/>
      <c r="F56" s="44"/>
      <c r="G56" s="44"/>
      <c r="H56" s="44"/>
    </row>
    <row r="57" spans="1:8" ht="14.25" x14ac:dyDescent="0.3">
      <c r="A57" s="59" t="s">
        <v>52</v>
      </c>
      <c r="B57" s="61"/>
      <c r="C57" s="14"/>
      <c r="D57" s="44"/>
      <c r="E57" s="44"/>
      <c r="F57" s="44"/>
      <c r="G57" s="44"/>
      <c r="H57" s="44"/>
    </row>
    <row r="58" spans="1:8" ht="14.25" x14ac:dyDescent="0.3">
      <c r="A58" s="59"/>
      <c r="B58" s="61" t="s">
        <v>28</v>
      </c>
      <c r="C58" s="14"/>
      <c r="D58" s="44"/>
      <c r="E58" s="44"/>
      <c r="F58" s="44"/>
      <c r="G58" s="44"/>
      <c r="H58" s="44"/>
    </row>
    <row r="59" spans="1:8" ht="14.25" x14ac:dyDescent="0.3">
      <c r="A59" s="59" t="s">
        <v>53</v>
      </c>
      <c r="B59" s="62">
        <v>6.6799999999999998E-2</v>
      </c>
      <c r="C59" s="14"/>
      <c r="D59" s="44"/>
      <c r="E59" s="44"/>
      <c r="F59" s="44"/>
      <c r="G59" s="44"/>
      <c r="H59" s="44"/>
    </row>
    <row r="60" spans="1:8" ht="14.25" x14ac:dyDescent="0.3">
      <c r="A60" s="59" t="s">
        <v>28</v>
      </c>
      <c r="B60" s="63"/>
      <c r="C60" s="14"/>
      <c r="D60" s="44"/>
      <c r="E60" s="44"/>
      <c r="F60" s="44"/>
      <c r="G60" s="44"/>
      <c r="H60" s="44"/>
    </row>
    <row r="61" spans="1:8" ht="14.25" x14ac:dyDescent="0.3">
      <c r="A61" s="59" t="s">
        <v>54</v>
      </c>
      <c r="B61" s="64">
        <v>2.7000000000000001E-3</v>
      </c>
      <c r="C61" s="14"/>
      <c r="D61" s="44"/>
      <c r="E61" s="44"/>
      <c r="F61" s="44"/>
      <c r="G61" s="44"/>
      <c r="H61" s="44"/>
    </row>
    <row r="62" spans="1:8" ht="14.25" x14ac:dyDescent="0.3">
      <c r="A62" s="59" t="s">
        <v>55</v>
      </c>
      <c r="B62" s="64">
        <v>2.7000000000000001E-3</v>
      </c>
      <c r="C62" s="14"/>
      <c r="D62" s="44"/>
      <c r="E62" s="44"/>
      <c r="F62" s="44"/>
      <c r="G62" s="44"/>
      <c r="H62" s="44"/>
    </row>
    <row r="63" spans="1:8" ht="14.25" x14ac:dyDescent="0.3">
      <c r="A63" s="59" t="s">
        <v>28</v>
      </c>
      <c r="B63" s="65"/>
      <c r="C63" s="14"/>
      <c r="D63" s="66"/>
      <c r="E63" s="44"/>
      <c r="F63" s="44"/>
      <c r="G63" s="44"/>
      <c r="H63" s="44"/>
    </row>
    <row r="64" spans="1:8" ht="14.25" x14ac:dyDescent="0.3">
      <c r="A64" s="59" t="s">
        <v>56</v>
      </c>
      <c r="B64" s="67" t="s">
        <v>57</v>
      </c>
      <c r="C64" s="14"/>
      <c r="D64" s="44"/>
      <c r="E64" s="44"/>
      <c r="F64" s="44"/>
      <c r="G64" s="44"/>
      <c r="H64" s="44"/>
    </row>
    <row r="65" spans="1:8" ht="14.25" x14ac:dyDescent="0.3">
      <c r="A65" s="68" t="s">
        <v>58</v>
      </c>
      <c r="B65" s="69"/>
      <c r="C65" s="14"/>
      <c r="D65" s="44"/>
      <c r="E65" s="44"/>
      <c r="F65" s="44"/>
      <c r="G65" s="44"/>
      <c r="H65" s="44"/>
    </row>
    <row r="66" spans="1:8" ht="14.25" x14ac:dyDescent="0.3">
      <c r="A66" s="12"/>
      <c r="B66" s="13"/>
      <c r="C66" s="14"/>
      <c r="D66" s="11"/>
      <c r="E66" s="15"/>
      <c r="F66" s="11"/>
      <c r="G66" s="11"/>
      <c r="H66" s="11"/>
    </row>
    <row r="67" spans="1:8" ht="14.25" x14ac:dyDescent="0.3">
      <c r="A67" s="12"/>
      <c r="B67" s="13"/>
      <c r="C67" s="14"/>
      <c r="D67" s="11"/>
      <c r="E67" s="15"/>
      <c r="F67" s="11"/>
      <c r="G67" s="11"/>
      <c r="H67" s="11"/>
    </row>
    <row r="68" spans="1:8" ht="14.25" x14ac:dyDescent="0.3">
      <c r="A68" s="12"/>
      <c r="B68" s="13"/>
      <c r="C68" s="14"/>
      <c r="D68" s="11"/>
      <c r="E68" s="15"/>
      <c r="F68" s="11"/>
      <c r="G68" s="11"/>
      <c r="H68" s="11"/>
    </row>
    <row r="69" spans="1:8" ht="14.25" x14ac:dyDescent="0.3">
      <c r="A69" s="12"/>
      <c r="B69" s="13"/>
      <c r="C69" s="14"/>
      <c r="D69" s="11"/>
      <c r="E69" s="15"/>
      <c r="F69" s="11"/>
      <c r="G69" s="11"/>
      <c r="H69" s="11"/>
    </row>
    <row r="70" spans="1:8" ht="14.25" x14ac:dyDescent="0.3">
      <c r="A70" s="12"/>
      <c r="B70" s="13"/>
      <c r="C70" s="14"/>
      <c r="D70" s="11"/>
      <c r="E70" s="15"/>
      <c r="F70" s="11"/>
      <c r="G70" s="11"/>
      <c r="H70" s="11"/>
    </row>
    <row r="71" spans="1:8" ht="14.25" x14ac:dyDescent="0.3">
      <c r="A71" s="12"/>
      <c r="B71" s="13"/>
      <c r="C71" s="14"/>
      <c r="D71" s="11"/>
      <c r="E71" s="15"/>
      <c r="F71" s="11"/>
      <c r="G71" s="11"/>
      <c r="H71" s="11"/>
    </row>
    <row r="72" spans="1:8" ht="14.25" x14ac:dyDescent="0.3">
      <c r="A72" s="12"/>
      <c r="B72" s="13"/>
      <c r="C72" s="14"/>
      <c r="D72" s="11"/>
      <c r="E72" s="15"/>
      <c r="F72" s="11"/>
      <c r="G72" s="11"/>
      <c r="H72" s="11"/>
    </row>
    <row r="73" spans="1:8" ht="14.25" x14ac:dyDescent="0.3">
      <c r="A73" s="12"/>
      <c r="B73" s="13"/>
      <c r="C73" s="14"/>
      <c r="D73" s="11"/>
      <c r="E73" s="15"/>
      <c r="F73" s="11"/>
      <c r="G73" s="11"/>
      <c r="H73" s="11"/>
    </row>
    <row r="74" spans="1:8" ht="14.25" x14ac:dyDescent="0.3">
      <c r="A74" s="12"/>
      <c r="B74" s="13"/>
      <c r="C74" s="14"/>
      <c r="D74" s="11"/>
      <c r="E74" s="15"/>
      <c r="F74" s="11"/>
      <c r="G74" s="11"/>
      <c r="H74" s="11"/>
    </row>
    <row r="75" spans="1:8" ht="14.25" x14ac:dyDescent="0.3">
      <c r="A75" s="12"/>
      <c r="B75" s="13"/>
      <c r="C75" s="14"/>
      <c r="D75" s="11"/>
      <c r="E75" s="15"/>
      <c r="F75" s="11"/>
      <c r="G75" s="11"/>
      <c r="H75" s="11"/>
    </row>
    <row r="76" spans="1:8" ht="14.25" x14ac:dyDescent="0.3">
      <c r="A76" s="12"/>
      <c r="B76" s="13"/>
      <c r="C76" s="14"/>
      <c r="D76" s="11"/>
      <c r="E76" s="11"/>
      <c r="F76" s="11"/>
      <c r="G76" s="11"/>
      <c r="H76" s="11"/>
    </row>
    <row r="77" spans="1:8" ht="14.25" x14ac:dyDescent="0.3">
      <c r="A77" s="12"/>
      <c r="B77" s="13"/>
      <c r="C77" s="14"/>
      <c r="D77" s="11"/>
      <c r="E77" s="11"/>
      <c r="F77" s="11"/>
      <c r="G77" s="11"/>
      <c r="H77" s="11"/>
    </row>
    <row r="78" spans="1:8" ht="14.25" x14ac:dyDescent="0.3">
      <c r="A78" s="12"/>
      <c r="B78" s="13"/>
      <c r="C78" s="14"/>
      <c r="D78" s="11"/>
      <c r="E78" s="11"/>
      <c r="F78" s="11"/>
      <c r="G78" s="11"/>
      <c r="H78" s="11"/>
    </row>
    <row r="79" spans="1:8" ht="14.25" x14ac:dyDescent="0.3">
      <c r="A79" s="12"/>
      <c r="B79" s="13"/>
      <c r="C79" s="14"/>
      <c r="D79" s="11"/>
      <c r="E79" s="11"/>
      <c r="F79" s="11"/>
      <c r="G79" s="11"/>
      <c r="H79" s="11"/>
    </row>
    <row r="80" spans="1:8" ht="14.25" x14ac:dyDescent="0.3">
      <c r="A80" s="12"/>
      <c r="B80" s="13"/>
      <c r="C80" s="14"/>
      <c r="D80" s="11"/>
      <c r="E80" s="11"/>
      <c r="F80" s="11"/>
      <c r="G80" s="11"/>
      <c r="H80" s="11"/>
    </row>
    <row r="81" spans="1:8" ht="14.25" x14ac:dyDescent="0.3">
      <c r="A81" s="12"/>
      <c r="B81" s="13"/>
      <c r="C81" s="14"/>
      <c r="D81" s="11"/>
      <c r="E81" s="11"/>
      <c r="F81" s="11"/>
      <c r="G81" s="11"/>
      <c r="H81" s="11"/>
    </row>
    <row r="82" spans="1:8" ht="14.25" x14ac:dyDescent="0.3">
      <c r="A82" s="12"/>
      <c r="B82" s="13"/>
      <c r="C82" s="14"/>
      <c r="D82" s="11"/>
      <c r="E82" s="11"/>
      <c r="F82" s="11"/>
      <c r="G82" s="11"/>
      <c r="H82" s="11"/>
    </row>
    <row r="83" spans="1:8" ht="14.25" x14ac:dyDescent="0.3">
      <c r="A83" s="12"/>
      <c r="B83" s="13"/>
      <c r="C83" s="14"/>
      <c r="D83" s="11"/>
      <c r="E83" s="11"/>
      <c r="F83" s="11"/>
      <c r="G83" s="11"/>
      <c r="H83" s="11"/>
    </row>
    <row r="84" spans="1:8" ht="14.25" x14ac:dyDescent="0.3">
      <c r="A84" s="12"/>
      <c r="B84" s="13"/>
      <c r="C84" s="14"/>
      <c r="D84" s="11"/>
      <c r="E84" s="11"/>
      <c r="F84" s="11"/>
      <c r="G84" s="11"/>
      <c r="H84" s="11"/>
    </row>
    <row r="85" spans="1:8" ht="14.25" x14ac:dyDescent="0.3">
      <c r="A85" s="12"/>
      <c r="B85" s="13"/>
      <c r="C85" s="14"/>
      <c r="D85" s="11"/>
      <c r="E85" s="11"/>
      <c r="F85" s="11"/>
      <c r="G85" s="11"/>
      <c r="H85" s="11"/>
    </row>
    <row r="86" spans="1:8" ht="14.25" x14ac:dyDescent="0.3">
      <c r="A86" s="12"/>
      <c r="B86" s="13"/>
      <c r="C86" s="14"/>
      <c r="D86" s="11"/>
      <c r="E86" s="11"/>
      <c r="F86" s="11"/>
      <c r="G86" s="11"/>
      <c r="H86" s="11"/>
    </row>
    <row r="87" spans="1:8" ht="14.25" x14ac:dyDescent="0.3">
      <c r="A87" s="12"/>
      <c r="B87" s="13"/>
      <c r="C87" s="14"/>
      <c r="D87" s="11"/>
      <c r="E87" s="11"/>
      <c r="F87" s="11"/>
      <c r="G87" s="11"/>
      <c r="H87" s="11"/>
    </row>
    <row r="88" spans="1:8" ht="14.25" x14ac:dyDescent="0.3">
      <c r="A88" s="12"/>
      <c r="B88" s="13"/>
      <c r="C88" s="14"/>
      <c r="D88" s="11"/>
      <c r="E88" s="11"/>
      <c r="F88" s="11"/>
      <c r="G88" s="11"/>
      <c r="H88" s="11"/>
    </row>
    <row r="89" spans="1:8" ht="14.25" x14ac:dyDescent="0.3">
      <c r="A89" s="12"/>
      <c r="B89" s="13"/>
      <c r="C89" s="14"/>
      <c r="D89" s="11"/>
      <c r="E89" s="11"/>
      <c r="F89" s="11"/>
      <c r="G89" s="11"/>
      <c r="H89" s="11"/>
    </row>
    <row r="90" spans="1:8" ht="14.25" x14ac:dyDescent="0.3">
      <c r="A90" s="12"/>
      <c r="B90" s="13"/>
      <c r="C90" s="14"/>
      <c r="D90" s="11"/>
      <c r="E90" s="11"/>
      <c r="F90" s="11"/>
      <c r="G90" s="11"/>
      <c r="H90" s="11"/>
    </row>
    <row r="91" spans="1:8" ht="14.25" x14ac:dyDescent="0.3">
      <c r="A91" s="12"/>
      <c r="B91" s="13"/>
      <c r="C91" s="14"/>
      <c r="D91" s="11"/>
      <c r="E91" s="11"/>
      <c r="F91" s="11"/>
      <c r="G91" s="11"/>
      <c r="H91" s="11"/>
    </row>
    <row r="92" spans="1:8" ht="14.25" x14ac:dyDescent="0.3">
      <c r="A92" s="12"/>
      <c r="B92" s="13"/>
      <c r="C92" s="14"/>
      <c r="D92" s="11"/>
      <c r="E92" s="11"/>
      <c r="F92" s="11"/>
      <c r="G92" s="11"/>
      <c r="H92" s="11"/>
    </row>
    <row r="93" spans="1:8" ht="14.25" x14ac:dyDescent="0.3">
      <c r="A93" s="12"/>
      <c r="B93" s="13"/>
      <c r="C93" s="14"/>
      <c r="D93" s="11"/>
      <c r="E93" s="11"/>
      <c r="F93" s="11"/>
      <c r="G93" s="11"/>
      <c r="H93" s="11"/>
    </row>
    <row r="94" spans="1:8" ht="14.25" x14ac:dyDescent="0.3">
      <c r="A94" s="12"/>
      <c r="B94" s="13"/>
      <c r="C94" s="14"/>
      <c r="D94" s="11"/>
      <c r="E94" s="11"/>
      <c r="F94" s="11"/>
      <c r="G94" s="11"/>
      <c r="H94" s="11"/>
    </row>
    <row r="95" spans="1:8" ht="14.25" x14ac:dyDescent="0.3">
      <c r="A95" s="12"/>
      <c r="B95" s="13"/>
      <c r="C95" s="14"/>
      <c r="D95" s="11"/>
      <c r="E95" s="11"/>
      <c r="F95" s="11"/>
      <c r="G95" s="11"/>
      <c r="H95" s="11"/>
    </row>
    <row r="96" spans="1:8" ht="14.25" x14ac:dyDescent="0.3">
      <c r="A96" s="12"/>
      <c r="B96" s="13"/>
      <c r="C96" s="14"/>
      <c r="D96" s="11"/>
      <c r="E96" s="11"/>
      <c r="F96" s="11"/>
      <c r="G96" s="11"/>
      <c r="H96" s="11"/>
    </row>
    <row r="97" spans="1:8" ht="14.25" x14ac:dyDescent="0.3">
      <c r="A97" s="12"/>
      <c r="B97" s="13"/>
      <c r="C97" s="14"/>
      <c r="D97" s="11"/>
      <c r="E97" s="11"/>
      <c r="F97" s="11"/>
      <c r="G97" s="11"/>
      <c r="H97" s="11"/>
    </row>
    <row r="98" spans="1:8" ht="14.25" x14ac:dyDescent="0.3">
      <c r="A98" s="12"/>
      <c r="B98" s="13"/>
      <c r="C98" s="14"/>
      <c r="D98" s="11"/>
      <c r="E98" s="11"/>
      <c r="F98" s="11"/>
      <c r="G98" s="11"/>
      <c r="H98" s="11"/>
    </row>
    <row r="99" spans="1:8" ht="14.25" x14ac:dyDescent="0.3">
      <c r="A99" s="12"/>
      <c r="B99" s="13"/>
      <c r="C99" s="14"/>
      <c r="D99" s="11"/>
      <c r="E99" s="11"/>
      <c r="F99" s="11"/>
      <c r="G99" s="11"/>
      <c r="H99" s="11"/>
    </row>
    <row r="100" spans="1:8" ht="14.25" x14ac:dyDescent="0.3">
      <c r="A100" s="12"/>
      <c r="B100" s="13"/>
      <c r="C100" s="14"/>
      <c r="D100" s="11"/>
      <c r="E100" s="11"/>
      <c r="F100" s="11"/>
      <c r="G100" s="11"/>
      <c r="H100" s="11"/>
    </row>
    <row r="101" spans="1:8" ht="14.25" x14ac:dyDescent="0.3">
      <c r="A101" s="12"/>
      <c r="B101" s="13"/>
      <c r="C101" s="14"/>
      <c r="D101" s="11"/>
      <c r="E101" s="11"/>
      <c r="F101" s="11"/>
      <c r="G101" s="11"/>
      <c r="H101" s="11"/>
    </row>
    <row r="102" spans="1:8" ht="14.25" x14ac:dyDescent="0.3">
      <c r="A102" s="12"/>
      <c r="B102" s="13"/>
      <c r="C102" s="14"/>
      <c r="D102" s="11"/>
      <c r="E102" s="11"/>
      <c r="F102" s="11"/>
      <c r="G102" s="11"/>
      <c r="H102" s="11"/>
    </row>
    <row r="103" spans="1:8" ht="14.25" x14ac:dyDescent="0.3">
      <c r="A103" s="12"/>
      <c r="B103" s="13"/>
      <c r="C103" s="14"/>
      <c r="D103" s="11"/>
      <c r="E103" s="11"/>
      <c r="F103" s="11"/>
      <c r="G103" s="11"/>
      <c r="H103" s="11"/>
    </row>
    <row r="104" spans="1:8" ht="14.25" x14ac:dyDescent="0.3">
      <c r="A104" s="12"/>
      <c r="B104" s="13"/>
      <c r="C104" s="14"/>
      <c r="D104" s="11"/>
      <c r="E104" s="11"/>
      <c r="F104" s="11"/>
      <c r="G104" s="11"/>
      <c r="H104" s="11"/>
    </row>
    <row r="105" spans="1:8" ht="14.25" x14ac:dyDescent="0.3">
      <c r="A105" s="12"/>
      <c r="B105" s="13"/>
      <c r="C105" s="14"/>
      <c r="D105" s="11"/>
      <c r="E105" s="11"/>
      <c r="F105" s="11"/>
      <c r="G105" s="11"/>
      <c r="H105" s="11"/>
    </row>
    <row r="106" spans="1:8" ht="14.25" x14ac:dyDescent="0.3">
      <c r="A106" s="12"/>
      <c r="B106" s="13"/>
      <c r="C106" s="14"/>
      <c r="D106" s="11"/>
      <c r="E106" s="11"/>
      <c r="F106" s="11"/>
      <c r="G106" s="11"/>
      <c r="H106" s="11"/>
    </row>
    <row r="107" spans="1:8" ht="14.25" x14ac:dyDescent="0.3">
      <c r="A107" s="12"/>
      <c r="B107" s="13"/>
      <c r="C107" s="14"/>
      <c r="D107" s="11"/>
      <c r="E107" s="11"/>
      <c r="F107" s="11"/>
      <c r="G107" s="11"/>
      <c r="H107" s="11"/>
    </row>
    <row r="108" spans="1:8" ht="14.25" x14ac:dyDescent="0.3">
      <c r="A108" s="12"/>
      <c r="B108" s="13"/>
      <c r="C108" s="14"/>
      <c r="D108" s="11"/>
      <c r="E108" s="11"/>
      <c r="F108" s="11"/>
      <c r="G108" s="11"/>
      <c r="H108" s="11"/>
    </row>
    <row r="109" spans="1:8" ht="14.25" x14ac:dyDescent="0.3">
      <c r="A109" s="12"/>
      <c r="B109" s="13"/>
      <c r="C109" s="14"/>
      <c r="D109" s="11"/>
      <c r="E109" s="11"/>
      <c r="F109" s="11"/>
      <c r="G109" s="11"/>
      <c r="H109" s="11"/>
    </row>
    <row r="110" spans="1:8" ht="14.25" x14ac:dyDescent="0.3">
      <c r="A110" s="12"/>
      <c r="B110" s="13"/>
      <c r="C110" s="14"/>
      <c r="D110" s="11"/>
      <c r="E110" s="11"/>
      <c r="F110" s="11"/>
      <c r="G110" s="11"/>
      <c r="H110" s="11"/>
    </row>
    <row r="111" spans="1:8" ht="14.25" x14ac:dyDescent="0.3">
      <c r="A111" s="12"/>
      <c r="B111" s="13"/>
      <c r="C111" s="14"/>
      <c r="D111" s="11"/>
      <c r="E111" s="11"/>
      <c r="F111" s="11"/>
      <c r="G111" s="11"/>
      <c r="H111" s="11"/>
    </row>
    <row r="112" spans="1:8" ht="14.25" x14ac:dyDescent="0.3">
      <c r="A112" s="12"/>
      <c r="B112" s="13"/>
      <c r="C112" s="14"/>
      <c r="D112" s="11"/>
      <c r="E112" s="11"/>
      <c r="F112" s="11"/>
      <c r="G112" s="11"/>
      <c r="H112" s="11"/>
    </row>
    <row r="113" spans="1:8" ht="14.25" x14ac:dyDescent="0.3">
      <c r="A113" s="12"/>
      <c r="B113" s="13"/>
      <c r="C113" s="14"/>
      <c r="D113" s="11"/>
      <c r="E113" s="11"/>
      <c r="F113" s="11"/>
      <c r="G113" s="11"/>
      <c r="H113" s="11"/>
    </row>
    <row r="114" spans="1:8" ht="14.25" x14ac:dyDescent="0.3">
      <c r="A114" s="12"/>
      <c r="B114" s="13"/>
      <c r="C114" s="14"/>
      <c r="D114" s="11"/>
      <c r="E114" s="11"/>
      <c r="F114" s="11"/>
      <c r="G114" s="11"/>
      <c r="H114" s="11"/>
    </row>
    <row r="115" spans="1:8" ht="14.25" x14ac:dyDescent="0.3">
      <c r="A115" s="12"/>
      <c r="B115" s="13"/>
      <c r="C115" s="14"/>
      <c r="D115" s="11"/>
      <c r="E115" s="11"/>
      <c r="F115" s="11"/>
      <c r="G115" s="11"/>
      <c r="H115" s="11"/>
    </row>
    <row r="116" spans="1:8" ht="14.25" x14ac:dyDescent="0.3">
      <c r="A116" s="12"/>
      <c r="B116" s="13"/>
      <c r="C116" s="14"/>
      <c r="D116" s="11"/>
      <c r="E116" s="11"/>
      <c r="F116" s="11"/>
      <c r="G116" s="11"/>
      <c r="H116" s="11"/>
    </row>
  </sheetData>
  <mergeCells count="13">
    <mergeCell ref="A32:H32"/>
    <mergeCell ref="A1:H1"/>
    <mergeCell ref="A2:H2"/>
    <mergeCell ref="A29:H29"/>
    <mergeCell ref="A30:H30"/>
    <mergeCell ref="A31:H31"/>
    <mergeCell ref="A55:B55"/>
    <mergeCell ref="D34:E34"/>
    <mergeCell ref="B39:D39"/>
    <mergeCell ref="A48:D48"/>
    <mergeCell ref="B49:B50"/>
    <mergeCell ref="C49:C50"/>
    <mergeCell ref="D49:D50"/>
  </mergeCells>
  <pageMargins left="0.75" right="0.25" top="1" bottom="1" header="0.5" footer="0.5"/>
  <pageSetup paperSize="9" scale="22" orientation="portrait" r:id="rId1"/>
  <headerFooter alignWithMargins="0"/>
  <ignoredErrors>
    <ignoredError sqref="E19" 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Overnight Fund</vt:lpstr>
      <vt:lpstr>'JM Overnight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2023-09-04T06:40:03Z</dcterms:created>
  <dcterms:modified xsi:type="dcterms:W3CDTF">2023-09-04T07:07:59Z</dcterms:modified>
</cp:coreProperties>
</file>