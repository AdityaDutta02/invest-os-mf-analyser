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March 2026\Monthly\Debt Portfolio\Monthly\"/>
    </mc:Choice>
  </mc:AlternateContent>
  <xr:revisionPtr revIDLastSave="0" documentId="13_ncr:1_{03F349B6-BF9E-4D1F-8824-E5EED26A8EE2}" xr6:coauthVersionLast="47" xr6:coauthVersionMax="47" xr10:uidLastSave="{00000000-0000-0000-0000-000000000000}"/>
  <bookViews>
    <workbookView xWindow="-120" yWindow="-120" windowWidth="20730" windowHeight="11040" xr2:uid="{00000000-000D-0000-FFFF-FFFF00000000}"/>
  </bookViews>
  <sheets>
    <sheet name="JM Large Cap Fund" sheetId="1" r:id="rId1"/>
  </sheets>
  <definedNames>
    <definedName name="_xlnm._FilterDatabase" localSheetId="0" hidden="1">'JM Large Cap Fund'!$B$4:$I$82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Fund'!$B$1:$F$82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4" i="1" l="1"/>
  <c r="E74" i="1"/>
</calcChain>
</file>

<file path=xl/sharedStrings.xml><?xml version="1.0" encoding="utf-8"?>
<sst xmlns="http://schemas.openxmlformats.org/spreadsheetml/2006/main" count="258" uniqueCount="197">
  <si>
    <t xml:space="preserve"> The risk of the benchmark is Very High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</si>
  <si>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</si>
  <si>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</si>
  <si>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</si>
  <si>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</si>
  <si>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</si>
  <si>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</si>
  <si>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</si>
  <si>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</si>
  <si>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</si>
  <si>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Large Cap Fund (An open ended equity scheme predominantly investing in large cap stocks.)</t>
  </si>
  <si>
    <t>JM Financial Mutual Fund</t>
  </si>
  <si>
    <t>NIL</t>
  </si>
  <si>
    <t>Total</t>
  </si>
  <si>
    <t>(b) Privately placed / Unlisted</t>
  </si>
  <si>
    <t>Cash &amp; Cash Equivalents</t>
  </si>
  <si>
    <t>Net Receivable/Payable</t>
  </si>
  <si>
    <t>CCIL</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</si>
  <si>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</si>
  <si>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</si>
  <si>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</si>
  <si>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</si>
  <si>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</si>
  <si>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</si>
  <si>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</si>
  <si>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</si>
  <si>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</si>
  <si>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HDFC Life Insurance Company Limited</t>
  </si>
  <si>
    <t>Axis Bank Limited</t>
  </si>
  <si>
    <t>United Spirits Limited</t>
  </si>
  <si>
    <t>Bajaj Auto Limited</t>
  </si>
  <si>
    <t>InterGlobe Aviation Limited</t>
  </si>
  <si>
    <t>Trent Limited</t>
  </si>
  <si>
    <t>Hindalco Industries Limited</t>
  </si>
  <si>
    <t>Kotak Mahindra Bank Limited</t>
  </si>
  <si>
    <t>Mahindra &amp; Mahindra Limited</t>
  </si>
  <si>
    <t>JSW Energy Limited</t>
  </si>
  <si>
    <t>Apollo Hospitals Enterprise Limited</t>
  </si>
  <si>
    <t>UltraTech Cement Limited</t>
  </si>
  <si>
    <t>LTIMindtree Ltd</t>
  </si>
  <si>
    <t>Torrent Pharmaceuticals Limited</t>
  </si>
  <si>
    <t>Name of Instrument</t>
  </si>
  <si>
    <t>Rating/Industry</t>
  </si>
  <si>
    <t>Market Value (In Rs. lakh)</t>
  </si>
  <si>
    <t>% To Net Assets</t>
  </si>
  <si>
    <t>Maturity Date</t>
  </si>
  <si>
    <t>Put/Call Option</t>
  </si>
  <si>
    <t>Yield</t>
  </si>
  <si>
    <t>EQUITY &amp; EQUITY RELATED</t>
  </si>
  <si>
    <t>(a) Listed / awaiting listing on the stock exchanges</t>
  </si>
  <si>
    <t>Tech Mahindra Limited</t>
  </si>
  <si>
    <t>Shriram Finance Limited</t>
  </si>
  <si>
    <t>Bharat Electronics Limited</t>
  </si>
  <si>
    <t>TVS Motor Company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</si>
  <si>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</si>
  <si>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</si>
  <si>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</si>
  <si>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</si>
  <si>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</si>
  <si>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</si>
  <si>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</si>
  <si>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</si>
  <si>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</si>
  <si>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</si>
  <si>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</si>
  <si>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</si>
  <si>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</si>
  <si>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INE062A01020</t>
  </si>
  <si>
    <t>INE018A01030</t>
  </si>
  <si>
    <t>INE009A01021</t>
  </si>
  <si>
    <t>INE002A01018</t>
  </si>
  <si>
    <t>INE397D01024</t>
  </si>
  <si>
    <t>INE795G01014</t>
  </si>
  <si>
    <t>INE238A01034</t>
  </si>
  <si>
    <t>INE854D01024</t>
  </si>
  <si>
    <t>INE669C01036</t>
  </si>
  <si>
    <t>INE646L01027</t>
  </si>
  <si>
    <t>INE917I01010</t>
  </si>
  <si>
    <t>INE585B01010</t>
  </si>
  <si>
    <t>INE849A01020</t>
  </si>
  <si>
    <t>INE101A01026</t>
  </si>
  <si>
    <t>INE038A01020</t>
  </si>
  <si>
    <t>INE721A01047</t>
  </si>
  <si>
    <t>INE437A01024</t>
  </si>
  <si>
    <t>INE481G01011</t>
  </si>
  <si>
    <t>INE214T01019</t>
  </si>
  <si>
    <t>INE263A01024</t>
  </si>
  <si>
    <t>INE121E01018</t>
  </si>
  <si>
    <t>INE685A01028</t>
  </si>
  <si>
    <t>INE494B01023</t>
  </si>
  <si>
    <t>INE811K01011</t>
  </si>
  <si>
    <t>INE081A01020</t>
  </si>
  <si>
    <t>Tata Steel Limited</t>
  </si>
  <si>
    <t>INE742F01042</t>
  </si>
  <si>
    <t>Adani Port &amp; Special Economic Zone Ltd</t>
  </si>
  <si>
    <t>INE361B01024</t>
  </si>
  <si>
    <t>Divi's Laboratories Limited</t>
  </si>
  <si>
    <t>INE296A01032</t>
  </si>
  <si>
    <t>INE982J01020</t>
  </si>
  <si>
    <t>One 97 Communications Limited</t>
  </si>
  <si>
    <t>INE466L01038</t>
  </si>
  <si>
    <t>360 ONE WAM LIMITED</t>
  </si>
  <si>
    <t>INE089A01031</t>
  </si>
  <si>
    <t>Dr. Reddy's Laboratories Limited</t>
  </si>
  <si>
    <t>INE053A01029</t>
  </si>
  <si>
    <t>The Indian Hotels Company Limited</t>
  </si>
  <si>
    <t>Construction</t>
  </si>
  <si>
    <t>Healthcare Services</t>
  </si>
  <si>
    <t>Power</t>
  </si>
  <si>
    <t>INE067A01029</t>
  </si>
  <si>
    <t>CG Power And Industrial Solutions Ltd</t>
  </si>
  <si>
    <t>INE758T01015</t>
  </si>
  <si>
    <t>Eternal Limited</t>
  </si>
  <si>
    <t>Banks</t>
  </si>
  <si>
    <t>Telecom - Services</t>
  </si>
  <si>
    <t>Petroleum Products</t>
  </si>
  <si>
    <t>IT - Software</t>
  </si>
  <si>
    <t>Finance</t>
  </si>
  <si>
    <t>Transport Services</t>
  </si>
  <si>
    <t>Automobiles</t>
  </si>
  <si>
    <t>Pharmaceuticals &amp; Biotechnology</t>
  </si>
  <si>
    <t>Transport Infrastructure</t>
  </si>
  <si>
    <t>Cement &amp; Cement Products</t>
  </si>
  <si>
    <t>Consumer Durables</t>
  </si>
  <si>
    <t>Aerospace &amp; Defense</t>
  </si>
  <si>
    <t>Financial Technology (Fintech)</t>
  </si>
  <si>
    <t>Retailing</t>
  </si>
  <si>
    <t>Industrial Products</t>
  </si>
  <si>
    <t>Beverages</t>
  </si>
  <si>
    <t>Non - Ferrous Metals</t>
  </si>
  <si>
    <t>Capital Markets</t>
  </si>
  <si>
    <t>Ferrous Metals</t>
  </si>
  <si>
    <t>Electrical Equipment</t>
  </si>
  <si>
    <t>Diversified FMCG</t>
  </si>
  <si>
    <t>Insurance</t>
  </si>
  <si>
    <t>Leisure Services</t>
  </si>
  <si>
    <t>Realty</t>
  </si>
  <si>
    <t>INE280A01028</t>
  </si>
  <si>
    <t>Titan Company Limited</t>
  </si>
  <si>
    <t>INE455K01017</t>
  </si>
  <si>
    <t>Polycab India Limited</t>
  </si>
  <si>
    <t>^YTC (AT1/Tier 2 bonds)</t>
  </si>
  <si>
    <t xml:space="preserve">                                          Riskometer of the scheme </t>
  </si>
  <si>
    <t xml:space="preserve">                        The risk of the scheme is Very High</t>
  </si>
  <si>
    <t>Scheme performance</t>
  </si>
  <si>
    <t>https://www.jmfinancialmf.com/products/Equity/JM-Large-Cap-Fund/J02/Regular-Plan-Growth-Option</t>
  </si>
  <si>
    <t>https://www.jmfinancialmf.com/products/Equity/JM-Large-Cap-Fund/J442/Direct-Plan-Growth-Option</t>
  </si>
  <si>
    <t>Regular Plan</t>
  </si>
  <si>
    <t>Direct Plan</t>
  </si>
  <si>
    <t>INE161F01011</t>
  </si>
  <si>
    <t>Anirit Ventures Ltd</t>
  </si>
  <si>
    <t>INE494B04019</t>
  </si>
  <si>
    <t>CARE A1+</t>
  </si>
  <si>
    <t>INE237A01036</t>
  </si>
  <si>
    <t>INE692A01016</t>
  </si>
  <si>
    <t>Union Bank of India</t>
  </si>
  <si>
    <t>INE733E01010</t>
  </si>
  <si>
    <t>NTPC Limited</t>
  </si>
  <si>
    <t>INE216A01030</t>
  </si>
  <si>
    <t>Britannia Industries Limited</t>
  </si>
  <si>
    <t>Food Products</t>
  </si>
  <si>
    <t>INE154A01025</t>
  </si>
  <si>
    <t>ITC Limited</t>
  </si>
  <si>
    <t>INE647A01010</t>
  </si>
  <si>
    <t>SRF Limited</t>
  </si>
  <si>
    <t>Chemicals &amp; Petrochemicals</t>
  </si>
  <si>
    <t>Underlying</t>
  </si>
  <si>
    <t>Long / Short</t>
  </si>
  <si>
    <t>Futures price when purchased (Rs.)</t>
  </si>
  <si>
    <t>Current  price of the Contract (Rs.)</t>
  </si>
  <si>
    <t>Total Margin maintained in   (Rs. In Lakhs)</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</si>
  <si>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</si>
  <si>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</si>
  <si>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</si>
  <si>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</si>
  <si>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</si>
  <si>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
  </si>
  <si>
    <t>Short</t>
  </si>
  <si>
    <t>Monthly Portfolio Statement for the period ended 31.03.2026</t>
  </si>
  <si>
    <t>INE205A01025</t>
  </si>
  <si>
    <t>Vedanta Limited</t>
  </si>
  <si>
    <t>INE414G01012</t>
  </si>
  <si>
    <t>Muthoot Finance Limited</t>
  </si>
  <si>
    <t>Diversified Metals</t>
  </si>
  <si>
    <t>02-APR-2026</t>
  </si>
  <si>
    <t>Total exposure due to futures (non hedging positions) was 0% of net assets as on 31/03/2026</t>
  </si>
  <si>
    <t>Hedging Positions through futures as on March 31, 2026:</t>
  </si>
  <si>
    <t>Interglobe Aviation Limited 28/04/2026</t>
  </si>
  <si>
    <t>HDFC Bank Limited 26/05/2026</t>
  </si>
  <si>
    <t>Interglobe Aviation Limited 26/05/2026</t>
  </si>
  <si>
    <t>Total outstanding exposure in derivative instruments at the end of the period - Short -(Rs in Lakhs) : (674.20)</t>
  </si>
  <si>
    <t>For the period ended March 31, 2026, following are the hedging transactions through futures which have been squared off / expired :</t>
  </si>
  <si>
    <t>For the period ended March 31, 2026, following are the non-hedging transactions through futures which have been squared off / expired :</t>
  </si>
  <si>
    <t xml:space="preserve">                                                   Benchmark of the scheme - BSE 100 TRI </t>
  </si>
  <si>
    <t xml:space="preserve">6% TVS Motor Co Ltd. Cumulative Non Convertible
Redeemable Preference Shares
</t>
  </si>
  <si>
    <t>Total 1.73% of existing assets hedged through futures as on 31/03/2026</t>
  </si>
  <si>
    <t>Textiles &amp; Apparels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</si>
</sst>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9" x14ac:knownFonts="1">
    <font>
      <sz val="10"/>
      <name val="Arial"/>
    </font>
    <font>
      <sz val="10"/>
      <name val="Times New Roman"/>
      <family val="1"/>
    </font>
    <font>
      <sz val="10"/>
      <name val="Arial"/>
      <family val="2"/>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10"/>
      <name val="Century Gothic"/>
      <family val="2"/>
    </font>
  </fonts>
  <fills count="7">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indexed="22"/>
        <bgColor indexed="64"/>
      </patternFill>
    </fill>
    <fill>
      <patternFill patternType="solid">
        <fgColor theme="2" tint="-9.9978637043366805E-2"/>
        <bgColor indexed="64"/>
      </patternFill>
    </fill>
    <fill>
      <patternFill patternType="solid">
        <fgColor indexed="2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4" fillId="0" borderId="0"/>
    <xf numFmtId="0" fontId="4" fillId="0" borderId="0"/>
    <xf numFmtId="0" fontId="4"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xf numFmtId="164" fontId="4" fillId="0" borderId="0" applyFont="0" applyFill="0" applyBorder="0" applyAlignment="0" applyProtection="0"/>
  </cellStyleXfs>
  <cellXfs count="12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5" fillId="0" borderId="0" xfId="3" applyFont="1" applyAlignment="1">
      <alignment horizontal="center"/>
    </xf>
    <xf numFmtId="0" fontId="10" fillId="2" borderId="3" xfId="2" applyFont="1" applyFill="1" applyBorder="1" applyAlignment="1">
      <alignment horizontal="center" vertical="center"/>
    </xf>
    <xf numFmtId="0" fontId="13" fillId="0" borderId="0" xfId="0" applyFont="1"/>
    <xf numFmtId="0" fontId="3" fillId="0" borderId="0" xfId="6" applyFont="1" applyAlignment="1">
      <alignment vertical="top"/>
    </xf>
    <xf numFmtId="0" fontId="8" fillId="0" borderId="0" xfId="5" applyFont="1" applyAlignment="1">
      <alignment vertical="top"/>
    </xf>
    <xf numFmtId="0" fontId="3" fillId="0" borderId="0" xfId="2" applyFont="1" applyAlignment="1">
      <alignment vertical="top"/>
    </xf>
    <xf numFmtId="0" fontId="5" fillId="0" borderId="0" xfId="4" applyFont="1"/>
    <xf numFmtId="0" fontId="7" fillId="0" borderId="0" xfId="2" applyFont="1" applyAlignment="1">
      <alignment horizontal="left"/>
    </xf>
    <xf numFmtId="0" fontId="8" fillId="0" borderId="0" xfId="4" applyFont="1"/>
    <xf numFmtId="0" fontId="14" fillId="3" borderId="0" xfId="0" applyFont="1" applyFill="1"/>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0" xfId="0" applyFont="1"/>
    <xf numFmtId="0" fontId="9" fillId="0" borderId="0" xfId="5" applyFont="1" applyAlignment="1">
      <alignment horizontal="left" vertical="top" wrapText="1"/>
    </xf>
    <xf numFmtId="0" fontId="3" fillId="0" borderId="0" xfId="2" applyFont="1" applyAlignment="1">
      <alignment horizontal="right"/>
    </xf>
    <xf numFmtId="0" fontId="6" fillId="0" borderId="0" xfId="0" applyFont="1" applyAlignment="1">
      <alignment wrapText="1"/>
    </xf>
    <xf numFmtId="4" fontId="5" fillId="0" borderId="0" xfId="0" applyNumberFormat="1" applyFont="1"/>
    <xf numFmtId="166" fontId="6" fillId="0" borderId="0" xfId="0" applyNumberFormat="1" applyFont="1" applyAlignment="1">
      <alignment horizontal="right" vertical="top"/>
    </xf>
    <xf numFmtId="0" fontId="3" fillId="0" borderId="0" xfId="0" applyFont="1" applyAlignment="1">
      <alignment horizontal="right"/>
    </xf>
    <xf numFmtId="0" fontId="3" fillId="0" borderId="0" xfId="0" applyFont="1" applyAlignment="1">
      <alignment horizontal="left" wrapText="1"/>
    </xf>
    <xf numFmtId="0" fontId="6" fillId="0" borderId="0" xfId="6" applyFont="1"/>
    <xf numFmtId="0" fontId="3" fillId="0" borderId="0" xfId="2" applyFont="1" applyAlignment="1">
      <alignment horizontal="left"/>
    </xf>
    <xf numFmtId="165" fontId="3" fillId="0" borderId="0" xfId="1" applyNumberFormat="1" applyFont="1" applyFill="1" applyAlignment="1"/>
    <xf numFmtId="164" fontId="3" fillId="0" borderId="0" xfId="1" applyFont="1" applyFill="1" applyAlignment="1">
      <alignment horizontal="right"/>
    </xf>
    <xf numFmtId="0" fontId="6" fillId="4" borderId="1" xfId="6" applyFont="1" applyFill="1" applyBorder="1" applyAlignment="1">
      <alignment horizontal="left" vertical="top"/>
    </xf>
    <xf numFmtId="0" fontId="6" fillId="5" borderId="1" xfId="2" applyFont="1" applyFill="1" applyBorder="1" applyAlignment="1">
      <alignment horizontal="left" vertical="top"/>
    </xf>
    <xf numFmtId="165" fontId="6" fillId="4" borderId="1" xfId="10" applyNumberFormat="1" applyFont="1" applyFill="1" applyBorder="1" applyAlignment="1">
      <alignment horizontal="left" vertical="top"/>
    </xf>
    <xf numFmtId="0" fontId="6" fillId="4" borderId="1" xfId="6" applyFont="1" applyFill="1" applyBorder="1" applyAlignment="1">
      <alignment horizontal="left" vertical="top" wrapText="1"/>
    </xf>
    <xf numFmtId="0" fontId="3" fillId="0" borderId="0" xfId="6" applyFont="1"/>
    <xf numFmtId="0" fontId="6" fillId="0" borderId="3" xfId="2" applyFont="1" applyBorder="1" applyAlignment="1">
      <alignment horizontal="left"/>
    </xf>
    <xf numFmtId="164" fontId="3" fillId="0" borderId="0" xfId="2" applyNumberFormat="1" applyFont="1"/>
    <xf numFmtId="0" fontId="6" fillId="6" borderId="1" xfId="2" applyFont="1" applyFill="1" applyBorder="1"/>
    <xf numFmtId="0" fontId="3" fillId="0" borderId="5" xfId="2" applyFont="1" applyBorder="1" applyAlignment="1">
      <alignment horizontal="left"/>
    </xf>
    <xf numFmtId="0" fontId="3" fillId="0" borderId="2" xfId="2" applyFont="1" applyBorder="1" applyAlignment="1">
      <alignment horizontal="left"/>
    </xf>
    <xf numFmtId="0" fontId="3" fillId="0" borderId="6" xfId="2" applyFont="1" applyBorder="1" applyAlignment="1">
      <alignment horizontal="left"/>
    </xf>
    <xf numFmtId="165" fontId="3" fillId="0" borderId="1" xfId="1" applyNumberFormat="1" applyFont="1" applyFill="1" applyBorder="1"/>
    <xf numFmtId="4" fontId="3" fillId="0" borderId="1" xfId="2" applyNumberFormat="1" applyFont="1" applyBorder="1"/>
    <xf numFmtId="164" fontId="3" fillId="0" borderId="1" xfId="1" applyFont="1" applyFill="1" applyBorder="1"/>
    <xf numFmtId="0" fontId="6" fillId="0" borderId="0" xfId="2" applyFont="1"/>
    <xf numFmtId="0" fontId="6" fillId="6" borderId="5" xfId="2" applyFont="1" applyFill="1" applyBorder="1"/>
    <xf numFmtId="0" fontId="6" fillId="6" borderId="2" xfId="2" applyFont="1" applyFill="1" applyBorder="1"/>
    <xf numFmtId="0" fontId="6" fillId="6" borderId="6" xfId="2" applyFont="1" applyFill="1" applyBorder="1"/>
    <xf numFmtId="0" fontId="3" fillId="6" borderId="1" xfId="2" applyFont="1" applyFill="1" applyBorder="1"/>
    <xf numFmtId="0" fontId="3" fillId="0" borderId="1" xfId="2" applyFont="1" applyBorder="1" applyAlignment="1">
      <alignment horizontal="center" vertical="top"/>
    </xf>
    <xf numFmtId="165" fontId="3" fillId="0" borderId="1" xfId="1" applyNumberFormat="1" applyFont="1" applyFill="1" applyBorder="1" applyAlignment="1"/>
    <xf numFmtId="164" fontId="3" fillId="0" borderId="1" xfId="1" applyFont="1" applyBorder="1"/>
    <xf numFmtId="0" fontId="6" fillId="0" borderId="0" xfId="0" applyFont="1"/>
    <xf numFmtId="0" fontId="14" fillId="0" borderId="0" xfId="0" applyFont="1"/>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165" fontId="6" fillId="0" borderId="1" xfId="1" applyNumberFormat="1" applyFont="1" applyFill="1" applyBorder="1" applyAlignment="1">
      <alignment horizontal="center" vertical="center"/>
    </xf>
    <xf numFmtId="165" fontId="6" fillId="0" borderId="1" xfId="1" applyNumberFormat="1" applyFont="1" applyFill="1" applyBorder="1" applyAlignment="1">
      <alignment horizontal="center" vertical="center" wrapText="1"/>
    </xf>
    <xf numFmtId="164" fontId="6" fillId="0" borderId="1" xfId="1" applyFont="1" applyBorder="1" applyAlignment="1">
      <alignment horizontal="center" vertical="center" wrapText="1"/>
    </xf>
    <xf numFmtId="10" fontId="6"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7"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5"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5" fillId="0" borderId="1" xfId="0" applyFont="1" applyBorder="1"/>
    <xf numFmtId="4" fontId="5" fillId="0" borderId="1" xfId="0" applyNumberFormat="1" applyFont="1" applyBorder="1"/>
    <xf numFmtId="4" fontId="6"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6" fillId="0" borderId="1" xfId="7" applyNumberFormat="1" applyFont="1" applyFill="1" applyBorder="1" applyAlignment="1" applyProtection="1">
      <alignment horizontal="right" vertical="top"/>
    </xf>
    <xf numFmtId="4" fontId="8" fillId="0" borderId="1" xfId="0" applyNumberFormat="1" applyFont="1" applyBorder="1" applyAlignment="1">
      <alignment horizontal="right"/>
    </xf>
    <xf numFmtId="166" fontId="3" fillId="0" borderId="1" xfId="0" applyNumberFormat="1" applyFont="1" applyBorder="1" applyAlignment="1">
      <alignment horizontal="right" vertical="top"/>
    </xf>
    <xf numFmtId="10" fontId="6" fillId="0" borderId="1" xfId="7" applyNumberFormat="1" applyFont="1" applyBorder="1" applyAlignment="1">
      <alignment horizontal="right" vertical="top"/>
    </xf>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6"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6" fillId="0" borderId="1" xfId="0" applyNumberFormat="1" applyFont="1" applyBorder="1" applyAlignment="1">
      <alignment horizontal="right"/>
    </xf>
    <xf numFmtId="0" fontId="6"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5" fillId="0" borderId="1" xfId="0" applyNumberFormat="1" applyFont="1" applyBorder="1" applyAlignment="1">
      <alignment horizontal="right" vertical="top"/>
    </xf>
    <xf numFmtId="0" fontId="6" fillId="0" borderId="1" xfId="0" applyFont="1" applyBorder="1" applyAlignment="1">
      <alignment wrapText="1"/>
    </xf>
    <xf numFmtId="10" fontId="3" fillId="0" borderId="4" xfId="0" applyNumberFormat="1" applyFont="1" applyBorder="1" applyAlignment="1">
      <alignment horizontal="right"/>
    </xf>
    <xf numFmtId="169" fontId="3" fillId="0" borderId="1" xfId="0" applyNumberFormat="1" applyFont="1" applyBorder="1" applyAlignment="1">
      <alignment horizontal="right" vertical="top"/>
    </xf>
    <xf numFmtId="169" fontId="6" fillId="0" borderId="1" xfId="0" applyNumberFormat="1" applyFont="1" applyBorder="1" applyAlignment="1">
      <alignment horizontal="right" vertical="top"/>
    </xf>
    <xf numFmtId="0" fontId="3" fillId="0" borderId="1" xfId="0" applyFont="1" applyBorder="1"/>
    <xf numFmtId="10" fontId="5" fillId="0" borderId="1" xfId="7" applyNumberFormat="1" applyFont="1" applyBorder="1"/>
    <xf numFmtId="0" fontId="3" fillId="0" borderId="1" xfId="0" applyFont="1" applyBorder="1" applyAlignment="1">
      <alignment horizontal="right"/>
    </xf>
    <xf numFmtId="2" fontId="3" fillId="0" borderId="1" xfId="0" applyNumberFormat="1" applyFont="1" applyBorder="1"/>
    <xf numFmtId="4" fontId="3" fillId="0" borderId="1" xfId="0" applyNumberFormat="1" applyFont="1" applyBorder="1"/>
    <xf numFmtId="0" fontId="3" fillId="0" borderId="0" xfId="0" applyFont="1" applyAlignment="1">
      <alignment wrapText="1"/>
    </xf>
    <xf numFmtId="0" fontId="18" fillId="0" borderId="0" xfId="9" applyFont="1" applyAlignment="1"/>
    <xf numFmtId="0" fontId="8" fillId="0" borderId="1" xfId="0" applyFont="1" applyBorder="1" applyAlignment="1">
      <alignment wrapText="1"/>
    </xf>
    <xf numFmtId="15" fontId="3" fillId="0" borderId="1" xfId="7" applyNumberFormat="1" applyFont="1" applyFill="1" applyBorder="1" applyAlignment="1" applyProtection="1">
      <alignment horizontal="right"/>
    </xf>
    <xf numFmtId="10" fontId="6" fillId="0" borderId="1" xfId="7" applyNumberFormat="1" applyFont="1" applyFill="1" applyBorder="1" applyAlignment="1" applyProtection="1">
      <alignment horizontal="right"/>
    </xf>
    <xf numFmtId="167" fontId="3" fillId="0" borderId="1" xfId="0" applyNumberFormat="1" applyFont="1" applyBorder="1"/>
    <xf numFmtId="4" fontId="3" fillId="0" borderId="0" xfId="0" applyNumberFormat="1" applyFont="1"/>
    <xf numFmtId="0" fontId="6" fillId="0" borderId="0" xfId="2" applyFont="1" applyAlignment="1">
      <alignment wrapText="1"/>
    </xf>
    <xf numFmtId="0" fontId="6" fillId="0" borderId="0" xfId="0" applyFont="1" applyAlignment="1">
      <alignment wrapText="1"/>
    </xf>
    <xf numFmtId="0" fontId="6" fillId="0" borderId="0" xfId="2" applyFont="1" applyAlignment="1">
      <alignment horizontal="center"/>
    </xf>
    <xf numFmtId="0" fontId="6"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vertical="top" wrapText="1"/>
    </xf>
    <xf numFmtId="0" fontId="3" fillId="0" borderId="0" xfId="0" applyFont="1"/>
    <xf numFmtId="0" fontId="6" fillId="0" borderId="0" xfId="0" applyFont="1"/>
    <xf numFmtId="0" fontId="6" fillId="0" borderId="3" xfId="2" applyFont="1" applyBorder="1" applyAlignment="1">
      <alignment horizontal="left"/>
    </xf>
    <xf numFmtId="0" fontId="6" fillId="0" borderId="3" xfId="2" applyFont="1" applyBorder="1"/>
  </cellXfs>
  <cellStyles count="11">
    <cellStyle name="Comma" xfId="1" builtinId="3"/>
    <cellStyle name="Comma 2" xfId="10" xr:uid="{00000000-0005-0000-0000-000001000000}"/>
    <cellStyle name="Hyperlink" xfId="9" builtinId="8"/>
    <cellStyle name="Normal" xfId="0" builtinId="0"/>
    <cellStyle name="Normal 2 2 2" xfId="2" xr:uid="{00000000-0005-0000-0000-000004000000}"/>
    <cellStyle name="Normal 2 3 2" xfId="6" xr:uid="{00000000-0005-0000-0000-000005000000}"/>
    <cellStyle name="Normal 3" xfId="8" xr:uid="{00000000-0005-0000-0000-000006000000}"/>
    <cellStyle name="Normal 4_EF" xfId="4" xr:uid="{00000000-0005-0000-0000-000007000000}"/>
    <cellStyle name="Normal 4_IF" xfId="3" xr:uid="{00000000-0005-0000-0000-000008000000}"/>
    <cellStyle name="Normal 4_LD" xfId="5"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447675</xdr:colOff>
      <xdr:row>122</xdr:row>
      <xdr:rowOff>76200</xdr:rowOff>
    </xdr:from>
    <xdr:ext cx="2651125" cy="1466850"/>
    <xdr:pic>
      <xdr:nvPicPr>
        <xdr:cNvPr id="2" name="Picture 5">
          <a:extLst>
            <a:ext uri="{FF2B5EF4-FFF2-40B4-BE49-F238E27FC236}">
              <a16:creationId xmlns:a16="http://schemas.microsoft.com/office/drawing/2014/main" id="{2130E160-3CC5-4EE5-A48A-3FEA876A2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18221325"/>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1543050</xdr:colOff>
      <xdr:row>122</xdr:row>
      <xdr:rowOff>114300</xdr:rowOff>
    </xdr:from>
    <xdr:ext cx="2686050" cy="1466850"/>
    <xdr:pic>
      <xdr:nvPicPr>
        <xdr:cNvPr id="3" name="Picture 6">
          <a:extLst>
            <a:ext uri="{FF2B5EF4-FFF2-40B4-BE49-F238E27FC236}">
              <a16:creationId xmlns:a16="http://schemas.microsoft.com/office/drawing/2014/main" id="{32C40619-28CE-4546-8867-6624DB7EC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43800" y="23441025"/>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Large-Cap-Fund/J442/Direct-Plan-Growth-Option" TargetMode="External"/><Relationship Id="rId1" Type="http://schemas.openxmlformats.org/officeDocument/2006/relationships/hyperlink" Target="https://www.jmfinancialmf.com/products/Equity/JM-Large-Cap-Fund/J0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57"/>
  <sheetViews>
    <sheetView tabSelected="1" topLeftCell="A118" zoomScaleNormal="100" workbookViewId="0">
      <selection activeCell="E97" sqref="E97"/>
    </sheetView>
  </sheetViews>
  <sheetFormatPr defaultColWidth="9.140625" defaultRowHeight="14.25" x14ac:dyDescent="0.3"/>
  <cols>
    <col min="1" max="1" width="37.85546875" style="1" customWidth="1"/>
    <col min="2" max="2" width="52.140625" style="4" customWidth="1"/>
    <col min="3" max="3" width="31.7109375" style="3" customWidth="1"/>
    <col min="4" max="4" width="28" style="2" customWidth="1"/>
    <col min="5" max="5" width="15.28515625" style="1" customWidth="1"/>
    <col min="6" max="6" width="22.85546875" style="1" bestFit="1" customWidth="1"/>
    <col min="7" max="7" width="16.28515625" style="1" customWidth="1"/>
    <col min="8" max="8" width="9.5703125" style="1" bestFit="1" customWidth="1"/>
    <col min="9" max="9" width="12.28515625" style="1" customWidth="1"/>
    <col min="10" max="10" width="12.28515625" style="6" customWidth="1"/>
    <col min="11" max="16384" width="9.140625" style="1"/>
  </cols>
  <sheetData>
    <row r="1" spans="1:11" ht="13.5" x14ac:dyDescent="0.25">
      <c r="A1" s="10"/>
      <c r="B1" s="119" t="s">
        <v>11</v>
      </c>
      <c r="C1" s="119"/>
      <c r="D1" s="119"/>
      <c r="E1" s="119"/>
      <c r="F1" s="119"/>
      <c r="G1" s="119"/>
      <c r="H1" s="119"/>
      <c r="I1" s="119"/>
      <c r="J1" s="18"/>
      <c r="K1" s="57"/>
    </row>
    <row r="2" spans="1:11" ht="13.5" x14ac:dyDescent="0.25">
      <c r="A2" s="10"/>
      <c r="B2" s="119" t="s">
        <v>10</v>
      </c>
      <c r="C2" s="119"/>
      <c r="D2" s="119"/>
      <c r="E2" s="119"/>
      <c r="F2" s="119"/>
      <c r="G2" s="119"/>
      <c r="H2" s="119"/>
      <c r="I2" s="119"/>
      <c r="J2" s="18"/>
      <c r="K2" s="57"/>
    </row>
    <row r="3" spans="1:11" ht="12.75" customHeight="1" x14ac:dyDescent="0.25">
      <c r="A3" s="10"/>
      <c r="B3" s="120" t="s">
        <v>178</v>
      </c>
      <c r="C3" s="120"/>
      <c r="D3" s="120"/>
      <c r="E3" s="120"/>
      <c r="F3" s="120"/>
      <c r="G3" s="120"/>
      <c r="H3" s="120"/>
      <c r="I3" s="120"/>
      <c r="J3" s="18"/>
      <c r="K3" s="57"/>
    </row>
    <row r="4" spans="1:11" s="64" customFormat="1" ht="25.5" x14ac:dyDescent="0.2">
      <c r="A4" s="58" t="s">
        <v>64</v>
      </c>
      <c r="B4" s="59" t="s">
        <v>41</v>
      </c>
      <c r="C4" s="60" t="s">
        <v>42</v>
      </c>
      <c r="D4" s="61" t="s">
        <v>9</v>
      </c>
      <c r="E4" s="62" t="s">
        <v>43</v>
      </c>
      <c r="F4" s="63" t="s">
        <v>44</v>
      </c>
      <c r="G4" s="58" t="s">
        <v>45</v>
      </c>
      <c r="H4" s="58" t="s">
        <v>46</v>
      </c>
      <c r="I4" s="58" t="s">
        <v>47</v>
      </c>
      <c r="J4" s="58" t="s">
        <v>141</v>
      </c>
    </row>
    <row r="5" spans="1:11" x14ac:dyDescent="0.3">
      <c r="A5" s="65"/>
      <c r="B5" s="66" t="s">
        <v>48</v>
      </c>
      <c r="C5" s="65"/>
      <c r="D5" s="67"/>
      <c r="E5" s="67"/>
      <c r="F5" s="68"/>
      <c r="G5" s="69"/>
      <c r="H5" s="68"/>
      <c r="I5" s="70"/>
      <c r="J5" s="19"/>
    </row>
    <row r="6" spans="1:11" x14ac:dyDescent="0.3">
      <c r="A6" s="65"/>
      <c r="B6" s="66" t="s">
        <v>49</v>
      </c>
      <c r="C6" s="65"/>
      <c r="D6" s="67"/>
      <c r="E6" s="71"/>
      <c r="F6" s="71"/>
      <c r="G6" s="69"/>
      <c r="H6" s="68"/>
      <c r="I6" s="70"/>
      <c r="J6" s="19"/>
    </row>
    <row r="7" spans="1:11" x14ac:dyDescent="0.3">
      <c r="A7" s="72" t="s">
        <v>65</v>
      </c>
      <c r="B7" s="72" t="s">
        <v>18</v>
      </c>
      <c r="C7" s="72" t="s">
        <v>113</v>
      </c>
      <c r="D7" s="73">
        <v>353694</v>
      </c>
      <c r="E7" s="73">
        <v>2587.448457</v>
      </c>
      <c r="F7" s="74">
        <v>6.6408816392312053E-2</v>
      </c>
      <c r="G7" s="75"/>
      <c r="H7" s="75"/>
      <c r="I7" s="70"/>
      <c r="J7" s="20"/>
    </row>
    <row r="8" spans="1:11" x14ac:dyDescent="0.3">
      <c r="A8" s="72" t="s">
        <v>70</v>
      </c>
      <c r="B8" s="72" t="s">
        <v>19</v>
      </c>
      <c r="C8" s="72" t="s">
        <v>115</v>
      </c>
      <c r="D8" s="73">
        <v>180700</v>
      </c>
      <c r="E8" s="73">
        <v>2428.4272999999998</v>
      </c>
      <c r="F8" s="74">
        <v>6.2327418446340904E-2</v>
      </c>
      <c r="G8" s="75"/>
      <c r="H8" s="75"/>
      <c r="I8" s="70"/>
      <c r="J8" s="20"/>
    </row>
    <row r="9" spans="1:11" x14ac:dyDescent="0.3">
      <c r="A9" s="72" t="s">
        <v>71</v>
      </c>
      <c r="B9" s="72" t="s">
        <v>24</v>
      </c>
      <c r="C9" s="72" t="s">
        <v>114</v>
      </c>
      <c r="D9" s="73">
        <v>93950</v>
      </c>
      <c r="E9" s="73">
        <v>1674.5648000000001</v>
      </c>
      <c r="F9" s="74">
        <v>4.2978968736314717E-2</v>
      </c>
      <c r="G9" s="75"/>
      <c r="H9" s="75"/>
      <c r="I9" s="70"/>
      <c r="J9" s="19"/>
    </row>
    <row r="10" spans="1:11" x14ac:dyDescent="0.3">
      <c r="A10" s="72" t="s">
        <v>66</v>
      </c>
      <c r="B10" s="72" t="s">
        <v>20</v>
      </c>
      <c r="C10" s="72" t="s">
        <v>113</v>
      </c>
      <c r="D10" s="73">
        <v>137787</v>
      </c>
      <c r="E10" s="73">
        <v>1661.573433</v>
      </c>
      <c r="F10" s="74">
        <v>4.2645535502715763E-2</v>
      </c>
      <c r="G10" s="75"/>
      <c r="H10" s="75"/>
      <c r="I10" s="70"/>
      <c r="J10" s="19"/>
    </row>
    <row r="11" spans="1:11" x14ac:dyDescent="0.3">
      <c r="A11" s="72" t="s">
        <v>67</v>
      </c>
      <c r="B11" s="72" t="s">
        <v>21</v>
      </c>
      <c r="C11" s="72" t="s">
        <v>113</v>
      </c>
      <c r="D11" s="73">
        <v>169097</v>
      </c>
      <c r="E11" s="73">
        <v>1656.1360179999999</v>
      </c>
      <c r="F11" s="74">
        <v>4.2505980145233407E-2</v>
      </c>
      <c r="G11" s="75"/>
      <c r="H11" s="75"/>
      <c r="I11" s="70"/>
      <c r="J11" s="20"/>
    </row>
    <row r="12" spans="1:11" x14ac:dyDescent="0.3">
      <c r="A12" s="72" t="s">
        <v>68</v>
      </c>
      <c r="B12" s="72" t="s">
        <v>25</v>
      </c>
      <c r="C12" s="72" t="s">
        <v>106</v>
      </c>
      <c r="D12" s="73">
        <v>42100</v>
      </c>
      <c r="E12" s="73">
        <v>1475.2261000000001</v>
      </c>
      <c r="F12" s="74">
        <v>3.786279063724228E-2</v>
      </c>
      <c r="G12" s="75"/>
      <c r="H12" s="75"/>
      <c r="I12" s="70"/>
      <c r="J12" s="20"/>
    </row>
    <row r="13" spans="1:11" x14ac:dyDescent="0.3">
      <c r="A13" s="72" t="s">
        <v>69</v>
      </c>
      <c r="B13" s="72" t="s">
        <v>23</v>
      </c>
      <c r="C13" s="72" t="s">
        <v>116</v>
      </c>
      <c r="D13" s="73">
        <v>87635</v>
      </c>
      <c r="E13" s="73">
        <v>1095.9633100000001</v>
      </c>
      <c r="F13" s="74">
        <v>2.81287250494206E-2</v>
      </c>
      <c r="G13" s="75"/>
      <c r="H13" s="75"/>
      <c r="I13" s="70"/>
      <c r="J13" s="20"/>
    </row>
    <row r="14" spans="1:11" x14ac:dyDescent="0.3">
      <c r="A14" s="72" t="s">
        <v>88</v>
      </c>
      <c r="B14" s="72" t="s">
        <v>40</v>
      </c>
      <c r="C14" s="72" t="s">
        <v>120</v>
      </c>
      <c r="D14" s="73">
        <v>25300</v>
      </c>
      <c r="E14" s="73">
        <v>1067.7106000000001</v>
      </c>
      <c r="F14" s="74">
        <v>2.7403597935912561E-2</v>
      </c>
      <c r="G14" s="75"/>
      <c r="H14" s="75"/>
      <c r="I14" s="70"/>
      <c r="J14" s="20"/>
    </row>
    <row r="15" spans="1:11" x14ac:dyDescent="0.3">
      <c r="A15" s="72" t="s">
        <v>82</v>
      </c>
      <c r="B15" s="72" t="s">
        <v>51</v>
      </c>
      <c r="C15" s="72" t="s">
        <v>117</v>
      </c>
      <c r="D15" s="73">
        <v>119500</v>
      </c>
      <c r="E15" s="73">
        <v>1042.1595</v>
      </c>
      <c r="F15" s="74">
        <v>2.6747809680911352E-2</v>
      </c>
      <c r="G15" s="75"/>
      <c r="H15" s="75"/>
      <c r="I15" s="70"/>
      <c r="J15" s="19"/>
    </row>
    <row r="16" spans="1:11" x14ac:dyDescent="0.3">
      <c r="A16" s="72" t="s">
        <v>83</v>
      </c>
      <c r="B16" s="72" t="s">
        <v>37</v>
      </c>
      <c r="C16" s="72" t="s">
        <v>107</v>
      </c>
      <c r="D16" s="73">
        <v>14029</v>
      </c>
      <c r="E16" s="73">
        <v>1040.81151</v>
      </c>
      <c r="F16" s="74">
        <v>2.6713212500756325E-2</v>
      </c>
      <c r="G16" s="75"/>
      <c r="H16" s="75"/>
      <c r="I16" s="70"/>
      <c r="J16" s="20"/>
    </row>
    <row r="17" spans="1:10" x14ac:dyDescent="0.3">
      <c r="A17" s="72" t="s">
        <v>73</v>
      </c>
      <c r="B17" s="72" t="s">
        <v>28</v>
      </c>
      <c r="C17" s="72" t="s">
        <v>113</v>
      </c>
      <c r="D17" s="73">
        <v>83723</v>
      </c>
      <c r="E17" s="73">
        <v>972.27519900000004</v>
      </c>
      <c r="F17" s="74">
        <v>2.4954176381179857E-2</v>
      </c>
      <c r="G17" s="75"/>
      <c r="H17" s="75"/>
      <c r="I17" s="70"/>
      <c r="J17" s="20"/>
    </row>
    <row r="18" spans="1:10" x14ac:dyDescent="0.3">
      <c r="A18" s="72" t="s">
        <v>97</v>
      </c>
      <c r="B18" s="72" t="s">
        <v>22</v>
      </c>
      <c r="C18" s="72" t="s">
        <v>117</v>
      </c>
      <c r="D18" s="73">
        <v>112499</v>
      </c>
      <c r="E18" s="73">
        <v>901.73573450000004</v>
      </c>
      <c r="F18" s="74">
        <v>2.3143727816023179E-2</v>
      </c>
      <c r="G18" s="75"/>
      <c r="H18" s="75"/>
      <c r="I18" s="70"/>
      <c r="J18" s="20"/>
    </row>
    <row r="19" spans="1:10" x14ac:dyDescent="0.3">
      <c r="A19" s="72" t="s">
        <v>80</v>
      </c>
      <c r="B19" s="72" t="s">
        <v>35</v>
      </c>
      <c r="C19" s="72" t="s">
        <v>119</v>
      </c>
      <c r="D19" s="73">
        <v>29800</v>
      </c>
      <c r="E19" s="73">
        <v>880.50059999999996</v>
      </c>
      <c r="F19" s="74">
        <v>2.2598712071164016E-2</v>
      </c>
      <c r="G19" s="75"/>
      <c r="H19" s="75"/>
      <c r="I19" s="70"/>
      <c r="J19" s="20"/>
    </row>
    <row r="20" spans="1:10" x14ac:dyDescent="0.3">
      <c r="A20" s="72" t="s">
        <v>153</v>
      </c>
      <c r="B20" s="72" t="s">
        <v>34</v>
      </c>
      <c r="C20" s="72" t="s">
        <v>113</v>
      </c>
      <c r="D20" s="73">
        <v>241700</v>
      </c>
      <c r="E20" s="73">
        <v>854.16780000000006</v>
      </c>
      <c r="F20" s="74">
        <v>2.1922860896017117E-2</v>
      </c>
      <c r="G20" s="75"/>
      <c r="H20" s="75"/>
      <c r="I20" s="70"/>
      <c r="J20" s="19"/>
    </row>
    <row r="21" spans="1:10" x14ac:dyDescent="0.3">
      <c r="A21" s="72" t="s">
        <v>93</v>
      </c>
      <c r="B21" s="72" t="s">
        <v>94</v>
      </c>
      <c r="C21" s="72" t="s">
        <v>121</v>
      </c>
      <c r="D21" s="73">
        <v>61750</v>
      </c>
      <c r="E21" s="73">
        <v>810.53049999999996</v>
      </c>
      <c r="F21" s="74">
        <v>2.0802876675378307E-2</v>
      </c>
      <c r="G21" s="75"/>
      <c r="H21" s="75"/>
      <c r="I21" s="70"/>
      <c r="J21" s="20"/>
    </row>
    <row r="22" spans="1:10" x14ac:dyDescent="0.3">
      <c r="A22" s="72" t="s">
        <v>75</v>
      </c>
      <c r="B22" s="72" t="s">
        <v>50</v>
      </c>
      <c r="C22" s="72" t="s">
        <v>116</v>
      </c>
      <c r="D22" s="73">
        <v>55000</v>
      </c>
      <c r="E22" s="73">
        <v>761.2</v>
      </c>
      <c r="F22" s="74">
        <v>1.9536772182290447E-2</v>
      </c>
      <c r="G22" s="75"/>
      <c r="H22" s="75"/>
      <c r="I22" s="70"/>
      <c r="J22" s="20"/>
    </row>
    <row r="23" spans="1:10" x14ac:dyDescent="0.3">
      <c r="A23" s="72" t="s">
        <v>84</v>
      </c>
      <c r="B23" s="72" t="s">
        <v>38</v>
      </c>
      <c r="C23" s="72" t="s">
        <v>122</v>
      </c>
      <c r="D23" s="73">
        <v>6700</v>
      </c>
      <c r="E23" s="73">
        <v>719.91499999999996</v>
      </c>
      <c r="F23" s="74">
        <v>1.847716151551974E-2</v>
      </c>
      <c r="G23" s="75"/>
      <c r="H23" s="75"/>
      <c r="I23" s="70"/>
      <c r="J23" s="20"/>
    </row>
    <row r="24" spans="1:10" x14ac:dyDescent="0.3">
      <c r="A24" s="72" t="s">
        <v>95</v>
      </c>
      <c r="B24" s="72" t="s">
        <v>96</v>
      </c>
      <c r="C24" s="72" t="s">
        <v>120</v>
      </c>
      <c r="D24" s="73">
        <v>12091</v>
      </c>
      <c r="E24" s="73">
        <v>719.05177000000003</v>
      </c>
      <c r="F24" s="74">
        <v>1.8455006066424997E-2</v>
      </c>
      <c r="G24" s="75"/>
      <c r="H24" s="75"/>
      <c r="I24" s="70"/>
      <c r="J24" s="20"/>
    </row>
    <row r="25" spans="1:10" x14ac:dyDescent="0.3">
      <c r="A25" s="72" t="s">
        <v>87</v>
      </c>
      <c r="B25" s="72" t="s">
        <v>36</v>
      </c>
      <c r="C25" s="72" t="s">
        <v>108</v>
      </c>
      <c r="D25" s="73">
        <v>150000</v>
      </c>
      <c r="E25" s="73">
        <v>707.4</v>
      </c>
      <c r="F25" s="74">
        <v>1.8155954600305127E-2</v>
      </c>
      <c r="G25" s="75"/>
      <c r="H25" s="75"/>
      <c r="I25" s="70"/>
      <c r="J25" s="19"/>
    </row>
    <row r="26" spans="1:10" x14ac:dyDescent="0.3">
      <c r="A26" s="72" t="s">
        <v>102</v>
      </c>
      <c r="B26" s="72" t="s">
        <v>103</v>
      </c>
      <c r="C26" s="72" t="s">
        <v>120</v>
      </c>
      <c r="D26" s="73">
        <v>56000</v>
      </c>
      <c r="E26" s="73">
        <v>702.74400000000003</v>
      </c>
      <c r="F26" s="74">
        <v>1.8036454848228477E-2</v>
      </c>
      <c r="G26" s="75"/>
      <c r="H26" s="75"/>
      <c r="I26" s="70"/>
      <c r="J26" s="20"/>
    </row>
    <row r="27" spans="1:10" x14ac:dyDescent="0.3">
      <c r="A27" s="72" t="s">
        <v>74</v>
      </c>
      <c r="B27" s="72" t="s">
        <v>29</v>
      </c>
      <c r="C27" s="72" t="s">
        <v>128</v>
      </c>
      <c r="D27" s="73">
        <v>56592</v>
      </c>
      <c r="E27" s="73">
        <v>689.74329599999999</v>
      </c>
      <c r="F27" s="74">
        <v>1.7702781973481511E-2</v>
      </c>
      <c r="G27" s="75"/>
      <c r="H27" s="75"/>
      <c r="I27" s="70"/>
      <c r="J27" s="19"/>
    </row>
    <row r="28" spans="1:10" x14ac:dyDescent="0.3">
      <c r="A28" s="72" t="s">
        <v>91</v>
      </c>
      <c r="B28" s="72" t="s">
        <v>92</v>
      </c>
      <c r="C28" s="72" t="s">
        <v>131</v>
      </c>
      <c r="D28" s="73">
        <v>347000</v>
      </c>
      <c r="E28" s="73">
        <v>665.75419999999997</v>
      </c>
      <c r="F28" s="74">
        <v>1.7087083729378654E-2</v>
      </c>
      <c r="G28" s="75"/>
      <c r="H28" s="75"/>
      <c r="I28" s="70"/>
      <c r="J28" s="20"/>
    </row>
    <row r="29" spans="1:10" x14ac:dyDescent="0.3">
      <c r="A29" s="72" t="s">
        <v>81</v>
      </c>
      <c r="B29" s="72" t="s">
        <v>33</v>
      </c>
      <c r="C29" s="72" t="s">
        <v>129</v>
      </c>
      <c r="D29" s="73">
        <v>74500</v>
      </c>
      <c r="E29" s="73">
        <v>658.91525000000001</v>
      </c>
      <c r="F29" s="74">
        <v>1.6911556918926637E-2</v>
      </c>
      <c r="G29" s="75"/>
      <c r="H29" s="75"/>
      <c r="I29" s="70"/>
      <c r="J29" s="19"/>
    </row>
    <row r="30" spans="1:10" x14ac:dyDescent="0.3">
      <c r="A30" s="72" t="s">
        <v>89</v>
      </c>
      <c r="B30" s="72" t="s">
        <v>53</v>
      </c>
      <c r="C30" s="72" t="s">
        <v>119</v>
      </c>
      <c r="D30" s="73">
        <v>19450</v>
      </c>
      <c r="E30" s="73">
        <v>654.25909999999999</v>
      </c>
      <c r="F30" s="74">
        <v>1.6792053316986841E-2</v>
      </c>
      <c r="G30" s="75"/>
      <c r="H30" s="75"/>
      <c r="I30" s="70"/>
      <c r="J30" s="19"/>
    </row>
    <row r="31" spans="1:10" x14ac:dyDescent="0.3">
      <c r="A31" s="72" t="s">
        <v>154</v>
      </c>
      <c r="B31" s="72" t="s">
        <v>155</v>
      </c>
      <c r="C31" s="72" t="s">
        <v>113</v>
      </c>
      <c r="D31" s="73">
        <v>395000</v>
      </c>
      <c r="E31" s="73">
        <v>648.59</v>
      </c>
      <c r="F31" s="74">
        <v>1.6646551589216713E-2</v>
      </c>
      <c r="G31" s="75"/>
      <c r="H31" s="75"/>
      <c r="I31" s="70"/>
      <c r="J31" s="19"/>
    </row>
    <row r="32" spans="1:10" x14ac:dyDescent="0.3">
      <c r="A32" s="72" t="s">
        <v>76</v>
      </c>
      <c r="B32" s="72" t="s">
        <v>31</v>
      </c>
      <c r="C32" s="72" t="s">
        <v>118</v>
      </c>
      <c r="D32" s="73">
        <v>16400</v>
      </c>
      <c r="E32" s="73">
        <v>646.73400000000004</v>
      </c>
      <c r="F32" s="74">
        <v>1.6598915949213647E-2</v>
      </c>
      <c r="G32" s="75"/>
      <c r="H32" s="75"/>
      <c r="I32" s="70"/>
      <c r="J32" s="19"/>
    </row>
    <row r="33" spans="1:10" x14ac:dyDescent="0.3">
      <c r="A33" s="72" t="s">
        <v>78</v>
      </c>
      <c r="B33" s="72" t="s">
        <v>26</v>
      </c>
      <c r="C33" s="72" t="s">
        <v>119</v>
      </c>
      <c r="D33" s="73">
        <v>5247</v>
      </c>
      <c r="E33" s="73">
        <v>645.69582000000003</v>
      </c>
      <c r="F33" s="74">
        <v>1.6572270276402023E-2</v>
      </c>
      <c r="G33" s="75"/>
      <c r="H33" s="75"/>
      <c r="I33" s="70"/>
      <c r="J33" s="20"/>
    </row>
    <row r="34" spans="1:10" x14ac:dyDescent="0.3">
      <c r="A34" s="72" t="s">
        <v>161</v>
      </c>
      <c r="B34" s="72" t="s">
        <v>162</v>
      </c>
      <c r="C34" s="72" t="s">
        <v>133</v>
      </c>
      <c r="D34" s="73">
        <v>210000</v>
      </c>
      <c r="E34" s="73">
        <v>604.16999999999996</v>
      </c>
      <c r="F34" s="74">
        <v>1.5506478782677902E-2</v>
      </c>
      <c r="G34" s="75"/>
      <c r="H34" s="75"/>
      <c r="I34" s="70"/>
      <c r="J34" s="19"/>
    </row>
    <row r="35" spans="1:10" x14ac:dyDescent="0.3">
      <c r="A35" s="72" t="s">
        <v>77</v>
      </c>
      <c r="B35" s="72" t="s">
        <v>30</v>
      </c>
      <c r="C35" s="72" t="s">
        <v>119</v>
      </c>
      <c r="D35" s="73">
        <v>6700</v>
      </c>
      <c r="E35" s="73">
        <v>588.3605</v>
      </c>
      <c r="F35" s="74">
        <v>1.510071603988242E-2</v>
      </c>
      <c r="G35" s="75"/>
      <c r="H35" s="75"/>
      <c r="I35" s="70"/>
      <c r="J35" s="20"/>
    </row>
    <row r="36" spans="1:10" x14ac:dyDescent="0.3">
      <c r="A36" s="72" t="s">
        <v>156</v>
      </c>
      <c r="B36" s="72" t="s">
        <v>157</v>
      </c>
      <c r="C36" s="72" t="s">
        <v>108</v>
      </c>
      <c r="D36" s="73">
        <v>157000</v>
      </c>
      <c r="E36" s="73">
        <v>581.92049999999995</v>
      </c>
      <c r="F36" s="74">
        <v>1.4935428582113174E-2</v>
      </c>
      <c r="G36" s="75"/>
      <c r="H36" s="75"/>
      <c r="I36" s="70"/>
      <c r="J36" s="20"/>
    </row>
    <row r="37" spans="1:10" x14ac:dyDescent="0.3">
      <c r="A37" s="72" t="s">
        <v>86</v>
      </c>
      <c r="B37" s="72" t="s">
        <v>52</v>
      </c>
      <c r="C37" s="72" t="s">
        <v>124</v>
      </c>
      <c r="D37" s="73">
        <v>145000</v>
      </c>
      <c r="E37" s="73">
        <v>580.9425</v>
      </c>
      <c r="F37" s="74">
        <v>1.4910327474396043E-2</v>
      </c>
      <c r="G37" s="75"/>
      <c r="H37" s="75"/>
      <c r="I37" s="70"/>
      <c r="J37" s="20"/>
    </row>
    <row r="38" spans="1:10" x14ac:dyDescent="0.3">
      <c r="A38" s="72" t="s">
        <v>137</v>
      </c>
      <c r="B38" s="72" t="s">
        <v>138</v>
      </c>
      <c r="C38" s="72" t="s">
        <v>123</v>
      </c>
      <c r="D38" s="73">
        <v>14700</v>
      </c>
      <c r="E38" s="73">
        <v>580.85580000000004</v>
      </c>
      <c r="F38" s="74">
        <v>1.4908102253497193E-2</v>
      </c>
      <c r="G38" s="75"/>
      <c r="H38" s="75"/>
      <c r="I38" s="70"/>
      <c r="J38" s="20"/>
    </row>
    <row r="39" spans="1:10" x14ac:dyDescent="0.3">
      <c r="A39" s="72" t="s">
        <v>104</v>
      </c>
      <c r="B39" s="72" t="s">
        <v>105</v>
      </c>
      <c r="C39" s="72" t="s">
        <v>135</v>
      </c>
      <c r="D39" s="73">
        <v>93792</v>
      </c>
      <c r="E39" s="73">
        <v>535.50542399999995</v>
      </c>
      <c r="F39" s="74">
        <v>1.3744150645124607E-2</v>
      </c>
      <c r="G39" s="75"/>
      <c r="H39" s="75"/>
      <c r="I39" s="70"/>
      <c r="J39" s="20"/>
    </row>
    <row r="40" spans="1:10" x14ac:dyDescent="0.3">
      <c r="A40" s="72" t="s">
        <v>111</v>
      </c>
      <c r="B40" s="72" t="s">
        <v>112</v>
      </c>
      <c r="C40" s="72" t="s">
        <v>126</v>
      </c>
      <c r="D40" s="73">
        <v>226000</v>
      </c>
      <c r="E40" s="73">
        <v>517.49480000000005</v>
      </c>
      <c r="F40" s="74">
        <v>1.328189439453489E-2</v>
      </c>
      <c r="G40" s="75"/>
      <c r="H40" s="75"/>
      <c r="I40" s="70"/>
      <c r="J40" s="20"/>
    </row>
    <row r="41" spans="1:10" x14ac:dyDescent="0.3">
      <c r="A41" s="72" t="s">
        <v>98</v>
      </c>
      <c r="B41" s="72" t="s">
        <v>99</v>
      </c>
      <c r="C41" s="72" t="s">
        <v>125</v>
      </c>
      <c r="D41" s="73">
        <v>52586</v>
      </c>
      <c r="E41" s="73">
        <v>504.29973999999999</v>
      </c>
      <c r="F41" s="74">
        <v>1.2943233226442859E-2</v>
      </c>
      <c r="G41" s="75"/>
      <c r="H41" s="75"/>
      <c r="I41" s="70"/>
      <c r="J41" s="20"/>
    </row>
    <row r="42" spans="1:10" x14ac:dyDescent="0.3">
      <c r="A42" s="72" t="s">
        <v>100</v>
      </c>
      <c r="B42" s="72" t="s">
        <v>101</v>
      </c>
      <c r="C42" s="72" t="s">
        <v>130</v>
      </c>
      <c r="D42" s="73">
        <v>52800</v>
      </c>
      <c r="E42" s="73">
        <v>501.3888</v>
      </c>
      <c r="F42" s="74">
        <v>1.2868521755585902E-2</v>
      </c>
      <c r="G42" s="75"/>
      <c r="H42" s="75"/>
      <c r="I42" s="70"/>
      <c r="J42" s="20"/>
    </row>
    <row r="43" spans="1:10" x14ac:dyDescent="0.3">
      <c r="A43" s="72" t="s">
        <v>139</v>
      </c>
      <c r="B43" s="72" t="s">
        <v>140</v>
      </c>
      <c r="C43" s="72" t="s">
        <v>127</v>
      </c>
      <c r="D43" s="73">
        <v>7050</v>
      </c>
      <c r="E43" s="73">
        <v>482.46674999999999</v>
      </c>
      <c r="F43" s="74">
        <v>1.238287306920662E-2</v>
      </c>
      <c r="G43" s="75"/>
      <c r="H43" s="75"/>
      <c r="I43" s="70"/>
      <c r="J43" s="20"/>
    </row>
    <row r="44" spans="1:10" x14ac:dyDescent="0.3">
      <c r="A44" s="72" t="s">
        <v>72</v>
      </c>
      <c r="B44" s="72" t="s">
        <v>27</v>
      </c>
      <c r="C44" s="72" t="s">
        <v>134</v>
      </c>
      <c r="D44" s="73">
        <v>81674</v>
      </c>
      <c r="E44" s="73">
        <v>482.36664400000001</v>
      </c>
      <c r="F44" s="74">
        <v>1.2380303773205464E-2</v>
      </c>
      <c r="G44" s="75"/>
      <c r="H44" s="75"/>
      <c r="I44" s="70"/>
      <c r="J44" s="20"/>
    </row>
    <row r="45" spans="1:10" x14ac:dyDescent="0.3">
      <c r="A45" s="72" t="s">
        <v>158</v>
      </c>
      <c r="B45" s="72" t="s">
        <v>159</v>
      </c>
      <c r="C45" s="72" t="s">
        <v>160</v>
      </c>
      <c r="D45" s="73">
        <v>8700</v>
      </c>
      <c r="E45" s="73">
        <v>471.80099999999999</v>
      </c>
      <c r="F45" s="74">
        <v>1.2109128550153461E-2</v>
      </c>
      <c r="G45" s="75"/>
      <c r="H45" s="75"/>
      <c r="I45" s="70"/>
      <c r="J45" s="20"/>
    </row>
    <row r="46" spans="1:10" x14ac:dyDescent="0.3">
      <c r="A46" s="72" t="s">
        <v>85</v>
      </c>
      <c r="B46" s="72" t="s">
        <v>39</v>
      </c>
      <c r="C46" s="72" t="s">
        <v>116</v>
      </c>
      <c r="D46" s="73">
        <v>11600</v>
      </c>
      <c r="E46" s="73">
        <v>465.60079999999999</v>
      </c>
      <c r="F46" s="74">
        <v>1.1949995740268232E-2</v>
      </c>
      <c r="G46" s="75"/>
      <c r="H46" s="75"/>
      <c r="I46" s="70"/>
      <c r="J46" s="19"/>
    </row>
    <row r="47" spans="1:10" x14ac:dyDescent="0.3">
      <c r="A47" s="72" t="s">
        <v>163</v>
      </c>
      <c r="B47" s="72" t="s">
        <v>164</v>
      </c>
      <c r="C47" s="72" t="s">
        <v>165</v>
      </c>
      <c r="D47" s="73">
        <v>16500</v>
      </c>
      <c r="E47" s="73">
        <v>402.27</v>
      </c>
      <c r="F47" s="74">
        <v>1.0324562987086151E-2</v>
      </c>
      <c r="G47" s="75"/>
      <c r="H47" s="75"/>
      <c r="I47" s="70"/>
      <c r="J47" s="19"/>
    </row>
    <row r="48" spans="1:10" x14ac:dyDescent="0.3">
      <c r="A48" s="72" t="s">
        <v>90</v>
      </c>
      <c r="B48" s="72" t="s">
        <v>54</v>
      </c>
      <c r="C48" s="72" t="s">
        <v>136</v>
      </c>
      <c r="D48" s="73">
        <v>35000</v>
      </c>
      <c r="E48" s="73">
        <v>394.27499999999998</v>
      </c>
      <c r="F48" s="74">
        <v>1.0119365281361752E-2</v>
      </c>
      <c r="G48" s="75"/>
      <c r="H48" s="75"/>
      <c r="I48" s="70"/>
      <c r="J48" s="20"/>
    </row>
    <row r="49" spans="1:10" x14ac:dyDescent="0.3">
      <c r="A49" s="72" t="s">
        <v>179</v>
      </c>
      <c r="B49" s="72" t="s">
        <v>180</v>
      </c>
      <c r="C49" s="72" t="s">
        <v>183</v>
      </c>
      <c r="D49" s="73">
        <v>60000</v>
      </c>
      <c r="E49" s="73">
        <v>392.88</v>
      </c>
      <c r="F49" s="74">
        <v>1.008356155409652E-2</v>
      </c>
      <c r="G49" s="75"/>
      <c r="H49" s="75"/>
      <c r="I49" s="70"/>
      <c r="J49" s="19"/>
    </row>
    <row r="50" spans="1:10" x14ac:dyDescent="0.3">
      <c r="A50" s="72" t="s">
        <v>79</v>
      </c>
      <c r="B50" s="72" t="s">
        <v>32</v>
      </c>
      <c r="C50" s="72" t="s">
        <v>126</v>
      </c>
      <c r="D50" s="73">
        <v>11800</v>
      </c>
      <c r="E50" s="73">
        <v>388.90440000000001</v>
      </c>
      <c r="F50" s="74">
        <v>9.981524781253753E-3</v>
      </c>
      <c r="G50" s="75"/>
      <c r="H50" s="75"/>
      <c r="I50" s="70"/>
      <c r="J50" s="20"/>
    </row>
    <row r="51" spans="1:10" x14ac:dyDescent="0.3">
      <c r="A51" s="72" t="s">
        <v>181</v>
      </c>
      <c r="B51" s="72" t="s">
        <v>182</v>
      </c>
      <c r="C51" s="72" t="s">
        <v>117</v>
      </c>
      <c r="D51" s="73">
        <v>12000</v>
      </c>
      <c r="E51" s="73">
        <v>379.21199999999999</v>
      </c>
      <c r="F51" s="74">
        <v>9.7327620241601746E-3</v>
      </c>
      <c r="G51" s="75"/>
      <c r="H51" s="75"/>
      <c r="I51" s="70"/>
      <c r="J51" s="19"/>
    </row>
    <row r="52" spans="1:10" x14ac:dyDescent="0.3">
      <c r="A52" s="72" t="s">
        <v>109</v>
      </c>
      <c r="B52" s="72" t="s">
        <v>110</v>
      </c>
      <c r="C52" s="72" t="s">
        <v>132</v>
      </c>
      <c r="D52" s="73">
        <v>56868</v>
      </c>
      <c r="E52" s="73">
        <v>372.51383399999997</v>
      </c>
      <c r="F52" s="74">
        <v>9.5608485412632168E-3</v>
      </c>
      <c r="G52" s="75"/>
      <c r="H52" s="75"/>
      <c r="I52" s="70"/>
      <c r="J52" s="20"/>
    </row>
    <row r="53" spans="1:10" x14ac:dyDescent="0.3">
      <c r="A53" s="72" t="s">
        <v>149</v>
      </c>
      <c r="B53" s="72" t="s">
        <v>150</v>
      </c>
      <c r="C53" s="72" t="s">
        <v>196</v>
      </c>
      <c r="D53" s="73">
        <v>91366</v>
      </c>
      <c r="E53" s="73">
        <v>37.670201800000001</v>
      </c>
      <c r="F53" s="74">
        <v>9.6683414428206456E-4</v>
      </c>
      <c r="G53" s="75"/>
      <c r="H53" s="75"/>
      <c r="I53" s="70"/>
      <c r="J53" s="19"/>
    </row>
    <row r="54" spans="1:10" x14ac:dyDescent="0.3">
      <c r="A54" s="76"/>
      <c r="B54" s="66" t="s">
        <v>55</v>
      </c>
      <c r="C54" s="76"/>
      <c r="D54" s="77"/>
      <c r="E54" s="78">
        <v>37634.13199129999</v>
      </c>
      <c r="F54" s="79">
        <v>0.96590838543388968</v>
      </c>
      <c r="G54" s="80"/>
      <c r="H54" s="81"/>
      <c r="I54" s="70"/>
      <c r="J54" s="19"/>
    </row>
    <row r="55" spans="1:10" x14ac:dyDescent="0.3">
      <c r="A55" s="76"/>
      <c r="B55" s="66" t="s">
        <v>56</v>
      </c>
      <c r="C55" s="76"/>
      <c r="D55" s="77"/>
      <c r="E55" s="78" t="s">
        <v>12</v>
      </c>
      <c r="F55" s="79" t="s">
        <v>12</v>
      </c>
      <c r="G55" s="80"/>
      <c r="H55" s="81"/>
      <c r="I55" s="70"/>
      <c r="J55" s="19"/>
    </row>
    <row r="56" spans="1:10" x14ac:dyDescent="0.3">
      <c r="A56" s="76"/>
      <c r="B56" s="66" t="s">
        <v>55</v>
      </c>
      <c r="C56" s="76"/>
      <c r="D56" s="77"/>
      <c r="E56" s="78" t="s">
        <v>12</v>
      </c>
      <c r="F56" s="79" t="s">
        <v>12</v>
      </c>
      <c r="G56" s="80"/>
      <c r="H56" s="81"/>
      <c r="I56" s="70"/>
      <c r="J56" s="19"/>
    </row>
    <row r="57" spans="1:10" x14ac:dyDescent="0.3">
      <c r="A57" s="76"/>
      <c r="B57" s="66" t="s">
        <v>13</v>
      </c>
      <c r="C57" s="76"/>
      <c r="D57" s="77"/>
      <c r="E57" s="78">
        <v>37634.13199129999</v>
      </c>
      <c r="F57" s="79">
        <v>0.96590838543388968</v>
      </c>
      <c r="G57" s="80"/>
      <c r="H57" s="81"/>
      <c r="I57" s="70"/>
      <c r="J57" s="19"/>
    </row>
    <row r="58" spans="1:10" x14ac:dyDescent="0.3">
      <c r="A58" s="76"/>
      <c r="B58" s="66"/>
      <c r="C58" s="76"/>
      <c r="D58" s="77"/>
      <c r="E58" s="78"/>
      <c r="F58" s="84"/>
      <c r="G58" s="80"/>
      <c r="H58" s="81"/>
      <c r="I58" s="70"/>
      <c r="J58" s="20"/>
    </row>
    <row r="59" spans="1:10" x14ac:dyDescent="0.3">
      <c r="A59" s="65"/>
      <c r="B59" s="66" t="s">
        <v>57</v>
      </c>
      <c r="C59" s="65"/>
      <c r="D59" s="65"/>
      <c r="E59" s="65"/>
      <c r="F59" s="85"/>
      <c r="G59" s="86"/>
      <c r="H59" s="65"/>
      <c r="I59" s="70"/>
      <c r="J59" s="20"/>
    </row>
    <row r="60" spans="1:10" x14ac:dyDescent="0.3">
      <c r="A60" s="72"/>
      <c r="B60" s="66" t="s">
        <v>58</v>
      </c>
      <c r="C60" s="72"/>
      <c r="D60" s="87"/>
      <c r="E60" s="78" t="s">
        <v>12</v>
      </c>
      <c r="F60" s="88" t="s">
        <v>12</v>
      </c>
      <c r="G60" s="70"/>
      <c r="H60" s="72"/>
      <c r="I60" s="70"/>
      <c r="J60" s="20"/>
    </row>
    <row r="61" spans="1:10" x14ac:dyDescent="0.3">
      <c r="A61" s="65"/>
      <c r="B61" s="66" t="s">
        <v>55</v>
      </c>
      <c r="C61" s="65"/>
      <c r="D61" s="67"/>
      <c r="E61" s="89" t="s">
        <v>12</v>
      </c>
      <c r="F61" s="79" t="s">
        <v>12</v>
      </c>
      <c r="G61" s="83"/>
      <c r="H61" s="79"/>
      <c r="I61" s="70"/>
      <c r="J61" s="20"/>
    </row>
    <row r="62" spans="1:10" x14ac:dyDescent="0.3">
      <c r="A62" s="76"/>
      <c r="B62" s="66" t="s">
        <v>14</v>
      </c>
      <c r="C62" s="76"/>
      <c r="D62" s="77"/>
      <c r="E62" s="71" t="s">
        <v>12</v>
      </c>
      <c r="F62" s="71" t="s">
        <v>12</v>
      </c>
      <c r="G62" s="83"/>
      <c r="H62" s="79"/>
      <c r="I62" s="70"/>
      <c r="J62" s="20"/>
    </row>
    <row r="63" spans="1:10" x14ac:dyDescent="0.3">
      <c r="A63" s="90"/>
      <c r="B63" s="66" t="s">
        <v>55</v>
      </c>
      <c r="C63" s="90"/>
      <c r="D63" s="90"/>
      <c r="E63" s="89" t="s">
        <v>12</v>
      </c>
      <c r="F63" s="79" t="s">
        <v>12</v>
      </c>
      <c r="G63" s="91"/>
      <c r="H63" s="90"/>
      <c r="I63" s="70"/>
      <c r="J63" s="20"/>
    </row>
    <row r="64" spans="1:10" x14ac:dyDescent="0.3">
      <c r="A64" s="90"/>
      <c r="B64" s="66" t="s">
        <v>59</v>
      </c>
      <c r="C64" s="90"/>
      <c r="D64" s="91"/>
      <c r="E64" s="71" t="s">
        <v>12</v>
      </c>
      <c r="F64" s="71" t="s">
        <v>12</v>
      </c>
      <c r="G64" s="92"/>
      <c r="H64" s="92"/>
      <c r="I64" s="70"/>
      <c r="J64" s="20"/>
    </row>
    <row r="65" spans="1:10" x14ac:dyDescent="0.3">
      <c r="A65" s="76"/>
      <c r="B65" s="66" t="s">
        <v>55</v>
      </c>
      <c r="C65" s="76"/>
      <c r="D65" s="77"/>
      <c r="E65" s="89" t="s">
        <v>12</v>
      </c>
      <c r="F65" s="79" t="s">
        <v>12</v>
      </c>
      <c r="G65" s="93"/>
      <c r="H65" s="94"/>
      <c r="I65" s="70"/>
      <c r="J65" s="20"/>
    </row>
    <row r="66" spans="1:10" x14ac:dyDescent="0.3">
      <c r="A66" s="76"/>
      <c r="B66" s="66" t="s">
        <v>60</v>
      </c>
      <c r="C66" s="76"/>
      <c r="D66" s="77"/>
      <c r="E66" s="71" t="s">
        <v>12</v>
      </c>
      <c r="F66" s="71" t="s">
        <v>12</v>
      </c>
      <c r="G66" s="93"/>
      <c r="H66" s="94"/>
      <c r="I66" s="70"/>
      <c r="J66" s="20"/>
    </row>
    <row r="67" spans="1:10" x14ac:dyDescent="0.3">
      <c r="A67" s="76"/>
      <c r="B67" s="66" t="s">
        <v>55</v>
      </c>
      <c r="C67" s="76"/>
      <c r="D67" s="77"/>
      <c r="E67" s="89" t="s">
        <v>12</v>
      </c>
      <c r="F67" s="79" t="s">
        <v>12</v>
      </c>
      <c r="G67" s="83"/>
      <c r="H67" s="79"/>
      <c r="I67" s="70"/>
      <c r="J67" s="20"/>
    </row>
    <row r="68" spans="1:10" x14ac:dyDescent="0.3">
      <c r="A68" s="76"/>
      <c r="B68" s="95" t="s">
        <v>13</v>
      </c>
      <c r="C68" s="76"/>
      <c r="D68" s="77"/>
      <c r="E68" s="89" t="s">
        <v>12</v>
      </c>
      <c r="F68" s="79" t="s">
        <v>12</v>
      </c>
      <c r="G68" s="83"/>
      <c r="H68" s="79"/>
      <c r="I68" s="70"/>
      <c r="J68" s="20"/>
    </row>
    <row r="69" spans="1:10" x14ac:dyDescent="0.3">
      <c r="A69" s="90"/>
      <c r="B69" s="90"/>
      <c r="C69" s="90"/>
      <c r="D69" s="96"/>
      <c r="E69" s="96"/>
      <c r="F69" s="97"/>
      <c r="G69" s="92"/>
      <c r="H69" s="92"/>
      <c r="I69" s="70"/>
      <c r="J69" s="20"/>
    </row>
    <row r="70" spans="1:10" x14ac:dyDescent="0.3">
      <c r="A70" s="76"/>
      <c r="B70" s="66" t="s">
        <v>61</v>
      </c>
      <c r="C70" s="76"/>
      <c r="D70" s="77"/>
      <c r="E70" s="98"/>
      <c r="F70" s="88"/>
      <c r="G70" s="83"/>
      <c r="H70" s="79"/>
      <c r="I70" s="70"/>
      <c r="J70" s="20"/>
    </row>
    <row r="71" spans="1:10" x14ac:dyDescent="0.3">
      <c r="A71" s="76"/>
      <c r="B71" s="76" t="s">
        <v>13</v>
      </c>
      <c r="C71" s="76"/>
      <c r="D71" s="77"/>
      <c r="E71" s="78" t="s">
        <v>12</v>
      </c>
      <c r="F71" s="79" t="s">
        <v>12</v>
      </c>
      <c r="G71" s="83"/>
      <c r="H71" s="79"/>
      <c r="I71" s="70"/>
      <c r="J71" s="20"/>
    </row>
    <row r="72" spans="1:10" x14ac:dyDescent="0.3">
      <c r="A72" s="76"/>
      <c r="B72" s="76"/>
      <c r="C72" s="76"/>
      <c r="D72" s="77"/>
      <c r="E72" s="78"/>
      <c r="F72" s="79"/>
      <c r="G72" s="83"/>
      <c r="H72" s="79"/>
      <c r="I72" s="70"/>
      <c r="J72" s="20"/>
    </row>
    <row r="73" spans="1:10" ht="40.5" x14ac:dyDescent="0.3">
      <c r="A73" s="65" t="s">
        <v>151</v>
      </c>
      <c r="B73" s="110" t="s">
        <v>194</v>
      </c>
      <c r="C73" s="65" t="s">
        <v>152</v>
      </c>
      <c r="D73" s="67">
        <v>100000</v>
      </c>
      <c r="E73" s="82">
        <v>10.25</v>
      </c>
      <c r="F73" s="93">
        <v>2.9999999999999997E-4</v>
      </c>
      <c r="G73" s="111">
        <v>46266</v>
      </c>
      <c r="H73" s="112"/>
      <c r="I73" s="113">
        <v>8.1479999999999997</v>
      </c>
      <c r="J73" s="19"/>
    </row>
    <row r="74" spans="1:10" x14ac:dyDescent="0.3">
      <c r="A74" s="76"/>
      <c r="B74" s="95" t="s">
        <v>13</v>
      </c>
      <c r="C74" s="76"/>
      <c r="D74" s="77"/>
      <c r="E74" s="78">
        <f>+E73</f>
        <v>10.25</v>
      </c>
      <c r="F74" s="79">
        <f>+F73</f>
        <v>2.9999999999999997E-4</v>
      </c>
      <c r="G74" s="83"/>
      <c r="H74" s="79"/>
      <c r="I74" s="70"/>
      <c r="J74" s="20"/>
    </row>
    <row r="75" spans="1:10" x14ac:dyDescent="0.3">
      <c r="A75" s="76"/>
      <c r="B75" s="76"/>
      <c r="C75" s="76"/>
      <c r="D75" s="77"/>
      <c r="E75" s="77"/>
      <c r="F75" s="88"/>
      <c r="G75" s="83"/>
      <c r="H75" s="79"/>
      <c r="I75" s="70"/>
      <c r="J75" s="20"/>
    </row>
    <row r="76" spans="1:10" x14ac:dyDescent="0.3">
      <c r="A76" s="76"/>
      <c r="B76" s="99" t="s">
        <v>62</v>
      </c>
      <c r="C76" s="76"/>
      <c r="D76" s="77"/>
      <c r="E76" s="77"/>
      <c r="F76" s="88"/>
      <c r="G76" s="83"/>
      <c r="H76" s="79"/>
      <c r="I76" s="70"/>
      <c r="J76" s="20"/>
    </row>
    <row r="77" spans="1:10" x14ac:dyDescent="0.3">
      <c r="A77" s="72"/>
      <c r="B77" s="72" t="s">
        <v>17</v>
      </c>
      <c r="C77" s="72"/>
      <c r="D77" s="73">
        <v>5526.9080999999996</v>
      </c>
      <c r="E77" s="73">
        <v>552.60227659999998</v>
      </c>
      <c r="F77" s="74">
        <v>1.4182954263464597E-2</v>
      </c>
      <c r="G77" s="83" t="s">
        <v>184</v>
      </c>
      <c r="H77" s="79"/>
      <c r="I77" s="100">
        <v>5.8496079999999999E-2</v>
      </c>
      <c r="J77" s="20"/>
    </row>
    <row r="78" spans="1:10" ht="13.5" x14ac:dyDescent="0.25">
      <c r="A78" s="76"/>
      <c r="B78" s="99" t="s">
        <v>13</v>
      </c>
      <c r="C78" s="76"/>
      <c r="D78" s="77"/>
      <c r="E78" s="78">
        <v>552.60227659999998</v>
      </c>
      <c r="F78" s="79">
        <v>1.4182954263464597E-2</v>
      </c>
      <c r="G78" s="83"/>
      <c r="H78" s="79"/>
      <c r="I78" s="70"/>
      <c r="J78" s="21"/>
    </row>
    <row r="79" spans="1:10" x14ac:dyDescent="0.3">
      <c r="A79" s="76"/>
      <c r="B79" s="99"/>
      <c r="C79" s="76"/>
      <c r="D79" s="77"/>
      <c r="E79" s="77"/>
      <c r="F79" s="88"/>
      <c r="G79" s="83"/>
      <c r="H79" s="79"/>
      <c r="I79" s="70"/>
      <c r="J79" s="20"/>
    </row>
    <row r="80" spans="1:10" x14ac:dyDescent="0.3">
      <c r="A80" s="76"/>
      <c r="B80" s="99" t="s">
        <v>15</v>
      </c>
      <c r="C80" s="76"/>
      <c r="D80" s="77"/>
      <c r="E80" s="77"/>
      <c r="F80" s="88"/>
      <c r="G80" s="83"/>
      <c r="H80" s="79"/>
      <c r="I80" s="70"/>
      <c r="J80" s="20"/>
    </row>
    <row r="81" spans="1:10" x14ac:dyDescent="0.3">
      <c r="A81" s="65"/>
      <c r="B81" s="99" t="s">
        <v>16</v>
      </c>
      <c r="C81" s="65"/>
      <c r="D81" s="67"/>
      <c r="E81" s="67">
        <v>765.43966259999991</v>
      </c>
      <c r="F81" s="74">
        <v>1.9645590000000001E-2</v>
      </c>
      <c r="G81" s="83"/>
      <c r="H81" s="83"/>
      <c r="I81" s="70"/>
      <c r="J81" s="20"/>
    </row>
    <row r="82" spans="1:10" s="11" customFormat="1" x14ac:dyDescent="0.3">
      <c r="A82" s="76"/>
      <c r="B82" s="99" t="s">
        <v>13</v>
      </c>
      <c r="C82" s="76"/>
      <c r="D82" s="77"/>
      <c r="E82" s="77">
        <v>765.43966259999991</v>
      </c>
      <c r="F82" s="79">
        <v>1.9645590000000001E-2</v>
      </c>
      <c r="G82" s="101"/>
      <c r="H82" s="102"/>
      <c r="I82" s="70"/>
      <c r="J82" s="20"/>
    </row>
    <row r="83" spans="1:10" s="11" customFormat="1" x14ac:dyDescent="0.3">
      <c r="A83" s="103"/>
      <c r="B83" s="99" t="s">
        <v>63</v>
      </c>
      <c r="C83" s="103"/>
      <c r="D83" s="103"/>
      <c r="E83" s="77">
        <v>38962.423930500001</v>
      </c>
      <c r="F83" s="104">
        <v>1.0000369296973544</v>
      </c>
      <c r="G83" s="105"/>
      <c r="H83" s="103"/>
      <c r="I83" s="70"/>
      <c r="J83" s="20"/>
    </row>
    <row r="84" spans="1:10" x14ac:dyDescent="0.3">
      <c r="A84" s="22"/>
      <c r="B84" s="25"/>
      <c r="C84" s="22"/>
      <c r="D84" s="22"/>
      <c r="E84" s="26"/>
      <c r="F84" s="27"/>
      <c r="G84" s="28"/>
      <c r="H84" s="22"/>
      <c r="I84" s="22"/>
      <c r="J84" s="22"/>
    </row>
    <row r="85" spans="1:10" ht="13.5" customHeight="1" x14ac:dyDescent="0.3">
      <c r="A85" s="12" t="s">
        <v>8</v>
      </c>
      <c r="B85" s="12"/>
      <c r="C85" s="12"/>
      <c r="D85" s="12"/>
      <c r="E85" s="12"/>
      <c r="F85" s="12"/>
      <c r="G85" s="12"/>
      <c r="H85" s="12"/>
      <c r="I85" s="22"/>
      <c r="J85" s="22"/>
    </row>
    <row r="86" spans="1:10" ht="13.5" customHeight="1" x14ac:dyDescent="0.3">
      <c r="A86" s="12" t="s">
        <v>7</v>
      </c>
      <c r="B86" s="12"/>
      <c r="C86" s="12"/>
      <c r="D86" s="12"/>
      <c r="E86" s="12"/>
      <c r="F86" s="12"/>
      <c r="G86" s="12"/>
      <c r="H86" s="12"/>
      <c r="I86" s="22"/>
      <c r="J86" s="22"/>
    </row>
    <row r="87" spans="1:10" ht="13.5" customHeight="1" x14ac:dyDescent="0.3">
      <c r="A87" s="13" t="s">
        <v>6</v>
      </c>
      <c r="B87" s="13"/>
      <c r="C87" s="13"/>
      <c r="D87" s="13"/>
      <c r="E87" s="13"/>
      <c r="F87" s="13"/>
      <c r="G87" s="14"/>
      <c r="H87" s="14"/>
      <c r="I87" s="22"/>
      <c r="J87" s="22"/>
    </row>
    <row r="88" spans="1:10" ht="24.75" customHeight="1" x14ac:dyDescent="0.3">
      <c r="A88" s="121" t="s">
        <v>5</v>
      </c>
      <c r="B88" s="122"/>
      <c r="C88" s="122"/>
      <c r="D88" s="122"/>
      <c r="E88" s="122"/>
      <c r="F88" s="122"/>
      <c r="G88" s="122"/>
      <c r="H88" s="122"/>
      <c r="I88" s="122"/>
      <c r="J88" s="22"/>
    </row>
    <row r="89" spans="1:10" x14ac:dyDescent="0.3">
      <c r="A89" s="122"/>
      <c r="B89" s="122"/>
      <c r="C89" s="122"/>
      <c r="D89" s="122"/>
      <c r="E89" s="122"/>
      <c r="F89" s="122"/>
      <c r="G89" s="122"/>
      <c r="H89" s="122"/>
      <c r="I89" s="122"/>
      <c r="J89" s="22"/>
    </row>
    <row r="90" spans="1:10" x14ac:dyDescent="0.3">
      <c r="A90" s="22"/>
      <c r="B90" s="22"/>
      <c r="C90" s="22"/>
      <c r="D90" s="22"/>
      <c r="E90" s="22"/>
      <c r="F90" s="22"/>
      <c r="G90" s="22"/>
      <c r="H90" s="22"/>
      <c r="I90" s="22"/>
      <c r="J90" s="22"/>
    </row>
    <row r="91" spans="1:10" x14ac:dyDescent="0.3">
      <c r="A91" s="30" t="s">
        <v>186</v>
      </c>
      <c r="B91" s="31"/>
      <c r="C91" s="32"/>
      <c r="D91" s="33"/>
      <c r="E91" s="33"/>
      <c r="F91" s="24"/>
      <c r="G91" s="22"/>
      <c r="H91" s="22"/>
      <c r="I91" s="22"/>
      <c r="J91" s="22"/>
    </row>
    <row r="92" spans="1:10" ht="25.5" x14ac:dyDescent="0.3">
      <c r="A92" s="34" t="s">
        <v>166</v>
      </c>
      <c r="B92" s="35" t="s">
        <v>167</v>
      </c>
      <c r="C92" s="36" t="s">
        <v>9</v>
      </c>
      <c r="D92" s="34" t="s">
        <v>168</v>
      </c>
      <c r="E92" s="34" t="s">
        <v>169</v>
      </c>
      <c r="F92" s="37" t="s">
        <v>170</v>
      </c>
      <c r="G92" s="22"/>
      <c r="H92" s="22"/>
      <c r="I92" s="22"/>
      <c r="J92" s="22"/>
    </row>
    <row r="93" spans="1:10" x14ac:dyDescent="0.3">
      <c r="A93" s="103" t="s">
        <v>187</v>
      </c>
      <c r="B93" s="103" t="s">
        <v>177</v>
      </c>
      <c r="C93" s="54">
        <v>-3750</v>
      </c>
      <c r="D93" s="106">
        <v>4308.9040000000005</v>
      </c>
      <c r="E93" s="106">
        <v>3952.2</v>
      </c>
      <c r="F93" s="107">
        <v>30.13093125</v>
      </c>
      <c r="G93" s="22"/>
      <c r="H93" s="22"/>
      <c r="I93" s="22"/>
      <c r="J93" s="22"/>
    </row>
    <row r="94" spans="1:10" x14ac:dyDescent="0.3">
      <c r="A94" s="103" t="s">
        <v>188</v>
      </c>
      <c r="B94" s="103" t="s">
        <v>177</v>
      </c>
      <c r="C94" s="54">
        <v>-51150</v>
      </c>
      <c r="D94" s="106">
        <v>777.8134</v>
      </c>
      <c r="E94" s="106">
        <v>737.6</v>
      </c>
      <c r="F94" s="107">
        <v>66.774279000000007</v>
      </c>
      <c r="G94" s="22"/>
      <c r="H94" s="22"/>
      <c r="I94" s="22"/>
      <c r="J94" s="22"/>
    </row>
    <row r="95" spans="1:10" x14ac:dyDescent="0.3">
      <c r="A95" s="103" t="s">
        <v>189</v>
      </c>
      <c r="B95" s="103" t="s">
        <v>177</v>
      </c>
      <c r="C95" s="54">
        <v>-3750</v>
      </c>
      <c r="D95" s="106">
        <v>4180.0039999999999</v>
      </c>
      <c r="E95" s="106">
        <v>3965.6</v>
      </c>
      <c r="F95" s="107">
        <v>30.13093125</v>
      </c>
      <c r="G95" s="22"/>
      <c r="H95" s="22"/>
      <c r="I95" s="22"/>
      <c r="J95" s="22"/>
    </row>
    <row r="96" spans="1:10" x14ac:dyDescent="0.3">
      <c r="A96" s="22"/>
      <c r="B96" s="22"/>
      <c r="C96" s="22"/>
      <c r="D96" s="22"/>
      <c r="E96" s="22"/>
      <c r="F96" s="22"/>
      <c r="G96" s="22"/>
      <c r="H96" s="22"/>
      <c r="I96" s="22"/>
      <c r="J96" s="22"/>
    </row>
    <row r="97" spans="1:10" x14ac:dyDescent="0.3">
      <c r="A97" s="22"/>
      <c r="B97" s="22"/>
      <c r="C97" s="22"/>
      <c r="D97" s="22"/>
      <c r="E97" s="22"/>
      <c r="F97" s="22"/>
      <c r="G97" s="22"/>
      <c r="H97" s="22"/>
      <c r="I97" s="22"/>
      <c r="J97" s="22"/>
    </row>
    <row r="98" spans="1:10" x14ac:dyDescent="0.3">
      <c r="A98" s="38" t="s">
        <v>190</v>
      </c>
      <c r="B98" s="22"/>
      <c r="C98" s="22"/>
      <c r="D98" s="114"/>
      <c r="E98" s="114"/>
      <c r="F98" s="22"/>
      <c r="G98" s="22"/>
      <c r="H98" s="22"/>
      <c r="I98" s="22"/>
      <c r="J98" s="22"/>
    </row>
    <row r="99" spans="1:10" x14ac:dyDescent="0.3">
      <c r="A99" s="22"/>
      <c r="B99" s="22"/>
      <c r="C99" s="22"/>
      <c r="D99" s="114"/>
      <c r="E99" s="114"/>
      <c r="F99" s="22"/>
      <c r="G99" s="22"/>
      <c r="H99" s="22"/>
      <c r="I99" s="22"/>
      <c r="J99" s="22"/>
    </row>
    <row r="100" spans="1:10" x14ac:dyDescent="0.3">
      <c r="A100" s="124" t="s">
        <v>195</v>
      </c>
      <c r="B100" s="124"/>
      <c r="C100" s="39"/>
      <c r="D100" s="40"/>
      <c r="E100" s="22"/>
      <c r="F100" s="22"/>
      <c r="G100" s="22"/>
      <c r="H100" s="22"/>
      <c r="I100" s="22"/>
      <c r="J100" s="22"/>
    </row>
    <row r="101" spans="1:10" x14ac:dyDescent="0.3">
      <c r="A101" s="41" t="s">
        <v>191</v>
      </c>
      <c r="B101" s="41"/>
      <c r="C101" s="41"/>
      <c r="D101" s="41"/>
      <c r="E101" s="22"/>
      <c r="F101" s="22"/>
      <c r="G101" s="22"/>
      <c r="H101" s="22"/>
      <c r="I101" s="22"/>
      <c r="J101" s="22"/>
    </row>
    <row r="102" spans="1:10" x14ac:dyDescent="0.3">
      <c r="A102" s="42" t="s">
        <v>171</v>
      </c>
      <c r="B102" s="43"/>
      <c r="C102" s="44"/>
      <c r="D102" s="45">
        <v>20</v>
      </c>
      <c r="E102" s="114"/>
      <c r="F102" s="22"/>
      <c r="G102" s="22"/>
      <c r="H102" s="22"/>
      <c r="I102" s="22"/>
      <c r="J102" s="22"/>
    </row>
    <row r="103" spans="1:10" x14ac:dyDescent="0.3">
      <c r="A103" s="42" t="s">
        <v>172</v>
      </c>
      <c r="B103" s="43"/>
      <c r="C103" s="44"/>
      <c r="D103" s="45">
        <v>143</v>
      </c>
      <c r="E103" s="114"/>
      <c r="F103" s="22"/>
      <c r="G103" s="22"/>
      <c r="H103" s="22"/>
      <c r="I103" s="22"/>
      <c r="J103" s="22"/>
    </row>
    <row r="104" spans="1:10" x14ac:dyDescent="0.3">
      <c r="A104" s="42" t="s">
        <v>173</v>
      </c>
      <c r="B104" s="43"/>
      <c r="C104" s="44"/>
      <c r="D104" s="55">
        <v>160.97584599999999</v>
      </c>
      <c r="E104" s="114"/>
      <c r="F104" s="114"/>
      <c r="G104" s="22"/>
      <c r="H104" s="22"/>
      <c r="I104" s="22"/>
      <c r="J104" s="22"/>
    </row>
    <row r="105" spans="1:10" x14ac:dyDescent="0.3">
      <c r="A105" s="42" t="s">
        <v>174</v>
      </c>
      <c r="B105" s="43"/>
      <c r="C105" s="44"/>
      <c r="D105" s="46">
        <v>715.97076069999991</v>
      </c>
      <c r="E105" s="114"/>
      <c r="F105" s="114"/>
      <c r="G105" s="22"/>
      <c r="H105" s="22"/>
      <c r="I105" s="22"/>
      <c r="J105" s="22"/>
    </row>
    <row r="106" spans="1:10" x14ac:dyDescent="0.3">
      <c r="A106" s="42" t="s">
        <v>175</v>
      </c>
      <c r="B106" s="43"/>
      <c r="C106" s="44"/>
      <c r="D106" s="47">
        <v>20.090250000000001</v>
      </c>
      <c r="E106" s="22"/>
      <c r="F106" s="22"/>
      <c r="G106" s="22"/>
      <c r="H106" s="22"/>
      <c r="I106" s="22"/>
      <c r="J106" s="22"/>
    </row>
    <row r="107" spans="1:10" x14ac:dyDescent="0.3">
      <c r="A107" s="22"/>
      <c r="B107" s="22"/>
      <c r="C107" s="22"/>
      <c r="D107" s="22"/>
      <c r="E107" s="22"/>
      <c r="F107" s="22"/>
      <c r="G107" s="22"/>
      <c r="H107" s="22"/>
      <c r="I107" s="22"/>
      <c r="J107" s="22"/>
    </row>
    <row r="108" spans="1:10" x14ac:dyDescent="0.3">
      <c r="A108" s="125" t="s">
        <v>185</v>
      </c>
      <c r="B108" s="125"/>
      <c r="C108" s="48"/>
      <c r="D108" s="6"/>
      <c r="E108" s="22"/>
      <c r="F108" s="22"/>
      <c r="G108" s="22"/>
      <c r="H108" s="22"/>
      <c r="I108" s="22"/>
      <c r="J108" s="22"/>
    </row>
    <row r="109" spans="1:10" x14ac:dyDescent="0.3">
      <c r="A109" s="49" t="s">
        <v>192</v>
      </c>
      <c r="B109" s="50"/>
      <c r="C109" s="51"/>
      <c r="D109" s="52"/>
      <c r="E109" s="22"/>
      <c r="F109" s="22"/>
      <c r="G109" s="22"/>
      <c r="H109" s="22"/>
      <c r="I109" s="22"/>
      <c r="J109" s="22"/>
    </row>
    <row r="110" spans="1:10" x14ac:dyDescent="0.3">
      <c r="A110" s="42" t="s">
        <v>171</v>
      </c>
      <c r="B110" s="43"/>
      <c r="C110" s="44"/>
      <c r="D110" s="53" t="s">
        <v>176</v>
      </c>
      <c r="E110" s="22"/>
      <c r="F110" s="22"/>
      <c r="G110" s="22"/>
      <c r="H110" s="22"/>
      <c r="I110" s="22"/>
      <c r="J110" s="22"/>
    </row>
    <row r="111" spans="1:10" x14ac:dyDescent="0.3">
      <c r="A111" s="42" t="s">
        <v>172</v>
      </c>
      <c r="B111" s="43"/>
      <c r="C111" s="44"/>
      <c r="D111" s="53" t="s">
        <v>176</v>
      </c>
      <c r="E111" s="22"/>
      <c r="F111" s="22"/>
      <c r="G111" s="22"/>
      <c r="H111" s="22"/>
      <c r="I111" s="22"/>
      <c r="J111" s="22"/>
    </row>
    <row r="112" spans="1:10" x14ac:dyDescent="0.3">
      <c r="A112" s="42" t="s">
        <v>173</v>
      </c>
      <c r="B112" s="43"/>
      <c r="C112" s="44"/>
      <c r="D112" s="53" t="s">
        <v>176</v>
      </c>
      <c r="E112" s="22"/>
      <c r="F112" s="22"/>
      <c r="G112" s="22"/>
      <c r="H112" s="22"/>
      <c r="I112" s="22"/>
      <c r="J112" s="22"/>
    </row>
    <row r="113" spans="1:10" x14ac:dyDescent="0.3">
      <c r="A113" s="42" t="s">
        <v>174</v>
      </c>
      <c r="B113" s="43"/>
      <c r="C113" s="44"/>
      <c r="D113" s="53" t="s">
        <v>176</v>
      </c>
      <c r="E113" s="22"/>
      <c r="F113" s="22"/>
      <c r="G113" s="22"/>
      <c r="H113" s="22"/>
      <c r="I113" s="22"/>
      <c r="J113" s="22"/>
    </row>
    <row r="114" spans="1:10" x14ac:dyDescent="0.3">
      <c r="A114" s="42" t="s">
        <v>175</v>
      </c>
      <c r="B114" s="43"/>
      <c r="C114" s="44"/>
      <c r="D114" s="53" t="s">
        <v>176</v>
      </c>
      <c r="E114" s="22"/>
      <c r="F114" s="22"/>
      <c r="G114" s="22"/>
      <c r="H114" s="22"/>
      <c r="I114" s="22"/>
      <c r="J114" s="22"/>
    </row>
    <row r="115" spans="1:10" x14ac:dyDescent="0.3">
      <c r="A115" s="22"/>
      <c r="B115" s="22"/>
      <c r="C115" s="22"/>
      <c r="D115" s="22"/>
      <c r="E115" s="22"/>
      <c r="F115" s="22"/>
      <c r="G115" s="22"/>
      <c r="H115" s="22"/>
      <c r="I115" s="22"/>
      <c r="J115" s="22"/>
    </row>
    <row r="116" spans="1:10" x14ac:dyDescent="0.3">
      <c r="A116" s="22"/>
      <c r="B116" s="22"/>
      <c r="C116" s="22"/>
      <c r="D116" s="22"/>
      <c r="E116" s="22"/>
      <c r="F116" s="22"/>
      <c r="G116" s="22"/>
      <c r="H116" s="22"/>
      <c r="I116" s="22"/>
      <c r="J116" s="22"/>
    </row>
    <row r="117" spans="1:10" x14ac:dyDescent="0.3">
      <c r="A117" s="15" t="s">
        <v>4</v>
      </c>
      <c r="B117" s="16"/>
      <c r="C117" s="6"/>
      <c r="D117" s="16"/>
      <c r="E117" s="6"/>
      <c r="F117" s="6"/>
      <c r="G117" s="6"/>
      <c r="H117" s="6"/>
      <c r="I117" s="22"/>
    </row>
    <row r="118" spans="1:10" x14ac:dyDescent="0.3">
      <c r="A118" s="17" t="s">
        <v>3</v>
      </c>
      <c r="B118" s="16"/>
      <c r="C118" s="16"/>
      <c r="D118" s="16"/>
      <c r="E118" s="6"/>
      <c r="F118" s="6"/>
      <c r="G118" s="6"/>
      <c r="H118" s="6"/>
      <c r="I118" s="22"/>
    </row>
    <row r="119" spans="1:10" x14ac:dyDescent="0.3">
      <c r="A119" s="17" t="s">
        <v>2</v>
      </c>
      <c r="B119" s="16"/>
      <c r="C119" s="16"/>
      <c r="D119" s="16"/>
      <c r="E119" s="6"/>
      <c r="F119" s="6"/>
      <c r="G119" s="6"/>
      <c r="H119" s="6"/>
      <c r="I119" s="22"/>
    </row>
    <row r="120" spans="1:10" x14ac:dyDescent="0.3">
      <c r="A120" s="17" t="s">
        <v>1</v>
      </c>
      <c r="B120" s="16"/>
      <c r="C120" s="16"/>
      <c r="D120" s="16"/>
      <c r="E120" s="6"/>
      <c r="F120" s="6"/>
      <c r="G120" s="6"/>
      <c r="H120" s="6"/>
      <c r="I120" s="22"/>
    </row>
    <row r="121" spans="1:10" x14ac:dyDescent="0.3">
      <c r="A121" s="22"/>
      <c r="B121" s="5"/>
      <c r="C121" s="8"/>
      <c r="D121" s="7"/>
      <c r="E121" s="6"/>
      <c r="F121" s="6"/>
      <c r="G121" s="6"/>
      <c r="H121" s="6"/>
      <c r="I121" s="6"/>
      <c r="J121" s="22"/>
    </row>
    <row r="122" spans="1:10" x14ac:dyDescent="0.3">
      <c r="A122" s="123" t="s">
        <v>142</v>
      </c>
      <c r="B122" s="123"/>
      <c r="C122" s="117" t="s">
        <v>193</v>
      </c>
      <c r="D122" s="117"/>
      <c r="E122" s="6"/>
      <c r="F122" s="6"/>
      <c r="G122" s="6"/>
      <c r="H122" s="6"/>
      <c r="I122" s="6"/>
      <c r="J122" s="22"/>
    </row>
    <row r="123" spans="1:10" x14ac:dyDescent="0.3">
      <c r="A123" s="22"/>
      <c r="B123" s="9"/>
      <c r="C123" s="8"/>
      <c r="D123" s="7"/>
      <c r="E123" s="6"/>
      <c r="F123" s="6"/>
      <c r="G123" s="6"/>
      <c r="H123" s="6"/>
      <c r="I123" s="6"/>
      <c r="J123" s="22"/>
    </row>
    <row r="124" spans="1:10" x14ac:dyDescent="0.3">
      <c r="A124" s="22"/>
      <c r="B124" s="5"/>
      <c r="C124" s="8"/>
      <c r="D124" s="7"/>
      <c r="E124" s="6"/>
      <c r="F124" s="6"/>
      <c r="G124" s="6"/>
      <c r="H124" s="6"/>
      <c r="I124" s="6"/>
      <c r="J124" s="22"/>
    </row>
    <row r="125" spans="1:10" x14ac:dyDescent="0.3">
      <c r="A125" s="22"/>
      <c r="B125" s="5"/>
      <c r="C125" s="8"/>
      <c r="D125" s="7"/>
      <c r="E125" s="6"/>
      <c r="F125" s="6"/>
      <c r="G125" s="6"/>
      <c r="H125" s="6"/>
      <c r="I125" s="6"/>
      <c r="J125" s="23"/>
    </row>
    <row r="126" spans="1:10" x14ac:dyDescent="0.3">
      <c r="A126" s="22"/>
      <c r="B126" s="5"/>
      <c r="C126" s="8"/>
      <c r="D126" s="7"/>
      <c r="E126" s="6"/>
      <c r="F126" s="6"/>
      <c r="G126" s="6"/>
      <c r="H126" s="6"/>
      <c r="I126" s="6"/>
      <c r="J126" s="24"/>
    </row>
    <row r="127" spans="1:10" x14ac:dyDescent="0.3">
      <c r="A127" s="22"/>
      <c r="B127" s="5"/>
      <c r="C127" s="8"/>
      <c r="D127" s="7"/>
      <c r="E127" s="6"/>
      <c r="F127" s="6"/>
      <c r="G127" s="6"/>
      <c r="H127" s="6"/>
      <c r="I127" s="6"/>
      <c r="J127" s="24"/>
    </row>
    <row r="128" spans="1:10" x14ac:dyDescent="0.3">
      <c r="A128" s="22"/>
      <c r="B128" s="5"/>
      <c r="C128" s="8"/>
      <c r="D128" s="7"/>
      <c r="E128" s="6"/>
      <c r="F128" s="6"/>
      <c r="G128" s="6"/>
      <c r="H128" s="6"/>
      <c r="I128" s="6"/>
      <c r="J128" s="24"/>
    </row>
    <row r="129" spans="1:10" x14ac:dyDescent="0.3">
      <c r="A129" s="22"/>
      <c r="B129" s="5"/>
      <c r="C129" s="8"/>
      <c r="D129" s="7"/>
      <c r="E129" s="6"/>
      <c r="F129" s="6"/>
      <c r="G129" s="6"/>
      <c r="H129" s="6"/>
      <c r="I129" s="6"/>
      <c r="J129" s="24"/>
    </row>
    <row r="130" spans="1:10" x14ac:dyDescent="0.3">
      <c r="A130" s="22"/>
      <c r="B130" s="5"/>
      <c r="C130" s="8"/>
      <c r="D130" s="7"/>
      <c r="E130" s="6"/>
      <c r="F130" s="6"/>
      <c r="G130" s="6"/>
      <c r="H130" s="6"/>
      <c r="I130" s="6"/>
      <c r="J130" s="24"/>
    </row>
    <row r="131" spans="1:10" x14ac:dyDescent="0.3">
      <c r="A131" s="22"/>
      <c r="B131" s="5"/>
      <c r="C131" s="8"/>
      <c r="D131" s="7"/>
      <c r="E131" s="6"/>
      <c r="F131" s="6"/>
      <c r="G131" s="6"/>
      <c r="H131" s="6"/>
      <c r="I131" s="6"/>
      <c r="J131" s="24"/>
    </row>
    <row r="132" spans="1:10" x14ac:dyDescent="0.3">
      <c r="A132" s="22"/>
      <c r="B132" s="5"/>
      <c r="C132" s="8"/>
      <c r="D132" s="7"/>
      <c r="E132" s="6"/>
      <c r="F132" s="6"/>
      <c r="G132" s="6"/>
      <c r="H132" s="6"/>
      <c r="I132" s="6"/>
      <c r="J132" s="24"/>
    </row>
    <row r="133" spans="1:10" x14ac:dyDescent="0.3">
      <c r="A133" s="123" t="s">
        <v>143</v>
      </c>
      <c r="B133" s="123"/>
      <c r="C133" s="118" t="s">
        <v>0</v>
      </c>
      <c r="D133" s="118"/>
      <c r="E133" s="118"/>
      <c r="F133" s="118"/>
      <c r="G133" s="6"/>
      <c r="H133" s="6"/>
      <c r="I133" s="6"/>
    </row>
    <row r="134" spans="1:10" x14ac:dyDescent="0.3">
      <c r="A134" s="22"/>
      <c r="B134" s="5"/>
      <c r="C134" s="8"/>
      <c r="D134" s="7"/>
      <c r="E134" s="6"/>
      <c r="F134" s="6"/>
      <c r="G134" s="6"/>
      <c r="H134" s="6"/>
      <c r="I134" s="6"/>
    </row>
    <row r="135" spans="1:10" x14ac:dyDescent="0.3">
      <c r="A135" s="115" t="s">
        <v>144</v>
      </c>
      <c r="B135" s="116"/>
      <c r="C135" s="29"/>
      <c r="D135" s="7"/>
      <c r="E135" s="22"/>
      <c r="F135" s="22"/>
      <c r="G135" s="22"/>
      <c r="H135" s="22"/>
      <c r="I135" s="22"/>
    </row>
    <row r="136" spans="1:10" x14ac:dyDescent="0.3">
      <c r="A136" s="56" t="s">
        <v>147</v>
      </c>
      <c r="B136" s="108"/>
      <c r="C136" s="29"/>
      <c r="D136" s="7"/>
      <c r="E136" s="22"/>
      <c r="F136" s="22"/>
      <c r="G136" s="22"/>
      <c r="H136" s="22"/>
      <c r="I136" s="22"/>
    </row>
    <row r="137" spans="1:10" x14ac:dyDescent="0.3">
      <c r="A137" s="109" t="s">
        <v>145</v>
      </c>
      <c r="B137" s="109"/>
      <c r="C137" s="109"/>
      <c r="D137" s="7"/>
      <c r="E137" s="22"/>
      <c r="F137" s="22"/>
      <c r="G137" s="22"/>
      <c r="H137" s="22"/>
      <c r="I137" s="22"/>
    </row>
    <row r="138" spans="1:10" x14ac:dyDescent="0.3">
      <c r="A138" s="109"/>
      <c r="B138" s="109"/>
      <c r="C138" s="109"/>
      <c r="D138" s="7"/>
      <c r="E138" s="22"/>
      <c r="F138" s="22"/>
      <c r="G138" s="22"/>
      <c r="H138" s="22"/>
      <c r="I138" s="22"/>
    </row>
    <row r="139" spans="1:10" x14ac:dyDescent="0.3">
      <c r="A139" s="56" t="s">
        <v>148</v>
      </c>
      <c r="B139" s="109"/>
      <c r="C139" s="109"/>
      <c r="D139" s="7"/>
      <c r="E139" s="22"/>
      <c r="F139" s="22"/>
      <c r="G139" s="22"/>
      <c r="H139" s="22"/>
      <c r="I139" s="22"/>
    </row>
    <row r="140" spans="1:10" x14ac:dyDescent="0.3">
      <c r="A140" s="109" t="s">
        <v>146</v>
      </c>
      <c r="B140" s="109"/>
      <c r="C140" s="109"/>
      <c r="D140" s="7"/>
      <c r="E140" s="22"/>
      <c r="F140" s="22"/>
      <c r="G140" s="22"/>
      <c r="H140" s="22"/>
      <c r="I140" s="22"/>
    </row>
    <row r="141" spans="1:10" x14ac:dyDescent="0.3">
      <c r="A141" s="109"/>
      <c r="B141" s="109"/>
      <c r="C141" s="109"/>
      <c r="D141" s="7"/>
      <c r="E141" s="22"/>
      <c r="F141" s="22"/>
      <c r="G141" s="22"/>
      <c r="H141" s="22"/>
      <c r="I141" s="22"/>
    </row>
    <row r="142" spans="1:10" x14ac:dyDescent="0.3">
      <c r="A142" s="22"/>
      <c r="B142" s="108"/>
      <c r="C142" s="29"/>
      <c r="D142" s="7"/>
      <c r="E142" s="22"/>
      <c r="F142" s="22"/>
      <c r="G142" s="22"/>
      <c r="H142" s="22"/>
      <c r="I142" s="22"/>
    </row>
    <row r="143" spans="1:10" x14ac:dyDescent="0.3">
      <c r="A143" s="22"/>
      <c r="B143" s="108"/>
      <c r="C143" s="29"/>
      <c r="D143" s="7"/>
      <c r="E143" s="22"/>
      <c r="F143" s="22"/>
      <c r="G143" s="22"/>
      <c r="H143" s="22"/>
      <c r="I143" s="22"/>
    </row>
    <row r="144" spans="1:10" x14ac:dyDescent="0.3">
      <c r="A144" s="22"/>
      <c r="B144" s="108"/>
      <c r="C144" s="29"/>
      <c r="D144" s="7"/>
      <c r="E144" s="22"/>
      <c r="F144" s="22"/>
      <c r="G144" s="22"/>
      <c r="H144" s="22"/>
      <c r="I144" s="22"/>
    </row>
    <row r="145" spans="1:9" x14ac:dyDescent="0.3">
      <c r="A145" s="22"/>
      <c r="B145" s="108"/>
      <c r="C145" s="29"/>
      <c r="D145" s="7"/>
      <c r="E145" s="22"/>
      <c r="F145" s="22"/>
      <c r="G145" s="22"/>
      <c r="H145" s="22"/>
      <c r="I145" s="22"/>
    </row>
    <row r="146" spans="1:9" x14ac:dyDescent="0.3">
      <c r="A146" s="22"/>
      <c r="B146" s="108"/>
      <c r="C146" s="29"/>
      <c r="D146" s="7"/>
      <c r="E146" s="22"/>
      <c r="F146" s="22"/>
      <c r="G146" s="22"/>
      <c r="H146" s="22"/>
      <c r="I146" s="22"/>
    </row>
    <row r="147" spans="1:9" x14ac:dyDescent="0.3">
      <c r="A147" s="22"/>
      <c r="B147" s="108"/>
      <c r="C147" s="29"/>
      <c r="D147" s="7"/>
      <c r="E147" s="22"/>
      <c r="F147" s="22"/>
      <c r="G147" s="22"/>
      <c r="H147" s="22"/>
      <c r="I147" s="22"/>
    </row>
    <row r="148" spans="1:9" x14ac:dyDescent="0.3">
      <c r="A148" s="22"/>
      <c r="B148" s="108"/>
      <c r="C148" s="29"/>
      <c r="D148" s="7"/>
      <c r="E148" s="22"/>
      <c r="F148" s="22"/>
      <c r="G148" s="22"/>
      <c r="H148" s="22"/>
      <c r="I148" s="22"/>
    </row>
    <row r="149" spans="1:9" x14ac:dyDescent="0.3">
      <c r="A149" s="22"/>
      <c r="B149" s="108"/>
      <c r="C149" s="29"/>
      <c r="D149" s="7"/>
      <c r="E149" s="22"/>
      <c r="F149" s="22"/>
      <c r="G149" s="22"/>
      <c r="H149" s="22"/>
      <c r="I149" s="22"/>
    </row>
    <row r="150" spans="1:9" x14ac:dyDescent="0.3">
      <c r="A150" s="22"/>
      <c r="B150" s="108"/>
      <c r="C150" s="29"/>
      <c r="D150" s="7"/>
      <c r="E150" s="22"/>
      <c r="F150" s="22"/>
      <c r="G150" s="22"/>
      <c r="H150" s="22"/>
      <c r="I150" s="22"/>
    </row>
    <row r="151" spans="1:9" x14ac:dyDescent="0.3">
      <c r="A151" s="22"/>
      <c r="B151" s="108"/>
      <c r="C151" s="29"/>
      <c r="D151" s="7"/>
      <c r="E151" s="22"/>
      <c r="F151" s="22"/>
      <c r="G151" s="22"/>
      <c r="H151" s="22"/>
      <c r="I151" s="22"/>
    </row>
    <row r="152" spans="1:9" x14ac:dyDescent="0.3">
      <c r="A152" s="22"/>
      <c r="B152" s="108"/>
      <c r="C152" s="29"/>
      <c r="D152" s="7"/>
      <c r="E152" s="22"/>
      <c r="F152" s="22"/>
      <c r="G152" s="22"/>
      <c r="H152" s="22"/>
      <c r="I152" s="22"/>
    </row>
    <row r="153" spans="1:9" x14ac:dyDescent="0.3">
      <c r="A153" s="22"/>
      <c r="B153" s="108"/>
      <c r="C153" s="29"/>
      <c r="D153" s="7"/>
      <c r="E153" s="22"/>
      <c r="F153" s="22"/>
      <c r="G153" s="22"/>
      <c r="H153" s="22"/>
      <c r="I153" s="22"/>
    </row>
    <row r="154" spans="1:9" x14ac:dyDescent="0.3">
      <c r="A154" s="22"/>
      <c r="B154" s="108"/>
      <c r="C154" s="29"/>
      <c r="D154" s="7"/>
      <c r="E154" s="22"/>
      <c r="F154" s="22"/>
      <c r="G154" s="22"/>
      <c r="H154" s="22"/>
      <c r="I154" s="22"/>
    </row>
    <row r="155" spans="1:9" x14ac:dyDescent="0.3">
      <c r="A155" s="22"/>
      <c r="B155" s="108"/>
      <c r="C155" s="29"/>
      <c r="D155" s="7"/>
      <c r="E155" s="22"/>
      <c r="F155" s="22"/>
      <c r="G155" s="22"/>
      <c r="H155" s="22"/>
      <c r="I155" s="22"/>
    </row>
    <row r="156" spans="1:9" x14ac:dyDescent="0.3">
      <c r="A156" s="22"/>
      <c r="B156" s="108"/>
      <c r="C156" s="29"/>
      <c r="D156" s="7"/>
      <c r="E156" s="22"/>
      <c r="F156" s="22"/>
      <c r="G156" s="22"/>
      <c r="H156" s="22"/>
      <c r="I156" s="22"/>
    </row>
    <row r="157" spans="1:9" x14ac:dyDescent="0.3">
      <c r="A157" s="22"/>
      <c r="B157" s="108"/>
      <c r="C157" s="29"/>
      <c r="D157" s="7"/>
      <c r="E157" s="22"/>
      <c r="F157" s="22"/>
      <c r="G157" s="22"/>
      <c r="H157" s="22"/>
      <c r="I157" s="22"/>
    </row>
  </sheetData>
  <mergeCells count="11">
    <mergeCell ref="A135:B135"/>
    <mergeCell ref="C122:D122"/>
    <mergeCell ref="C133:F133"/>
    <mergeCell ref="B1:I1"/>
    <mergeCell ref="B2:I2"/>
    <mergeCell ref="B3:I3"/>
    <mergeCell ref="A88:I89"/>
    <mergeCell ref="A122:B122"/>
    <mergeCell ref="A133:B133"/>
    <mergeCell ref="A100:B100"/>
    <mergeCell ref="A108:B108"/>
  </mergeCells>
  <hyperlinks>
    <hyperlink ref="A137" r:id="rId1" xr:uid="{00000000-0004-0000-0000-000000000000}"/>
    <hyperlink ref="A140"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2026-04-08T03:42:22Z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