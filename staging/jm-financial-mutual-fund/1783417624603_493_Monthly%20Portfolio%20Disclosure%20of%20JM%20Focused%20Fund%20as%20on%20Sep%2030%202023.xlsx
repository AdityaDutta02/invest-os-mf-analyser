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Fund'!$A$1:$K$147</definedName>
    <definedName name="AAAAA">#REF!</definedName>
    <definedName name="Afs">#REF!</definedName>
    <definedName name="_xlnm.Database">#REF!</definedName>
    <definedName name="EBLDB">#REF!</definedName>
    <definedName name="fl">#REF!</definedName>
    <definedName name="_xlnm.Print_Area" localSheetId="0">'JM Focused Fund'!$A$1:$E$52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4" i="1" l="1"/>
  <c r="E56" i="1" s="1"/>
  <c r="D54" i="1"/>
  <c r="E53" i="1"/>
  <c r="E42" i="1"/>
  <c r="D42" i="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E34" i="1" s="1"/>
  <c r="E38" i="1" s="1"/>
  <c r="E6" i="1"/>
  <c r="E60" i="1" l="1"/>
  <c r="D56" i="1"/>
  <c r="D58" i="1" s="1"/>
  <c r="E58" i="1" s="1"/>
</calcChain>
</file>

<file path=xl/sharedStrings.xml><?xml version="1.0" encoding="utf-8"?>
<sst xmlns="http://schemas.openxmlformats.org/spreadsheetml/2006/main" count="134" uniqueCount="113">
  <si>
    <t>JM Focused Fund  (An open-ended equity scheme investing in maximum of 30 stocks of large cap, mid cap and small cap companies)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</si>
  <si>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</si>
  <si>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</si>
  <si>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</si>
  <si>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</si>
  <si>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</si>
  <si>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</si>
  <si>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</si>
  <si>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</si>
  <si>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</si>
  <si>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</si>
  <si>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</si>
  <si>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</si>
  <si>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</si>
  <si>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</si>
  <si>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Tata Motors Ltd.</t>
  </si>
  <si>
    <t>Automobiles</t>
  </si>
  <si>
    <t>IN9155A01020</t>
  </si>
  <si>
    <t>TVS Motor Company Ltd.</t>
  </si>
  <si>
    <t>INE494B01023</t>
  </si>
  <si>
    <t>Maruti Suzuki India Ltd.</t>
  </si>
  <si>
    <t>INE585B01010</t>
  </si>
  <si>
    <t>Infosys Ltd.</t>
  </si>
  <si>
    <t>IT - Software</t>
  </si>
  <si>
    <t>INE009A01021</t>
  </si>
  <si>
    <t>Ultratech Cement Ltd.</t>
  </si>
  <si>
    <t>Cement &amp; Cement Products</t>
  </si>
  <si>
    <t>INE481G01011</t>
  </si>
  <si>
    <t>Larsen &amp; Toubro Ltd.</t>
  </si>
  <si>
    <t>Construction</t>
  </si>
  <si>
    <t>INE018A01030</t>
  </si>
  <si>
    <t>REC Ltd.</t>
  </si>
  <si>
    <t>Finance</t>
  </si>
  <si>
    <t>INE020B01018</t>
  </si>
  <si>
    <t>One 97 Communications Ltd.</t>
  </si>
  <si>
    <t>Financial Technology (Fintech)</t>
  </si>
  <si>
    <t>INE982J01020</t>
  </si>
  <si>
    <t>Trent Ltd.</t>
  </si>
  <si>
    <t>Retailing</t>
  </si>
  <si>
    <t>INE849A01020</t>
  </si>
  <si>
    <t>Bank of Baroda</t>
  </si>
  <si>
    <t>Banks</t>
  </si>
  <si>
    <t>INE028A01039</t>
  </si>
  <si>
    <t>The Phoenix Mills Ltd.</t>
  </si>
  <si>
    <t>Realty</t>
  </si>
  <si>
    <t>INE211B01039</t>
  </si>
  <si>
    <t>Prince Pipes And Fittings Ltd.</t>
  </si>
  <si>
    <t>Industrial Products</t>
  </si>
  <si>
    <t>INE689W01016</t>
  </si>
  <si>
    <t>Titan Company Ltd.</t>
  </si>
  <si>
    <t>Consumer Durables</t>
  </si>
  <si>
    <t>INE280A01028</t>
  </si>
  <si>
    <t>Poonawalla Fincorp Ltd.</t>
  </si>
  <si>
    <t>INE511C01022</t>
  </si>
  <si>
    <t>Schaeffler India Ltd.</t>
  </si>
  <si>
    <t>Auto Components</t>
  </si>
  <si>
    <t>INE513A01022</t>
  </si>
  <si>
    <t>Narayana Hrudayalaya Ltd</t>
  </si>
  <si>
    <t>Healthcare Services</t>
  </si>
  <si>
    <t>INE410P01011</t>
  </si>
  <si>
    <t>Amber Enterprises India Ltd.</t>
  </si>
  <si>
    <t>INE371P01015</t>
  </si>
  <si>
    <t>ICICI Bank Ltd.</t>
  </si>
  <si>
    <t>INE090A01021</t>
  </si>
  <si>
    <t>Tech Mahindra Ltd.</t>
  </si>
  <si>
    <t>INE669C01036</t>
  </si>
  <si>
    <t>Navin Fluorine International Ltd.</t>
  </si>
  <si>
    <t>Chemicals &amp; Petrochemicals</t>
  </si>
  <si>
    <t>INE048G01026</t>
  </si>
  <si>
    <t>Crompton Greaves Consumer Electricals Ltd.</t>
  </si>
  <si>
    <t>INE299U01018</t>
  </si>
  <si>
    <t>Jubilant Foodworks Ltd.</t>
  </si>
  <si>
    <t>Leisure Services</t>
  </si>
  <si>
    <t>INE797F01020</t>
  </si>
  <si>
    <t>Godrej Properties Ltd.</t>
  </si>
  <si>
    <t>INE484J01027</t>
  </si>
  <si>
    <t>Sumitomo Chemical India Ltd.</t>
  </si>
  <si>
    <t>Fertilizers &amp; Agrochemicals</t>
  </si>
  <si>
    <t>INE258G01013</t>
  </si>
  <si>
    <t>Star Health and Allied Insurance Company Ltd.</t>
  </si>
  <si>
    <t>Insurance</t>
  </si>
  <si>
    <t>INE575P01011</t>
  </si>
  <si>
    <t>Reliance Industries Ltd.</t>
  </si>
  <si>
    <t>Petroleum Products</t>
  </si>
  <si>
    <t>INE002A01018</t>
  </si>
  <si>
    <t>Hitachi Energy India Ltd.</t>
  </si>
  <si>
    <t>Electrical Equipment</t>
  </si>
  <si>
    <t>INE07Y701011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</si>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</sst>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72</xdr:row>
      <xdr:rowOff>104775</xdr:rowOff>
    </xdr:from>
    <xdr:to>
      <xdr:col>0</xdr:col>
      <xdr:colOff>2495550</xdr:colOff>
      <xdr:row>78</xdr:row>
      <xdr:rowOff>9525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4630400"/>
          <a:ext cx="19145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200025</xdr:colOff>
      <xdr:row>72</xdr:row>
      <xdr:rowOff>133350</xdr:rowOff>
    </xdr:from>
    <xdr:to>
      <xdr:col>2</xdr:col>
      <xdr:colOff>285750</xdr:colOff>
      <xdr:row>78</xdr:row>
      <xdr:rowOff>28575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5" y="14658975"/>
          <a:ext cx="18097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tember%202023/Monthly/Template%20Portfolio%20Disclosure%20-30.09%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09.2023"/>
      <sheetName val="GHS 3009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1"/>
    <pageSetUpPr fitToPage="1"/>
  </sheetPr>
  <dimension ref="A1:K147"/>
  <sheetViews>
    <sheetView tabSelected="1" zoomScaleNormal="100" workbookViewId="0">
      <selection activeCell="A68" sqref="A68"/>
    </sheetView>
  </sheetViews>
  <sheetFormatPr defaultRowHeight="12.75" x14ac:dyDescent="0.2"/>
  <cols>
    <col min="1" max="1" width="42.28515625" style="52" customWidth="1"/>
    <col min="2" max="2" width="25.85546875" style="53" customWidth="1"/>
    <col min="3" max="3" width="13.42578125" style="54" customWidth="1"/>
    <col min="4" max="4" width="12.28515625" style="2" customWidth="1"/>
    <col min="5" max="5" width="8.42578125" style="2" customWidth="1"/>
    <col min="6" max="6" width="13.28515625" style="2" customWidth="1"/>
    <col min="7" max="7" width="9.5703125" style="2" bestFit="1" customWidth="1"/>
    <col min="8" max="8" width="15.42578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55" t="s">
        <v>2</v>
      </c>
      <c r="B3" s="55" t="s">
        <v>3</v>
      </c>
      <c r="C3" s="56" t="s">
        <v>4</v>
      </c>
      <c r="D3" s="55" t="s">
        <v>5</v>
      </c>
      <c r="E3" s="55" t="s">
        <v>6</v>
      </c>
      <c r="F3" s="55" t="s">
        <v>7</v>
      </c>
      <c r="G3" s="55" t="s">
        <v>8</v>
      </c>
      <c r="H3" s="57"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70000</v>
      </c>
      <c r="D6" s="16">
        <v>311.08</v>
      </c>
      <c r="E6" s="16">
        <f t="shared" ref="E6:E33" si="0">(+D6/$D$60*100)</f>
        <v>5.6332133389398518</v>
      </c>
      <c r="F6" s="16" t="s">
        <v>14</v>
      </c>
      <c r="G6" s="11"/>
      <c r="H6" s="11"/>
    </row>
    <row r="7" spans="1:8" s="17" customFormat="1" ht="14.25" x14ac:dyDescent="0.3">
      <c r="A7" s="13" t="s">
        <v>15</v>
      </c>
      <c r="B7" s="14" t="s">
        <v>16</v>
      </c>
      <c r="C7" s="15">
        <v>64000</v>
      </c>
      <c r="D7" s="16">
        <v>273.952</v>
      </c>
      <c r="E7" s="16">
        <f t="shared" si="0"/>
        <v>4.960878425579434</v>
      </c>
      <c r="F7" s="16" t="s">
        <v>17</v>
      </c>
      <c r="G7" s="11"/>
      <c r="H7" s="10"/>
    </row>
    <row r="8" spans="1:8" s="17" customFormat="1" ht="14.25" x14ac:dyDescent="0.3">
      <c r="A8" s="13" t="s">
        <v>18</v>
      </c>
      <c r="B8" s="14" t="s">
        <v>16</v>
      </c>
      <c r="C8" s="15">
        <v>16300</v>
      </c>
      <c r="D8" s="16">
        <v>248.05340000000001</v>
      </c>
      <c r="E8" s="16">
        <f t="shared" si="0"/>
        <v>4.4918918659167506</v>
      </c>
      <c r="F8" s="16" t="s">
        <v>19</v>
      </c>
      <c r="G8" s="11"/>
      <c r="H8" s="10"/>
    </row>
    <row r="9" spans="1:8" s="17" customFormat="1" ht="14.25" x14ac:dyDescent="0.3">
      <c r="A9" s="13" t="s">
        <v>20</v>
      </c>
      <c r="B9" s="14" t="s">
        <v>16</v>
      </c>
      <c r="C9" s="15">
        <v>2225</v>
      </c>
      <c r="D9" s="16">
        <v>236.08584999999999</v>
      </c>
      <c r="E9" s="16">
        <f t="shared" si="0"/>
        <v>4.2751766727367659</v>
      </c>
      <c r="F9" s="16" t="s">
        <v>21</v>
      </c>
      <c r="G9" s="11"/>
      <c r="H9" s="10"/>
    </row>
    <row r="10" spans="1:8" s="17" customFormat="1" ht="14.25" x14ac:dyDescent="0.3">
      <c r="A10" s="13" t="s">
        <v>22</v>
      </c>
      <c r="B10" s="14" t="s">
        <v>23</v>
      </c>
      <c r="C10" s="15">
        <v>15610</v>
      </c>
      <c r="D10" s="16">
        <v>224.073745</v>
      </c>
      <c r="E10" s="16">
        <f t="shared" si="0"/>
        <v>4.057654652308754</v>
      </c>
      <c r="F10" s="16" t="s">
        <v>24</v>
      </c>
      <c r="G10" s="11"/>
      <c r="H10" s="11"/>
    </row>
    <row r="11" spans="1:8" s="17" customFormat="1" ht="14.25" x14ac:dyDescent="0.3">
      <c r="A11" s="13" t="s">
        <v>25</v>
      </c>
      <c r="B11" s="14" t="s">
        <v>26</v>
      </c>
      <c r="C11" s="15">
        <v>2700</v>
      </c>
      <c r="D11" s="16">
        <v>222.88095000000001</v>
      </c>
      <c r="E11" s="16">
        <f t="shared" si="0"/>
        <v>4.0360548429201053</v>
      </c>
      <c r="F11" s="16" t="s">
        <v>27</v>
      </c>
      <c r="G11" s="11"/>
      <c r="H11" s="10"/>
    </row>
    <row r="12" spans="1:8" s="17" customFormat="1" ht="14.25" x14ac:dyDescent="0.3">
      <c r="A12" s="13" t="s">
        <v>28</v>
      </c>
      <c r="B12" s="14" t="s">
        <v>29</v>
      </c>
      <c r="C12" s="15">
        <v>7000</v>
      </c>
      <c r="D12" s="16">
        <v>211.64850000000001</v>
      </c>
      <c r="E12" s="16">
        <f t="shared" si="0"/>
        <v>3.8326512580899168</v>
      </c>
      <c r="F12" s="16" t="s">
        <v>30</v>
      </c>
      <c r="G12" s="11"/>
      <c r="H12" s="18"/>
    </row>
    <row r="13" spans="1:8" s="17" customFormat="1" ht="14.25" x14ac:dyDescent="0.3">
      <c r="A13" s="13" t="s">
        <v>31</v>
      </c>
      <c r="B13" s="14" t="s">
        <v>32</v>
      </c>
      <c r="C13" s="15">
        <v>71000</v>
      </c>
      <c r="D13" s="16">
        <v>204.054</v>
      </c>
      <c r="E13" s="16">
        <f t="shared" si="0"/>
        <v>3.6951257382796467</v>
      </c>
      <c r="F13" s="16" t="s">
        <v>33</v>
      </c>
      <c r="G13" s="11"/>
      <c r="H13" s="10"/>
    </row>
    <row r="14" spans="1:8" s="17" customFormat="1" ht="14.25" x14ac:dyDescent="0.3">
      <c r="A14" s="13" t="s">
        <v>34</v>
      </c>
      <c r="B14" s="14" t="s">
        <v>35</v>
      </c>
      <c r="C14" s="15">
        <v>23200</v>
      </c>
      <c r="D14" s="16">
        <v>198.9864</v>
      </c>
      <c r="E14" s="16">
        <f t="shared" si="0"/>
        <v>3.6033587589932523</v>
      </c>
      <c r="F14" s="16" t="s">
        <v>36</v>
      </c>
      <c r="G14" s="11"/>
      <c r="H14" s="10"/>
    </row>
    <row r="15" spans="1:8" s="17" customFormat="1" ht="14.25" x14ac:dyDescent="0.3">
      <c r="A15" s="13" t="s">
        <v>37</v>
      </c>
      <c r="B15" s="14" t="s">
        <v>38</v>
      </c>
      <c r="C15" s="15">
        <v>9359</v>
      </c>
      <c r="D15" s="16">
        <v>194.68123850000001</v>
      </c>
      <c r="E15" s="16">
        <f t="shared" si="0"/>
        <v>3.5253984491434061</v>
      </c>
      <c r="F15" s="16" t="s">
        <v>39</v>
      </c>
      <c r="G15" s="11"/>
      <c r="H15" s="10"/>
    </row>
    <row r="16" spans="1:8" s="17" customFormat="1" ht="14.25" x14ac:dyDescent="0.3">
      <c r="A16" s="13" t="s">
        <v>40</v>
      </c>
      <c r="B16" s="14" t="s">
        <v>41</v>
      </c>
      <c r="C16" s="15">
        <v>90000</v>
      </c>
      <c r="D16" s="16">
        <v>192.55500000000001</v>
      </c>
      <c r="E16" s="16">
        <f t="shared" si="0"/>
        <v>3.4868953146443462</v>
      </c>
      <c r="F16" s="16" t="s">
        <v>42</v>
      </c>
      <c r="G16" s="11"/>
      <c r="H16" s="11"/>
    </row>
    <row r="17" spans="1:8" s="17" customFormat="1" ht="14.25" x14ac:dyDescent="0.3">
      <c r="A17" s="13" t="s">
        <v>43</v>
      </c>
      <c r="B17" s="14" t="s">
        <v>44</v>
      </c>
      <c r="C17" s="15">
        <v>10500</v>
      </c>
      <c r="D17" s="16">
        <v>190.50675000000001</v>
      </c>
      <c r="E17" s="16">
        <f t="shared" si="0"/>
        <v>3.4498044402021337</v>
      </c>
      <c r="F17" s="16" t="s">
        <v>45</v>
      </c>
      <c r="G17" s="11"/>
      <c r="H17" s="10"/>
    </row>
    <row r="18" spans="1:8" s="17" customFormat="1" ht="14.25" x14ac:dyDescent="0.3">
      <c r="A18" s="13" t="s">
        <v>46</v>
      </c>
      <c r="B18" s="14" t="s">
        <v>47</v>
      </c>
      <c r="C18" s="15">
        <v>26000</v>
      </c>
      <c r="D18" s="16">
        <v>181.67500000000001</v>
      </c>
      <c r="E18" s="16">
        <f t="shared" si="0"/>
        <v>3.2898740946119895</v>
      </c>
      <c r="F18" s="16" t="s">
        <v>48</v>
      </c>
      <c r="G18" s="11"/>
      <c r="H18" s="10"/>
    </row>
    <row r="19" spans="1:8" s="17" customFormat="1" ht="14.25" x14ac:dyDescent="0.3">
      <c r="A19" s="13" t="s">
        <v>49</v>
      </c>
      <c r="B19" s="14" t="s">
        <v>50</v>
      </c>
      <c r="C19" s="15">
        <v>5754</v>
      </c>
      <c r="D19" s="16">
        <v>181.181952</v>
      </c>
      <c r="E19" s="16">
        <f t="shared" si="0"/>
        <v>3.2809457013680086</v>
      </c>
      <c r="F19" s="16" t="s">
        <v>51</v>
      </c>
      <c r="G19" s="11"/>
      <c r="H19" s="10"/>
    </row>
    <row r="20" spans="1:8" s="17" customFormat="1" ht="14.25" x14ac:dyDescent="0.3">
      <c r="A20" s="13" t="s">
        <v>52</v>
      </c>
      <c r="B20" s="14" t="s">
        <v>32</v>
      </c>
      <c r="C20" s="15">
        <v>47500</v>
      </c>
      <c r="D20" s="16">
        <v>180.64250000000001</v>
      </c>
      <c r="E20" s="16">
        <f t="shared" si="0"/>
        <v>3.2711769981337353</v>
      </c>
      <c r="F20" s="16" t="s">
        <v>53</v>
      </c>
      <c r="G20" s="11"/>
      <c r="H20" s="10"/>
    </row>
    <row r="21" spans="1:8" s="17" customFormat="1" ht="14.25" x14ac:dyDescent="0.3">
      <c r="A21" s="13" t="s">
        <v>54</v>
      </c>
      <c r="B21" s="14" t="s">
        <v>55</v>
      </c>
      <c r="C21" s="15">
        <v>5200</v>
      </c>
      <c r="D21" s="16">
        <v>172.37479999999999</v>
      </c>
      <c r="E21" s="16">
        <f t="shared" si="0"/>
        <v>3.1214607903339631</v>
      </c>
      <c r="F21" s="16" t="s">
        <v>56</v>
      </c>
      <c r="G21" s="11"/>
      <c r="H21" s="10"/>
    </row>
    <row r="22" spans="1:8" s="17" customFormat="1" ht="14.25" x14ac:dyDescent="0.3">
      <c r="A22" s="13" t="s">
        <v>57</v>
      </c>
      <c r="B22" s="14" t="s">
        <v>58</v>
      </c>
      <c r="C22" s="15">
        <v>15686</v>
      </c>
      <c r="D22" s="16">
        <v>170.27153000000001</v>
      </c>
      <c r="E22" s="16">
        <f t="shared" si="0"/>
        <v>3.083373582479418</v>
      </c>
      <c r="F22" s="16" t="s">
        <v>59</v>
      </c>
      <c r="G22" s="11"/>
      <c r="H22" s="10"/>
    </row>
    <row r="23" spans="1:8" s="17" customFormat="1" ht="14.25" x14ac:dyDescent="0.3">
      <c r="A23" s="13" t="s">
        <v>60</v>
      </c>
      <c r="B23" s="14" t="s">
        <v>50</v>
      </c>
      <c r="C23" s="15">
        <v>5700</v>
      </c>
      <c r="D23" s="16">
        <v>169.67760000000001</v>
      </c>
      <c r="E23" s="16">
        <f t="shared" si="0"/>
        <v>3.0726183606766773</v>
      </c>
      <c r="F23" s="16" t="s">
        <v>61</v>
      </c>
      <c r="G23" s="11"/>
      <c r="H23" s="11"/>
    </row>
    <row r="24" spans="1:8" s="17" customFormat="1" ht="14.25" x14ac:dyDescent="0.3">
      <c r="A24" s="13" t="s">
        <v>62</v>
      </c>
      <c r="B24" s="14" t="s">
        <v>41</v>
      </c>
      <c r="C24" s="15">
        <v>17000</v>
      </c>
      <c r="D24" s="16">
        <v>161.82300000000001</v>
      </c>
      <c r="E24" s="16">
        <f t="shared" si="0"/>
        <v>2.9303828023250089</v>
      </c>
      <c r="F24" s="16" t="s">
        <v>63</v>
      </c>
      <c r="G24" s="11"/>
      <c r="H24" s="11"/>
    </row>
    <row r="25" spans="1:8" s="17" customFormat="1" ht="14.25" x14ac:dyDescent="0.3">
      <c r="A25" s="13" t="s">
        <v>64</v>
      </c>
      <c r="B25" s="14" t="s">
        <v>23</v>
      </c>
      <c r="C25" s="15">
        <v>13200</v>
      </c>
      <c r="D25" s="16">
        <v>161.40960000000001</v>
      </c>
      <c r="E25" s="16">
        <f t="shared" si="0"/>
        <v>2.9228967203064999</v>
      </c>
      <c r="F25" s="16" t="s">
        <v>65</v>
      </c>
      <c r="G25" s="11"/>
      <c r="H25" s="10"/>
    </row>
    <row r="26" spans="1:8" s="17" customFormat="1" ht="14.25" x14ac:dyDescent="0.3">
      <c r="A26" s="13" t="s">
        <v>66</v>
      </c>
      <c r="B26" s="14" t="s">
        <v>67</v>
      </c>
      <c r="C26" s="15">
        <v>4250</v>
      </c>
      <c r="D26" s="16">
        <v>160.08475000000001</v>
      </c>
      <c r="E26" s="16">
        <f t="shared" si="0"/>
        <v>2.8989055839682769</v>
      </c>
      <c r="F26" s="16" t="s">
        <v>68</v>
      </c>
      <c r="G26" s="11"/>
      <c r="H26" s="10"/>
    </row>
    <row r="27" spans="1:8" s="17" customFormat="1" ht="14.25" x14ac:dyDescent="0.3">
      <c r="A27" s="13" t="s">
        <v>69</v>
      </c>
      <c r="B27" s="14" t="s">
        <v>50</v>
      </c>
      <c r="C27" s="15">
        <v>51626</v>
      </c>
      <c r="D27" s="16">
        <v>159.96316099999999</v>
      </c>
      <c r="E27" s="16">
        <f t="shared" si="0"/>
        <v>2.8967037812915746</v>
      </c>
      <c r="F27" s="16" t="s">
        <v>70</v>
      </c>
      <c r="G27" s="11"/>
      <c r="H27" s="11"/>
    </row>
    <row r="28" spans="1:8" s="17" customFormat="1" ht="14.25" x14ac:dyDescent="0.3">
      <c r="A28" s="13" t="s">
        <v>71</v>
      </c>
      <c r="B28" s="14" t="s">
        <v>72</v>
      </c>
      <c r="C28" s="15">
        <v>30000</v>
      </c>
      <c r="D28" s="16">
        <v>159.93</v>
      </c>
      <c r="E28" s="16">
        <f t="shared" si="0"/>
        <v>2.8961032830675406</v>
      </c>
      <c r="F28" s="16" t="s">
        <v>73</v>
      </c>
      <c r="G28" s="11"/>
      <c r="H28" s="11"/>
    </row>
    <row r="29" spans="1:8" s="17" customFormat="1" ht="14.25" x14ac:dyDescent="0.3">
      <c r="A29" s="13" t="s">
        <v>74</v>
      </c>
      <c r="B29" s="14" t="s">
        <v>44</v>
      </c>
      <c r="C29" s="15">
        <v>10000</v>
      </c>
      <c r="D29" s="16">
        <v>155.41</v>
      </c>
      <c r="E29" s="16">
        <f t="shared" si="0"/>
        <v>2.8142525556276277</v>
      </c>
      <c r="F29" s="16" t="s">
        <v>75</v>
      </c>
      <c r="G29" s="11"/>
      <c r="H29" s="11"/>
    </row>
    <row r="30" spans="1:8" s="17" customFormat="1" ht="14.25" x14ac:dyDescent="0.3">
      <c r="A30" s="13" t="s">
        <v>76</v>
      </c>
      <c r="B30" s="14" t="s">
        <v>77</v>
      </c>
      <c r="C30" s="15">
        <v>36000</v>
      </c>
      <c r="D30" s="16">
        <v>152.06399999999999</v>
      </c>
      <c r="E30" s="16">
        <f t="shared" si="0"/>
        <v>2.7536612870404706</v>
      </c>
      <c r="F30" s="16" t="s">
        <v>78</v>
      </c>
      <c r="G30" s="11"/>
      <c r="H30" s="10"/>
    </row>
    <row r="31" spans="1:8" s="17" customFormat="1" ht="14.25" x14ac:dyDescent="0.3">
      <c r="A31" s="13" t="s">
        <v>79</v>
      </c>
      <c r="B31" s="14" t="s">
        <v>80</v>
      </c>
      <c r="C31" s="15">
        <v>25263</v>
      </c>
      <c r="D31" s="16">
        <v>151.81799849999999</v>
      </c>
      <c r="E31" s="16">
        <f t="shared" si="0"/>
        <v>2.7492065521452691</v>
      </c>
      <c r="F31" s="16" t="s">
        <v>81</v>
      </c>
      <c r="G31" s="11"/>
      <c r="H31" s="10"/>
    </row>
    <row r="32" spans="1:8" s="17" customFormat="1" ht="14.25" x14ac:dyDescent="0.3">
      <c r="A32" s="13" t="s">
        <v>82</v>
      </c>
      <c r="B32" s="14" t="s">
        <v>83</v>
      </c>
      <c r="C32" s="15">
        <v>6350</v>
      </c>
      <c r="D32" s="16">
        <v>148.9075</v>
      </c>
      <c r="E32" s="16">
        <f t="shared" si="0"/>
        <v>2.6965015920926643</v>
      </c>
      <c r="F32" s="16" t="s">
        <v>84</v>
      </c>
      <c r="G32" s="11"/>
      <c r="H32" s="10"/>
    </row>
    <row r="33" spans="1:8" s="17" customFormat="1" ht="14.25" x14ac:dyDescent="0.3">
      <c r="A33" s="13" t="s">
        <v>85</v>
      </c>
      <c r="B33" s="14" t="s">
        <v>86</v>
      </c>
      <c r="C33" s="15">
        <v>2900</v>
      </c>
      <c r="D33" s="16">
        <v>118.90434999999999</v>
      </c>
      <c r="E33" s="16">
        <f t="shared" si="0"/>
        <v>2.1531875095730126</v>
      </c>
      <c r="F33" s="16" t="s">
        <v>87</v>
      </c>
      <c r="G33" s="11"/>
      <c r="H33" s="10"/>
    </row>
    <row r="34" spans="1:8" s="17" customFormat="1" ht="14.25" x14ac:dyDescent="0.3">
      <c r="A34" s="12" t="s">
        <v>88</v>
      </c>
      <c r="B34" s="14"/>
      <c r="C34" s="15"/>
      <c r="D34" s="19">
        <f>IF(ISERROR(SUM(D6:D33)),0,SUM(D6:D33))</f>
        <v>5294.6955749999997</v>
      </c>
      <c r="E34" s="19">
        <f>IF(ISERROR(SUM(E6:E33)),0,SUM(E6:E33))</f>
        <v>95.879354952796106</v>
      </c>
      <c r="F34" s="19"/>
      <c r="G34" s="11"/>
      <c r="H34" s="10"/>
    </row>
    <row r="35" spans="1:8" s="17" customFormat="1" ht="14.25" x14ac:dyDescent="0.3">
      <c r="A35" s="12"/>
      <c r="B35" s="12"/>
      <c r="C35" s="20"/>
      <c r="D35" s="21"/>
      <c r="E35" s="21"/>
      <c r="F35" s="21"/>
      <c r="G35" s="11"/>
      <c r="H35" s="10"/>
    </row>
    <row r="36" spans="1:8" s="17" customFormat="1" ht="14.25" x14ac:dyDescent="0.3">
      <c r="A36" s="12" t="s">
        <v>89</v>
      </c>
      <c r="B36" s="12"/>
      <c r="C36" s="20"/>
      <c r="D36" s="22" t="s">
        <v>90</v>
      </c>
      <c r="E36" s="22" t="s">
        <v>90</v>
      </c>
      <c r="F36" s="22"/>
      <c r="G36" s="11"/>
      <c r="H36" s="10"/>
    </row>
    <row r="37" spans="1:8" s="17" customFormat="1" ht="14.25" x14ac:dyDescent="0.3">
      <c r="A37" s="12"/>
      <c r="B37" s="5"/>
      <c r="C37" s="20"/>
      <c r="D37" s="22"/>
      <c r="E37" s="22"/>
      <c r="F37" s="23"/>
      <c r="G37" s="11"/>
      <c r="H37" s="10"/>
    </row>
    <row r="38" spans="1:8" s="17" customFormat="1" ht="14.25" x14ac:dyDescent="0.3">
      <c r="A38" s="12" t="s">
        <v>91</v>
      </c>
      <c r="B38" s="12"/>
      <c r="C38" s="20"/>
      <c r="D38" s="19">
        <f>IF(ISERROR(+D34),0,D34)+IF(ISERROR(+#REF!),0,#REF!)</f>
        <v>5294.6955749999997</v>
      </c>
      <c r="E38" s="19">
        <f>IF(ISERROR(+E34),0,E34)+IF(ISERROR(+#REF!),0,#REF!)</f>
        <v>95.879354952796106</v>
      </c>
      <c r="F38" s="24"/>
      <c r="G38" s="11"/>
      <c r="H38" s="10"/>
    </row>
    <row r="39" spans="1:8" s="17" customFormat="1" ht="14.25" x14ac:dyDescent="0.3">
      <c r="A39" s="12"/>
      <c r="B39" s="5"/>
      <c r="C39" s="20"/>
      <c r="D39" s="22"/>
      <c r="E39" s="22"/>
      <c r="F39" s="23"/>
      <c r="G39" s="11"/>
      <c r="H39" s="10"/>
    </row>
    <row r="40" spans="1:8" s="17" customFormat="1" ht="14.25" x14ac:dyDescent="0.3">
      <c r="A40" s="12" t="s">
        <v>92</v>
      </c>
      <c r="B40" s="5"/>
      <c r="C40" s="20"/>
      <c r="D40" s="22"/>
      <c r="E40" s="22"/>
      <c r="F40" s="23"/>
      <c r="G40" s="11"/>
      <c r="H40" s="10"/>
    </row>
    <row r="41" spans="1:8" s="17" customFormat="1" ht="14.25" x14ac:dyDescent="0.3">
      <c r="A41" s="12" t="s">
        <v>11</v>
      </c>
      <c r="B41" s="5"/>
      <c r="C41" s="20"/>
      <c r="D41" s="22" t="s">
        <v>90</v>
      </c>
      <c r="E41" s="22" t="s">
        <v>90</v>
      </c>
      <c r="F41" s="25"/>
      <c r="G41" s="11"/>
      <c r="H41" s="10"/>
    </row>
    <row r="42" spans="1:8" s="17" customFormat="1" ht="14.25" x14ac:dyDescent="0.3">
      <c r="A42" s="12" t="s">
        <v>88</v>
      </c>
      <c r="B42" s="5"/>
      <c r="C42" s="26"/>
      <c r="D42" s="22">
        <f>IF(ISERROR(SUM(#REF!)),0,SUM(#REF!))</f>
        <v>0</v>
      </c>
      <c r="E42" s="22">
        <f>IF(ISERROR(SUM(#REF!)),0,SUM(#REF!))</f>
        <v>0</v>
      </c>
      <c r="F42" s="22"/>
      <c r="G42" s="11"/>
      <c r="H42" s="10"/>
    </row>
    <row r="43" spans="1:8" s="17" customFormat="1" ht="14.25" x14ac:dyDescent="0.3">
      <c r="A43" s="12"/>
      <c r="B43" s="5"/>
      <c r="C43" s="26"/>
      <c r="D43" s="25"/>
      <c r="E43" s="25"/>
      <c r="F43" s="25"/>
      <c r="G43" s="11"/>
      <c r="H43" s="10"/>
    </row>
    <row r="44" spans="1:8" s="17" customFormat="1" ht="14.25" x14ac:dyDescent="0.3">
      <c r="A44" s="12" t="s">
        <v>93</v>
      </c>
      <c r="B44" s="5"/>
      <c r="C44" s="26"/>
      <c r="D44" s="22" t="s">
        <v>90</v>
      </c>
      <c r="E44" s="22" t="s">
        <v>90</v>
      </c>
      <c r="F44" s="23"/>
      <c r="G44" s="11"/>
      <c r="H44" s="10"/>
    </row>
    <row r="45" spans="1:8" s="17" customFormat="1" ht="14.25" x14ac:dyDescent="0.3">
      <c r="A45" s="12"/>
      <c r="B45" s="5"/>
      <c r="C45" s="26"/>
      <c r="D45" s="22"/>
      <c r="E45" s="22"/>
      <c r="F45" s="22"/>
      <c r="G45" s="11"/>
      <c r="H45" s="10"/>
    </row>
    <row r="46" spans="1:8" s="17" customFormat="1" ht="14.25" x14ac:dyDescent="0.3">
      <c r="A46" s="12" t="s">
        <v>94</v>
      </c>
      <c r="B46" s="5"/>
      <c r="C46" s="26"/>
      <c r="D46" s="22"/>
      <c r="E46" s="22"/>
      <c r="F46" s="22"/>
      <c r="G46" s="11"/>
      <c r="H46" s="10"/>
    </row>
    <row r="47" spans="1:8" s="17" customFormat="1" ht="14.25" x14ac:dyDescent="0.3">
      <c r="A47" s="12"/>
      <c r="B47" s="5"/>
      <c r="C47" s="26"/>
      <c r="D47" s="16"/>
      <c r="E47" s="16"/>
      <c r="F47" s="27"/>
      <c r="G47" s="11"/>
      <c r="H47" s="10"/>
    </row>
    <row r="48" spans="1:8" s="17" customFormat="1" ht="14.25" x14ac:dyDescent="0.3">
      <c r="A48" s="12" t="s">
        <v>95</v>
      </c>
      <c r="B48" s="5"/>
      <c r="C48" s="26"/>
      <c r="D48" s="22" t="s">
        <v>90</v>
      </c>
      <c r="E48" s="22" t="s">
        <v>90</v>
      </c>
      <c r="F48" s="22"/>
      <c r="G48" s="11"/>
      <c r="H48" s="10"/>
    </row>
    <row r="49" spans="1:8" s="17" customFormat="1" ht="14.25" x14ac:dyDescent="0.3">
      <c r="A49" s="12"/>
      <c r="B49" s="5"/>
      <c r="C49" s="26"/>
      <c r="D49" s="22"/>
      <c r="E49" s="22"/>
      <c r="F49" s="22"/>
      <c r="G49" s="11"/>
      <c r="H49" s="10"/>
    </row>
    <row r="50" spans="1:8" s="17" customFormat="1" ht="14.25" x14ac:dyDescent="0.3">
      <c r="A50" s="12" t="s">
        <v>96</v>
      </c>
      <c r="B50" s="5"/>
      <c r="C50" s="26"/>
      <c r="D50" s="22" t="s">
        <v>90</v>
      </c>
      <c r="E50" s="22" t="s">
        <v>90</v>
      </c>
      <c r="F50" s="22"/>
      <c r="G50" s="11"/>
      <c r="H50" s="10"/>
    </row>
    <row r="51" spans="1:8" s="17" customFormat="1" ht="14.25" x14ac:dyDescent="0.3">
      <c r="A51" s="12"/>
      <c r="B51" s="5"/>
      <c r="C51" s="26"/>
      <c r="D51" s="22"/>
      <c r="E51" s="22"/>
      <c r="F51" s="22"/>
      <c r="G51" s="11"/>
      <c r="H51" s="10"/>
    </row>
    <row r="52" spans="1:8" s="17" customFormat="1" ht="14.25" x14ac:dyDescent="0.3">
      <c r="A52" s="12" t="s">
        <v>97</v>
      </c>
      <c r="B52" s="5"/>
      <c r="C52" s="26"/>
      <c r="D52" s="22"/>
      <c r="E52" s="22"/>
      <c r="F52" s="23"/>
      <c r="G52" s="11"/>
      <c r="H52" s="10"/>
    </row>
    <row r="53" spans="1:8" s="17" customFormat="1" ht="14.25" x14ac:dyDescent="0.3">
      <c r="A53" s="13" t="s">
        <v>98</v>
      </c>
      <c r="B53" s="14"/>
      <c r="C53" s="15">
        <v>0</v>
      </c>
      <c r="D53" s="16">
        <v>409.95064329999997</v>
      </c>
      <c r="E53" s="16">
        <f>(+D53/$D$60*100)</f>
        <v>7.4236191080896656</v>
      </c>
      <c r="F53" s="16" t="s">
        <v>99</v>
      </c>
      <c r="G53" s="11">
        <v>6.7830000000000004</v>
      </c>
      <c r="H53" s="10"/>
    </row>
    <row r="54" spans="1:8" s="17" customFormat="1" ht="14.25" x14ac:dyDescent="0.3">
      <c r="A54" s="12" t="s">
        <v>88</v>
      </c>
      <c r="B54" s="5"/>
      <c r="C54" s="26"/>
      <c r="D54" s="22">
        <f>IF(ISERROR(SUM(D53:D53)),0,SUM(D53:D53))</f>
        <v>409.95064329999997</v>
      </c>
      <c r="E54" s="22">
        <f>IF(ISERROR(SUM(E53:E53)),0,SUM(E53:E53))</f>
        <v>7.4236191080896656</v>
      </c>
      <c r="F54" s="16"/>
      <c r="G54" s="11"/>
      <c r="H54" s="10"/>
    </row>
    <row r="55" spans="1:8" s="17" customFormat="1" ht="14.25" x14ac:dyDescent="0.3">
      <c r="A55" s="12"/>
      <c r="B55" s="5"/>
      <c r="C55" s="26"/>
      <c r="D55" s="22"/>
      <c r="E55" s="22"/>
      <c r="F55" s="23"/>
      <c r="G55" s="11"/>
      <c r="H55" s="10"/>
    </row>
    <row r="56" spans="1:8" s="17" customFormat="1" ht="14.25" x14ac:dyDescent="0.3">
      <c r="A56" s="12" t="s">
        <v>91</v>
      </c>
      <c r="B56" s="5"/>
      <c r="C56" s="26" t="s">
        <v>100</v>
      </c>
      <c r="D56" s="22">
        <f>+IF(ISERROR(#REF!),0,#REF!)+IF(ISERROR(D54),0,D54)+IF(ISERROR(D38),0,D38)+IF(ISERROR(#REF!),0,#REF!)+IF(ISERROR(#REF!),0,#REF!)+IF(ISERROR(#REF!),0,#REF!)+IF(ISERROR(#REF!),0,#REF!)+IF(ISERROR(#REF!),0,#REF!)+IF(ISERROR(#REF!),0,#REF!)</f>
        <v>5704.6462182999994</v>
      </c>
      <c r="E56" s="22">
        <f>+IF(ISERROR(#REF!),0,#REF!)+IF(ISERROR(E54),0,E54)+IF(ISERROR(E38),0,E38)+IF(ISERROR(#REF!),0,#REF!)+IF(ISERROR(#REF!),0,#REF!)+IF(ISERROR(#REF!),0,#REF!)+IF(ISERROR(#REF!),0,#REF!)+IF(ISERROR(#REF!),0,#REF!)+IF(ISERROR(#REF!),0,#REF!)</f>
        <v>103.30297406088577</v>
      </c>
      <c r="F56" s="22"/>
      <c r="G56" s="11"/>
      <c r="H56" s="10"/>
    </row>
    <row r="57" spans="1:8" s="17" customFormat="1" ht="14.25" x14ac:dyDescent="0.3">
      <c r="A57" s="12"/>
      <c r="B57" s="5"/>
      <c r="C57" s="26"/>
      <c r="D57" s="22"/>
      <c r="E57" s="22"/>
      <c r="F57" s="28"/>
      <c r="G57" s="29"/>
      <c r="H57" s="30"/>
    </row>
    <row r="58" spans="1:8" s="17" customFormat="1" ht="14.25" x14ac:dyDescent="0.3">
      <c r="A58" s="12" t="s">
        <v>101</v>
      </c>
      <c r="B58" s="5"/>
      <c r="C58" s="26"/>
      <c r="D58" s="22">
        <f>+D60-D56</f>
        <v>-182.39841260010053</v>
      </c>
      <c r="E58" s="22">
        <f>D58/$D$60*100</f>
        <v>-3.3029740608857563</v>
      </c>
      <c r="F58" s="28"/>
      <c r="G58" s="29"/>
      <c r="H58" s="30"/>
    </row>
    <row r="59" spans="1:8" s="17" customFormat="1" ht="14.25" x14ac:dyDescent="0.3">
      <c r="A59" s="12"/>
      <c r="B59" s="5"/>
      <c r="C59" s="26"/>
      <c r="D59" s="25"/>
      <c r="E59" s="25"/>
      <c r="F59" s="28"/>
      <c r="G59" s="29"/>
      <c r="H59" s="30"/>
    </row>
    <row r="60" spans="1:8" s="17" customFormat="1" ht="14.25" x14ac:dyDescent="0.3">
      <c r="A60" s="12" t="s">
        <v>102</v>
      </c>
      <c r="B60" s="5"/>
      <c r="C60" s="26"/>
      <c r="D60" s="22">
        <v>5522.2478056998989</v>
      </c>
      <c r="E60" s="22">
        <f>+E56+E58</f>
        <v>100.00000000000001</v>
      </c>
      <c r="F60" s="28"/>
      <c r="G60" s="29"/>
      <c r="H60" s="30"/>
    </row>
    <row r="61" spans="1:8" s="17" customFormat="1" ht="14.25" x14ac:dyDescent="0.3">
      <c r="A61" s="31"/>
      <c r="B61" s="32"/>
      <c r="C61" s="33"/>
      <c r="D61" s="34"/>
      <c r="E61" s="34"/>
      <c r="F61" s="28"/>
      <c r="G61" s="29"/>
      <c r="H61" s="30"/>
    </row>
    <row r="62" spans="1:8" s="17" customFormat="1" ht="13.5" x14ac:dyDescent="0.2">
      <c r="A62" s="35" t="s">
        <v>103</v>
      </c>
      <c r="B62" s="35"/>
      <c r="C62" s="35"/>
      <c r="D62" s="35"/>
      <c r="E62" s="35"/>
      <c r="F62" s="35"/>
      <c r="G62" s="35"/>
      <c r="H62" s="35"/>
    </row>
    <row r="63" spans="1:8" s="17" customFormat="1" ht="27.75" customHeight="1" x14ac:dyDescent="0.2">
      <c r="A63" s="35" t="s">
        <v>104</v>
      </c>
      <c r="B63" s="35"/>
      <c r="C63" s="35"/>
      <c r="D63" s="35"/>
      <c r="E63" s="35"/>
      <c r="F63" s="36"/>
      <c r="G63" s="36"/>
      <c r="H63" s="36"/>
    </row>
    <row r="64" spans="1:8" s="17" customFormat="1" ht="13.5" x14ac:dyDescent="0.2">
      <c r="A64" s="37" t="s">
        <v>105</v>
      </c>
      <c r="B64" s="37"/>
      <c r="C64" s="37"/>
      <c r="D64" s="37"/>
      <c r="E64" s="37"/>
      <c r="F64" s="36"/>
      <c r="G64" s="36"/>
      <c r="H64" s="36"/>
    </row>
    <row r="65" spans="1:11" s="17" customFormat="1" ht="56.25" customHeight="1" x14ac:dyDescent="0.2">
      <c r="A65" s="38" t="s">
        <v>106</v>
      </c>
      <c r="B65" s="38"/>
      <c r="C65" s="38"/>
      <c r="D65" s="38"/>
      <c r="E65" s="38"/>
      <c r="F65" s="36"/>
      <c r="G65" s="36"/>
      <c r="H65" s="36"/>
    </row>
    <row r="66" spans="1:11" s="17" customFormat="1" ht="14.25" x14ac:dyDescent="0.3">
      <c r="A66" s="39"/>
      <c r="B66" s="40"/>
      <c r="C66" s="41"/>
      <c r="D66" s="42"/>
      <c r="E66" s="30"/>
      <c r="F66" s="30"/>
      <c r="G66" s="28"/>
      <c r="H66" s="28"/>
    </row>
    <row r="67" spans="1:11" s="17" customFormat="1" ht="14.25" x14ac:dyDescent="0.3">
      <c r="A67" s="43" t="s">
        <v>107</v>
      </c>
      <c r="B67" s="44"/>
      <c r="C67" s="44"/>
      <c r="D67" s="30"/>
      <c r="E67" s="30"/>
      <c r="F67" s="30"/>
      <c r="G67" s="28"/>
      <c r="H67" s="28"/>
    </row>
    <row r="68" spans="1:11" ht="14.25" x14ac:dyDescent="0.3">
      <c r="A68" s="45" t="s">
        <v>108</v>
      </c>
      <c r="B68" s="44"/>
      <c r="C68" s="44"/>
      <c r="D68" s="30"/>
      <c r="E68" s="30"/>
      <c r="F68" s="30"/>
      <c r="G68" s="28"/>
      <c r="H68" s="28"/>
      <c r="K68" s="17"/>
    </row>
    <row r="69" spans="1:11" ht="14.25" x14ac:dyDescent="0.3">
      <c r="A69" s="45" t="s">
        <v>109</v>
      </c>
      <c r="B69" s="44"/>
      <c r="C69" s="44"/>
      <c r="D69" s="30"/>
      <c r="E69" s="30"/>
      <c r="F69" s="30"/>
      <c r="G69" s="28"/>
      <c r="H69" s="28"/>
      <c r="K69" s="17"/>
    </row>
    <row r="70" spans="1:11" ht="14.25" x14ac:dyDescent="0.3">
      <c r="A70" s="45" t="s">
        <v>110</v>
      </c>
      <c r="B70" s="44"/>
      <c r="C70" s="44"/>
      <c r="D70" s="30"/>
      <c r="E70" s="30"/>
      <c r="F70" s="30"/>
      <c r="G70" s="28"/>
      <c r="H70" s="28"/>
      <c r="K70" s="17"/>
    </row>
    <row r="71" spans="1:11" ht="14.25" x14ac:dyDescent="0.3">
      <c r="A71" s="45"/>
      <c r="B71" s="44"/>
      <c r="C71" s="44"/>
      <c r="D71" s="30"/>
      <c r="E71" s="30"/>
      <c r="F71" s="30"/>
      <c r="G71" s="30"/>
      <c r="H71" s="30"/>
      <c r="K71" s="17"/>
    </row>
    <row r="72" spans="1:11" ht="14.25" x14ac:dyDescent="0.3">
      <c r="A72" s="46" t="s">
        <v>111</v>
      </c>
      <c r="B72" s="47" t="s">
        <v>112</v>
      </c>
      <c r="C72" s="47"/>
      <c r="D72" s="30"/>
      <c r="E72" s="30"/>
      <c r="F72" s="30"/>
      <c r="G72" s="30"/>
      <c r="H72" s="30"/>
      <c r="K72" s="17"/>
    </row>
    <row r="73" spans="1:11" ht="14.25" x14ac:dyDescent="0.3">
      <c r="A73" s="48"/>
      <c r="B73" s="49"/>
      <c r="C73" s="50"/>
      <c r="D73" s="30"/>
      <c r="E73" s="30"/>
      <c r="F73" s="30"/>
      <c r="G73" s="30"/>
      <c r="H73" s="30"/>
      <c r="K73" s="17"/>
    </row>
    <row r="74" spans="1:11" ht="14.25" x14ac:dyDescent="0.3">
      <c r="A74" s="48"/>
      <c r="B74" s="49"/>
      <c r="C74" s="50"/>
      <c r="D74" s="30"/>
      <c r="E74" s="30"/>
      <c r="F74" s="30"/>
      <c r="G74" s="30"/>
      <c r="H74" s="30"/>
      <c r="K74" s="17"/>
    </row>
    <row r="75" spans="1:11" ht="14.25" x14ac:dyDescent="0.3">
      <c r="A75" s="48"/>
      <c r="B75" s="49"/>
      <c r="C75" s="50"/>
      <c r="D75" s="30"/>
      <c r="E75" s="30"/>
      <c r="F75" s="30"/>
      <c r="G75" s="30"/>
      <c r="H75" s="30"/>
      <c r="K75" s="17"/>
    </row>
    <row r="76" spans="1:11" ht="14.25" x14ac:dyDescent="0.3">
      <c r="A76" s="48"/>
      <c r="B76" s="49"/>
      <c r="C76" s="50"/>
      <c r="D76" s="30"/>
      <c r="E76" s="30"/>
      <c r="F76" s="30"/>
      <c r="G76" s="30"/>
      <c r="H76" s="30"/>
      <c r="K76" s="17"/>
    </row>
    <row r="77" spans="1:11" ht="14.25" x14ac:dyDescent="0.3">
      <c r="A77" s="48"/>
      <c r="B77" s="49"/>
      <c r="C77" s="50"/>
      <c r="D77" s="30"/>
      <c r="E77" s="30"/>
      <c r="F77" s="30"/>
      <c r="G77" s="30"/>
      <c r="H77" s="30"/>
    </row>
    <row r="78" spans="1:11" ht="14.25" x14ac:dyDescent="0.3">
      <c r="A78" s="48"/>
      <c r="B78" s="49"/>
      <c r="C78" s="50"/>
      <c r="D78" s="30"/>
      <c r="E78" s="30"/>
      <c r="F78" s="30"/>
      <c r="G78" s="30"/>
      <c r="H78" s="30"/>
    </row>
    <row r="79" spans="1:11" ht="14.25" x14ac:dyDescent="0.3">
      <c r="A79" s="48"/>
      <c r="B79" s="49"/>
      <c r="C79" s="50"/>
      <c r="D79" s="30"/>
      <c r="E79" s="51"/>
      <c r="F79" s="30"/>
      <c r="G79" s="30"/>
      <c r="H79" s="30"/>
    </row>
    <row r="80" spans="1:11" ht="14.25" x14ac:dyDescent="0.3">
      <c r="A80" s="48"/>
      <c r="B80" s="49"/>
      <c r="C80" s="50"/>
      <c r="D80" s="30"/>
      <c r="E80" s="51"/>
      <c r="F80" s="30"/>
      <c r="G80" s="30"/>
      <c r="H80" s="30"/>
    </row>
    <row r="81" spans="1:8" ht="14.25" x14ac:dyDescent="0.3">
      <c r="A81" s="48"/>
      <c r="B81" s="49"/>
      <c r="C81" s="50"/>
      <c r="D81" s="30"/>
      <c r="E81" s="51"/>
      <c r="F81" s="30"/>
      <c r="G81" s="30"/>
      <c r="H81" s="30"/>
    </row>
    <row r="82" spans="1:8" ht="14.25" x14ac:dyDescent="0.3">
      <c r="A82" s="48"/>
      <c r="B82" s="49"/>
      <c r="C82" s="50"/>
      <c r="D82" s="30"/>
      <c r="E82" s="51"/>
      <c r="F82" s="30"/>
      <c r="G82" s="30"/>
      <c r="H82" s="30"/>
    </row>
    <row r="83" spans="1:8" ht="14.25" x14ac:dyDescent="0.3">
      <c r="A83" s="48"/>
      <c r="B83" s="49"/>
      <c r="C83" s="50"/>
      <c r="D83" s="30"/>
      <c r="E83" s="51"/>
      <c r="F83" s="30"/>
      <c r="G83" s="30"/>
      <c r="H83" s="30"/>
    </row>
    <row r="84" spans="1:8" ht="14.25" x14ac:dyDescent="0.3">
      <c r="A84" s="48"/>
      <c r="B84" s="49"/>
      <c r="C84" s="50"/>
      <c r="D84" s="30"/>
      <c r="E84" s="51"/>
      <c r="F84" s="30"/>
      <c r="G84" s="30"/>
      <c r="H84" s="30"/>
    </row>
    <row r="85" spans="1:8" ht="14.25" x14ac:dyDescent="0.3">
      <c r="A85" s="48"/>
      <c r="B85" s="49"/>
      <c r="C85" s="50"/>
      <c r="D85" s="30"/>
      <c r="E85" s="51"/>
      <c r="F85" s="30"/>
      <c r="G85" s="30"/>
      <c r="H85" s="30"/>
    </row>
    <row r="86" spans="1:8" ht="14.25" x14ac:dyDescent="0.3">
      <c r="A86" s="48"/>
      <c r="B86" s="49"/>
      <c r="C86" s="50"/>
      <c r="D86" s="30"/>
      <c r="E86" s="51"/>
      <c r="F86" s="30"/>
      <c r="G86" s="30"/>
      <c r="H86" s="30"/>
    </row>
    <row r="87" spans="1:8" ht="14.25" x14ac:dyDescent="0.3">
      <c r="A87" s="48"/>
      <c r="B87" s="49"/>
      <c r="C87" s="50"/>
      <c r="D87" s="30"/>
      <c r="E87" s="51"/>
      <c r="F87" s="30"/>
      <c r="G87" s="30"/>
      <c r="H87" s="30"/>
    </row>
    <row r="88" spans="1:8" ht="14.25" x14ac:dyDescent="0.3">
      <c r="A88" s="48"/>
      <c r="B88" s="49"/>
      <c r="C88" s="50"/>
      <c r="D88" s="30"/>
      <c r="E88" s="51"/>
      <c r="F88" s="30"/>
      <c r="G88" s="30"/>
      <c r="H88" s="30"/>
    </row>
    <row r="89" spans="1:8" ht="14.25" x14ac:dyDescent="0.3">
      <c r="A89" s="48"/>
      <c r="B89" s="49"/>
      <c r="C89" s="50"/>
      <c r="D89" s="30"/>
      <c r="E89" s="51"/>
      <c r="F89" s="30"/>
      <c r="G89" s="30"/>
      <c r="H89" s="30"/>
    </row>
    <row r="90" spans="1:8" ht="14.25" x14ac:dyDescent="0.3">
      <c r="A90" s="48"/>
      <c r="B90" s="49"/>
      <c r="C90" s="50"/>
      <c r="D90" s="30"/>
      <c r="E90" s="51"/>
      <c r="F90" s="30"/>
      <c r="G90" s="30"/>
      <c r="H90" s="30"/>
    </row>
    <row r="91" spans="1:8" ht="14.25" x14ac:dyDescent="0.3">
      <c r="A91" s="48"/>
      <c r="B91" s="49"/>
      <c r="C91" s="50"/>
      <c r="D91" s="30"/>
      <c r="E91" s="51"/>
      <c r="F91" s="30"/>
      <c r="G91" s="30"/>
      <c r="H91" s="30"/>
    </row>
    <row r="92" spans="1:8" ht="14.25" x14ac:dyDescent="0.3">
      <c r="A92" s="48"/>
      <c r="B92" s="49"/>
      <c r="C92" s="50"/>
      <c r="D92" s="30"/>
      <c r="E92" s="51"/>
      <c r="F92" s="30"/>
      <c r="G92" s="30"/>
      <c r="H92" s="30"/>
    </row>
    <row r="93" spans="1:8" ht="14.25" x14ac:dyDescent="0.3">
      <c r="A93" s="48"/>
      <c r="B93" s="49"/>
      <c r="C93" s="50"/>
      <c r="D93" s="30"/>
      <c r="E93" s="51"/>
      <c r="F93" s="30"/>
      <c r="G93" s="30"/>
      <c r="H93" s="30"/>
    </row>
    <row r="94" spans="1:8" ht="14.25" x14ac:dyDescent="0.3">
      <c r="A94" s="48"/>
      <c r="B94" s="49"/>
      <c r="C94" s="50"/>
      <c r="D94" s="30"/>
      <c r="E94" s="51"/>
      <c r="F94" s="30"/>
      <c r="G94" s="30"/>
      <c r="H94" s="30"/>
    </row>
    <row r="95" spans="1:8" ht="14.25" x14ac:dyDescent="0.3">
      <c r="A95" s="48"/>
      <c r="B95" s="49"/>
      <c r="C95" s="50"/>
      <c r="D95" s="30"/>
      <c r="E95" s="51"/>
      <c r="F95" s="30"/>
      <c r="G95" s="30"/>
      <c r="H95" s="30"/>
    </row>
    <row r="96" spans="1:8" ht="14.25" x14ac:dyDescent="0.3">
      <c r="A96" s="48"/>
      <c r="B96" s="49"/>
      <c r="C96" s="50"/>
      <c r="D96" s="30"/>
      <c r="E96" s="51"/>
      <c r="F96" s="30"/>
      <c r="G96" s="30"/>
      <c r="H96" s="30"/>
    </row>
    <row r="97" spans="1:8" ht="14.25" x14ac:dyDescent="0.3">
      <c r="A97" s="48"/>
      <c r="B97" s="49"/>
      <c r="C97" s="50"/>
      <c r="D97" s="30"/>
      <c r="E97" s="51"/>
      <c r="F97" s="30"/>
      <c r="G97" s="30"/>
      <c r="H97" s="30"/>
    </row>
    <row r="98" spans="1:8" ht="14.25" x14ac:dyDescent="0.3">
      <c r="A98" s="48"/>
      <c r="B98" s="49"/>
      <c r="C98" s="50"/>
      <c r="D98" s="30"/>
      <c r="E98" s="51"/>
      <c r="F98" s="30"/>
      <c r="G98" s="30"/>
      <c r="H98" s="30"/>
    </row>
    <row r="99" spans="1:8" ht="14.25" x14ac:dyDescent="0.3">
      <c r="A99" s="48"/>
      <c r="B99" s="49"/>
      <c r="C99" s="50"/>
      <c r="D99" s="30"/>
      <c r="E99" s="51"/>
      <c r="F99" s="30"/>
      <c r="G99" s="30"/>
      <c r="H99" s="30"/>
    </row>
    <row r="100" spans="1:8" ht="14.25" x14ac:dyDescent="0.3">
      <c r="A100" s="48"/>
      <c r="B100" s="49"/>
      <c r="C100" s="50"/>
      <c r="D100" s="30"/>
      <c r="E100" s="51"/>
      <c r="F100" s="30"/>
      <c r="G100" s="30"/>
      <c r="H100" s="30"/>
    </row>
    <row r="101" spans="1:8" ht="14.25" x14ac:dyDescent="0.3">
      <c r="A101" s="48"/>
      <c r="B101" s="49"/>
      <c r="C101" s="50"/>
      <c r="D101" s="30"/>
      <c r="E101" s="51"/>
      <c r="F101" s="30"/>
      <c r="G101" s="30"/>
      <c r="H101" s="30"/>
    </row>
    <row r="102" spans="1:8" ht="14.25" x14ac:dyDescent="0.3">
      <c r="A102" s="48"/>
      <c r="B102" s="49"/>
      <c r="C102" s="50"/>
      <c r="D102" s="30"/>
      <c r="E102" s="51"/>
      <c r="F102" s="30"/>
      <c r="G102" s="30"/>
      <c r="H102" s="30"/>
    </row>
    <row r="103" spans="1:8" ht="14.25" x14ac:dyDescent="0.3">
      <c r="A103" s="48"/>
      <c r="B103" s="49"/>
      <c r="C103" s="50"/>
      <c r="D103" s="30"/>
      <c r="E103" s="51"/>
      <c r="F103" s="30"/>
      <c r="G103" s="30"/>
      <c r="H103" s="30"/>
    </row>
    <row r="104" spans="1:8" ht="14.25" x14ac:dyDescent="0.3">
      <c r="A104" s="48"/>
      <c r="B104" s="49"/>
      <c r="C104" s="50"/>
      <c r="D104" s="30"/>
      <c r="E104" s="51"/>
      <c r="F104" s="30"/>
      <c r="G104" s="30"/>
      <c r="H104" s="30"/>
    </row>
    <row r="105" spans="1:8" ht="14.25" x14ac:dyDescent="0.3">
      <c r="A105" s="48"/>
      <c r="B105" s="49"/>
      <c r="C105" s="50"/>
      <c r="D105" s="30"/>
      <c r="E105" s="51"/>
      <c r="F105" s="30"/>
      <c r="G105" s="30"/>
      <c r="H105" s="30"/>
    </row>
    <row r="106" spans="1:8" ht="14.25" x14ac:dyDescent="0.3">
      <c r="A106" s="48"/>
      <c r="B106" s="49"/>
      <c r="C106" s="50"/>
      <c r="D106" s="30"/>
      <c r="E106" s="51"/>
      <c r="F106" s="30"/>
      <c r="G106" s="30"/>
      <c r="H106" s="30"/>
    </row>
    <row r="107" spans="1:8" ht="14.25" x14ac:dyDescent="0.3">
      <c r="A107" s="48"/>
      <c r="B107" s="49"/>
      <c r="C107" s="50"/>
      <c r="D107" s="30"/>
      <c r="E107" s="30"/>
      <c r="F107" s="30"/>
      <c r="G107" s="30"/>
      <c r="H107" s="30"/>
    </row>
    <row r="108" spans="1:8" ht="14.25" x14ac:dyDescent="0.3">
      <c r="A108" s="48"/>
      <c r="B108" s="49"/>
      <c r="C108" s="50"/>
      <c r="D108" s="30"/>
      <c r="E108" s="30"/>
      <c r="F108" s="30"/>
      <c r="G108" s="30"/>
      <c r="H108" s="30"/>
    </row>
    <row r="109" spans="1:8" ht="14.25" x14ac:dyDescent="0.3">
      <c r="A109" s="48"/>
      <c r="B109" s="49"/>
      <c r="C109" s="50"/>
      <c r="D109" s="30"/>
      <c r="E109" s="30"/>
      <c r="F109" s="30"/>
      <c r="G109" s="30"/>
      <c r="H109" s="30"/>
    </row>
    <row r="110" spans="1:8" ht="14.25" x14ac:dyDescent="0.3">
      <c r="A110" s="48"/>
      <c r="B110" s="49"/>
      <c r="C110" s="50"/>
      <c r="D110" s="30"/>
      <c r="E110" s="30"/>
      <c r="F110" s="30"/>
      <c r="G110" s="30"/>
      <c r="H110" s="30"/>
    </row>
    <row r="111" spans="1:8" ht="14.25" x14ac:dyDescent="0.3">
      <c r="A111" s="48"/>
      <c r="B111" s="49"/>
      <c r="C111" s="50"/>
      <c r="D111" s="30"/>
      <c r="E111" s="30"/>
      <c r="F111" s="30"/>
      <c r="G111" s="30"/>
      <c r="H111" s="30"/>
    </row>
    <row r="112" spans="1:8" ht="14.25" x14ac:dyDescent="0.3">
      <c r="A112" s="48"/>
      <c r="B112" s="49"/>
      <c r="C112" s="50"/>
      <c r="D112" s="30"/>
      <c r="E112" s="30"/>
      <c r="F112" s="30"/>
      <c r="G112" s="30"/>
      <c r="H112" s="30"/>
    </row>
    <row r="113" spans="1:8" ht="14.25" x14ac:dyDescent="0.3">
      <c r="A113" s="48"/>
      <c r="B113" s="49"/>
      <c r="C113" s="50"/>
      <c r="D113" s="30"/>
      <c r="E113" s="30"/>
      <c r="F113" s="30"/>
      <c r="G113" s="30"/>
      <c r="H113" s="30"/>
    </row>
    <row r="114" spans="1:8" ht="14.25" x14ac:dyDescent="0.3">
      <c r="A114" s="48"/>
      <c r="B114" s="49"/>
      <c r="C114" s="50"/>
      <c r="D114" s="30"/>
      <c r="E114" s="30"/>
      <c r="F114" s="30"/>
      <c r="G114" s="30"/>
      <c r="H114" s="30"/>
    </row>
    <row r="115" spans="1:8" ht="14.25" x14ac:dyDescent="0.3">
      <c r="A115" s="48"/>
      <c r="B115" s="49"/>
      <c r="C115" s="50"/>
      <c r="D115" s="30"/>
      <c r="E115" s="30"/>
      <c r="F115" s="30"/>
      <c r="G115" s="30"/>
      <c r="H115" s="30"/>
    </row>
    <row r="116" spans="1:8" ht="14.25" x14ac:dyDescent="0.3">
      <c r="A116" s="48"/>
      <c r="B116" s="49"/>
      <c r="C116" s="50"/>
      <c r="D116" s="30"/>
      <c r="E116" s="30"/>
      <c r="F116" s="30"/>
      <c r="G116" s="30"/>
      <c r="H116" s="30"/>
    </row>
    <row r="117" spans="1:8" ht="14.25" x14ac:dyDescent="0.3">
      <c r="A117" s="48"/>
      <c r="B117" s="49"/>
      <c r="C117" s="50"/>
      <c r="D117" s="30"/>
      <c r="E117" s="30"/>
      <c r="F117" s="30"/>
      <c r="G117" s="30"/>
      <c r="H117" s="30"/>
    </row>
    <row r="118" spans="1:8" ht="14.25" x14ac:dyDescent="0.3">
      <c r="A118" s="48"/>
      <c r="B118" s="49"/>
      <c r="C118" s="50"/>
      <c r="D118" s="30"/>
      <c r="E118" s="30"/>
      <c r="F118" s="30"/>
      <c r="G118" s="30"/>
      <c r="H118" s="30"/>
    </row>
    <row r="119" spans="1:8" ht="14.25" x14ac:dyDescent="0.3">
      <c r="A119" s="48"/>
      <c r="B119" s="49"/>
      <c r="C119" s="50"/>
      <c r="D119" s="30"/>
      <c r="E119" s="30"/>
      <c r="F119" s="30"/>
      <c r="G119" s="30"/>
      <c r="H119" s="30"/>
    </row>
    <row r="120" spans="1:8" ht="14.25" x14ac:dyDescent="0.3">
      <c r="A120" s="48"/>
      <c r="B120" s="49"/>
      <c r="C120" s="50"/>
      <c r="D120" s="30"/>
      <c r="E120" s="30"/>
      <c r="F120" s="30"/>
      <c r="G120" s="30"/>
      <c r="H120" s="30"/>
    </row>
    <row r="121" spans="1:8" ht="14.25" x14ac:dyDescent="0.3">
      <c r="A121" s="48"/>
      <c r="B121" s="49"/>
      <c r="C121" s="50"/>
      <c r="D121" s="30"/>
      <c r="E121" s="30"/>
      <c r="F121" s="30"/>
      <c r="G121" s="30"/>
      <c r="H121" s="30"/>
    </row>
    <row r="122" spans="1:8" ht="14.25" x14ac:dyDescent="0.3">
      <c r="A122" s="48"/>
      <c r="B122" s="49"/>
      <c r="C122" s="50"/>
      <c r="D122" s="30"/>
      <c r="E122" s="30"/>
      <c r="F122" s="30"/>
      <c r="G122" s="30"/>
      <c r="H122" s="30"/>
    </row>
    <row r="123" spans="1:8" ht="14.25" x14ac:dyDescent="0.3">
      <c r="A123" s="48"/>
      <c r="B123" s="49"/>
      <c r="C123" s="50"/>
      <c r="D123" s="30"/>
      <c r="E123" s="30"/>
      <c r="F123" s="30"/>
      <c r="G123" s="30"/>
      <c r="H123" s="30"/>
    </row>
    <row r="124" spans="1:8" ht="14.25" x14ac:dyDescent="0.3">
      <c r="A124" s="48"/>
      <c r="B124" s="49"/>
      <c r="C124" s="50"/>
      <c r="D124" s="30"/>
      <c r="E124" s="30"/>
      <c r="F124" s="30"/>
      <c r="G124" s="30"/>
      <c r="H124" s="30"/>
    </row>
    <row r="125" spans="1:8" ht="14.25" x14ac:dyDescent="0.3">
      <c r="A125" s="48"/>
      <c r="B125" s="49"/>
      <c r="C125" s="50"/>
      <c r="D125" s="30"/>
      <c r="E125" s="30"/>
      <c r="F125" s="30"/>
      <c r="G125" s="30"/>
      <c r="H125" s="30"/>
    </row>
    <row r="126" spans="1:8" ht="14.25" x14ac:dyDescent="0.3">
      <c r="A126" s="48"/>
      <c r="B126" s="49"/>
      <c r="C126" s="50"/>
      <c r="D126" s="30"/>
      <c r="E126" s="30"/>
      <c r="F126" s="30"/>
      <c r="G126" s="30"/>
      <c r="H126" s="30"/>
    </row>
    <row r="127" spans="1:8" ht="14.25" x14ac:dyDescent="0.3">
      <c r="A127" s="48"/>
      <c r="B127" s="49"/>
      <c r="C127" s="50"/>
      <c r="D127" s="30"/>
      <c r="E127" s="30"/>
      <c r="F127" s="30"/>
      <c r="G127" s="30"/>
      <c r="H127" s="30"/>
    </row>
    <row r="128" spans="1:8" ht="14.25" x14ac:dyDescent="0.3">
      <c r="A128" s="48"/>
      <c r="B128" s="49"/>
      <c r="C128" s="50"/>
      <c r="D128" s="30"/>
      <c r="E128" s="30"/>
      <c r="F128" s="30"/>
      <c r="G128" s="30"/>
      <c r="H128" s="30"/>
    </row>
    <row r="129" spans="1:8" ht="14.25" x14ac:dyDescent="0.3">
      <c r="A129" s="48"/>
      <c r="B129" s="49"/>
      <c r="C129" s="50"/>
      <c r="D129" s="30"/>
      <c r="E129" s="30"/>
      <c r="F129" s="30"/>
      <c r="G129" s="30"/>
      <c r="H129" s="30"/>
    </row>
    <row r="130" spans="1:8" ht="14.25" x14ac:dyDescent="0.3">
      <c r="A130" s="48"/>
      <c r="B130" s="49"/>
      <c r="C130" s="50"/>
      <c r="D130" s="30"/>
      <c r="E130" s="30"/>
      <c r="F130" s="30"/>
      <c r="G130" s="30"/>
      <c r="H130" s="30"/>
    </row>
    <row r="131" spans="1:8" ht="14.25" x14ac:dyDescent="0.3">
      <c r="A131" s="48"/>
      <c r="B131" s="49"/>
      <c r="C131" s="50"/>
      <c r="D131" s="30"/>
      <c r="E131" s="30"/>
      <c r="F131" s="30"/>
      <c r="G131" s="30"/>
      <c r="H131" s="30"/>
    </row>
    <row r="132" spans="1:8" ht="14.25" x14ac:dyDescent="0.3">
      <c r="A132" s="48"/>
      <c r="B132" s="49"/>
      <c r="C132" s="50"/>
      <c r="D132" s="30"/>
      <c r="E132" s="30"/>
      <c r="F132" s="30"/>
      <c r="G132" s="30"/>
      <c r="H132" s="30"/>
    </row>
    <row r="133" spans="1:8" ht="14.25" x14ac:dyDescent="0.3">
      <c r="A133" s="48"/>
      <c r="B133" s="49"/>
      <c r="C133" s="50"/>
      <c r="D133" s="30"/>
      <c r="E133" s="30"/>
      <c r="F133" s="30"/>
      <c r="G133" s="30"/>
      <c r="H133" s="30"/>
    </row>
    <row r="134" spans="1:8" ht="14.25" x14ac:dyDescent="0.3">
      <c r="A134" s="48"/>
      <c r="B134" s="49"/>
      <c r="C134" s="50"/>
      <c r="D134" s="30"/>
      <c r="E134" s="30"/>
      <c r="F134" s="30"/>
      <c r="G134" s="30"/>
      <c r="H134" s="30"/>
    </row>
    <row r="135" spans="1:8" ht="14.25" x14ac:dyDescent="0.3">
      <c r="A135" s="48"/>
      <c r="B135" s="49"/>
      <c r="C135" s="50"/>
      <c r="D135" s="30"/>
      <c r="E135" s="30"/>
      <c r="F135" s="30"/>
      <c r="G135" s="30"/>
      <c r="H135" s="30"/>
    </row>
    <row r="136" spans="1:8" ht="14.25" x14ac:dyDescent="0.3">
      <c r="A136" s="48"/>
      <c r="B136" s="49"/>
      <c r="C136" s="50"/>
      <c r="D136" s="30"/>
      <c r="E136" s="30"/>
      <c r="F136" s="30"/>
      <c r="G136" s="30"/>
      <c r="H136" s="30"/>
    </row>
    <row r="137" spans="1:8" ht="14.25" x14ac:dyDescent="0.3">
      <c r="A137" s="48"/>
      <c r="B137" s="49"/>
      <c r="C137" s="50"/>
      <c r="D137" s="30"/>
      <c r="E137" s="30"/>
      <c r="F137" s="30"/>
      <c r="G137" s="30"/>
      <c r="H137" s="30"/>
    </row>
    <row r="138" spans="1:8" ht="14.25" x14ac:dyDescent="0.3">
      <c r="A138" s="48"/>
      <c r="B138" s="49"/>
      <c r="C138" s="50"/>
      <c r="D138" s="30"/>
      <c r="E138" s="30"/>
      <c r="F138" s="30"/>
      <c r="G138" s="30"/>
      <c r="H138" s="30"/>
    </row>
    <row r="139" spans="1:8" ht="14.25" x14ac:dyDescent="0.3">
      <c r="A139" s="48"/>
      <c r="B139" s="49"/>
      <c r="C139" s="50"/>
      <c r="D139" s="30"/>
      <c r="E139" s="30"/>
      <c r="F139" s="30"/>
      <c r="G139" s="30"/>
      <c r="H139" s="30"/>
    </row>
    <row r="140" spans="1:8" ht="14.25" x14ac:dyDescent="0.3">
      <c r="A140" s="48"/>
      <c r="B140" s="49"/>
      <c r="C140" s="50"/>
      <c r="D140" s="30"/>
      <c r="E140" s="30"/>
      <c r="F140" s="30"/>
      <c r="G140" s="30"/>
      <c r="H140" s="30"/>
    </row>
    <row r="141" spans="1:8" ht="14.25" x14ac:dyDescent="0.3">
      <c r="A141" s="48"/>
      <c r="B141" s="49"/>
      <c r="C141" s="50"/>
      <c r="D141" s="30"/>
      <c r="E141" s="30"/>
      <c r="F141" s="30"/>
      <c r="G141" s="30"/>
      <c r="H141" s="30"/>
    </row>
    <row r="142" spans="1:8" ht="14.25" x14ac:dyDescent="0.3">
      <c r="A142" s="48"/>
      <c r="B142" s="49"/>
      <c r="C142" s="50"/>
      <c r="D142" s="30"/>
      <c r="E142" s="30"/>
      <c r="F142" s="30"/>
      <c r="G142" s="30"/>
      <c r="H142" s="30"/>
    </row>
    <row r="143" spans="1:8" ht="14.25" x14ac:dyDescent="0.3">
      <c r="A143" s="48"/>
      <c r="B143" s="49"/>
      <c r="C143" s="50"/>
      <c r="D143" s="30"/>
      <c r="E143" s="30"/>
      <c r="F143" s="30"/>
      <c r="G143" s="30"/>
      <c r="H143" s="30"/>
    </row>
    <row r="144" spans="1:8" ht="14.25" x14ac:dyDescent="0.3">
      <c r="A144" s="48"/>
      <c r="B144" s="49"/>
      <c r="C144" s="50"/>
      <c r="D144" s="30"/>
      <c r="E144" s="30"/>
      <c r="F144" s="30"/>
      <c r="G144" s="30"/>
      <c r="H144" s="30"/>
    </row>
    <row r="145" spans="1:8" ht="14.25" x14ac:dyDescent="0.3">
      <c r="A145" s="48"/>
      <c r="B145" s="49"/>
      <c r="C145" s="50"/>
      <c r="D145" s="30"/>
      <c r="E145" s="30"/>
      <c r="F145" s="30"/>
      <c r="G145" s="30"/>
      <c r="H145" s="30"/>
    </row>
    <row r="146" spans="1:8" ht="14.25" x14ac:dyDescent="0.3">
      <c r="A146" s="48"/>
      <c r="B146" s="49"/>
      <c r="C146" s="50"/>
      <c r="D146" s="30"/>
      <c r="E146" s="30"/>
      <c r="F146" s="30"/>
      <c r="G146" s="30"/>
      <c r="H146" s="30"/>
    </row>
    <row r="147" spans="1:8" ht="14.25" x14ac:dyDescent="0.3">
      <c r="A147" s="48"/>
      <c r="B147" s="49"/>
      <c r="C147" s="50"/>
      <c r="D147" s="30"/>
      <c r="E147" s="30"/>
      <c r="F147" s="30"/>
      <c r="G147" s="30"/>
      <c r="H147" s="30"/>
    </row>
  </sheetData>
  <mergeCells count="6">
    <mergeCell ref="A1:H1"/>
    <mergeCell ref="A2:H2"/>
    <mergeCell ref="A62:H62"/>
    <mergeCell ref="A63:H63"/>
    <mergeCell ref="A64:H64"/>
    <mergeCell ref="A65:H6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2023-10-03T13:44:42Z</dcterms:created>
  <dcterms:modified xsi:type="dcterms:W3CDTF">2023-10-03T13:49:17Z</dcterms:modified>
</cp:coreProperties>
</file>