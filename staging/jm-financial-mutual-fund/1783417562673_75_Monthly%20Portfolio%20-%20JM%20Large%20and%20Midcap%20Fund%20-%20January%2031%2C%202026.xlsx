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5B02302C-AC4C-4361-BF33-FF94F018967D}"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2" i="1" l="1"/>
  <c r="E82" i="1"/>
  <c r="F65" i="1"/>
  <c r="E65" i="1"/>
</calcChain>
</file>

<file path=xl/sharedStrings.xml><?xml version="1.0" encoding="utf-8"?>
<sst xmlns="http://schemas.openxmlformats.org/spreadsheetml/2006/main" count="249" uniqueCount="189">
  <si>
    <t>Quantity</t>
  </si>
  <si>
    <t>JM Financial Mutual Fund</t>
  </si>
  <si>
    <t>NIL</t>
  </si>
  <si>
    <t>Total</t>
  </si>
  <si>
    <t>(b) Privately placed / Unlisted</t>
  </si>
  <si>
    <t>Cash &amp; Cash Equivalents</t>
  </si>
  <si>
    <t>Net Receivable/Payable</t>
  </si>
  <si>
    <t>CCIL</t>
  </si>
  <si>
    <t>HDFC Asset Management Company Limited</t>
  </si>
  <si>
    <t>Marico Limited</t>
  </si>
  <si>
    <t>Fortis Healthcare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</si>
  <si>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</si>
  <si>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</si>
  <si>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</si>
  <si>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</si>
  <si>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</si>
  <si>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</si>
  <si>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</si>
  <si>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</si>
  <si>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</si>
  <si>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</si>
  <si>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</si>
  <si>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</si>
  <si>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</si>
  <si>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</si>
  <si>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</si>
  <si>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</si>
  <si>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</si>
  <si>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</si>
  <si>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</si>
  <si>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</si>
  <si>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</si>
  <si>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</si>
  <si>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INE338I01027</t>
  </si>
  <si>
    <t>INE377N01017</t>
  </si>
  <si>
    <t>ISIN</t>
  </si>
  <si>
    <t>INE118H01025</t>
  </si>
  <si>
    <t>BSE Ltd</t>
  </si>
  <si>
    <t>Coforge Limited</t>
  </si>
  <si>
    <t>INE200A01026</t>
  </si>
  <si>
    <t>GE Vernova T&amp;D India Limited</t>
  </si>
  <si>
    <t>INE371P01015</t>
  </si>
  <si>
    <t>Amber Enterprises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</si>
  <si>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</si>
  <si>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</si>
  <si>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</si>
  <si>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</si>
  <si>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</si>
  <si>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</si>
  <si>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</si>
  <si>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</si>
  <si>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</si>
  <si>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</si>
  <si>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</si>
  <si>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</si>
  <si>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</si>
  <si>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</si>
  <si>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</si>
  <si>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</si>
  <si>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</si>
  <si>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</si>
  <si>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</si>
  <si>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</si>
  <si>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</si>
  <si>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</si>
  <si>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</si>
  <si>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</si>
  <si>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</si>
  <si>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</si>
  <si>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</si>
  <si>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</si>
  <si>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</si>
  <si>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</si>
  <si>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</si>
  <si>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</si>
  <si>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</si>
  <si>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</si>
  <si>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</si>
  <si>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</si>
  <si>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</si>
  <si>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INE271C01023</t>
  </si>
  <si>
    <t>DLF Limited</t>
  </si>
  <si>
    <t>INE849A01020</t>
  </si>
  <si>
    <t>Trent Limited</t>
  </si>
  <si>
    <t>JM Large and Midcap Fund (An open ended equity scheme predominantly investing in large and mid cap stocks.)</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</si>
  <si>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</si>
  <si>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</si>
  <si>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</si>
  <si>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</si>
  <si>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</si>
  <si>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</si>
  <si>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</si>
  <si>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</si>
  <si>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</si>
  <si>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</si>
  <si>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</si>
  <si>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</si>
  <si>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</si>
  <si>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</si>
  <si>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INE148O01028</t>
  </si>
  <si>
    <t>Delhivery Limited</t>
  </si>
  <si>
    <t>INE158A01026</t>
  </si>
  <si>
    <t>Hero MotoCorp Limited</t>
  </si>
  <si>
    <t>INE066F01020</t>
  </si>
  <si>
    <t>INE121E01018</t>
  </si>
  <si>
    <t>JSW Energy Limited</t>
  </si>
  <si>
    <t>Power</t>
  </si>
  <si>
    <t>Motilal Oswal Financial Services</t>
  </si>
  <si>
    <t>INE290S01011</t>
  </si>
  <si>
    <t>CarTrade Tech Limited</t>
  </si>
  <si>
    <t>INE585B01010</t>
  </si>
  <si>
    <t>Maruti Suzuki India Limited</t>
  </si>
  <si>
    <t>INE0KBH01020</t>
  </si>
  <si>
    <t>Blue Jet Healthcare Ltd</t>
  </si>
  <si>
    <t>Banks</t>
  </si>
  <si>
    <t>Telecom - Services</t>
  </si>
  <si>
    <t>IT - Software</t>
  </si>
  <si>
    <t>Finance</t>
  </si>
  <si>
    <t>Financial Technology (Fintech)</t>
  </si>
  <si>
    <t>Automobiles</t>
  </si>
  <si>
    <t>Electrical Equipment</t>
  </si>
  <si>
    <t>Industrial Products</t>
  </si>
  <si>
    <t>Transport Services</t>
  </si>
  <si>
    <t>Beverages</t>
  </si>
  <si>
    <t>Capital Markets</t>
  </si>
  <si>
    <t>Consumer Durables</t>
  </si>
  <si>
    <t>Insurance</t>
  </si>
  <si>
    <t>Pharmaceuticals &amp; Biotechnology</t>
  </si>
  <si>
    <t>Aerospace &amp; Defense</t>
  </si>
  <si>
    <t>Cement &amp; Cement Products</t>
  </si>
  <si>
    <t>Agricultural Food &amp; other Products</t>
  </si>
  <si>
    <t>Transport Infrastructure</t>
  </si>
  <si>
    <t>Retailing</t>
  </si>
  <si>
    <t>Realty</t>
  </si>
  <si>
    <t>INE324D01010</t>
  </si>
  <si>
    <t>LG Electronics India Limited</t>
  </si>
  <si>
    <t>INE956O01016</t>
  </si>
  <si>
    <t>INE169A01031</t>
  </si>
  <si>
    <t>Coromandel International Limited</t>
  </si>
  <si>
    <t>INE749A01030</t>
  </si>
  <si>
    <t>Jindal Steel &amp; Power Limited</t>
  </si>
  <si>
    <t>INE085001019</t>
  </si>
  <si>
    <t>WeWork India Management Limited</t>
  </si>
  <si>
    <t>Fertilizers &amp; Agrochemicals</t>
  </si>
  <si>
    <t>Ferrous Metals</t>
  </si>
  <si>
    <t>Commercial Services &amp; Supplies</t>
  </si>
  <si>
    <t>^YTC (AT1/Tier 2 bonds)</t>
  </si>
  <si>
    <t># awaiting listing on Stock Exchanges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</si>
  <si>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</si>
  <si>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</si>
  <si>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</si>
  <si>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</si>
  <si>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</si>
  <si>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</si>
  <si>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</si>
  <si>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</si>
  <si>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</si>
  <si>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</si>
  <si>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</si>
  <si>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</si>
  <si>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</si>
  <si>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</si>
  <si>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</si>
  <si>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</si>
  <si>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INE205A01025</t>
  </si>
  <si>
    <t>Vedanta Limited</t>
  </si>
  <si>
    <t>Hindustan Aeronautics Limited</t>
  </si>
  <si>
    <t>Lenskart Solutions Limited</t>
  </si>
  <si>
    <t>Petroleum Products</t>
  </si>
  <si>
    <t>Diversified Metals</t>
  </si>
  <si>
    <t>INE092T01019</t>
  </si>
  <si>
    <t>IDFC First Bank Limited</t>
  </si>
  <si>
    <t>INE346A01027</t>
  </si>
  <si>
    <t>ICICI Prudential AMC Ltd</t>
  </si>
  <si>
    <t>(b) Unlisted</t>
  </si>
  <si>
    <t>INE494B04019</t>
  </si>
  <si>
    <t>CARE A1+</t>
  </si>
  <si>
    <t>Monthly Portfolio Statement for the period ended 31.01.2026</t>
  </si>
  <si>
    <t>INE274J01014</t>
  </si>
  <si>
    <t>Oil India Limited</t>
  </si>
  <si>
    <t>Oil</t>
  </si>
  <si>
    <t>INE774D01024</t>
  </si>
  <si>
    <t>Mahindra &amp; Mahindra Financial Serv Ltd.</t>
  </si>
  <si>
    <t>INE878B01027</t>
  </si>
  <si>
    <t>KEI Industries Limited</t>
  </si>
  <si>
    <t>INE211B01039</t>
  </si>
  <si>
    <t>The Phoenix Mills Limited</t>
  </si>
  <si>
    <t>02-FEB-2026</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</si>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</sst>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
  </numFmts>
  <fonts count="18" x14ac:knownFonts="1">
    <font>
      <sz val="10"/>
      <name val="Arial"/>
    </font>
    <font>
      <sz val="10"/>
      <name val="Times New Roman"/>
      <family val="1"/>
    </font>
    <font>
      <sz val="10"/>
      <name val="Arial"/>
      <family val="2"/>
    </font>
    <font>
      <sz val="8"/>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sz val="8"/>
      <name val="Times New Roman"/>
      <family val="1"/>
    </font>
    <font>
      <sz val="8"/>
      <color indexed="8"/>
      <name val="Century Gothic"/>
      <family val="2"/>
    </font>
    <font>
      <b/>
      <sz val="8"/>
      <color indexed="72"/>
      <name val="Century Gothic"/>
      <family val="2"/>
    </font>
    <font>
      <b/>
      <sz val="8"/>
      <color indexed="8"/>
      <name val="Century Gothic"/>
      <family val="2"/>
    </font>
    <font>
      <sz val="8"/>
      <color indexed="72"/>
      <name val="Century Gothic"/>
      <family val="2"/>
    </font>
    <font>
      <b/>
      <sz val="8"/>
      <color indexed="9"/>
      <name val="Century Gothic"/>
      <family val="2"/>
    </font>
    <font>
      <i/>
      <sz val="8"/>
      <color indexed="8"/>
      <name val="Century Gothic"/>
      <family val="2"/>
    </font>
    <font>
      <sz val="8"/>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4" fillId="0" borderId="0"/>
    <xf numFmtId="164" fontId="2" fillId="0" borderId="0" applyFont="0" applyFill="0" applyBorder="0" applyAlignment="0" applyProtection="0"/>
    <xf numFmtId="0" fontId="2" fillId="0" borderId="0"/>
    <xf numFmtId="9" fontId="6" fillId="0" borderId="0" applyFont="0" applyFill="0" applyBorder="0" applyAlignment="0" applyProtection="0"/>
    <xf numFmtId="0" fontId="7" fillId="0" borderId="0" applyNumberFormat="0" applyFill="0" applyBorder="0" applyProtection="0"/>
    <xf numFmtId="0" fontId="4" fillId="0" borderId="0"/>
    <xf numFmtId="0" fontId="4" fillId="0" borderId="0"/>
  </cellStyleXfs>
  <cellXfs count="10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5" fillId="2" borderId="0" xfId="2" applyFont="1" applyFill="1" applyAlignment="1">
      <alignment horizontal="center" vertical="center" wrapText="1"/>
    </xf>
    <xf numFmtId="0" fontId="8" fillId="3" borderId="0" xfId="0" applyFont="1" applyFill="1"/>
    <xf numFmtId="0" fontId="3" fillId="0" borderId="0" xfId="0" applyFont="1"/>
    <xf numFmtId="0" fontId="1" fillId="0" borderId="0" xfId="0" applyFont="1" applyAlignment="1">
      <alignment horizontal="center"/>
    </xf>
    <xf numFmtId="0" fontId="8" fillId="0" borderId="0" xfId="0" applyFont="1" applyAlignment="1">
      <alignment horizontal="left" wrapText="1"/>
    </xf>
    <xf numFmtId="165" fontId="8" fillId="0" borderId="0" xfId="1" applyNumberFormat="1" applyFont="1"/>
    <xf numFmtId="0" fontId="8" fillId="0" borderId="0" xfId="0" applyFont="1"/>
    <xf numFmtId="0" fontId="8" fillId="0" borderId="0" xfId="2" applyFont="1"/>
    <xf numFmtId="0" fontId="8" fillId="0" borderId="0" xfId="0" applyFont="1" applyAlignment="1">
      <alignment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165" fontId="9" fillId="0" borderId="1" xfId="1" applyNumberFormat="1" applyFont="1" applyFill="1" applyBorder="1" applyAlignment="1">
      <alignment horizontal="center" vertical="center"/>
    </xf>
    <xf numFmtId="165" fontId="9" fillId="0" borderId="1" xfId="1" applyNumberFormat="1" applyFont="1" applyFill="1" applyBorder="1" applyAlignment="1">
      <alignment horizontal="center" vertical="center" wrapText="1"/>
    </xf>
    <xf numFmtId="164" fontId="9" fillId="0" borderId="1" xfId="1" applyFont="1" applyBorder="1" applyAlignment="1">
      <alignment horizontal="center" vertical="center" wrapText="1"/>
    </xf>
    <xf numFmtId="10" fontId="9" fillId="0" borderId="1" xfId="0" applyNumberFormat="1" applyFont="1" applyBorder="1" applyAlignment="1">
      <alignment horizontal="center" vertical="center" wrapText="1"/>
    </xf>
    <xf numFmtId="0" fontId="10" fillId="0" borderId="0" xfId="0" applyFont="1" applyAlignment="1">
      <alignment horizontal="center"/>
    </xf>
    <xf numFmtId="0" fontId="11" fillId="0" borderId="1" xfId="0" applyFont="1" applyBorder="1"/>
    <xf numFmtId="0" fontId="12" fillId="0" borderId="1" xfId="0" applyFont="1" applyBorder="1" applyAlignment="1">
      <alignment horizontal="left" vertical="top"/>
    </xf>
    <xf numFmtId="4" fontId="11" fillId="0" borderId="1" xfId="0" applyNumberFormat="1" applyFont="1" applyBorder="1"/>
    <xf numFmtId="4" fontId="13" fillId="0" borderId="1" xfId="0" applyNumberFormat="1" applyFont="1" applyBorder="1" applyAlignment="1">
      <alignment horizontal="right"/>
    </xf>
    <xf numFmtId="10" fontId="11" fillId="0" borderId="1" xfId="6" applyNumberFormat="1" applyFont="1" applyFill="1" applyBorder="1" applyAlignment="1">
      <alignment horizontal="right"/>
    </xf>
    <xf numFmtId="10" fontId="11" fillId="0" borderId="1" xfId="6" applyNumberFormat="1" applyFont="1" applyFill="1" applyBorder="1" applyAlignment="1"/>
    <xf numFmtId="0" fontId="14" fillId="0" borderId="1" xfId="0" applyFont="1" applyBorder="1" applyAlignment="1">
      <alignment horizontal="right" vertical="top"/>
    </xf>
    <xf numFmtId="170" fontId="3" fillId="0" borderId="1" xfId="2" applyNumberFormat="1" applyFont="1" applyBorder="1"/>
    <xf numFmtId="0" fontId="10" fillId="0" borderId="0" xfId="0" applyFont="1"/>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6" applyNumberFormat="1" applyFont="1" applyFill="1" applyBorder="1" applyAlignment="1" applyProtection="1">
      <alignment horizontal="right" vertical="top"/>
    </xf>
    <xf numFmtId="0" fontId="3" fillId="0" borderId="1" xfId="2" applyFont="1" applyBorder="1"/>
    <xf numFmtId="4" fontId="9" fillId="0" borderId="1" xfId="0" applyNumberFormat="1" applyFont="1" applyBorder="1" applyAlignment="1">
      <alignment horizontal="right" vertical="top"/>
    </xf>
    <xf numFmtId="166" fontId="9" fillId="0" borderId="1" xfId="0" applyNumberFormat="1" applyFont="1" applyBorder="1" applyAlignment="1">
      <alignment horizontal="right" vertical="top"/>
    </xf>
    <xf numFmtId="167" fontId="11" fillId="0" borderId="1" xfId="0" applyNumberFormat="1" applyFont="1" applyBorder="1"/>
    <xf numFmtId="0" fontId="11" fillId="0" borderId="1" xfId="0" applyFont="1" applyBorder="1" applyAlignment="1">
      <alignment horizontal="right"/>
    </xf>
    <xf numFmtId="4" fontId="14" fillId="0" borderId="1" xfId="0" applyNumberFormat="1" applyFont="1" applyBorder="1" applyAlignment="1">
      <alignment horizontal="left" vertical="top"/>
    </xf>
    <xf numFmtId="167" fontId="9" fillId="0" borderId="1" xfId="0" applyNumberFormat="1" applyFont="1" applyBorder="1" applyAlignment="1">
      <alignment horizontal="right" vertical="top"/>
    </xf>
    <xf numFmtId="4" fontId="12"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9" fillId="0" borderId="1" xfId="0" applyNumberFormat="1" applyFont="1" applyBorder="1" applyAlignment="1">
      <alignment horizontal="right"/>
    </xf>
    <xf numFmtId="0" fontId="9"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9" fillId="0" borderId="1" xfId="0" applyFont="1" applyBorder="1" applyAlignment="1">
      <alignment wrapText="1"/>
    </xf>
    <xf numFmtId="10" fontId="14" fillId="0" borderId="1" xfId="6" applyNumberFormat="1" applyFont="1" applyBorder="1" applyAlignment="1">
      <alignment horizontal="right" vertical="top"/>
    </xf>
    <xf numFmtId="0" fontId="3" fillId="0" borderId="1" xfId="2" applyFont="1" applyBorder="1" applyAlignment="1">
      <alignment vertical="center"/>
    </xf>
    <xf numFmtId="169" fontId="3" fillId="0" borderId="1" xfId="0" applyNumberFormat="1" applyFont="1" applyBorder="1" applyAlignment="1">
      <alignment horizontal="right" vertical="top"/>
    </xf>
    <xf numFmtId="169" fontId="9"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0" fontId="15" fillId="0" borderId="0" xfId="2" applyFont="1" applyAlignment="1">
      <alignment horizontal="left" wrapText="1"/>
    </xf>
    <xf numFmtId="0" fontId="3" fillId="0" borderId="0" xfId="2" applyFont="1"/>
    <xf numFmtId="0" fontId="9" fillId="0" borderId="0" xfId="0" applyFont="1" applyAlignment="1">
      <alignment wrapText="1"/>
    </xf>
    <xf numFmtId="4" fontId="13" fillId="0" borderId="0" xfId="0" applyNumberFormat="1" applyFont="1"/>
    <xf numFmtId="171" fontId="13" fillId="0" borderId="0" xfId="0" applyNumberFormat="1" applyFont="1"/>
    <xf numFmtId="4" fontId="3" fillId="0" borderId="0" xfId="0" applyNumberFormat="1" applyFont="1" applyAlignment="1">
      <alignment horizontal="right"/>
    </xf>
    <xf numFmtId="10" fontId="3" fillId="0" borderId="0" xfId="6" applyNumberFormat="1" applyFont="1"/>
    <xf numFmtId="166" fontId="9" fillId="0" borderId="0" xfId="0" applyNumberFormat="1" applyFont="1" applyAlignment="1">
      <alignment horizontal="right" vertical="top"/>
    </xf>
    <xf numFmtId="0" fontId="3" fillId="0" borderId="0" xfId="0" applyFont="1" applyAlignment="1">
      <alignment horizontal="right"/>
    </xf>
    <xf numFmtId="0" fontId="3" fillId="0" borderId="0" xfId="5" applyFont="1" applyAlignment="1">
      <alignment vertical="top"/>
    </xf>
    <xf numFmtId="0" fontId="11" fillId="0" borderId="0" xfId="8" applyFont="1" applyAlignment="1">
      <alignment vertical="top"/>
    </xf>
    <xf numFmtId="0" fontId="3" fillId="0" borderId="0" xfId="2" applyFont="1" applyAlignment="1">
      <alignment vertical="top"/>
    </xf>
    <xf numFmtId="0" fontId="16" fillId="0" borderId="0" xfId="8" applyFont="1" applyAlignment="1">
      <alignment horizontal="left" vertical="top" wrapText="1"/>
    </xf>
    <xf numFmtId="0" fontId="16" fillId="0" borderId="0" xfId="8" applyFont="1" applyAlignment="1">
      <alignment vertical="top"/>
    </xf>
    <xf numFmtId="0" fontId="13" fillId="0" borderId="0" xfId="9" applyFont="1"/>
    <xf numFmtId="0" fontId="15" fillId="0" borderId="0" xfId="2" applyFont="1" applyAlignment="1">
      <alignment horizontal="left"/>
    </xf>
    <xf numFmtId="0" fontId="11" fillId="0" borderId="0" xfId="9"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0" applyFont="1"/>
    <xf numFmtId="0" fontId="13" fillId="0" borderId="0" xfId="3" applyFont="1" applyAlignment="1">
      <alignment horizontal="center"/>
    </xf>
    <xf numFmtId="0" fontId="3" fillId="0" borderId="0" xfId="2" applyFont="1" applyAlignment="1">
      <alignment horizontal="right"/>
    </xf>
    <xf numFmtId="0" fontId="3" fillId="0" borderId="0" xfId="0" applyFont="1" applyAlignment="1">
      <alignment horizontal="left" wrapText="1"/>
    </xf>
    <xf numFmtId="0" fontId="3" fillId="0" borderId="0" xfId="0" applyFont="1" applyAlignment="1">
      <alignment wrapText="1"/>
    </xf>
    <xf numFmtId="0" fontId="13" fillId="0" borderId="1" xfId="0" applyFont="1" applyBorder="1" applyAlignment="1">
      <alignment vertical="center" wrapText="1"/>
    </xf>
    <xf numFmtId="4" fontId="14" fillId="0" borderId="1" xfId="0" applyNumberFormat="1" applyFont="1" applyBorder="1" applyAlignment="1">
      <alignment horizontal="right" vertical="center"/>
    </xf>
    <xf numFmtId="166" fontId="14" fillId="0" borderId="1" xfId="0" applyNumberFormat="1" applyFont="1" applyBorder="1" applyAlignment="1">
      <alignment horizontal="right" vertical="center"/>
    </xf>
    <xf numFmtId="15" fontId="3" fillId="0" borderId="1" xfId="6" applyNumberFormat="1" applyFont="1" applyFill="1" applyBorder="1" applyAlignment="1" applyProtection="1">
      <alignment horizontal="right" vertical="center"/>
    </xf>
    <xf numFmtId="10" fontId="14" fillId="0" borderId="1" xfId="6" applyNumberFormat="1" applyFont="1" applyFill="1" applyBorder="1" applyAlignment="1" applyProtection="1">
      <alignment horizontal="right" vertical="center"/>
    </xf>
    <xf numFmtId="10" fontId="14" fillId="0" borderId="1" xfId="0" applyNumberFormat="1" applyFont="1" applyBorder="1" applyAlignment="1">
      <alignment horizontal="right" vertical="center"/>
    </xf>
    <xf numFmtId="10" fontId="9" fillId="0" borderId="1" xfId="6" applyNumberFormat="1" applyFont="1" applyBorder="1" applyAlignment="1">
      <alignment horizontal="right" vertical="top"/>
    </xf>
    <xf numFmtId="0" fontId="11" fillId="0" borderId="1" xfId="0" applyFont="1" applyBorder="1" applyAlignment="1">
      <alignment vertical="center"/>
    </xf>
    <xf numFmtId="0" fontId="9" fillId="0" borderId="0" xfId="2" applyFont="1"/>
    <xf numFmtId="0" fontId="9" fillId="0" borderId="0" xfId="0" applyFont="1"/>
    <xf numFmtId="0" fontId="9" fillId="0" borderId="0" xfId="2" applyFont="1" applyAlignment="1">
      <alignment horizontal="center" wrapText="1"/>
    </xf>
    <xf numFmtId="0" fontId="5" fillId="2" borderId="3" xfId="2" applyFont="1" applyFill="1" applyBorder="1" applyAlignment="1">
      <alignment horizontal="center" vertical="center"/>
    </xf>
    <xf numFmtId="0" fontId="5" fillId="2" borderId="0" xfId="2" applyFont="1" applyFill="1" applyAlignment="1">
      <alignment horizontal="center" vertical="center" wrapText="1"/>
    </xf>
    <xf numFmtId="0" fontId="5" fillId="2" borderId="2" xfId="2" applyFont="1" applyFill="1" applyBorder="1" applyAlignment="1">
      <alignment horizontal="center" vertical="center" wrapText="1"/>
    </xf>
    <xf numFmtId="0" fontId="9" fillId="0" borderId="0" xfId="2" applyFont="1" applyAlignment="1">
      <alignment horizontal="center"/>
    </xf>
    <xf numFmtId="0" fontId="3" fillId="0" borderId="0" xfId="0" applyFont="1"/>
    <xf numFmtId="0" fontId="16" fillId="0" borderId="0" xfId="8" applyFont="1" applyAlignment="1">
      <alignment horizontal="left" vertical="top" wrapText="1"/>
    </xf>
    <xf numFmtId="0" fontId="17" fillId="0" borderId="0" xfId="0" applyFont="1" applyAlignment="1">
      <alignment wrapText="1"/>
    </xf>
  </cellXfs>
  <cellStyles count="10">
    <cellStyle name="Comma" xfId="1" builtinId="3"/>
    <cellStyle name="Comma 4" xfId="4" xr:uid="{00000000-0005-0000-0000-000001000000}"/>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107</xdr:row>
      <xdr:rowOff>19050</xdr:rowOff>
    </xdr:from>
    <xdr:ext cx="2651125" cy="1466850"/>
    <xdr:pic>
      <xdr:nvPicPr>
        <xdr:cNvPr id="2" name="Picture 5">
          <a:extLst>
            <a:ext uri="{FF2B5EF4-FFF2-40B4-BE49-F238E27FC236}">
              <a16:creationId xmlns:a16="http://schemas.microsoft.com/office/drawing/2014/main" id="{45875E3F-3A26-4D9F-8092-8F16B32AC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96405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106</xdr:row>
      <xdr:rowOff>142875</xdr:rowOff>
    </xdr:from>
    <xdr:ext cx="2686050" cy="1466850"/>
    <xdr:pic>
      <xdr:nvPicPr>
        <xdr:cNvPr id="3" name="Picture 6">
          <a:extLst>
            <a:ext uri="{FF2B5EF4-FFF2-40B4-BE49-F238E27FC236}">
              <a16:creationId xmlns:a16="http://schemas.microsoft.com/office/drawing/2014/main" id="{53485722-C231-4981-A697-482A7F51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07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154"/>
  <sheetViews>
    <sheetView tabSelected="1" zoomScaleNormal="100" workbookViewId="0"/>
  </sheetViews>
  <sheetFormatPr defaultColWidth="9.140625" defaultRowHeight="12.75" x14ac:dyDescent="0.2"/>
  <cols>
    <col min="1" max="1" width="14.42578125"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2" ht="13.5" x14ac:dyDescent="0.25">
      <c r="A1" s="6"/>
      <c r="B1" s="98" t="s">
        <v>1</v>
      </c>
      <c r="C1" s="98"/>
      <c r="D1" s="98"/>
      <c r="E1" s="98"/>
      <c r="F1" s="98"/>
      <c r="G1" s="98"/>
      <c r="H1" s="98"/>
      <c r="I1" s="98"/>
      <c r="J1" s="7"/>
    </row>
    <row r="2" spans="1:12" ht="13.5" x14ac:dyDescent="0.25">
      <c r="A2" s="6"/>
      <c r="B2" s="99" t="s">
        <v>84</v>
      </c>
      <c r="C2" s="99"/>
      <c r="D2" s="99"/>
      <c r="E2" s="99"/>
      <c r="F2" s="99"/>
      <c r="G2" s="99"/>
      <c r="H2" s="99"/>
      <c r="I2" s="99"/>
      <c r="J2" s="7"/>
    </row>
    <row r="3" spans="1:12" ht="12.75" customHeight="1" x14ac:dyDescent="0.25">
      <c r="A3" s="6"/>
      <c r="B3" s="100" t="s">
        <v>177</v>
      </c>
      <c r="C3" s="100"/>
      <c r="D3" s="100"/>
      <c r="E3" s="100"/>
      <c r="F3" s="100"/>
      <c r="G3" s="100"/>
      <c r="H3" s="100"/>
      <c r="I3" s="100"/>
      <c r="J3" s="7"/>
    </row>
    <row r="4" spans="1:12" s="9" customFormat="1" ht="25.5" x14ac:dyDescent="0.2">
      <c r="A4" s="15" t="s">
        <v>35</v>
      </c>
      <c r="B4" s="16" t="s">
        <v>22</v>
      </c>
      <c r="C4" s="17" t="s">
        <v>23</v>
      </c>
      <c r="D4" s="18" t="s">
        <v>0</v>
      </c>
      <c r="E4" s="19" t="s">
        <v>24</v>
      </c>
      <c r="F4" s="20" t="s">
        <v>25</v>
      </c>
      <c r="G4" s="15" t="s">
        <v>26</v>
      </c>
      <c r="H4" s="15" t="s">
        <v>27</v>
      </c>
      <c r="I4" s="15" t="s">
        <v>28</v>
      </c>
      <c r="J4" s="15" t="s">
        <v>146</v>
      </c>
      <c r="K4" s="21"/>
      <c r="L4" s="21"/>
    </row>
    <row r="5" spans="1:12" ht="14.25" x14ac:dyDescent="0.3">
      <c r="A5" s="22"/>
      <c r="B5" s="23" t="s">
        <v>11</v>
      </c>
      <c r="C5" s="22"/>
      <c r="D5" s="24"/>
      <c r="E5" s="25"/>
      <c r="F5" s="25"/>
      <c r="G5" s="26"/>
      <c r="H5" s="27"/>
      <c r="I5" s="28"/>
      <c r="J5" s="29"/>
      <c r="K5" s="8"/>
      <c r="L5" s="30"/>
    </row>
    <row r="6" spans="1:12" ht="14.25" x14ac:dyDescent="0.3">
      <c r="A6" s="31" t="s">
        <v>46</v>
      </c>
      <c r="B6" s="31" t="s">
        <v>47</v>
      </c>
      <c r="C6" s="31" t="s">
        <v>114</v>
      </c>
      <c r="D6" s="32">
        <v>119000</v>
      </c>
      <c r="E6" s="32">
        <v>1612.45</v>
      </c>
      <c r="F6" s="33">
        <v>4.0357309331416596E-2</v>
      </c>
      <c r="G6" s="34"/>
      <c r="H6" s="34"/>
      <c r="I6" s="28"/>
      <c r="J6" s="29"/>
      <c r="K6" s="8"/>
      <c r="L6" s="30"/>
    </row>
    <row r="7" spans="1:12" ht="14.25" x14ac:dyDescent="0.3">
      <c r="A7" s="31" t="s">
        <v>48</v>
      </c>
      <c r="B7" s="31" t="s">
        <v>49</v>
      </c>
      <c r="C7" s="31" t="s">
        <v>114</v>
      </c>
      <c r="D7" s="32">
        <v>168000</v>
      </c>
      <c r="E7" s="32">
        <v>1561.14</v>
      </c>
      <c r="F7" s="33">
        <v>3.90730936709031E-2</v>
      </c>
      <c r="G7" s="34"/>
      <c r="H7" s="34"/>
      <c r="I7" s="28"/>
      <c r="J7" s="35"/>
      <c r="K7" s="8"/>
      <c r="L7" s="30"/>
    </row>
    <row r="8" spans="1:12" ht="14.25" x14ac:dyDescent="0.3">
      <c r="A8" s="31" t="s">
        <v>50</v>
      </c>
      <c r="B8" s="31" t="s">
        <v>51</v>
      </c>
      <c r="C8" s="31" t="s">
        <v>115</v>
      </c>
      <c r="D8" s="32">
        <v>66000</v>
      </c>
      <c r="E8" s="32">
        <v>1299.3420000000001</v>
      </c>
      <c r="F8" s="33">
        <v>3.2520665460201249E-2</v>
      </c>
      <c r="G8" s="34"/>
      <c r="H8" s="34"/>
      <c r="I8" s="28"/>
      <c r="J8" s="35"/>
      <c r="K8" s="8"/>
      <c r="L8" s="30"/>
    </row>
    <row r="9" spans="1:12" ht="14.25" x14ac:dyDescent="0.3">
      <c r="A9" s="31" t="s">
        <v>162</v>
      </c>
      <c r="B9" s="31" t="s">
        <v>163</v>
      </c>
      <c r="C9" s="31" t="s">
        <v>168</v>
      </c>
      <c r="D9" s="32">
        <v>81400</v>
      </c>
      <c r="E9" s="32">
        <v>1135.8556000000001</v>
      </c>
      <c r="F9" s="33">
        <v>2.8428835501889543E-2</v>
      </c>
      <c r="G9" s="34"/>
      <c r="H9" s="34"/>
      <c r="I9" s="28"/>
      <c r="J9" s="29"/>
      <c r="K9" s="8"/>
      <c r="L9" s="30"/>
    </row>
    <row r="10" spans="1:12" ht="14.25" x14ac:dyDescent="0.3">
      <c r="A10" s="31" t="s">
        <v>54</v>
      </c>
      <c r="B10" s="31" t="s">
        <v>55</v>
      </c>
      <c r="C10" s="31" t="s">
        <v>117</v>
      </c>
      <c r="D10" s="32">
        <v>117000</v>
      </c>
      <c r="E10" s="32">
        <v>1087.9245000000001</v>
      </c>
      <c r="F10" s="33">
        <v>2.7229188859019961E-2</v>
      </c>
      <c r="G10" s="34"/>
      <c r="H10" s="34"/>
      <c r="I10" s="28"/>
      <c r="J10" s="29"/>
      <c r="K10" s="8"/>
      <c r="L10" s="30"/>
    </row>
    <row r="11" spans="1:12" ht="14.25" x14ac:dyDescent="0.3">
      <c r="A11" s="31" t="s">
        <v>52</v>
      </c>
      <c r="B11" s="31" t="s">
        <v>53</v>
      </c>
      <c r="C11" s="31" t="s">
        <v>116</v>
      </c>
      <c r="D11" s="32">
        <v>17800</v>
      </c>
      <c r="E11" s="32">
        <v>1074.23</v>
      </c>
      <c r="F11" s="33">
        <v>2.6886435178199417E-2</v>
      </c>
      <c r="G11" s="34"/>
      <c r="H11" s="34"/>
      <c r="I11" s="28"/>
      <c r="J11" s="35"/>
      <c r="K11" s="8"/>
      <c r="L11" s="30"/>
    </row>
    <row r="12" spans="1:12" ht="14.25" x14ac:dyDescent="0.3">
      <c r="A12" s="31" t="s">
        <v>45</v>
      </c>
      <c r="B12" s="31" t="s">
        <v>38</v>
      </c>
      <c r="C12" s="31" t="s">
        <v>116</v>
      </c>
      <c r="D12" s="32">
        <v>61000</v>
      </c>
      <c r="E12" s="32">
        <v>1008.818</v>
      </c>
      <c r="F12" s="33">
        <v>2.5249266696704412E-2</v>
      </c>
      <c r="G12" s="34"/>
      <c r="H12" s="34"/>
      <c r="I12" s="28"/>
      <c r="J12" s="35"/>
      <c r="K12" s="8"/>
      <c r="L12" s="30"/>
    </row>
    <row r="13" spans="1:12" ht="14.25" x14ac:dyDescent="0.3">
      <c r="A13" s="31" t="s">
        <v>134</v>
      </c>
      <c r="B13" s="31" t="s">
        <v>135</v>
      </c>
      <c r="C13" s="31" t="s">
        <v>125</v>
      </c>
      <c r="D13" s="32">
        <v>68288</v>
      </c>
      <c r="E13" s="32">
        <v>998.78028800000004</v>
      </c>
      <c r="F13" s="33">
        <v>2.4998037171346309E-2</v>
      </c>
      <c r="G13" s="34"/>
      <c r="H13" s="34"/>
      <c r="I13" s="28"/>
      <c r="J13" s="35"/>
      <c r="K13" s="8"/>
      <c r="L13" s="30"/>
    </row>
    <row r="14" spans="1:12" ht="14.25" x14ac:dyDescent="0.3">
      <c r="A14" s="31" t="s">
        <v>170</v>
      </c>
      <c r="B14" s="31" t="s">
        <v>171</v>
      </c>
      <c r="C14" s="31" t="s">
        <v>114</v>
      </c>
      <c r="D14" s="32">
        <v>1190000</v>
      </c>
      <c r="E14" s="32">
        <v>994.60199999999998</v>
      </c>
      <c r="F14" s="33">
        <v>2.4893460619334312E-2</v>
      </c>
      <c r="G14" s="34"/>
      <c r="H14" s="34"/>
      <c r="I14" s="28"/>
      <c r="J14" s="35"/>
      <c r="K14" s="8"/>
      <c r="L14" s="30"/>
    </row>
    <row r="15" spans="1:12" ht="14.25" x14ac:dyDescent="0.3">
      <c r="A15" s="31" t="s">
        <v>93</v>
      </c>
      <c r="B15" s="31" t="s">
        <v>94</v>
      </c>
      <c r="C15" s="31" t="s">
        <v>126</v>
      </c>
      <c r="D15" s="32">
        <v>58998</v>
      </c>
      <c r="E15" s="32">
        <v>951.99172799999997</v>
      </c>
      <c r="F15" s="33">
        <v>2.3826986664917244E-2</v>
      </c>
      <c r="G15" s="34"/>
      <c r="H15" s="34"/>
      <c r="I15" s="28"/>
      <c r="J15" s="29"/>
      <c r="K15" s="8"/>
      <c r="L15" s="30"/>
    </row>
    <row r="16" spans="1:12" ht="14.25" x14ac:dyDescent="0.3">
      <c r="A16" s="31" t="s">
        <v>36</v>
      </c>
      <c r="B16" s="31" t="s">
        <v>37</v>
      </c>
      <c r="C16" s="31" t="s">
        <v>124</v>
      </c>
      <c r="D16" s="32">
        <v>31999</v>
      </c>
      <c r="E16" s="32">
        <v>895.01202999999998</v>
      </c>
      <c r="F16" s="33">
        <v>2.2400866600545202E-2</v>
      </c>
      <c r="G16" s="34"/>
      <c r="H16" s="34"/>
      <c r="I16" s="28"/>
      <c r="J16" s="35"/>
      <c r="K16" s="8"/>
      <c r="L16" s="30"/>
    </row>
    <row r="17" spans="1:12" ht="14.25" x14ac:dyDescent="0.3">
      <c r="A17" s="31" t="s">
        <v>164</v>
      </c>
      <c r="B17" s="31" t="s">
        <v>165</v>
      </c>
      <c r="C17" s="31" t="s">
        <v>169</v>
      </c>
      <c r="D17" s="32">
        <v>131000</v>
      </c>
      <c r="E17" s="32">
        <v>892.83050000000003</v>
      </c>
      <c r="F17" s="33">
        <v>2.2346266035550465E-2</v>
      </c>
      <c r="G17" s="34"/>
      <c r="H17" s="34"/>
      <c r="I17" s="28"/>
      <c r="J17" s="35"/>
      <c r="K17" s="8"/>
      <c r="L17" s="30"/>
    </row>
    <row r="18" spans="1:12" ht="14.25" x14ac:dyDescent="0.3">
      <c r="A18" s="31" t="s">
        <v>137</v>
      </c>
      <c r="B18" s="31" t="s">
        <v>138</v>
      </c>
      <c r="C18" s="31" t="s">
        <v>143</v>
      </c>
      <c r="D18" s="32">
        <v>37972</v>
      </c>
      <c r="E18" s="32">
        <v>866.74887200000001</v>
      </c>
      <c r="F18" s="33">
        <v>2.1693480318745021E-2</v>
      </c>
      <c r="G18" s="34"/>
      <c r="H18" s="34"/>
      <c r="I18" s="28"/>
      <c r="J18" s="35"/>
      <c r="K18" s="8"/>
      <c r="L18" s="30"/>
    </row>
    <row r="19" spans="1:12" ht="14.25" x14ac:dyDescent="0.3">
      <c r="A19" s="31" t="s">
        <v>32</v>
      </c>
      <c r="B19" s="31" t="s">
        <v>10</v>
      </c>
      <c r="C19" s="31" t="s">
        <v>59</v>
      </c>
      <c r="D19" s="32">
        <v>100000</v>
      </c>
      <c r="E19" s="32">
        <v>851.5</v>
      </c>
      <c r="F19" s="33">
        <v>2.1311822937580223E-2</v>
      </c>
      <c r="G19" s="34"/>
      <c r="H19" s="34"/>
      <c r="I19" s="28"/>
      <c r="J19" s="35"/>
      <c r="K19" s="8"/>
      <c r="L19" s="30"/>
    </row>
    <row r="20" spans="1:12" ht="14.25" x14ac:dyDescent="0.3">
      <c r="A20" s="31" t="s">
        <v>70</v>
      </c>
      <c r="B20" s="31" t="s">
        <v>71</v>
      </c>
      <c r="C20" s="31" t="s">
        <v>117</v>
      </c>
      <c r="D20" s="32">
        <v>83000</v>
      </c>
      <c r="E20" s="32">
        <v>846.6</v>
      </c>
      <c r="F20" s="33">
        <v>2.1189182970000491E-2</v>
      </c>
      <c r="G20" s="34"/>
      <c r="H20" s="34"/>
      <c r="I20" s="28"/>
      <c r="J20" s="29"/>
      <c r="K20" s="8"/>
      <c r="L20" s="30"/>
    </row>
    <row r="21" spans="1:12" ht="14.25" x14ac:dyDescent="0.3">
      <c r="A21" s="31" t="s">
        <v>139</v>
      </c>
      <c r="B21" s="31" t="s">
        <v>140</v>
      </c>
      <c r="C21" s="31" t="s">
        <v>144</v>
      </c>
      <c r="D21" s="32">
        <v>70800</v>
      </c>
      <c r="E21" s="32">
        <v>801.45600000000002</v>
      </c>
      <c r="F21" s="33">
        <v>2.0059293440118961E-2</v>
      </c>
      <c r="G21" s="34"/>
      <c r="H21" s="34"/>
      <c r="I21" s="28"/>
      <c r="J21" s="35"/>
      <c r="K21" s="8"/>
      <c r="L21" s="30"/>
    </row>
    <row r="22" spans="1:12" ht="14.25" x14ac:dyDescent="0.3">
      <c r="A22" s="31" t="s">
        <v>34</v>
      </c>
      <c r="B22" s="31" t="s">
        <v>13</v>
      </c>
      <c r="C22" s="31" t="s">
        <v>120</v>
      </c>
      <c r="D22" s="32">
        <v>28500</v>
      </c>
      <c r="E22" s="32">
        <v>794.4375</v>
      </c>
      <c r="F22" s="33">
        <v>1.9883630457984601E-2</v>
      </c>
      <c r="G22" s="34"/>
      <c r="H22" s="34"/>
      <c r="I22" s="28"/>
      <c r="J22" s="35"/>
      <c r="K22" s="8"/>
      <c r="L22" s="30"/>
    </row>
    <row r="23" spans="1:12" ht="14.25" x14ac:dyDescent="0.3">
      <c r="A23" s="31" t="s">
        <v>43</v>
      </c>
      <c r="B23" s="31" t="s">
        <v>44</v>
      </c>
      <c r="C23" s="31" t="s">
        <v>118</v>
      </c>
      <c r="D23" s="32">
        <v>68284</v>
      </c>
      <c r="E23" s="32">
        <v>776.73050000000001</v>
      </c>
      <c r="F23" s="33">
        <v>1.9440449660855143E-2</v>
      </c>
      <c r="G23" s="34"/>
      <c r="H23" s="34"/>
      <c r="I23" s="28"/>
      <c r="J23" s="35"/>
      <c r="K23" s="8"/>
      <c r="L23" s="30"/>
    </row>
    <row r="24" spans="1:12" ht="14.25" x14ac:dyDescent="0.3">
      <c r="A24" s="31" t="s">
        <v>99</v>
      </c>
      <c r="B24" s="31" t="s">
        <v>100</v>
      </c>
      <c r="C24" s="31" t="s">
        <v>122</v>
      </c>
      <c r="D24" s="32">
        <v>167500</v>
      </c>
      <c r="E24" s="32">
        <v>708.44124999999997</v>
      </c>
      <c r="F24" s="33">
        <v>1.7731267741254265E-2</v>
      </c>
      <c r="G24" s="34"/>
      <c r="H24" s="34"/>
      <c r="I24" s="28"/>
      <c r="J24" s="35"/>
      <c r="K24" s="8"/>
      <c r="L24" s="30"/>
    </row>
    <row r="25" spans="1:12" ht="14.25" x14ac:dyDescent="0.3">
      <c r="A25" s="31" t="s">
        <v>60</v>
      </c>
      <c r="B25" s="31" t="s">
        <v>61</v>
      </c>
      <c r="C25" s="31" t="s">
        <v>122</v>
      </c>
      <c r="D25" s="32">
        <v>14900</v>
      </c>
      <c r="E25" s="32">
        <v>684.87850000000003</v>
      </c>
      <c r="F25" s="33">
        <v>1.714152592572582E-2</v>
      </c>
      <c r="G25" s="34"/>
      <c r="H25" s="34"/>
      <c r="I25" s="28"/>
      <c r="J25" s="29"/>
      <c r="K25" s="8"/>
      <c r="L25" s="30"/>
    </row>
    <row r="26" spans="1:12" ht="14.25" x14ac:dyDescent="0.3">
      <c r="A26" s="31" t="s">
        <v>178</v>
      </c>
      <c r="B26" s="31" t="s">
        <v>179</v>
      </c>
      <c r="C26" s="31" t="s">
        <v>180</v>
      </c>
      <c r="D26" s="32">
        <v>132010</v>
      </c>
      <c r="E26" s="32">
        <v>673.31700499999999</v>
      </c>
      <c r="F26" s="33">
        <v>1.6852158298792504E-2</v>
      </c>
      <c r="G26" s="34"/>
      <c r="H26" s="34"/>
      <c r="I26" s="28"/>
      <c r="J26" s="35"/>
      <c r="K26" s="8"/>
      <c r="L26" s="30"/>
    </row>
    <row r="27" spans="1:12" ht="14.25" x14ac:dyDescent="0.3">
      <c r="A27" s="31" t="s">
        <v>87</v>
      </c>
      <c r="B27" s="31" t="s">
        <v>88</v>
      </c>
      <c r="C27" s="31" t="s">
        <v>114</v>
      </c>
      <c r="D27" s="32">
        <v>62000</v>
      </c>
      <c r="E27" s="32">
        <v>667.83299999999997</v>
      </c>
      <c r="F27" s="33">
        <v>1.6714901524219627E-2</v>
      </c>
      <c r="G27" s="34"/>
      <c r="H27" s="34"/>
      <c r="I27" s="28"/>
      <c r="J27" s="29"/>
      <c r="K27" s="8"/>
      <c r="L27" s="30"/>
    </row>
    <row r="28" spans="1:12" ht="14.25" x14ac:dyDescent="0.3">
      <c r="A28" s="31" t="s">
        <v>56</v>
      </c>
      <c r="B28" s="31" t="s">
        <v>57</v>
      </c>
      <c r="C28" s="31" t="s">
        <v>58</v>
      </c>
      <c r="D28" s="32">
        <v>16300</v>
      </c>
      <c r="E28" s="32">
        <v>640.96489999999994</v>
      </c>
      <c r="F28" s="33">
        <v>1.6042431541989213E-2</v>
      </c>
      <c r="G28" s="34"/>
      <c r="H28" s="34"/>
      <c r="I28" s="28"/>
      <c r="J28" s="35"/>
      <c r="K28" s="8"/>
      <c r="L28" s="30"/>
    </row>
    <row r="29" spans="1:12" ht="14.25" x14ac:dyDescent="0.3">
      <c r="A29" s="31" t="s">
        <v>72</v>
      </c>
      <c r="B29" s="31" t="s">
        <v>73</v>
      </c>
      <c r="C29" s="31" t="s">
        <v>127</v>
      </c>
      <c r="D29" s="32">
        <v>15702</v>
      </c>
      <c r="E29" s="32">
        <v>621.92481599999996</v>
      </c>
      <c r="F29" s="33">
        <v>1.556588556556566E-2</v>
      </c>
      <c r="G29" s="34"/>
      <c r="H29" s="34"/>
      <c r="I29" s="28"/>
      <c r="J29" s="29"/>
      <c r="K29" s="8"/>
      <c r="L29" s="30"/>
    </row>
    <row r="30" spans="1:12" ht="14.25" x14ac:dyDescent="0.3">
      <c r="A30" s="31" t="s">
        <v>85</v>
      </c>
      <c r="B30" s="31" t="s">
        <v>86</v>
      </c>
      <c r="C30" s="31" t="s">
        <v>129</v>
      </c>
      <c r="D30" s="32">
        <v>135221</v>
      </c>
      <c r="E30" s="32">
        <v>618.90651700000001</v>
      </c>
      <c r="F30" s="33">
        <v>1.5490341873421591E-2</v>
      </c>
      <c r="G30" s="34"/>
      <c r="H30" s="34"/>
      <c r="I30" s="28"/>
      <c r="J30" s="29"/>
      <c r="K30" s="8"/>
      <c r="L30" s="30"/>
    </row>
    <row r="31" spans="1:12" ht="14.25" x14ac:dyDescent="0.3">
      <c r="A31" s="31" t="s">
        <v>68</v>
      </c>
      <c r="B31" s="31" t="s">
        <v>69</v>
      </c>
      <c r="C31" s="31" t="s">
        <v>123</v>
      </c>
      <c r="D31" s="32">
        <v>21849</v>
      </c>
      <c r="E31" s="32">
        <v>617.91156899999999</v>
      </c>
      <c r="F31" s="33">
        <v>1.5465439752918831E-2</v>
      </c>
      <c r="G31" s="34"/>
      <c r="H31" s="34"/>
      <c r="I31" s="28"/>
      <c r="J31" s="29"/>
      <c r="K31" s="8"/>
      <c r="L31" s="30"/>
    </row>
    <row r="32" spans="1:12" ht="14.25" x14ac:dyDescent="0.3">
      <c r="A32" s="31" t="s">
        <v>91</v>
      </c>
      <c r="B32" s="31" t="s">
        <v>92</v>
      </c>
      <c r="C32" s="31" t="s">
        <v>128</v>
      </c>
      <c r="D32" s="32">
        <v>137351</v>
      </c>
      <c r="E32" s="32">
        <v>616.70599000000004</v>
      </c>
      <c r="F32" s="33">
        <v>1.5435265840781115E-2</v>
      </c>
      <c r="G32" s="34"/>
      <c r="H32" s="34"/>
      <c r="I32" s="28"/>
      <c r="J32" s="29"/>
      <c r="K32" s="8"/>
      <c r="L32" s="30"/>
    </row>
    <row r="33" spans="1:12" ht="14.25" x14ac:dyDescent="0.3">
      <c r="A33" s="31" t="s">
        <v>104</v>
      </c>
      <c r="B33" s="31" t="s">
        <v>105</v>
      </c>
      <c r="C33" s="31" t="s">
        <v>106</v>
      </c>
      <c r="D33" s="32">
        <v>134000</v>
      </c>
      <c r="E33" s="32">
        <v>616.13199999999995</v>
      </c>
      <c r="F33" s="33">
        <v>1.5420899694864567E-2</v>
      </c>
      <c r="G33" s="34"/>
      <c r="H33" s="34"/>
      <c r="I33" s="28"/>
      <c r="J33" s="35"/>
      <c r="K33" s="8"/>
      <c r="L33" s="30"/>
    </row>
    <row r="34" spans="1:12" ht="14.25" x14ac:dyDescent="0.3">
      <c r="A34" s="31" t="s">
        <v>66</v>
      </c>
      <c r="B34" s="31" t="s">
        <v>67</v>
      </c>
      <c r="C34" s="31" t="s">
        <v>127</v>
      </c>
      <c r="D34" s="32">
        <v>49850</v>
      </c>
      <c r="E34" s="32">
        <v>607.22284999999999</v>
      </c>
      <c r="F34" s="33">
        <v>1.5197916456668039E-2</v>
      </c>
      <c r="G34" s="34"/>
      <c r="H34" s="34"/>
      <c r="I34" s="28"/>
      <c r="J34" s="29"/>
      <c r="K34" s="8"/>
      <c r="L34" s="30"/>
    </row>
    <row r="35" spans="1:12" ht="14.25" x14ac:dyDescent="0.3">
      <c r="A35" s="31" t="s">
        <v>76</v>
      </c>
      <c r="B35" s="31" t="s">
        <v>77</v>
      </c>
      <c r="C35" s="31" t="s">
        <v>131</v>
      </c>
      <c r="D35" s="32">
        <v>42400</v>
      </c>
      <c r="E35" s="32">
        <v>601.99519999999995</v>
      </c>
      <c r="F35" s="33">
        <v>1.5067075879827592E-2</v>
      </c>
      <c r="G35" s="34"/>
      <c r="H35" s="34"/>
      <c r="I35" s="28"/>
      <c r="J35" s="35"/>
      <c r="K35" s="8"/>
      <c r="L35" s="30"/>
    </row>
    <row r="36" spans="1:12" ht="14.25" x14ac:dyDescent="0.3">
      <c r="A36" s="31" t="s">
        <v>181</v>
      </c>
      <c r="B36" s="31" t="s">
        <v>182</v>
      </c>
      <c r="C36" s="31" t="s">
        <v>117</v>
      </c>
      <c r="D36" s="32">
        <v>159545</v>
      </c>
      <c r="E36" s="32">
        <v>599.17124750000005</v>
      </c>
      <c r="F36" s="33">
        <v>1.4996396401654795E-2</v>
      </c>
      <c r="G36" s="34"/>
      <c r="H36" s="34"/>
      <c r="I36" s="28"/>
      <c r="J36" s="35"/>
      <c r="K36" s="8"/>
      <c r="L36" s="30"/>
    </row>
    <row r="37" spans="1:12" ht="14.25" x14ac:dyDescent="0.3">
      <c r="A37" s="31" t="s">
        <v>89</v>
      </c>
      <c r="B37" s="31" t="s">
        <v>90</v>
      </c>
      <c r="C37" s="31" t="s">
        <v>118</v>
      </c>
      <c r="D37" s="32">
        <v>35650</v>
      </c>
      <c r="E37" s="32">
        <v>589.82925</v>
      </c>
      <c r="F37" s="33">
        <v>1.4762579611750723E-2</v>
      </c>
      <c r="G37" s="34"/>
      <c r="H37" s="34"/>
      <c r="I37" s="28"/>
      <c r="J37" s="35"/>
      <c r="K37" s="8"/>
      <c r="L37" s="30"/>
    </row>
    <row r="38" spans="1:12" ht="14.25" x14ac:dyDescent="0.3">
      <c r="A38" s="31" t="s">
        <v>78</v>
      </c>
      <c r="B38" s="31" t="s">
        <v>79</v>
      </c>
      <c r="C38" s="31" t="s">
        <v>132</v>
      </c>
      <c r="D38" s="32">
        <v>213000</v>
      </c>
      <c r="E38" s="32">
        <v>582.76800000000003</v>
      </c>
      <c r="F38" s="33">
        <v>1.4585846658470642E-2</v>
      </c>
      <c r="G38" s="34"/>
      <c r="H38" s="34"/>
      <c r="I38" s="28"/>
      <c r="J38" s="35"/>
      <c r="K38" s="8"/>
      <c r="L38" s="30"/>
    </row>
    <row r="39" spans="1:12" ht="14.25" x14ac:dyDescent="0.3">
      <c r="A39" s="31" t="s">
        <v>101</v>
      </c>
      <c r="B39" s="31" t="s">
        <v>102</v>
      </c>
      <c r="C39" s="31" t="s">
        <v>119</v>
      </c>
      <c r="D39" s="32">
        <v>10250</v>
      </c>
      <c r="E39" s="32">
        <v>567.23500000000001</v>
      </c>
      <c r="F39" s="33">
        <v>1.4197077961242886E-2</v>
      </c>
      <c r="G39" s="34"/>
      <c r="H39" s="34"/>
      <c r="I39" s="28"/>
      <c r="J39" s="35"/>
      <c r="K39" s="8"/>
      <c r="L39" s="30"/>
    </row>
    <row r="40" spans="1:12" ht="14.25" x14ac:dyDescent="0.3">
      <c r="A40" s="31" t="s">
        <v>74</v>
      </c>
      <c r="B40" s="31" t="s">
        <v>75</v>
      </c>
      <c r="C40" s="31" t="s">
        <v>119</v>
      </c>
      <c r="D40" s="32">
        <v>15900</v>
      </c>
      <c r="E40" s="32">
        <v>545.65620000000001</v>
      </c>
      <c r="F40" s="33">
        <v>1.365699156687359E-2</v>
      </c>
      <c r="G40" s="34"/>
      <c r="H40" s="34"/>
      <c r="I40" s="28"/>
      <c r="J40" s="35"/>
      <c r="K40" s="8"/>
      <c r="L40" s="30"/>
    </row>
    <row r="41" spans="1:12" ht="14.25" x14ac:dyDescent="0.3">
      <c r="A41" s="31" t="s">
        <v>95</v>
      </c>
      <c r="B41" s="31" t="s">
        <v>96</v>
      </c>
      <c r="C41" s="31" t="s">
        <v>116</v>
      </c>
      <c r="D41" s="32">
        <v>31300</v>
      </c>
      <c r="E41" s="32">
        <v>545.59029999999996</v>
      </c>
      <c r="F41" s="33">
        <v>1.3655342184452466E-2</v>
      </c>
      <c r="G41" s="34"/>
      <c r="H41" s="34"/>
      <c r="I41" s="28"/>
      <c r="J41" s="35"/>
      <c r="K41" s="8"/>
      <c r="L41" s="30"/>
    </row>
    <row r="42" spans="1:12" ht="14.25" x14ac:dyDescent="0.3">
      <c r="A42" s="31" t="s">
        <v>29</v>
      </c>
      <c r="B42" s="31" t="s">
        <v>8</v>
      </c>
      <c r="C42" s="31" t="s">
        <v>124</v>
      </c>
      <c r="D42" s="32">
        <v>21400</v>
      </c>
      <c r="E42" s="32">
        <v>538.35979999999995</v>
      </c>
      <c r="F42" s="33">
        <v>1.3474373146577923E-2</v>
      </c>
      <c r="G42" s="34"/>
      <c r="H42" s="34"/>
      <c r="I42" s="28"/>
      <c r="J42" s="35"/>
      <c r="K42" s="8"/>
      <c r="L42" s="30"/>
    </row>
    <row r="43" spans="1:12" ht="14.25" x14ac:dyDescent="0.3">
      <c r="A43" s="31" t="s">
        <v>31</v>
      </c>
      <c r="B43" s="31" t="s">
        <v>9</v>
      </c>
      <c r="C43" s="31" t="s">
        <v>130</v>
      </c>
      <c r="D43" s="32">
        <v>73500</v>
      </c>
      <c r="E43" s="32">
        <v>536.40300000000002</v>
      </c>
      <c r="F43" s="33">
        <v>1.3425397250953429E-2</v>
      </c>
      <c r="G43" s="34"/>
      <c r="H43" s="34"/>
      <c r="I43" s="28"/>
      <c r="J43" s="35"/>
      <c r="K43" s="8"/>
      <c r="L43" s="30"/>
    </row>
    <row r="44" spans="1:12" ht="14.25" x14ac:dyDescent="0.3">
      <c r="A44" s="31" t="s">
        <v>103</v>
      </c>
      <c r="B44" s="31" t="s">
        <v>166</v>
      </c>
      <c r="C44" s="31" t="s">
        <v>128</v>
      </c>
      <c r="D44" s="32">
        <v>11300</v>
      </c>
      <c r="E44" s="32">
        <v>521.99220000000003</v>
      </c>
      <c r="F44" s="33">
        <v>1.3064715609157914E-2</v>
      </c>
      <c r="G44" s="34"/>
      <c r="H44" s="34"/>
      <c r="I44" s="28"/>
      <c r="J44" s="35"/>
      <c r="K44" s="8"/>
      <c r="L44" s="30"/>
    </row>
    <row r="45" spans="1:12" ht="14.25" x14ac:dyDescent="0.3">
      <c r="A45" s="31" t="s">
        <v>141</v>
      </c>
      <c r="B45" s="31" t="s">
        <v>142</v>
      </c>
      <c r="C45" s="31" t="s">
        <v>145</v>
      </c>
      <c r="D45" s="32">
        <v>90776</v>
      </c>
      <c r="E45" s="32">
        <v>517.87707999999998</v>
      </c>
      <c r="F45" s="33">
        <v>1.2961720061527973E-2</v>
      </c>
      <c r="G45" s="34"/>
      <c r="H45" s="34"/>
      <c r="I45" s="28"/>
      <c r="J45" s="35"/>
      <c r="K45" s="8"/>
      <c r="L45" s="30"/>
    </row>
    <row r="46" spans="1:12" ht="14.25" x14ac:dyDescent="0.3">
      <c r="A46" s="31" t="s">
        <v>39</v>
      </c>
      <c r="B46" s="31" t="s">
        <v>40</v>
      </c>
      <c r="C46" s="31" t="s">
        <v>120</v>
      </c>
      <c r="D46" s="32">
        <v>15649</v>
      </c>
      <c r="E46" s="32">
        <v>505.50964699999997</v>
      </c>
      <c r="F46" s="33">
        <v>1.2652180963127049E-2</v>
      </c>
      <c r="G46" s="34"/>
      <c r="H46" s="34"/>
      <c r="I46" s="28"/>
      <c r="J46" s="29"/>
      <c r="K46" s="8"/>
      <c r="L46" s="30"/>
    </row>
    <row r="47" spans="1:12" ht="14.25" x14ac:dyDescent="0.3">
      <c r="A47" s="31" t="s">
        <v>172</v>
      </c>
      <c r="B47" s="31" t="s">
        <v>173</v>
      </c>
      <c r="C47" s="31" t="s">
        <v>124</v>
      </c>
      <c r="D47" s="32">
        <v>16821</v>
      </c>
      <c r="E47" s="32">
        <v>500.02104600000001</v>
      </c>
      <c r="F47" s="33">
        <v>1.2514809157270296E-2</v>
      </c>
      <c r="G47" s="34"/>
      <c r="H47" s="34"/>
      <c r="I47" s="28"/>
      <c r="J47" s="29"/>
      <c r="K47" s="8"/>
      <c r="L47" s="30"/>
    </row>
    <row r="48" spans="1:12" ht="14.25" x14ac:dyDescent="0.3">
      <c r="A48" s="31" t="s">
        <v>62</v>
      </c>
      <c r="B48" s="31" t="s">
        <v>63</v>
      </c>
      <c r="C48" s="31" t="s">
        <v>119</v>
      </c>
      <c r="D48" s="32">
        <v>13300</v>
      </c>
      <c r="E48" s="32">
        <v>489.0942</v>
      </c>
      <c r="F48" s="33">
        <v>1.224132588396647E-2</v>
      </c>
      <c r="G48" s="34"/>
      <c r="H48" s="34"/>
      <c r="I48" s="28"/>
      <c r="J48" s="35"/>
      <c r="K48" s="8"/>
      <c r="L48" s="30"/>
    </row>
    <row r="49" spans="1:12" ht="14.25" x14ac:dyDescent="0.3">
      <c r="A49" s="31" t="s">
        <v>41</v>
      </c>
      <c r="B49" s="31" t="s">
        <v>42</v>
      </c>
      <c r="C49" s="31" t="s">
        <v>125</v>
      </c>
      <c r="D49" s="32">
        <v>8549</v>
      </c>
      <c r="E49" s="32">
        <v>488.66084000000001</v>
      </c>
      <c r="F49" s="33">
        <v>1.2230479505119459E-2</v>
      </c>
      <c r="G49" s="34"/>
      <c r="H49" s="34"/>
      <c r="I49" s="28"/>
      <c r="J49" s="29"/>
      <c r="K49" s="8"/>
      <c r="L49" s="30"/>
    </row>
    <row r="50" spans="1:12" ht="14.25" x14ac:dyDescent="0.3">
      <c r="A50" s="31" t="s">
        <v>33</v>
      </c>
      <c r="B50" s="31" t="s">
        <v>107</v>
      </c>
      <c r="C50" s="31" t="s">
        <v>124</v>
      </c>
      <c r="D50" s="32">
        <v>61700</v>
      </c>
      <c r="E50" s="32">
        <v>464.94035000000002</v>
      </c>
      <c r="F50" s="33">
        <v>1.1636789683777543E-2</v>
      </c>
      <c r="G50" s="34"/>
      <c r="H50" s="34"/>
      <c r="I50" s="28"/>
      <c r="J50" s="35"/>
      <c r="K50" s="8"/>
      <c r="L50" s="30"/>
    </row>
    <row r="51" spans="1:12" ht="14.25" x14ac:dyDescent="0.3">
      <c r="A51" s="31" t="s">
        <v>30</v>
      </c>
      <c r="B51" s="31" t="s">
        <v>12</v>
      </c>
      <c r="C51" s="31" t="s">
        <v>125</v>
      </c>
      <c r="D51" s="32">
        <v>4450</v>
      </c>
      <c r="E51" s="32">
        <v>464.84699999999998</v>
      </c>
      <c r="F51" s="33">
        <v>1.1634453267252324E-2</v>
      </c>
      <c r="G51" s="34"/>
      <c r="H51" s="34"/>
      <c r="I51" s="28"/>
      <c r="J51" s="29"/>
      <c r="K51" s="8"/>
      <c r="L51" s="30"/>
    </row>
    <row r="52" spans="1:12" ht="14.25" x14ac:dyDescent="0.3">
      <c r="A52" s="31" t="s">
        <v>97</v>
      </c>
      <c r="B52" s="31" t="s">
        <v>98</v>
      </c>
      <c r="C52" s="31" t="s">
        <v>127</v>
      </c>
      <c r="D52" s="32">
        <v>38649</v>
      </c>
      <c r="E52" s="32">
        <v>461.662305</v>
      </c>
      <c r="F52" s="33">
        <v>1.1554744922037766E-2</v>
      </c>
      <c r="G52" s="34"/>
      <c r="H52" s="34"/>
      <c r="I52" s="28"/>
      <c r="J52" s="35"/>
      <c r="K52" s="8"/>
      <c r="L52" s="30"/>
    </row>
    <row r="53" spans="1:12" ht="14.25" x14ac:dyDescent="0.3">
      <c r="A53" s="31" t="s">
        <v>183</v>
      </c>
      <c r="B53" s="31" t="s">
        <v>184</v>
      </c>
      <c r="C53" s="31" t="s">
        <v>121</v>
      </c>
      <c r="D53" s="32">
        <v>11308</v>
      </c>
      <c r="E53" s="32">
        <v>454.70598799999999</v>
      </c>
      <c r="F53" s="33">
        <v>1.1380638291149122E-2</v>
      </c>
      <c r="G53" s="34"/>
      <c r="H53" s="34"/>
      <c r="I53" s="28"/>
      <c r="J53" s="29"/>
      <c r="K53" s="8"/>
      <c r="L53" s="30"/>
    </row>
    <row r="54" spans="1:12" ht="14.25" x14ac:dyDescent="0.3">
      <c r="A54" s="31" t="s">
        <v>108</v>
      </c>
      <c r="B54" s="31" t="s">
        <v>109</v>
      </c>
      <c r="C54" s="31" t="s">
        <v>132</v>
      </c>
      <c r="D54" s="32">
        <v>16631</v>
      </c>
      <c r="E54" s="32">
        <v>440.60508299999998</v>
      </c>
      <c r="F54" s="33">
        <v>1.1027712876446081E-2</v>
      </c>
      <c r="G54" s="34"/>
      <c r="H54" s="34"/>
      <c r="I54" s="28"/>
      <c r="J54" s="35"/>
      <c r="K54" s="8"/>
      <c r="L54" s="30"/>
    </row>
    <row r="55" spans="1:12" ht="14.25" x14ac:dyDescent="0.3">
      <c r="A55" s="31" t="s">
        <v>110</v>
      </c>
      <c r="B55" s="31" t="s">
        <v>111</v>
      </c>
      <c r="C55" s="31" t="s">
        <v>119</v>
      </c>
      <c r="D55" s="32">
        <v>3000</v>
      </c>
      <c r="E55" s="32">
        <v>437.97</v>
      </c>
      <c r="F55" s="33">
        <v>1.0961760530795081E-2</v>
      </c>
      <c r="G55" s="34"/>
      <c r="H55" s="34"/>
      <c r="I55" s="28"/>
      <c r="J55" s="35"/>
      <c r="K55" s="8"/>
      <c r="L55" s="30"/>
    </row>
    <row r="56" spans="1:12" ht="14.25" x14ac:dyDescent="0.3">
      <c r="A56" s="31" t="s">
        <v>64</v>
      </c>
      <c r="B56" s="31" t="s">
        <v>65</v>
      </c>
      <c r="C56" s="31" t="s">
        <v>123</v>
      </c>
      <c r="D56" s="32">
        <v>90000</v>
      </c>
      <c r="E56" s="32">
        <v>424.125</v>
      </c>
      <c r="F56" s="33">
        <v>1.0615240050970302E-2</v>
      </c>
      <c r="G56" s="34"/>
      <c r="H56" s="34"/>
      <c r="I56" s="28"/>
      <c r="J56" s="29"/>
      <c r="K56" s="8"/>
      <c r="L56" s="30"/>
    </row>
    <row r="57" spans="1:12" ht="14.25" x14ac:dyDescent="0.3">
      <c r="A57" s="31" t="s">
        <v>185</v>
      </c>
      <c r="B57" s="31" t="s">
        <v>186</v>
      </c>
      <c r="C57" s="31" t="s">
        <v>133</v>
      </c>
      <c r="D57" s="32">
        <v>24000</v>
      </c>
      <c r="E57" s="32">
        <v>400.96800000000002</v>
      </c>
      <c r="F57" s="33">
        <v>1.0035653575614407E-2</v>
      </c>
      <c r="G57" s="34"/>
      <c r="H57" s="34"/>
      <c r="I57" s="28"/>
      <c r="J57" s="35"/>
      <c r="K57" s="8"/>
      <c r="L57" s="30"/>
    </row>
    <row r="58" spans="1:12" ht="14.25" x14ac:dyDescent="0.3">
      <c r="A58" s="31" t="s">
        <v>82</v>
      </c>
      <c r="B58" s="31" t="s">
        <v>83</v>
      </c>
      <c r="C58" s="31" t="s">
        <v>132</v>
      </c>
      <c r="D58" s="32">
        <v>8700</v>
      </c>
      <c r="E58" s="32">
        <v>329.33850000000001</v>
      </c>
      <c r="F58" s="33">
        <v>8.2428699923996051E-3</v>
      </c>
      <c r="G58" s="34"/>
      <c r="H58" s="34"/>
      <c r="I58" s="28"/>
      <c r="J58" s="29"/>
      <c r="K58" s="8"/>
      <c r="L58" s="30"/>
    </row>
    <row r="59" spans="1:12" ht="14.25" x14ac:dyDescent="0.3">
      <c r="A59" s="31" t="s">
        <v>80</v>
      </c>
      <c r="B59" s="31" t="s">
        <v>81</v>
      </c>
      <c r="C59" s="31" t="s">
        <v>133</v>
      </c>
      <c r="D59" s="32">
        <v>47000</v>
      </c>
      <c r="E59" s="32">
        <v>298.80250000000001</v>
      </c>
      <c r="F59" s="33">
        <v>7.4785977372945562E-3</v>
      </c>
      <c r="G59" s="34"/>
      <c r="H59" s="34"/>
      <c r="I59" s="28"/>
      <c r="J59" s="35"/>
      <c r="K59" s="8"/>
      <c r="L59" s="30"/>
    </row>
    <row r="60" spans="1:12" ht="14.25" x14ac:dyDescent="0.3">
      <c r="A60" s="31" t="s">
        <v>136</v>
      </c>
      <c r="B60" s="31" t="s">
        <v>167</v>
      </c>
      <c r="C60" s="31" t="s">
        <v>132</v>
      </c>
      <c r="D60" s="32">
        <v>62418</v>
      </c>
      <c r="E60" s="32">
        <v>285.46872300000001</v>
      </c>
      <c r="F60" s="33">
        <v>7.1448724354587611E-3</v>
      </c>
      <c r="G60" s="34"/>
      <c r="H60" s="34"/>
      <c r="I60" s="28"/>
      <c r="J60" s="35"/>
      <c r="K60" s="8"/>
      <c r="L60" s="30"/>
    </row>
    <row r="61" spans="1:12" ht="14.25" x14ac:dyDescent="0.3">
      <c r="A61" s="31" t="s">
        <v>112</v>
      </c>
      <c r="B61" s="31" t="s">
        <v>113</v>
      </c>
      <c r="C61" s="31" t="s">
        <v>127</v>
      </c>
      <c r="D61" s="32">
        <v>67900</v>
      </c>
      <c r="E61" s="32">
        <v>283.65224999999998</v>
      </c>
      <c r="F61" s="33">
        <v>7.0994087232486673E-3</v>
      </c>
      <c r="G61" s="34"/>
      <c r="H61" s="34"/>
      <c r="I61" s="28"/>
      <c r="J61" s="35"/>
      <c r="K61" s="8"/>
      <c r="L61" s="30"/>
    </row>
    <row r="62" spans="1:12" ht="14.25" x14ac:dyDescent="0.3">
      <c r="A62" s="31"/>
      <c r="B62" s="23" t="s">
        <v>14</v>
      </c>
      <c r="C62" s="31"/>
      <c r="D62" s="32"/>
      <c r="E62" s="36">
        <v>38401.936624499984</v>
      </c>
      <c r="F62" s="37">
        <v>0.96114535971993098</v>
      </c>
      <c r="G62" s="34"/>
      <c r="H62" s="34"/>
      <c r="I62" s="28"/>
      <c r="J62" s="35"/>
      <c r="K62" s="8"/>
      <c r="L62" s="30"/>
    </row>
    <row r="63" spans="1:12" ht="14.25" x14ac:dyDescent="0.3">
      <c r="A63" s="31"/>
      <c r="B63" s="23" t="s">
        <v>174</v>
      </c>
      <c r="C63" s="31"/>
      <c r="D63" s="32"/>
      <c r="E63" s="42" t="s">
        <v>2</v>
      </c>
      <c r="F63" s="37" t="s">
        <v>2</v>
      </c>
      <c r="G63" s="34"/>
      <c r="H63" s="34"/>
      <c r="I63" s="28"/>
      <c r="J63" s="35"/>
      <c r="K63" s="8"/>
      <c r="L63" s="30"/>
    </row>
    <row r="64" spans="1:12" ht="14.25" x14ac:dyDescent="0.3">
      <c r="A64" s="31"/>
      <c r="B64" s="23" t="s">
        <v>14</v>
      </c>
      <c r="C64" s="22"/>
      <c r="D64" s="24"/>
      <c r="E64" s="42" t="s">
        <v>2</v>
      </c>
      <c r="F64" s="37" t="s">
        <v>2</v>
      </c>
      <c r="G64" s="34"/>
      <c r="H64" s="34"/>
      <c r="I64" s="28"/>
      <c r="J64" s="35"/>
      <c r="K64" s="8"/>
      <c r="L64" s="30"/>
    </row>
    <row r="65" spans="1:12" ht="14.25" x14ac:dyDescent="0.3">
      <c r="A65" s="31"/>
      <c r="B65" s="23" t="s">
        <v>3</v>
      </c>
      <c r="C65" s="31"/>
      <c r="D65" s="32"/>
      <c r="E65" s="36">
        <f>+E62</f>
        <v>38401.936624499984</v>
      </c>
      <c r="F65" s="93">
        <f>+F62</f>
        <v>0.96114535971993098</v>
      </c>
      <c r="G65" s="34"/>
      <c r="H65" s="34"/>
      <c r="I65" s="28"/>
      <c r="J65" s="35"/>
      <c r="K65" s="8"/>
      <c r="L65" s="30"/>
    </row>
    <row r="66" spans="1:12" ht="14.25" x14ac:dyDescent="0.3">
      <c r="A66" s="31"/>
      <c r="B66" s="23"/>
      <c r="C66" s="31"/>
      <c r="D66" s="32"/>
      <c r="E66" s="36"/>
      <c r="F66" s="37"/>
      <c r="G66" s="34"/>
      <c r="H66" s="34"/>
      <c r="I66" s="28"/>
      <c r="J66" s="35"/>
      <c r="K66" s="8"/>
      <c r="L66" s="30"/>
    </row>
    <row r="67" spans="1:12" ht="14.25" x14ac:dyDescent="0.3">
      <c r="A67" s="22"/>
      <c r="B67" s="23" t="s">
        <v>15</v>
      </c>
      <c r="C67" s="22"/>
      <c r="D67" s="22"/>
      <c r="E67" s="22"/>
      <c r="F67" s="38"/>
      <c r="G67" s="39"/>
      <c r="H67" s="22"/>
      <c r="I67" s="28"/>
      <c r="J67" s="35"/>
      <c r="K67" s="8"/>
      <c r="L67" s="30"/>
    </row>
    <row r="68" spans="1:12" ht="14.25" x14ac:dyDescent="0.3">
      <c r="A68" s="31"/>
      <c r="B68" s="23" t="s">
        <v>16</v>
      </c>
      <c r="C68" s="31"/>
      <c r="D68" s="40"/>
      <c r="E68" s="36" t="s">
        <v>2</v>
      </c>
      <c r="F68" s="41" t="s">
        <v>2</v>
      </c>
      <c r="G68" s="28"/>
      <c r="H68" s="31"/>
      <c r="I68" s="28"/>
      <c r="J68" s="35"/>
      <c r="K68" s="8"/>
      <c r="L68" s="30"/>
    </row>
    <row r="69" spans="1:12" ht="14.25" x14ac:dyDescent="0.3">
      <c r="A69" s="22"/>
      <c r="B69" s="23" t="s">
        <v>14</v>
      </c>
      <c r="C69" s="22"/>
      <c r="D69" s="24"/>
      <c r="E69" s="42" t="s">
        <v>2</v>
      </c>
      <c r="F69" s="37" t="s">
        <v>2</v>
      </c>
      <c r="G69" s="43"/>
      <c r="H69" s="37"/>
      <c r="I69" s="28"/>
      <c r="J69" s="35"/>
      <c r="K69" s="8"/>
      <c r="L69" s="30"/>
    </row>
    <row r="70" spans="1:12" ht="14.25" x14ac:dyDescent="0.3">
      <c r="A70" s="44"/>
      <c r="B70" s="23" t="s">
        <v>4</v>
      </c>
      <c r="C70" s="44"/>
      <c r="D70" s="45"/>
      <c r="E70" s="25" t="s">
        <v>2</v>
      </c>
      <c r="F70" s="25" t="s">
        <v>2</v>
      </c>
      <c r="G70" s="43"/>
      <c r="H70" s="37"/>
      <c r="I70" s="28"/>
      <c r="J70" s="35"/>
      <c r="K70" s="8"/>
      <c r="L70" s="30"/>
    </row>
    <row r="71" spans="1:12" ht="14.25" x14ac:dyDescent="0.3">
      <c r="A71" s="46"/>
      <c r="B71" s="23" t="s">
        <v>14</v>
      </c>
      <c r="C71" s="46"/>
      <c r="D71" s="46"/>
      <c r="E71" s="42" t="s">
        <v>2</v>
      </c>
      <c r="F71" s="37" t="s">
        <v>2</v>
      </c>
      <c r="G71" s="47"/>
      <c r="H71" s="46"/>
      <c r="I71" s="28"/>
      <c r="J71" s="35"/>
      <c r="K71" s="8"/>
      <c r="L71" s="30"/>
    </row>
    <row r="72" spans="1:12" ht="14.25" x14ac:dyDescent="0.3">
      <c r="A72" s="46"/>
      <c r="B72" s="23" t="s">
        <v>17</v>
      </c>
      <c r="C72" s="46"/>
      <c r="D72" s="47"/>
      <c r="E72" s="25" t="s">
        <v>2</v>
      </c>
      <c r="F72" s="25" t="s">
        <v>2</v>
      </c>
      <c r="G72" s="48"/>
      <c r="H72" s="48"/>
      <c r="I72" s="28"/>
      <c r="J72" s="35"/>
      <c r="K72" s="8"/>
      <c r="L72" s="30"/>
    </row>
    <row r="73" spans="1:12" ht="14.25" x14ac:dyDescent="0.3">
      <c r="A73" s="44"/>
      <c r="B73" s="23" t="s">
        <v>14</v>
      </c>
      <c r="C73" s="44"/>
      <c r="D73" s="45"/>
      <c r="E73" s="42" t="s">
        <v>2</v>
      </c>
      <c r="F73" s="37" t="s">
        <v>2</v>
      </c>
      <c r="G73" s="49"/>
      <c r="H73" s="50"/>
      <c r="I73" s="28"/>
      <c r="J73" s="35"/>
      <c r="K73" s="8"/>
      <c r="L73" s="30"/>
    </row>
    <row r="74" spans="1:12" ht="14.25" x14ac:dyDescent="0.3">
      <c r="A74" s="44"/>
      <c r="B74" s="23" t="s">
        <v>18</v>
      </c>
      <c r="C74" s="44"/>
      <c r="D74" s="45"/>
      <c r="E74" s="25" t="s">
        <v>2</v>
      </c>
      <c r="F74" s="25" t="s">
        <v>2</v>
      </c>
      <c r="G74" s="49"/>
      <c r="H74" s="50"/>
      <c r="I74" s="28"/>
      <c r="J74" s="35"/>
      <c r="K74" s="8"/>
      <c r="L74" s="30"/>
    </row>
    <row r="75" spans="1:12" ht="14.25" x14ac:dyDescent="0.3">
      <c r="A75" s="44"/>
      <c r="B75" s="23" t="s">
        <v>14</v>
      </c>
      <c r="C75" s="44"/>
      <c r="D75" s="45"/>
      <c r="E75" s="42" t="s">
        <v>2</v>
      </c>
      <c r="F75" s="37" t="s">
        <v>2</v>
      </c>
      <c r="G75" s="43"/>
      <c r="H75" s="37"/>
      <c r="I75" s="28"/>
      <c r="J75" s="35"/>
      <c r="K75" s="8"/>
      <c r="L75" s="30"/>
    </row>
    <row r="76" spans="1:12" ht="14.25" x14ac:dyDescent="0.3">
      <c r="A76" s="44"/>
      <c r="B76" s="51" t="s">
        <v>3</v>
      </c>
      <c r="C76" s="44"/>
      <c r="D76" s="45"/>
      <c r="E76" s="42" t="s">
        <v>2</v>
      </c>
      <c r="F76" s="37" t="s">
        <v>2</v>
      </c>
      <c r="G76" s="43"/>
      <c r="H76" s="37"/>
      <c r="I76" s="28"/>
      <c r="J76" s="35"/>
      <c r="K76" s="8"/>
      <c r="L76" s="30"/>
    </row>
    <row r="77" spans="1:12" ht="14.25" x14ac:dyDescent="0.3">
      <c r="A77" s="46"/>
      <c r="B77" s="46"/>
      <c r="C77" s="46"/>
      <c r="D77" s="52"/>
      <c r="E77" s="52"/>
      <c r="F77" s="53"/>
      <c r="G77" s="48"/>
      <c r="H77" s="48"/>
      <c r="I77" s="28"/>
      <c r="J77" s="35"/>
      <c r="K77" s="8"/>
      <c r="L77" s="30"/>
    </row>
    <row r="78" spans="1:12" ht="13.5" customHeight="1" x14ac:dyDescent="0.3">
      <c r="A78" s="44"/>
      <c r="B78" s="23" t="s">
        <v>19</v>
      </c>
      <c r="C78" s="44"/>
      <c r="D78" s="45"/>
      <c r="E78" s="54"/>
      <c r="F78" s="41"/>
      <c r="G78" s="43"/>
      <c r="H78" s="37"/>
      <c r="I78" s="28"/>
      <c r="J78" s="35"/>
      <c r="K78" s="8"/>
      <c r="L78" s="30"/>
    </row>
    <row r="79" spans="1:12" ht="13.5" customHeight="1" x14ac:dyDescent="0.3">
      <c r="A79" s="44"/>
      <c r="B79" s="44" t="s">
        <v>3</v>
      </c>
      <c r="C79" s="44"/>
      <c r="D79" s="45"/>
      <c r="E79" s="36" t="s">
        <v>2</v>
      </c>
      <c r="F79" s="37" t="s">
        <v>2</v>
      </c>
      <c r="G79" s="43"/>
      <c r="H79" s="37"/>
      <c r="I79" s="28"/>
      <c r="J79" s="35"/>
      <c r="K79" s="8"/>
      <c r="L79" s="30"/>
    </row>
    <row r="80" spans="1:12" ht="13.5" customHeight="1" x14ac:dyDescent="0.3">
      <c r="A80" s="44"/>
      <c r="B80" s="44"/>
      <c r="C80" s="44"/>
      <c r="D80" s="45"/>
      <c r="E80" s="36"/>
      <c r="F80" s="37"/>
      <c r="G80" s="43"/>
      <c r="H80" s="37"/>
      <c r="I80" s="28"/>
      <c r="J80" s="35"/>
      <c r="K80" s="8"/>
      <c r="L80" s="30"/>
    </row>
    <row r="81" spans="1:12" ht="37.5" customHeight="1" x14ac:dyDescent="0.3">
      <c r="A81" s="22" t="s">
        <v>175</v>
      </c>
      <c r="B81" s="87" t="s">
        <v>188</v>
      </c>
      <c r="C81" s="94" t="s">
        <v>176</v>
      </c>
      <c r="D81" s="88">
        <v>84000</v>
      </c>
      <c r="E81" s="88">
        <v>8.5875719999999998</v>
      </c>
      <c r="F81" s="89">
        <v>2.0000000000000001E-4</v>
      </c>
      <c r="G81" s="90">
        <v>46266</v>
      </c>
      <c r="H81" s="91"/>
      <c r="I81" s="92">
        <v>6.3450000000000006E-2</v>
      </c>
      <c r="J81" s="35"/>
      <c r="K81" s="8"/>
      <c r="L81" s="30"/>
    </row>
    <row r="82" spans="1:12" ht="13.5" customHeight="1" x14ac:dyDescent="0.3">
      <c r="A82" s="44"/>
      <c r="B82" s="23" t="s">
        <v>14</v>
      </c>
      <c r="C82" s="44"/>
      <c r="D82" s="45"/>
      <c r="E82" s="36">
        <f>+E81</f>
        <v>8.5875719999999998</v>
      </c>
      <c r="F82" s="93">
        <f>+F81</f>
        <v>2.0000000000000001E-4</v>
      </c>
      <c r="G82" s="43"/>
      <c r="H82" s="37"/>
      <c r="I82" s="28"/>
      <c r="J82" s="35"/>
      <c r="K82" s="8"/>
      <c r="L82" s="30"/>
    </row>
    <row r="83" spans="1:12" ht="13.5" customHeight="1" x14ac:dyDescent="0.3">
      <c r="A83" s="44"/>
      <c r="B83" s="44"/>
      <c r="C83" s="44"/>
      <c r="D83" s="45"/>
      <c r="E83" s="36"/>
      <c r="F83" s="37"/>
      <c r="G83" s="43"/>
      <c r="H83" s="37"/>
      <c r="I83" s="28"/>
      <c r="J83" s="35"/>
      <c r="K83" s="8"/>
      <c r="L83" s="30"/>
    </row>
    <row r="84" spans="1:12" ht="13.5" customHeight="1" x14ac:dyDescent="0.3">
      <c r="A84" s="44"/>
      <c r="B84" s="44"/>
      <c r="C84" s="44"/>
      <c r="D84" s="45"/>
      <c r="E84" s="45"/>
      <c r="F84" s="41"/>
      <c r="G84" s="43"/>
      <c r="H84" s="37"/>
      <c r="I84" s="28"/>
      <c r="J84" s="35"/>
      <c r="K84" s="8"/>
      <c r="L84" s="30"/>
    </row>
    <row r="85" spans="1:12" ht="14.25" x14ac:dyDescent="0.3">
      <c r="A85" s="44"/>
      <c r="B85" s="55" t="s">
        <v>20</v>
      </c>
      <c r="C85" s="44"/>
      <c r="D85" s="45"/>
      <c r="E85" s="45"/>
      <c r="F85" s="41"/>
      <c r="G85" s="43"/>
      <c r="H85" s="37"/>
      <c r="I85" s="28"/>
      <c r="J85" s="35"/>
      <c r="K85" s="8"/>
      <c r="L85" s="30"/>
    </row>
    <row r="86" spans="1:12" ht="14.25" x14ac:dyDescent="0.3">
      <c r="A86" s="31"/>
      <c r="B86" s="31" t="s">
        <v>7</v>
      </c>
      <c r="C86" s="31"/>
      <c r="D86" s="32">
        <v>19573.745500000001</v>
      </c>
      <c r="E86" s="32">
        <v>1957.0919936</v>
      </c>
      <c r="F86" s="33">
        <v>4.8983203805236741E-2</v>
      </c>
      <c r="G86" s="43" t="s">
        <v>187</v>
      </c>
      <c r="H86" s="37"/>
      <c r="I86" s="56">
        <v>5.271232E-2</v>
      </c>
      <c r="J86" s="57"/>
      <c r="K86" s="8"/>
      <c r="L86" s="30"/>
    </row>
    <row r="87" spans="1:12" ht="14.25" x14ac:dyDescent="0.3">
      <c r="A87" s="44"/>
      <c r="B87" s="55" t="s">
        <v>3</v>
      </c>
      <c r="C87" s="44"/>
      <c r="D87" s="45"/>
      <c r="E87" s="36">
        <v>1957.0919936</v>
      </c>
      <c r="F87" s="37">
        <v>4.8983203805236741E-2</v>
      </c>
      <c r="G87" s="43"/>
      <c r="H87" s="37"/>
      <c r="I87" s="28"/>
      <c r="J87" s="57"/>
      <c r="K87" s="8"/>
      <c r="L87" s="30"/>
    </row>
    <row r="88" spans="1:12" ht="14.25" x14ac:dyDescent="0.3">
      <c r="A88" s="44"/>
      <c r="B88" s="55"/>
      <c r="C88" s="44"/>
      <c r="D88" s="45"/>
      <c r="E88" s="45"/>
      <c r="F88" s="41"/>
      <c r="G88" s="43"/>
      <c r="H88" s="37"/>
      <c r="I88" s="28"/>
      <c r="J88" s="57"/>
      <c r="K88" s="8"/>
      <c r="L88" s="30"/>
    </row>
    <row r="89" spans="1:12" ht="14.25" x14ac:dyDescent="0.3">
      <c r="A89" s="44"/>
      <c r="B89" s="55" t="s">
        <v>5</v>
      </c>
      <c r="C89" s="44"/>
      <c r="D89" s="45"/>
      <c r="E89" s="45"/>
      <c r="F89" s="41"/>
      <c r="G89" s="43"/>
      <c r="H89" s="37"/>
      <c r="I89" s="28"/>
      <c r="J89" s="57"/>
      <c r="K89" s="8"/>
      <c r="L89" s="30"/>
    </row>
    <row r="90" spans="1:12" ht="14.25" x14ac:dyDescent="0.3">
      <c r="A90" s="22"/>
      <c r="B90" s="55" t="s">
        <v>6</v>
      </c>
      <c r="C90" s="22"/>
      <c r="D90" s="24"/>
      <c r="E90" s="24">
        <v>-413.26772849999998</v>
      </c>
      <c r="F90" s="33">
        <v>-1.0343498127549004E-2</v>
      </c>
      <c r="G90" s="43"/>
      <c r="H90" s="43"/>
      <c r="I90" s="28"/>
      <c r="J90" s="35"/>
      <c r="K90" s="8"/>
      <c r="L90" s="30"/>
    </row>
    <row r="91" spans="1:12" ht="14.25" x14ac:dyDescent="0.3">
      <c r="A91" s="44"/>
      <c r="B91" s="55" t="s">
        <v>3</v>
      </c>
      <c r="C91" s="44"/>
      <c r="D91" s="45"/>
      <c r="E91" s="45">
        <v>-413.26772849999998</v>
      </c>
      <c r="F91" s="37">
        <v>-1.0343498127549004E-2</v>
      </c>
      <c r="G91" s="58"/>
      <c r="H91" s="59"/>
      <c r="I91" s="28"/>
      <c r="J91" s="35"/>
      <c r="K91" s="8"/>
      <c r="L91" s="30"/>
    </row>
    <row r="92" spans="1:12" ht="14.25" x14ac:dyDescent="0.3">
      <c r="A92" s="60"/>
      <c r="B92" s="55" t="s">
        <v>21</v>
      </c>
      <c r="C92" s="60"/>
      <c r="D92" s="60"/>
      <c r="E92" s="45">
        <v>39954.348461599984</v>
      </c>
      <c r="F92" s="37">
        <v>1</v>
      </c>
      <c r="G92" s="61"/>
      <c r="H92" s="60"/>
      <c r="I92" s="28"/>
      <c r="J92" s="35"/>
      <c r="K92" s="8"/>
      <c r="L92" s="30"/>
    </row>
    <row r="93" spans="1:12" ht="14.25" x14ac:dyDescent="0.3">
      <c r="A93" s="8"/>
      <c r="B93" s="62"/>
      <c r="C93" s="62"/>
      <c r="D93" s="62"/>
      <c r="E93" s="63"/>
      <c r="F93" s="63"/>
      <c r="G93" s="62"/>
      <c r="H93" s="62"/>
      <c r="I93" s="63"/>
      <c r="J93" s="63"/>
      <c r="K93" s="8"/>
      <c r="L93" s="30"/>
    </row>
    <row r="94" spans="1:12" ht="14.25" x14ac:dyDescent="0.3">
      <c r="A94" s="8" t="s">
        <v>147</v>
      </c>
      <c r="B94" s="64"/>
      <c r="C94" s="8"/>
      <c r="D94" s="8"/>
      <c r="E94" s="65"/>
      <c r="F94" s="66"/>
      <c r="G94" s="67"/>
      <c r="H94" s="68"/>
      <c r="I94" s="63"/>
      <c r="J94" s="63"/>
      <c r="K94" s="8"/>
      <c r="L94" s="30"/>
    </row>
    <row r="95" spans="1:12" ht="14.25" x14ac:dyDescent="0.3">
      <c r="A95" s="8"/>
      <c r="B95" s="64"/>
      <c r="C95" s="8"/>
      <c r="D95" s="8"/>
      <c r="E95" s="65"/>
      <c r="F95" s="69"/>
      <c r="G95" s="70"/>
      <c r="H95" s="8"/>
      <c r="I95" s="63"/>
      <c r="J95" s="63"/>
      <c r="K95" s="8"/>
      <c r="L95" s="30"/>
    </row>
    <row r="96" spans="1:12" ht="14.25" x14ac:dyDescent="0.3">
      <c r="A96" s="71" t="s">
        <v>148</v>
      </c>
      <c r="B96" s="71"/>
      <c r="C96" s="71"/>
      <c r="D96" s="71"/>
      <c r="E96" s="71"/>
      <c r="F96" s="71"/>
      <c r="G96" s="71"/>
      <c r="H96" s="71"/>
      <c r="I96" s="63"/>
      <c r="J96" s="8"/>
      <c r="K96" s="8"/>
      <c r="L96" s="30"/>
    </row>
    <row r="97" spans="1:12" ht="14.25" x14ac:dyDescent="0.3">
      <c r="A97" s="71" t="s">
        <v>149</v>
      </c>
      <c r="B97" s="71"/>
      <c r="C97" s="71"/>
      <c r="D97" s="71"/>
      <c r="E97" s="71"/>
      <c r="F97" s="71"/>
      <c r="G97" s="71"/>
      <c r="H97" s="71"/>
      <c r="I97" s="63"/>
      <c r="J97" s="63"/>
      <c r="K97" s="8"/>
      <c r="L97" s="30"/>
    </row>
    <row r="98" spans="1:12" ht="14.25" x14ac:dyDescent="0.3">
      <c r="A98" s="72" t="s">
        <v>150</v>
      </c>
      <c r="B98" s="72"/>
      <c r="C98" s="72"/>
      <c r="D98" s="72"/>
      <c r="E98" s="72"/>
      <c r="F98" s="72"/>
      <c r="G98" s="73"/>
      <c r="H98" s="73"/>
      <c r="I98" s="63"/>
      <c r="J98" s="63"/>
      <c r="K98" s="8"/>
      <c r="L98" s="30"/>
    </row>
    <row r="99" spans="1:12" ht="50.25" customHeight="1" x14ac:dyDescent="0.2">
      <c r="A99" s="103" t="s">
        <v>151</v>
      </c>
      <c r="B99" s="103"/>
      <c r="C99" s="103"/>
      <c r="D99" s="103"/>
      <c r="E99" s="103"/>
      <c r="F99" s="103"/>
      <c r="G99" s="103"/>
      <c r="H99" s="103"/>
      <c r="I99" s="104"/>
      <c r="J99" s="104"/>
      <c r="K99" s="104"/>
      <c r="L99" s="104"/>
    </row>
    <row r="100" spans="1:12" ht="14.25" x14ac:dyDescent="0.3">
      <c r="A100" s="75"/>
      <c r="B100" s="75"/>
      <c r="C100" s="75"/>
      <c r="D100" s="75"/>
      <c r="E100" s="75"/>
      <c r="F100" s="75"/>
      <c r="G100" s="73"/>
      <c r="H100" s="73"/>
      <c r="I100" s="63"/>
      <c r="J100" s="63"/>
      <c r="K100" s="8"/>
      <c r="L100" s="30"/>
    </row>
    <row r="101" spans="1:12" ht="14.25" x14ac:dyDescent="0.3">
      <c r="A101" s="76" t="s">
        <v>152</v>
      </c>
      <c r="B101" s="77"/>
      <c r="C101" s="63"/>
      <c r="D101" s="77"/>
      <c r="E101" s="63"/>
      <c r="F101" s="63"/>
      <c r="G101" s="63"/>
      <c r="H101" s="63"/>
      <c r="I101" s="63"/>
      <c r="J101" s="63"/>
      <c r="K101" s="8"/>
      <c r="L101" s="30"/>
    </row>
    <row r="102" spans="1:12" ht="14.25" x14ac:dyDescent="0.3">
      <c r="A102" s="78" t="s">
        <v>153</v>
      </c>
      <c r="B102" s="77"/>
      <c r="C102" s="77"/>
      <c r="D102" s="77"/>
      <c r="E102" s="63"/>
      <c r="F102" s="63"/>
      <c r="G102" s="63"/>
      <c r="H102" s="63"/>
      <c r="I102" s="63"/>
      <c r="J102" s="8"/>
      <c r="K102" s="8"/>
      <c r="L102" s="30"/>
    </row>
    <row r="103" spans="1:12" ht="14.25" x14ac:dyDescent="0.3">
      <c r="A103" s="78" t="s">
        <v>154</v>
      </c>
      <c r="B103" s="77"/>
      <c r="C103" s="77"/>
      <c r="D103" s="77"/>
      <c r="E103" s="63"/>
      <c r="F103" s="63"/>
      <c r="G103" s="63"/>
      <c r="H103" s="63"/>
      <c r="I103" s="8"/>
      <c r="J103" s="8"/>
      <c r="K103" s="8"/>
      <c r="L103" s="30"/>
    </row>
    <row r="104" spans="1:12" ht="14.25" x14ac:dyDescent="0.3">
      <c r="A104" s="78" t="s">
        <v>155</v>
      </c>
      <c r="B104" s="77"/>
      <c r="C104" s="77"/>
      <c r="D104" s="77"/>
      <c r="E104" s="63"/>
      <c r="F104" s="63"/>
      <c r="G104" s="63"/>
      <c r="H104" s="63"/>
      <c r="I104" s="8"/>
      <c r="J104" s="8"/>
      <c r="K104" s="8"/>
      <c r="L104" s="30"/>
    </row>
    <row r="105" spans="1:12" ht="14.25" x14ac:dyDescent="0.3">
      <c r="A105" s="8"/>
      <c r="B105" s="79"/>
      <c r="C105" s="80"/>
      <c r="D105" s="81"/>
      <c r="E105" s="63"/>
      <c r="F105" s="63"/>
      <c r="G105" s="63"/>
      <c r="H105" s="63"/>
      <c r="I105" s="8"/>
      <c r="J105" s="8"/>
      <c r="K105" s="8"/>
      <c r="L105" s="30"/>
    </row>
    <row r="106" spans="1:12" ht="14.25" x14ac:dyDescent="0.3">
      <c r="A106" s="96" t="s">
        <v>160</v>
      </c>
      <c r="B106" s="96"/>
      <c r="C106" s="101" t="s">
        <v>156</v>
      </c>
      <c r="D106" s="101"/>
      <c r="E106" s="102"/>
      <c r="F106" s="102"/>
      <c r="G106" s="63"/>
      <c r="H106" s="63"/>
      <c r="I106" s="8"/>
      <c r="J106" s="74"/>
      <c r="K106" s="8"/>
      <c r="L106" s="30"/>
    </row>
    <row r="107" spans="1:12" ht="14.25" x14ac:dyDescent="0.3">
      <c r="A107" s="8"/>
      <c r="B107" s="83"/>
      <c r="C107" s="80"/>
      <c r="D107" s="81"/>
      <c r="E107" s="63"/>
      <c r="F107" s="63"/>
      <c r="G107" s="63"/>
      <c r="H107" s="63"/>
      <c r="I107" s="8"/>
      <c r="J107" s="84"/>
      <c r="K107" s="8"/>
      <c r="L107" s="30"/>
    </row>
    <row r="108" spans="1:12" ht="14.25" x14ac:dyDescent="0.3">
      <c r="A108" s="8"/>
      <c r="B108" s="79"/>
      <c r="C108" s="80"/>
      <c r="D108" s="81"/>
      <c r="E108" s="63"/>
      <c r="F108" s="63"/>
      <c r="G108" s="63"/>
      <c r="H108" s="63"/>
      <c r="I108" s="8"/>
      <c r="J108" s="84"/>
      <c r="K108" s="8"/>
      <c r="L108" s="30"/>
    </row>
    <row r="109" spans="1:12" ht="14.25" x14ac:dyDescent="0.3">
      <c r="A109" s="8"/>
      <c r="B109" s="79"/>
      <c r="C109" s="80"/>
      <c r="D109" s="81"/>
      <c r="E109" s="63"/>
      <c r="F109" s="63"/>
      <c r="G109" s="63"/>
      <c r="H109" s="63"/>
      <c r="I109" s="8"/>
      <c r="J109" s="84"/>
      <c r="K109" s="8"/>
      <c r="L109" s="30"/>
    </row>
    <row r="110" spans="1:12" ht="14.25" x14ac:dyDescent="0.3">
      <c r="A110" s="8"/>
      <c r="B110" s="79"/>
      <c r="C110" s="80"/>
      <c r="D110" s="81"/>
      <c r="E110" s="63"/>
      <c r="F110" s="63"/>
      <c r="G110" s="63"/>
      <c r="H110" s="63"/>
      <c r="I110" s="8"/>
      <c r="J110" s="84"/>
      <c r="K110" s="8"/>
      <c r="L110" s="30"/>
    </row>
    <row r="111" spans="1:12" ht="14.25" x14ac:dyDescent="0.3">
      <c r="A111" s="8"/>
      <c r="B111" s="79"/>
      <c r="C111" s="80"/>
      <c r="D111" s="81"/>
      <c r="E111" s="63"/>
      <c r="F111" s="63"/>
      <c r="G111" s="63"/>
      <c r="H111" s="63"/>
      <c r="I111" s="8"/>
      <c r="J111" s="84"/>
      <c r="K111" s="8"/>
      <c r="L111" s="30"/>
    </row>
    <row r="112" spans="1:12" ht="14.25" x14ac:dyDescent="0.3">
      <c r="A112" s="8"/>
      <c r="B112" s="79"/>
      <c r="C112" s="80"/>
      <c r="D112" s="81"/>
      <c r="E112" s="63"/>
      <c r="F112" s="63"/>
      <c r="G112" s="63"/>
      <c r="H112" s="63"/>
      <c r="I112" s="8"/>
      <c r="J112" s="84"/>
      <c r="K112" s="8"/>
      <c r="L112" s="30"/>
    </row>
    <row r="113" spans="1:12" ht="14.25" x14ac:dyDescent="0.3">
      <c r="A113" s="8"/>
      <c r="B113" s="79"/>
      <c r="C113" s="80"/>
      <c r="D113" s="81"/>
      <c r="E113" s="63"/>
      <c r="F113" s="63"/>
      <c r="G113" s="63"/>
      <c r="H113" s="63"/>
      <c r="I113" s="8"/>
      <c r="J113" s="84"/>
      <c r="K113" s="8"/>
      <c r="L113" s="30"/>
    </row>
    <row r="114" spans="1:12" ht="14.25" x14ac:dyDescent="0.3">
      <c r="A114" s="8"/>
      <c r="B114" s="79"/>
      <c r="C114" s="80"/>
      <c r="D114" s="81"/>
      <c r="E114" s="63"/>
      <c r="F114" s="63"/>
      <c r="G114" s="63"/>
      <c r="H114" s="63"/>
      <c r="I114" s="8"/>
      <c r="J114" s="63"/>
      <c r="K114" s="8"/>
      <c r="L114" s="30"/>
    </row>
    <row r="115" spans="1:12" ht="14.25" x14ac:dyDescent="0.3">
      <c r="A115" s="8"/>
      <c r="B115" s="79"/>
      <c r="C115" s="80"/>
      <c r="D115" s="81"/>
      <c r="E115" s="63"/>
      <c r="F115" s="63"/>
      <c r="G115" s="63"/>
      <c r="H115" s="63"/>
      <c r="I115" s="8"/>
      <c r="J115" s="63"/>
      <c r="K115" s="8"/>
      <c r="L115" s="30"/>
    </row>
    <row r="116" spans="1:12" ht="14.25" x14ac:dyDescent="0.3">
      <c r="A116" s="8"/>
      <c r="B116" s="79"/>
      <c r="C116" s="80"/>
      <c r="D116" s="81"/>
      <c r="E116" s="63"/>
      <c r="F116" s="63"/>
      <c r="G116" s="63"/>
      <c r="H116" s="63"/>
      <c r="I116" s="8"/>
      <c r="J116" s="63"/>
      <c r="K116" s="8"/>
      <c r="L116" s="30"/>
    </row>
    <row r="117" spans="1:12" ht="14.25" x14ac:dyDescent="0.3">
      <c r="A117" s="96" t="s">
        <v>159</v>
      </c>
      <c r="B117" s="96"/>
      <c r="C117" s="97" t="s">
        <v>157</v>
      </c>
      <c r="D117" s="97"/>
      <c r="E117" s="97"/>
      <c r="F117" s="97"/>
      <c r="G117" s="63"/>
      <c r="H117" s="63"/>
      <c r="I117" s="8"/>
      <c r="J117" s="63"/>
      <c r="K117" s="8"/>
      <c r="L117" s="30"/>
    </row>
    <row r="118" spans="1:12" ht="14.25" x14ac:dyDescent="0.3">
      <c r="A118" s="8"/>
      <c r="B118" s="79"/>
      <c r="C118" s="80"/>
      <c r="D118" s="81"/>
      <c r="E118" s="63"/>
      <c r="F118" s="63"/>
      <c r="G118" s="63"/>
      <c r="H118" s="63"/>
      <c r="I118" s="8"/>
      <c r="J118" s="63"/>
      <c r="K118" s="8"/>
      <c r="L118" s="30"/>
    </row>
    <row r="119" spans="1:12" ht="14.25" x14ac:dyDescent="0.3">
      <c r="A119" s="95"/>
      <c r="B119" s="96"/>
      <c r="C119" s="85"/>
      <c r="D119" s="81"/>
      <c r="E119" s="8"/>
      <c r="F119" s="8"/>
      <c r="G119" s="8"/>
      <c r="H119" s="8"/>
      <c r="I119" s="8"/>
      <c r="J119" s="63"/>
      <c r="K119" s="8"/>
      <c r="L119" s="30"/>
    </row>
    <row r="120" spans="1:12" ht="14.25" x14ac:dyDescent="0.3">
      <c r="A120" s="95" t="s">
        <v>158</v>
      </c>
      <c r="B120" s="96"/>
      <c r="C120" s="85"/>
      <c r="D120" s="81"/>
      <c r="E120" s="8"/>
      <c r="F120" s="8"/>
      <c r="G120" s="8"/>
      <c r="H120" s="8"/>
      <c r="I120" s="8"/>
      <c r="J120" s="63"/>
      <c r="K120" s="30"/>
      <c r="L120" s="30"/>
    </row>
    <row r="121" spans="1:12" ht="14.25" x14ac:dyDescent="0.3">
      <c r="A121" s="82" t="s">
        <v>161</v>
      </c>
      <c r="B121" s="86"/>
      <c r="C121" s="85"/>
      <c r="D121" s="81"/>
      <c r="E121" s="8"/>
      <c r="F121" s="8"/>
      <c r="G121" s="8"/>
      <c r="H121" s="8"/>
      <c r="I121" s="8"/>
      <c r="J121" s="63"/>
      <c r="K121" s="30"/>
      <c r="L121" s="30"/>
    </row>
    <row r="122" spans="1:12" ht="14.25" x14ac:dyDescent="0.3">
      <c r="A122" s="8"/>
      <c r="B122" s="86"/>
      <c r="C122" s="85"/>
      <c r="D122" s="81"/>
      <c r="E122" s="8"/>
      <c r="F122" s="8"/>
      <c r="G122" s="8"/>
      <c r="H122" s="8"/>
      <c r="I122" s="8"/>
      <c r="J122" s="63"/>
      <c r="K122" s="30"/>
      <c r="L122" s="30"/>
    </row>
    <row r="123" spans="1:12" ht="14.25" x14ac:dyDescent="0.3">
      <c r="A123" s="8"/>
      <c r="B123" s="86"/>
      <c r="C123" s="85"/>
      <c r="D123" s="81"/>
      <c r="E123" s="8"/>
      <c r="F123" s="8"/>
      <c r="G123" s="8"/>
      <c r="H123" s="8"/>
      <c r="I123" s="8"/>
      <c r="J123" s="63"/>
      <c r="K123" s="30"/>
      <c r="L123" s="30"/>
    </row>
    <row r="124" spans="1:12" ht="14.25" x14ac:dyDescent="0.3">
      <c r="A124" s="8"/>
      <c r="B124" s="86"/>
      <c r="C124" s="85"/>
      <c r="D124" s="81"/>
      <c r="E124" s="8"/>
      <c r="F124" s="8"/>
      <c r="G124" s="8"/>
      <c r="H124" s="8"/>
      <c r="I124" s="8"/>
      <c r="J124" s="63"/>
      <c r="K124" s="30"/>
      <c r="L124" s="30"/>
    </row>
    <row r="125" spans="1:12" ht="14.25" x14ac:dyDescent="0.3">
      <c r="A125" s="8"/>
      <c r="B125" s="86"/>
      <c r="C125" s="85"/>
      <c r="D125" s="81"/>
      <c r="E125" s="8"/>
      <c r="F125" s="8"/>
      <c r="G125" s="8"/>
      <c r="H125" s="8"/>
      <c r="I125" s="8"/>
      <c r="J125" s="63"/>
      <c r="K125" s="30"/>
      <c r="L125" s="30"/>
    </row>
    <row r="126" spans="1:12" ht="14.25" x14ac:dyDescent="0.3">
      <c r="A126" s="8"/>
      <c r="B126" s="86"/>
      <c r="C126" s="85"/>
      <c r="D126" s="81"/>
      <c r="E126" s="8"/>
      <c r="F126" s="8"/>
      <c r="G126" s="8"/>
      <c r="H126" s="8"/>
      <c r="I126" s="8"/>
      <c r="J126" s="63"/>
      <c r="K126" s="30"/>
      <c r="L126" s="30"/>
    </row>
    <row r="127" spans="1:12" ht="14.25" x14ac:dyDescent="0.3">
      <c r="A127" s="8"/>
      <c r="B127" s="86"/>
      <c r="C127" s="85"/>
      <c r="D127" s="81"/>
      <c r="E127" s="8"/>
      <c r="F127" s="8"/>
      <c r="G127" s="8"/>
      <c r="H127" s="8"/>
      <c r="I127" s="8"/>
      <c r="J127" s="63"/>
      <c r="K127" s="30"/>
      <c r="L127" s="30"/>
    </row>
    <row r="128" spans="1:12" ht="14.25" x14ac:dyDescent="0.3">
      <c r="A128" s="8"/>
      <c r="B128" s="86"/>
      <c r="C128" s="85"/>
      <c r="D128" s="81"/>
      <c r="E128" s="8"/>
      <c r="F128" s="8"/>
      <c r="G128" s="8"/>
      <c r="H128" s="8"/>
      <c r="I128" s="8"/>
      <c r="J128" s="63"/>
      <c r="K128" s="30"/>
      <c r="L128" s="30"/>
    </row>
    <row r="129" spans="1:12" ht="14.25" x14ac:dyDescent="0.3">
      <c r="A129" s="8"/>
      <c r="B129" s="86"/>
      <c r="C129" s="85"/>
      <c r="D129" s="81"/>
      <c r="E129" s="8"/>
      <c r="F129" s="8"/>
      <c r="G129" s="8"/>
      <c r="H129" s="8"/>
      <c r="I129" s="8"/>
      <c r="J129" s="63"/>
      <c r="K129" s="30"/>
      <c r="L129" s="30"/>
    </row>
    <row r="130" spans="1:12" ht="14.25" x14ac:dyDescent="0.3">
      <c r="A130" s="8"/>
      <c r="B130" s="86"/>
      <c r="C130" s="85"/>
      <c r="D130" s="81"/>
      <c r="E130" s="8"/>
      <c r="F130" s="8"/>
      <c r="G130" s="8"/>
      <c r="H130" s="8"/>
      <c r="I130" s="8"/>
      <c r="J130" s="63"/>
      <c r="K130" s="30"/>
      <c r="L130" s="30"/>
    </row>
    <row r="131" spans="1:12" ht="14.25" x14ac:dyDescent="0.3">
      <c r="A131" s="8"/>
      <c r="B131" s="86"/>
      <c r="C131" s="85"/>
      <c r="D131" s="81"/>
      <c r="E131" s="8"/>
      <c r="F131" s="8"/>
      <c r="G131" s="8"/>
      <c r="H131" s="8"/>
      <c r="I131" s="8"/>
      <c r="J131" s="63"/>
      <c r="K131" s="30"/>
      <c r="L131" s="30"/>
    </row>
    <row r="132" spans="1:12" ht="14.25" x14ac:dyDescent="0.3">
      <c r="A132" s="8"/>
      <c r="B132" s="86"/>
      <c r="C132" s="85"/>
      <c r="D132" s="81"/>
      <c r="E132" s="8"/>
      <c r="F132" s="8"/>
      <c r="G132" s="8"/>
      <c r="H132" s="8"/>
      <c r="I132" s="8"/>
      <c r="J132" s="63"/>
      <c r="K132" s="30"/>
      <c r="L132" s="30"/>
    </row>
    <row r="133" spans="1:12" ht="14.25" x14ac:dyDescent="0.3">
      <c r="A133" s="8"/>
      <c r="B133" s="86"/>
      <c r="C133" s="85"/>
      <c r="D133" s="81"/>
      <c r="E133" s="8"/>
      <c r="F133" s="8"/>
      <c r="G133" s="8"/>
      <c r="H133" s="8"/>
      <c r="I133" s="8"/>
      <c r="J133" s="63"/>
      <c r="K133" s="30"/>
      <c r="L133" s="30"/>
    </row>
    <row r="134" spans="1:12" ht="14.25" x14ac:dyDescent="0.3">
      <c r="A134" s="8"/>
      <c r="B134" s="86"/>
      <c r="C134" s="85"/>
      <c r="D134" s="81"/>
      <c r="E134" s="8"/>
      <c r="F134" s="8"/>
      <c r="G134" s="8"/>
      <c r="H134" s="8"/>
      <c r="I134" s="8"/>
      <c r="J134" s="63"/>
      <c r="K134" s="30"/>
      <c r="L134" s="30"/>
    </row>
    <row r="135" spans="1:12" ht="14.25" x14ac:dyDescent="0.3">
      <c r="A135" s="8"/>
      <c r="B135" s="86"/>
      <c r="C135" s="85"/>
      <c r="D135" s="81"/>
      <c r="E135" s="8"/>
      <c r="F135" s="8"/>
      <c r="G135" s="8"/>
      <c r="H135" s="8"/>
      <c r="I135" s="8"/>
      <c r="J135" s="63"/>
      <c r="K135" s="30"/>
      <c r="L135" s="30"/>
    </row>
    <row r="136" spans="1:12" ht="14.25" x14ac:dyDescent="0.3">
      <c r="A136" s="8"/>
      <c r="B136" s="86"/>
      <c r="C136" s="85"/>
      <c r="D136" s="81"/>
      <c r="E136" s="8"/>
      <c r="F136" s="8"/>
      <c r="G136" s="8"/>
      <c r="H136" s="8"/>
      <c r="I136" s="8"/>
      <c r="J136" s="63"/>
      <c r="K136" s="30"/>
      <c r="L136" s="30"/>
    </row>
    <row r="137" spans="1:12" ht="14.25" x14ac:dyDescent="0.3">
      <c r="A137" s="8"/>
      <c r="B137" s="86"/>
      <c r="C137" s="85"/>
      <c r="D137" s="81"/>
      <c r="E137" s="8"/>
      <c r="F137" s="8"/>
      <c r="G137" s="8"/>
      <c r="H137" s="8"/>
      <c r="I137" s="8"/>
      <c r="J137" s="63"/>
      <c r="K137" s="30"/>
      <c r="L137" s="30"/>
    </row>
    <row r="138" spans="1:12" ht="14.25" x14ac:dyDescent="0.3">
      <c r="A138" s="8"/>
      <c r="B138" s="86"/>
      <c r="C138" s="85"/>
      <c r="D138" s="81"/>
      <c r="E138" s="8"/>
      <c r="F138" s="8"/>
      <c r="G138" s="8"/>
      <c r="H138" s="8"/>
      <c r="I138" s="8"/>
      <c r="J138" s="63"/>
      <c r="K138" s="30"/>
      <c r="L138" s="30"/>
    </row>
    <row r="139" spans="1:12" ht="14.25" x14ac:dyDescent="0.3">
      <c r="A139" s="8"/>
      <c r="B139" s="86"/>
      <c r="C139" s="85"/>
      <c r="D139" s="81"/>
      <c r="E139" s="8"/>
      <c r="F139" s="8"/>
      <c r="G139" s="8"/>
      <c r="H139" s="8"/>
      <c r="I139" s="8"/>
      <c r="J139" s="63"/>
      <c r="K139" s="30"/>
      <c r="L139" s="30"/>
    </row>
    <row r="140" spans="1:12" ht="14.25" x14ac:dyDescent="0.3">
      <c r="A140" s="8"/>
      <c r="B140" s="86"/>
      <c r="C140" s="85"/>
      <c r="D140" s="81"/>
      <c r="E140" s="8"/>
      <c r="F140" s="8"/>
      <c r="G140" s="8"/>
      <c r="H140" s="8"/>
      <c r="I140" s="8"/>
      <c r="J140" s="63"/>
      <c r="K140" s="30"/>
      <c r="L140" s="30"/>
    </row>
    <row r="141" spans="1:12" ht="14.25" x14ac:dyDescent="0.3">
      <c r="A141" s="8"/>
      <c r="B141" s="86"/>
      <c r="C141" s="85"/>
      <c r="D141" s="81"/>
      <c r="E141" s="8"/>
      <c r="F141" s="8"/>
      <c r="G141" s="8"/>
      <c r="H141" s="8"/>
      <c r="I141" s="8"/>
      <c r="J141" s="63"/>
      <c r="K141" s="30"/>
      <c r="L141" s="30"/>
    </row>
    <row r="142" spans="1:12" ht="14.25" x14ac:dyDescent="0.3">
      <c r="A142" s="8"/>
      <c r="B142" s="86"/>
      <c r="C142" s="85"/>
      <c r="D142" s="81"/>
      <c r="E142" s="8"/>
      <c r="F142" s="8"/>
      <c r="G142" s="8"/>
      <c r="H142" s="8"/>
      <c r="I142" s="8"/>
      <c r="J142" s="63"/>
      <c r="K142" s="30"/>
      <c r="L142" s="30"/>
    </row>
    <row r="143" spans="1:12" ht="14.25" x14ac:dyDescent="0.3">
      <c r="A143" s="8"/>
      <c r="B143" s="86"/>
      <c r="C143" s="85"/>
      <c r="D143" s="81"/>
      <c r="E143" s="8"/>
      <c r="F143" s="8"/>
      <c r="G143" s="8"/>
      <c r="H143" s="8"/>
      <c r="I143" s="8"/>
      <c r="J143" s="63"/>
      <c r="K143" s="30"/>
      <c r="L143" s="30"/>
    </row>
    <row r="144" spans="1:12" ht="14.25" x14ac:dyDescent="0.3">
      <c r="A144" s="8"/>
      <c r="B144" s="86"/>
      <c r="C144" s="85"/>
      <c r="D144" s="81"/>
      <c r="E144" s="8"/>
      <c r="F144" s="8"/>
      <c r="G144" s="8"/>
      <c r="H144" s="8"/>
      <c r="I144" s="8"/>
      <c r="J144" s="63"/>
      <c r="K144" s="30"/>
      <c r="L144" s="30"/>
    </row>
    <row r="145" spans="1:12" ht="14.25" x14ac:dyDescent="0.3">
      <c r="A145" s="8"/>
      <c r="B145" s="86"/>
      <c r="C145" s="85"/>
      <c r="D145" s="81"/>
      <c r="E145" s="8"/>
      <c r="F145" s="8"/>
      <c r="G145" s="8"/>
      <c r="H145" s="8"/>
      <c r="I145" s="8"/>
      <c r="J145" s="63"/>
      <c r="K145" s="30"/>
      <c r="L145" s="30"/>
    </row>
    <row r="146" spans="1:12" ht="14.25" x14ac:dyDescent="0.3">
      <c r="A146" s="8"/>
      <c r="B146" s="86"/>
      <c r="C146" s="85"/>
      <c r="D146" s="81"/>
      <c r="E146" s="8"/>
      <c r="F146" s="8"/>
      <c r="G146" s="8"/>
      <c r="H146" s="8"/>
      <c r="I146" s="8"/>
      <c r="J146" s="63"/>
      <c r="K146" s="30"/>
      <c r="L146" s="30"/>
    </row>
    <row r="147" spans="1:12" ht="14.25" x14ac:dyDescent="0.3">
      <c r="A147" s="8"/>
      <c r="B147" s="86"/>
      <c r="C147" s="85"/>
      <c r="D147" s="81"/>
      <c r="E147" s="8"/>
      <c r="F147" s="8"/>
      <c r="G147" s="8"/>
      <c r="H147" s="8"/>
      <c r="I147" s="8"/>
      <c r="J147" s="63"/>
      <c r="K147" s="30"/>
      <c r="L147" s="30"/>
    </row>
    <row r="148" spans="1:12" ht="14.25" x14ac:dyDescent="0.3">
      <c r="A148" s="8"/>
      <c r="B148" s="86"/>
      <c r="C148" s="85"/>
      <c r="D148" s="81"/>
      <c r="E148" s="8"/>
      <c r="F148" s="8"/>
      <c r="G148" s="8"/>
      <c r="H148" s="8"/>
      <c r="I148" s="8"/>
      <c r="J148" s="63"/>
      <c r="K148" s="30"/>
      <c r="L148" s="30"/>
    </row>
    <row r="149" spans="1:12" ht="14.25" x14ac:dyDescent="0.3">
      <c r="A149" s="8"/>
      <c r="B149" s="86"/>
      <c r="C149" s="85"/>
      <c r="D149" s="81"/>
      <c r="E149" s="8"/>
      <c r="F149" s="8"/>
      <c r="G149" s="8"/>
      <c r="H149" s="8"/>
      <c r="I149" s="8"/>
      <c r="J149" s="63"/>
      <c r="K149" s="30"/>
      <c r="L149" s="30"/>
    </row>
    <row r="150" spans="1:12" ht="14.25" x14ac:dyDescent="0.3">
      <c r="A150" s="8"/>
      <c r="B150" s="86"/>
      <c r="C150" s="85"/>
      <c r="D150" s="81"/>
      <c r="E150" s="8"/>
      <c r="F150" s="8"/>
      <c r="G150" s="8"/>
      <c r="H150" s="8"/>
      <c r="I150" s="8"/>
      <c r="J150" s="63"/>
      <c r="K150" s="30"/>
      <c r="L150" s="30"/>
    </row>
    <row r="151" spans="1:12" ht="14.25" x14ac:dyDescent="0.3">
      <c r="A151" s="8"/>
      <c r="B151" s="86"/>
      <c r="C151" s="85"/>
      <c r="D151" s="81"/>
      <c r="E151" s="8"/>
      <c r="F151" s="8"/>
      <c r="G151" s="8"/>
      <c r="H151" s="8"/>
      <c r="I151" s="8"/>
      <c r="J151" s="63"/>
      <c r="K151" s="30"/>
      <c r="L151" s="30"/>
    </row>
    <row r="152" spans="1:12" ht="14.25" x14ac:dyDescent="0.3">
      <c r="A152" s="8"/>
      <c r="B152" s="86"/>
      <c r="C152" s="85"/>
      <c r="D152" s="81"/>
      <c r="E152" s="8"/>
      <c r="F152" s="8"/>
      <c r="G152" s="8"/>
      <c r="H152" s="8"/>
      <c r="I152" s="8"/>
      <c r="J152" s="63"/>
      <c r="K152" s="30"/>
      <c r="L152" s="30"/>
    </row>
    <row r="153" spans="1:12" ht="13.5" x14ac:dyDescent="0.25">
      <c r="A153" s="12"/>
      <c r="B153" s="14"/>
      <c r="C153" s="10"/>
      <c r="D153" s="11"/>
      <c r="E153" s="12"/>
      <c r="F153" s="12"/>
      <c r="G153" s="12"/>
      <c r="H153" s="12"/>
      <c r="I153" s="12"/>
      <c r="J153" s="13"/>
    </row>
    <row r="154" spans="1:12" ht="13.5" x14ac:dyDescent="0.25">
      <c r="A154" s="12"/>
      <c r="B154" s="14"/>
      <c r="C154" s="10"/>
      <c r="D154" s="11"/>
      <c r="E154" s="12"/>
      <c r="F154" s="12"/>
      <c r="G154" s="12"/>
      <c r="H154" s="12"/>
      <c r="I154" s="12"/>
      <c r="J154" s="13"/>
    </row>
  </sheetData>
  <mergeCells count="10">
    <mergeCell ref="B1:I1"/>
    <mergeCell ref="B2:I2"/>
    <mergeCell ref="B3:I3"/>
    <mergeCell ref="C106:F106"/>
    <mergeCell ref="A99:L99"/>
    <mergeCell ref="A120:B120"/>
    <mergeCell ref="C117:F117"/>
    <mergeCell ref="A106:B106"/>
    <mergeCell ref="A117:B117"/>
    <mergeCell ref="A119:B11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2026-02-06T08:05:36Z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