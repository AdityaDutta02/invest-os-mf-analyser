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4\Monthly\Monthly Apr 2024\"/>
    </mc:Choice>
  </mc:AlternateContent>
  <bookViews>
    <workbookView xWindow="0" yWindow="0" windowWidth="20490" windowHeight="7770"/>
  </bookViews>
  <sheets>
    <sheet name="JM Midcap Fund" sheetId="1" r:id="rId1"/>
  </sheets>
  <definedNames>
    <definedName name="_xlnm._FilterDatabase" localSheetId="0" hidden="1">'JM Midcap Fund'!$A$2:$J$86</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Midcap Fund'!$A$2:$E$77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9" i="1" l="1"/>
  <c r="E78" i="1"/>
  <c r="E79" i="1" s="1"/>
  <c r="D60" i="1"/>
  <c r="D64" i="1" s="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0" i="1" l="1"/>
  <c r="E64" i="1" s="1"/>
  <c r="E81" i="1"/>
  <c r="E85" i="1" s="1"/>
  <c r="D81" i="1"/>
  <c r="D83" i="1" s="1"/>
  <c r="E83" i="1" s="1"/>
</calcChain>
</file>

<file path=xl/sharedStrings.xml><?xml version="1.0" encoding="utf-8"?>
<sst xmlns="http://schemas.openxmlformats.org/spreadsheetml/2006/main" count="209" uniqueCount="172">
  <si>
    <t>JM Financial Mutual Fund</t>
  </si>
  <si>
    <t>JM Midcap Fund (An open ended equity scheme predominantly investing in mid cap stocks)</t>
  </si>
  <si>
    <t>Monthly Portfolio Statement for the period ended 30.04.2024</t>
  </si>
  <si>
    <t>Name of the Instruments</t>
  </si>
  <si>
    <t>Industry/Rating</t>
  </si>
  <si>
    <t>Quantity</t>
  </si>
  <si>
    <t>Market Value (Rs. In Lakhs)</t>
  </si>
  <si>
    <t>% age to NAV</t>
  </si>
  <si>
    <t>ISIN</t>
  </si>
  <si>
    <t>Yield %</t>
  </si>
  <si>
    <t>^YTC (AT1/Tier 2 bonds)</t>
  </si>
  <si>
    <t>EQUITY &amp; EQUITY RELATED</t>
  </si>
  <si>
    <t>a) Listed/Awaiting Listing On  Stock Exchange</t>
  </si>
  <si>
    <t>Voltas Ltd.</t>
  </si>
  <si>
    <t>Consumer Durables</t>
  </si>
  <si>
    <t>INE226A01021</t>
  </si>
  <si>
    <t>Cummins India Ltd.</t>
  </si>
  <si>
    <t>Industrial Products</t>
  </si>
  <si>
    <t>INE298A01020</t>
  </si>
  <si>
    <t>Bank of Maharashtra</t>
  </si>
  <si>
    <t>Banks</t>
  </si>
  <si>
    <t>INE457A01014</t>
  </si>
  <si>
    <t>Schaeffler India Ltd.</t>
  </si>
  <si>
    <t>Auto Components</t>
  </si>
  <si>
    <t>INE513A01022</t>
  </si>
  <si>
    <t>Bharat Forge Ltd.</t>
  </si>
  <si>
    <t>INE465A01025</t>
  </si>
  <si>
    <t>Hitachi Energy India Ltd.</t>
  </si>
  <si>
    <t>Electrical Equipment</t>
  </si>
  <si>
    <t>INE07Y701011</t>
  </si>
  <si>
    <t>CG Power and Industrial Solutions Ltd.</t>
  </si>
  <si>
    <t>INE067A01029</t>
  </si>
  <si>
    <t>Glenmark Pharmaceuticals Ltd.</t>
  </si>
  <si>
    <t>Pharmaceuticals &amp; Biotechnology</t>
  </si>
  <si>
    <t>INE935A01035</t>
  </si>
  <si>
    <t>Bharat Heavy Electricals Ltd.</t>
  </si>
  <si>
    <t>INE257A01026</t>
  </si>
  <si>
    <t>Tata Technologies Ltd.</t>
  </si>
  <si>
    <t>IT - Services</t>
  </si>
  <si>
    <t>INE142M01025</t>
  </si>
  <si>
    <t>REC Ltd.</t>
  </si>
  <si>
    <t>Finance</t>
  </si>
  <si>
    <t>INE020B01018</t>
  </si>
  <si>
    <t>IPCA Laboratories Ltd.</t>
  </si>
  <si>
    <t>INE571A01038</t>
  </si>
  <si>
    <t>Timken India Ltd.</t>
  </si>
  <si>
    <t>INE325A01013</t>
  </si>
  <si>
    <t>Amber Enterprises India Ltd.</t>
  </si>
  <si>
    <t>INE371P01015</t>
  </si>
  <si>
    <t>Sterling and Wilson Renewable Energy Ltd.</t>
  </si>
  <si>
    <t>Construction</t>
  </si>
  <si>
    <t>INE00M201021</t>
  </si>
  <si>
    <t>Aurobindo Pharma Ltd.</t>
  </si>
  <si>
    <t>INE406A01037</t>
  </si>
  <si>
    <t>Thermax Ltd.</t>
  </si>
  <si>
    <t>INE152A01029</t>
  </si>
  <si>
    <t>Max Healthcare Institute Ltd.</t>
  </si>
  <si>
    <t>Healthcare Services</t>
  </si>
  <si>
    <t>INE027H01010</t>
  </si>
  <si>
    <t>Arvind Ltd.</t>
  </si>
  <si>
    <t>Textiles &amp; Apparels</t>
  </si>
  <si>
    <t>INE034A01011</t>
  </si>
  <si>
    <t>Biocon Ltd.</t>
  </si>
  <si>
    <t>INE376G01013</t>
  </si>
  <si>
    <t>Max Financial Services Ltd.</t>
  </si>
  <si>
    <t>Insurance</t>
  </si>
  <si>
    <t>INE180A01020</t>
  </si>
  <si>
    <t>JSW Energy Ltd.</t>
  </si>
  <si>
    <t>Power</t>
  </si>
  <si>
    <t>INE121E01018</t>
  </si>
  <si>
    <t>Thomas Cook  (India)  Ltd.</t>
  </si>
  <si>
    <t>Leisure Services</t>
  </si>
  <si>
    <t>INE332A01027</t>
  </si>
  <si>
    <t>Housing &amp; Urban Development Corporation Ltd.</t>
  </si>
  <si>
    <t>INE031A01017</t>
  </si>
  <si>
    <t>Sundram Fasteners Ltd.</t>
  </si>
  <si>
    <t>INE387A01021</t>
  </si>
  <si>
    <t>Suzlon Energy Ltd.</t>
  </si>
  <si>
    <t>INE040H01021</t>
  </si>
  <si>
    <t>Ahluwalia Contracts (India) Ltd.</t>
  </si>
  <si>
    <t>INE758C01029</t>
  </si>
  <si>
    <t>Titagarh Rail Systems Ltd</t>
  </si>
  <si>
    <t>Industrial Manufacturing</t>
  </si>
  <si>
    <t>INE615H01020</t>
  </si>
  <si>
    <t>Godrej Properties Ltd.</t>
  </si>
  <si>
    <t>Realty</t>
  </si>
  <si>
    <t>INE484J01027</t>
  </si>
  <si>
    <t>PB Fintech Ltd.</t>
  </si>
  <si>
    <t>Financial Technology (Fintech)</t>
  </si>
  <si>
    <t>INE417T01026</t>
  </si>
  <si>
    <t>Sona BLW Precision Forgings Ltd.</t>
  </si>
  <si>
    <t>INE073K01018</t>
  </si>
  <si>
    <t>HEG Ltd.</t>
  </si>
  <si>
    <t>INE545A01016</t>
  </si>
  <si>
    <t>Escorts Kubota Ltd.</t>
  </si>
  <si>
    <t>Agricultural, Commercial &amp; Construction Vehicles</t>
  </si>
  <si>
    <t>INE042A01014</t>
  </si>
  <si>
    <t>Jyothy Labs Ltd.</t>
  </si>
  <si>
    <t>Household Products</t>
  </si>
  <si>
    <t>INE668F01031</t>
  </si>
  <si>
    <t>Mukand Ltd.</t>
  </si>
  <si>
    <t>Ferrous Metals</t>
  </si>
  <si>
    <t>INE304A01026</t>
  </si>
  <si>
    <t>Oil India Ltd.</t>
  </si>
  <si>
    <t>Oil</t>
  </si>
  <si>
    <t>INE274J01014</t>
  </si>
  <si>
    <t>Vodafone Idea Ltd.</t>
  </si>
  <si>
    <t>Telecom - Services</t>
  </si>
  <si>
    <t>INE669E01016</t>
  </si>
  <si>
    <t>Exide Industries Ltd.</t>
  </si>
  <si>
    <t>INE302A01020</t>
  </si>
  <si>
    <t>Deepak Fertilizers&amp; Petrochemicals Corporation Ltd</t>
  </si>
  <si>
    <t>Chemicals &amp; Petrochemicals</t>
  </si>
  <si>
    <t>INE501A01019</t>
  </si>
  <si>
    <t>Poonawalla Fincorp Ltd.</t>
  </si>
  <si>
    <t>INE511C01022</t>
  </si>
  <si>
    <t>Tejas Networks Ltd.</t>
  </si>
  <si>
    <t>Telecom - Equipment &amp; Accessories</t>
  </si>
  <si>
    <t>INE010J01012</t>
  </si>
  <si>
    <t>Fortis Healthcare Ltd.</t>
  </si>
  <si>
    <t>INE061F01013</t>
  </si>
  <si>
    <t>Blue Star Ltd.</t>
  </si>
  <si>
    <t>INE472A01039</t>
  </si>
  <si>
    <t>Delhivery Ltd.</t>
  </si>
  <si>
    <t>Transport Services</t>
  </si>
  <si>
    <t>INE148O01028</t>
  </si>
  <si>
    <t>Hero MotoCorp Ltd.</t>
  </si>
  <si>
    <t>Automobiles</t>
  </si>
  <si>
    <t>INE158A01026</t>
  </si>
  <si>
    <t>Linde India Ltd.</t>
  </si>
  <si>
    <t>INE473A01011</t>
  </si>
  <si>
    <t>The Phoenix Mills Ltd.</t>
  </si>
  <si>
    <t>INE211B01039</t>
  </si>
  <si>
    <t>Aarti Industries Ltd.</t>
  </si>
  <si>
    <t>INE769A01020</t>
  </si>
  <si>
    <t>Exicom Tele-Systems Ltd.</t>
  </si>
  <si>
    <t>INE777F01014</t>
  </si>
  <si>
    <t>Zomato Ltd.</t>
  </si>
  <si>
    <t>Retailing</t>
  </si>
  <si>
    <t>INE758T01015</t>
  </si>
  <si>
    <t>Orchid Pharma Ltd.</t>
  </si>
  <si>
    <t>INE191A01027</t>
  </si>
  <si>
    <t>Sumitomo Chemical India Ltd.</t>
  </si>
  <si>
    <t>Fertilizers &amp; Agrochemicals</t>
  </si>
  <si>
    <t>INE258G01013</t>
  </si>
  <si>
    <t>Patel Engineering Ltd.</t>
  </si>
  <si>
    <t>INE244B01030</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</si>
  <si>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</si>
  <si>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</si>
  <si>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</si>
  <si>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</si>
  <si>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</si>
  <si>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</si>
  <si>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</si>
  <si>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</si>
  <si>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</si>
  <si>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</si>
  <si>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</si>
  <si>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</si>
  <si>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</si>
  <si>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</si>
  <si>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</si>
  <si>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</si>
  <si>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</si>
  <si>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</si>
  <si>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</si>
  <si>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</si>
  <si>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Long Term wealth creation</t>
  </si>
  <si>
    <t>• An open ended equity scheme that aims for capital appreciation
by investing in diversified mid cap companies.</t>
  </si>
  <si>
    <t>*Investors should consult their financial advisers if in doubt
about whether the product is suitable for them.</t>
  </si>
  <si>
    <t xml:space="preserve">         Riskometer of the scheme </t>
  </si>
  <si>
    <t>Benchmark of the Scheme - Nifty Midcap 150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</si>
</sst>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8">
    <xf numFmtId="0" fontId="0" fillId="0" borderId="0" xfId="0"/>
    <xf numFmtId="0" fontId="3" fillId="0" borderId="0" xfId="2"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6" applyFont="1" applyBorder="1" applyAlignment="1"/>
    <xf numFmtId="0" fontId="7" fillId="0" borderId="0" xfId="6" applyFont="1" applyBorder="1" applyAlignment="1">
      <alignment horizontal="left" wrapText="1"/>
    </xf>
    <xf numFmtId="0" fontId="9" fillId="0" borderId="0" xfId="7" applyFont="1" applyAlignment="1">
      <alignment horizontal="center"/>
    </xf>
    <xf numFmtId="0" fontId="4" fillId="0" borderId="0" xfId="2" applyFont="1" applyFill="1" applyBorder="1" applyAlignment="1">
      <alignment horizontal="center"/>
    </xf>
    <xf numFmtId="165" fontId="3" fillId="0" borderId="0" xfId="1" applyNumberFormat="1" applyFont="1"/>
    <xf numFmtId="0" fontId="4" fillId="0" borderId="0" xfId="2" applyFont="1" applyFill="1" applyBorder="1" applyAlignment="1"/>
    <xf numFmtId="0" fontId="4" fillId="0" borderId="0" xfId="2" applyFont="1" applyFill="1" applyBorder="1" applyAlignment="1">
      <alignment horizontal="left"/>
    </xf>
    <xf numFmtId="0" fontId="3" fillId="0" borderId="0" xfId="2" applyFont="1" applyAlignment="1">
      <alignment wrapText="1"/>
    </xf>
    <xf numFmtId="0" fontId="3" fillId="0" borderId="0" xfId="2" applyFont="1" applyAlignment="1">
      <alignment horizontal="left" wrapText="1"/>
    </xf>
    <xf numFmtId="165" fontId="3" fillId="0" borderId="0" xfId="2" applyNumberFormat="1" applyFont="1" applyFill="1"/>
    <xf numFmtId="0" fontId="8" fillId="0" borderId="0" xfId="4" applyFont="1" applyBorder="1" applyAlignment="1">
      <alignment horizontal="left" vertical="top" wrapText="1"/>
    </xf>
    <xf numFmtId="0" fontId="2" fillId="2" borderId="1" xfId="2" applyFont="1" applyFill="1" applyBorder="1" applyAlignment="1">
      <alignment horizontal="center" vertical="center"/>
    </xf>
    <xf numFmtId="0" fontId="2" fillId="2" borderId="0" xfId="2" applyFont="1" applyFill="1" applyBorder="1" applyAlignment="1">
      <alignment horizontal="center" vertical="center" wrapText="1"/>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cellXfs>
  <cellStyles count="8">
    <cellStyle name="Comma" xfId="1" builtinId="3"/>
    <cellStyle name="Comma 4" xfId="5"/>
    <cellStyle name="Normal" xfId="0" builtinId="0"/>
    <cellStyle name="Normal 2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533401</xdr:colOff>
      <xdr:row>97</xdr:row>
      <xdr:rowOff>47625</xdr:rowOff>
    </xdr:from>
    <xdr:to>
      <xdr:col>0</xdr:col>
      <xdr:colOff>2514601</xdr:colOff>
      <xdr:row>103</xdr:row>
      <xdr:rowOff>9525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1" y="18326100"/>
          <a:ext cx="19812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295275</xdr:colOff>
      <xdr:row>97</xdr:row>
      <xdr:rowOff>28574</xdr:rowOff>
    </xdr:from>
    <xdr:to>
      <xdr:col>1</xdr:col>
      <xdr:colOff>2247900</xdr:colOff>
      <xdr:row>103</xdr:row>
      <xdr:rowOff>38099</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24200" y="18307049"/>
          <a:ext cx="1952625"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361950</xdr:colOff>
      <xdr:row>103</xdr:row>
      <xdr:rowOff>0</xdr:rowOff>
    </xdr:from>
    <xdr:to>
      <xdr:col>0</xdr:col>
      <xdr:colOff>2628901</xdr:colOff>
      <xdr:row>106</xdr:row>
      <xdr:rowOff>0</xdr:rowOff>
    </xdr:to>
    <xdr:sp macro="" textlink="">
      <xdr:nvSpPr>
        <xdr:cNvPr id="4" name="TextBox 3"/>
        <xdr:cNvSpPr txBox="1"/>
      </xdr:nvSpPr>
      <xdr:spPr>
        <a:xfrm>
          <a:off x="361950" y="19364325"/>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152400</xdr:colOff>
      <xdr:row>103</xdr:row>
      <xdr:rowOff>9525</xdr:rowOff>
    </xdr:from>
    <xdr:to>
      <xdr:col>1</xdr:col>
      <xdr:colOff>2419351</xdr:colOff>
      <xdr:row>106</xdr:row>
      <xdr:rowOff>9525</xdr:rowOff>
    </xdr:to>
    <xdr:sp macro="" textlink="">
      <xdr:nvSpPr>
        <xdr:cNvPr id="5" name="TextBox 4"/>
        <xdr:cNvSpPr txBox="1"/>
      </xdr:nvSpPr>
      <xdr:spPr>
        <a:xfrm>
          <a:off x="2981325" y="19373850"/>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indexed="11"/>
    <pageSetUpPr fitToPage="1"/>
  </sheetPr>
  <dimension ref="A1:K103"/>
  <sheetViews>
    <sheetView tabSelected="1" zoomScaleNormal="100" workbookViewId="0">
      <selection sqref="A1:H1"/>
    </sheetView>
  </sheetViews>
  <sheetFormatPr defaultRowHeight="12.75" x14ac:dyDescent="0.2"/>
  <cols>
    <col min="1" max="1" width="42.42578125" style="48" customWidth="1"/>
    <col min="2" max="2" width="39.42578125" style="49" customWidth="1"/>
    <col min="3" max="3" width="13.42578125" style="45" customWidth="1"/>
    <col min="4" max="4" width="13" style="1" customWidth="1"/>
    <col min="5" max="5" width="10.7109375" style="1" customWidth="1"/>
    <col min="6" max="6" width="14.140625" style="1" customWidth="1"/>
    <col min="7" max="7" width="9.5703125" style="1" bestFit="1" customWidth="1"/>
    <col min="8" max="8" width="14.42578125" style="1" customWidth="1"/>
    <col min="9" max="16384" width="9.140625" style="1"/>
  </cols>
  <sheetData>
    <row r="1" spans="1:11" x14ac:dyDescent="0.2">
      <c r="A1" s="52" t="s">
        <v>0</v>
      </c>
      <c r="B1" s="52"/>
      <c r="C1" s="52"/>
      <c r="D1" s="52"/>
      <c r="E1" s="52"/>
      <c r="F1" s="52"/>
      <c r="G1" s="52"/>
      <c r="H1" s="52"/>
    </row>
    <row r="2" spans="1:11" x14ac:dyDescent="0.2">
      <c r="A2" s="53" t="s">
        <v>1</v>
      </c>
      <c r="B2" s="53"/>
      <c r="C2" s="53"/>
      <c r="D2" s="53"/>
      <c r="E2" s="53"/>
      <c r="F2" s="53"/>
      <c r="G2" s="53"/>
      <c r="H2" s="53"/>
    </row>
    <row r="3" spans="1:11" ht="12.75" customHeight="1" x14ac:dyDescent="0.2">
      <c r="A3" s="54" t="s">
        <v>2</v>
      </c>
      <c r="B3" s="54"/>
      <c r="C3" s="54"/>
      <c r="D3" s="54"/>
      <c r="E3" s="54"/>
      <c r="F3" s="54"/>
      <c r="G3" s="54"/>
      <c r="H3" s="54"/>
    </row>
    <row r="4" spans="1:11" s="4" customFormat="1" ht="25.5" x14ac:dyDescent="0.2">
      <c r="A4" s="2" t="s">
        <v>3</v>
      </c>
      <c r="B4" s="2" t="s">
        <v>4</v>
      </c>
      <c r="C4" s="3" t="s">
        <v>5</v>
      </c>
      <c r="D4" s="2" t="s">
        <v>6</v>
      </c>
      <c r="E4" s="2" t="s">
        <v>7</v>
      </c>
      <c r="F4" s="2" t="s">
        <v>8</v>
      </c>
      <c r="G4" s="2" t="s">
        <v>9</v>
      </c>
      <c r="H4" s="2" t="s">
        <v>10</v>
      </c>
    </row>
    <row r="5" spans="1:11" ht="14.25" x14ac:dyDescent="0.3">
      <c r="A5" s="5" t="s">
        <v>11</v>
      </c>
      <c r="B5" s="6"/>
      <c r="C5" s="7"/>
      <c r="D5" s="8"/>
      <c r="E5" s="8"/>
      <c r="F5" s="9"/>
      <c r="G5" s="10"/>
      <c r="H5" s="11"/>
    </row>
    <row r="6" spans="1:11" ht="14.25" x14ac:dyDescent="0.3">
      <c r="A6" s="12" t="s">
        <v>12</v>
      </c>
      <c r="B6" s="6"/>
      <c r="C6" s="7"/>
      <c r="D6" s="8"/>
      <c r="E6" s="8"/>
      <c r="F6" s="9"/>
      <c r="G6" s="10"/>
      <c r="H6" s="11"/>
    </row>
    <row r="7" spans="1:11" s="17" customFormat="1" ht="14.25" x14ac:dyDescent="0.3">
      <c r="A7" s="13" t="s">
        <v>13</v>
      </c>
      <c r="B7" s="14" t="s">
        <v>14</v>
      </c>
      <c r="C7" s="15">
        <v>214150</v>
      </c>
      <c r="D7" s="16">
        <v>3158.1771250000002</v>
      </c>
      <c r="E7" s="16">
        <f t="shared" ref="E7:E59" si="0">(+D7/$D$85*100)</f>
        <v>3.3069284370197587</v>
      </c>
      <c r="F7" s="16" t="s">
        <v>15</v>
      </c>
      <c r="G7" s="11"/>
      <c r="H7" s="10"/>
      <c r="K7" s="50"/>
    </row>
    <row r="8" spans="1:11" s="17" customFormat="1" ht="14.25" x14ac:dyDescent="0.3">
      <c r="A8" s="13" t="s">
        <v>16</v>
      </c>
      <c r="B8" s="14" t="s">
        <v>17</v>
      </c>
      <c r="C8" s="15">
        <v>92103</v>
      </c>
      <c r="D8" s="16">
        <v>3016.7877135000003</v>
      </c>
      <c r="E8" s="16">
        <f t="shared" si="0"/>
        <v>3.1588795318834331</v>
      </c>
      <c r="F8" s="16" t="s">
        <v>18</v>
      </c>
      <c r="G8" s="11"/>
      <c r="H8" s="11"/>
      <c r="K8" s="50"/>
    </row>
    <row r="9" spans="1:11" s="17" customFormat="1" ht="14.25" x14ac:dyDescent="0.3">
      <c r="A9" s="13" t="s">
        <v>19</v>
      </c>
      <c r="B9" s="14" t="s">
        <v>20</v>
      </c>
      <c r="C9" s="15">
        <v>4250000</v>
      </c>
      <c r="D9" s="16">
        <v>2979.25</v>
      </c>
      <c r="E9" s="16">
        <f t="shared" si="0"/>
        <v>3.1195737781778514</v>
      </c>
      <c r="F9" s="16" t="s">
        <v>21</v>
      </c>
      <c r="G9" s="11"/>
      <c r="H9" s="11"/>
      <c r="K9" s="50"/>
    </row>
    <row r="10" spans="1:11" s="17" customFormat="1" ht="14.25" x14ac:dyDescent="0.3">
      <c r="A10" s="13" t="s">
        <v>22</v>
      </c>
      <c r="B10" s="14" t="s">
        <v>23</v>
      </c>
      <c r="C10" s="15">
        <v>80341</v>
      </c>
      <c r="D10" s="16">
        <v>2964.4623885000001</v>
      </c>
      <c r="E10" s="16">
        <f t="shared" si="0"/>
        <v>3.10408966470054</v>
      </c>
      <c r="F10" s="16" t="s">
        <v>24</v>
      </c>
      <c r="G10" s="11"/>
      <c r="H10" s="10"/>
      <c r="K10" s="50"/>
    </row>
    <row r="11" spans="1:11" s="17" customFormat="1" ht="14.25" x14ac:dyDescent="0.3">
      <c r="A11" s="13" t="s">
        <v>25</v>
      </c>
      <c r="B11" s="14" t="s">
        <v>23</v>
      </c>
      <c r="C11" s="15">
        <v>223650</v>
      </c>
      <c r="D11" s="16">
        <v>2843.0387999999998</v>
      </c>
      <c r="E11" s="16">
        <f t="shared" si="0"/>
        <v>2.9769469802206006</v>
      </c>
      <c r="F11" s="16" t="s">
        <v>26</v>
      </c>
      <c r="G11" s="11"/>
      <c r="H11" s="11"/>
      <c r="K11" s="50"/>
    </row>
    <row r="12" spans="1:11" s="17" customFormat="1" ht="14.25" x14ac:dyDescent="0.3">
      <c r="A12" s="13" t="s">
        <v>27</v>
      </c>
      <c r="B12" s="14" t="s">
        <v>28</v>
      </c>
      <c r="C12" s="15">
        <v>28000</v>
      </c>
      <c r="D12" s="16">
        <v>2682.05</v>
      </c>
      <c r="E12" s="16">
        <f t="shared" si="0"/>
        <v>2.8083755481285246</v>
      </c>
      <c r="F12" s="16" t="s">
        <v>29</v>
      </c>
      <c r="G12" s="11"/>
      <c r="H12" s="10"/>
      <c r="K12" s="50"/>
    </row>
    <row r="13" spans="1:11" s="17" customFormat="1" ht="14.25" x14ac:dyDescent="0.3">
      <c r="A13" s="13" t="s">
        <v>30</v>
      </c>
      <c r="B13" s="14" t="s">
        <v>28</v>
      </c>
      <c r="C13" s="15">
        <v>450000</v>
      </c>
      <c r="D13" s="16">
        <v>2492.7750000000001</v>
      </c>
      <c r="E13" s="16">
        <f t="shared" si="0"/>
        <v>2.6101856255424329</v>
      </c>
      <c r="F13" s="16" t="s">
        <v>31</v>
      </c>
      <c r="G13" s="11"/>
      <c r="H13" s="11"/>
      <c r="K13" s="50"/>
    </row>
    <row r="14" spans="1:11" s="17" customFormat="1" ht="14.25" x14ac:dyDescent="0.3">
      <c r="A14" s="13" t="s">
        <v>32</v>
      </c>
      <c r="B14" s="14" t="s">
        <v>33</v>
      </c>
      <c r="C14" s="15">
        <v>233000</v>
      </c>
      <c r="D14" s="16">
        <v>2463.2759999999998</v>
      </c>
      <c r="E14" s="16">
        <f t="shared" si="0"/>
        <v>2.5792972117193336</v>
      </c>
      <c r="F14" s="16" t="s">
        <v>34</v>
      </c>
      <c r="G14" s="11"/>
      <c r="H14" s="11"/>
      <c r="K14" s="50"/>
    </row>
    <row r="15" spans="1:11" s="17" customFormat="1" ht="14.25" x14ac:dyDescent="0.3">
      <c r="A15" s="13" t="s">
        <v>35</v>
      </c>
      <c r="B15" s="14" t="s">
        <v>28</v>
      </c>
      <c r="C15" s="15">
        <v>858000</v>
      </c>
      <c r="D15" s="16">
        <v>2416.9859999999999</v>
      </c>
      <c r="E15" s="16">
        <f t="shared" si="0"/>
        <v>2.5308269355787441</v>
      </c>
      <c r="F15" s="16" t="s">
        <v>36</v>
      </c>
      <c r="G15" s="11"/>
      <c r="H15" s="11"/>
      <c r="K15" s="50"/>
    </row>
    <row r="16" spans="1:11" s="17" customFormat="1" ht="14.25" x14ac:dyDescent="0.3">
      <c r="A16" s="13" t="s">
        <v>37</v>
      </c>
      <c r="B16" s="14" t="s">
        <v>38</v>
      </c>
      <c r="C16" s="15">
        <v>220020</v>
      </c>
      <c r="D16" s="16">
        <v>2347.9434299999998</v>
      </c>
      <c r="E16" s="16">
        <f t="shared" si="0"/>
        <v>2.4585324349661706</v>
      </c>
      <c r="F16" s="16" t="s">
        <v>39</v>
      </c>
      <c r="G16" s="11"/>
      <c r="H16" s="10"/>
      <c r="K16" s="50"/>
    </row>
    <row r="17" spans="1:11" s="17" customFormat="1" ht="14.25" x14ac:dyDescent="0.3">
      <c r="A17" s="13" t="s">
        <v>40</v>
      </c>
      <c r="B17" s="14" t="s">
        <v>41</v>
      </c>
      <c r="C17" s="15">
        <v>460100</v>
      </c>
      <c r="D17" s="16">
        <v>2333.3971499999998</v>
      </c>
      <c r="E17" s="16">
        <f t="shared" si="0"/>
        <v>2.4433010197918703</v>
      </c>
      <c r="F17" s="16" t="s">
        <v>42</v>
      </c>
      <c r="G17" s="11"/>
      <c r="H17" s="10"/>
      <c r="K17" s="50"/>
    </row>
    <row r="18" spans="1:11" s="17" customFormat="1" ht="14.25" x14ac:dyDescent="0.3">
      <c r="A18" s="13" t="s">
        <v>43</v>
      </c>
      <c r="B18" s="14" t="s">
        <v>33</v>
      </c>
      <c r="C18" s="15">
        <v>172500</v>
      </c>
      <c r="D18" s="16">
        <v>2310.6374999999998</v>
      </c>
      <c r="E18" s="16">
        <f t="shared" si="0"/>
        <v>2.4194693818492654</v>
      </c>
      <c r="F18" s="16" t="s">
        <v>44</v>
      </c>
      <c r="G18" s="11"/>
      <c r="H18" s="11"/>
      <c r="K18" s="50"/>
    </row>
    <row r="19" spans="1:11" s="17" customFormat="1" ht="14.25" x14ac:dyDescent="0.3">
      <c r="A19" s="13" t="s">
        <v>45</v>
      </c>
      <c r="B19" s="14" t="s">
        <v>17</v>
      </c>
      <c r="C19" s="15">
        <v>68025</v>
      </c>
      <c r="D19" s="16">
        <v>2272.3411124999998</v>
      </c>
      <c r="E19" s="16">
        <f t="shared" si="0"/>
        <v>2.3793692203173573</v>
      </c>
      <c r="F19" s="16" t="s">
        <v>46</v>
      </c>
      <c r="G19" s="11"/>
      <c r="H19" s="10"/>
      <c r="K19" s="50"/>
    </row>
    <row r="20" spans="1:11" s="17" customFormat="1" ht="14.25" x14ac:dyDescent="0.3">
      <c r="A20" s="13" t="s">
        <v>47</v>
      </c>
      <c r="B20" s="14" t="s">
        <v>14</v>
      </c>
      <c r="C20" s="15">
        <v>56214</v>
      </c>
      <c r="D20" s="16">
        <v>2162.3558309999999</v>
      </c>
      <c r="E20" s="16">
        <f t="shared" si="0"/>
        <v>2.264203591332576</v>
      </c>
      <c r="F20" s="16" t="s">
        <v>48</v>
      </c>
      <c r="G20" s="11"/>
      <c r="H20" s="11"/>
      <c r="K20" s="50"/>
    </row>
    <row r="21" spans="1:11" s="17" customFormat="1" ht="14.25" x14ac:dyDescent="0.3">
      <c r="A21" s="13" t="s">
        <v>49</v>
      </c>
      <c r="B21" s="14" t="s">
        <v>50</v>
      </c>
      <c r="C21" s="15">
        <v>321500</v>
      </c>
      <c r="D21" s="16">
        <v>2109.20075</v>
      </c>
      <c r="E21" s="16">
        <f t="shared" si="0"/>
        <v>2.2085448863348351</v>
      </c>
      <c r="F21" s="16" t="s">
        <v>51</v>
      </c>
      <c r="G21" s="11"/>
      <c r="H21" s="10"/>
      <c r="K21" s="50"/>
    </row>
    <row r="22" spans="1:11" s="17" customFormat="1" ht="14.25" x14ac:dyDescent="0.3">
      <c r="A22" s="13" t="s">
        <v>52</v>
      </c>
      <c r="B22" s="14" t="s">
        <v>33</v>
      </c>
      <c r="C22" s="15">
        <v>177528</v>
      </c>
      <c r="D22" s="16">
        <v>2047.78548</v>
      </c>
      <c r="E22" s="16">
        <f t="shared" si="0"/>
        <v>2.1442369343765528</v>
      </c>
      <c r="F22" s="16" t="s">
        <v>53</v>
      </c>
      <c r="G22" s="11"/>
      <c r="H22" s="11"/>
      <c r="K22" s="50"/>
    </row>
    <row r="23" spans="1:11" s="17" customFormat="1" ht="14.25" x14ac:dyDescent="0.3">
      <c r="A23" s="13" t="s">
        <v>54</v>
      </c>
      <c r="B23" s="14" t="s">
        <v>28</v>
      </c>
      <c r="C23" s="15">
        <v>43852</v>
      </c>
      <c r="D23" s="16">
        <v>2047.712992</v>
      </c>
      <c r="E23" s="16">
        <f t="shared" si="0"/>
        <v>2.1441610321649112</v>
      </c>
      <c r="F23" s="16" t="s">
        <v>55</v>
      </c>
      <c r="G23" s="11"/>
      <c r="H23" s="10"/>
      <c r="K23" s="50"/>
    </row>
    <row r="24" spans="1:11" s="17" customFormat="1" ht="14.25" x14ac:dyDescent="0.3">
      <c r="A24" s="13" t="s">
        <v>56</v>
      </c>
      <c r="B24" s="14" t="s">
        <v>57</v>
      </c>
      <c r="C24" s="15">
        <v>243000</v>
      </c>
      <c r="D24" s="16">
        <v>2041.9290000000001</v>
      </c>
      <c r="E24" s="16">
        <f t="shared" si="0"/>
        <v>2.138104611999974</v>
      </c>
      <c r="F24" s="16" t="s">
        <v>58</v>
      </c>
      <c r="G24" s="11"/>
      <c r="H24" s="18"/>
      <c r="K24" s="50"/>
    </row>
    <row r="25" spans="1:11" s="17" customFormat="1" ht="14.25" x14ac:dyDescent="0.3">
      <c r="A25" s="13" t="s">
        <v>59</v>
      </c>
      <c r="B25" s="14" t="s">
        <v>60</v>
      </c>
      <c r="C25" s="15">
        <v>630907</v>
      </c>
      <c r="D25" s="16">
        <v>1987.6725034999999</v>
      </c>
      <c r="E25" s="16">
        <f t="shared" si="0"/>
        <v>2.0812926144243429</v>
      </c>
      <c r="F25" s="16" t="s">
        <v>61</v>
      </c>
      <c r="G25" s="11"/>
      <c r="H25" s="11"/>
      <c r="K25" s="50"/>
    </row>
    <row r="26" spans="1:11" s="17" customFormat="1" ht="14.25" x14ac:dyDescent="0.3">
      <c r="A26" s="13" t="s">
        <v>62</v>
      </c>
      <c r="B26" s="14" t="s">
        <v>33</v>
      </c>
      <c r="C26" s="15">
        <v>650000</v>
      </c>
      <c r="D26" s="16">
        <v>1940.575</v>
      </c>
      <c r="E26" s="16">
        <f t="shared" si="0"/>
        <v>2.0319768010698951</v>
      </c>
      <c r="F26" s="16" t="s">
        <v>63</v>
      </c>
      <c r="G26" s="11"/>
      <c r="H26" s="11"/>
      <c r="K26" s="50"/>
    </row>
    <row r="27" spans="1:11" s="17" customFormat="1" ht="14.25" x14ac:dyDescent="0.3">
      <c r="A27" s="13" t="s">
        <v>64</v>
      </c>
      <c r="B27" s="14" t="s">
        <v>65</v>
      </c>
      <c r="C27" s="15">
        <v>190000</v>
      </c>
      <c r="D27" s="16">
        <v>1920.71</v>
      </c>
      <c r="E27" s="16">
        <f t="shared" si="0"/>
        <v>2.0111761522141416</v>
      </c>
      <c r="F27" s="16" t="s">
        <v>66</v>
      </c>
      <c r="G27" s="11"/>
      <c r="H27" s="18"/>
      <c r="K27" s="50"/>
    </row>
    <row r="28" spans="1:11" s="17" customFormat="1" ht="14.25" x14ac:dyDescent="0.3">
      <c r="A28" s="13" t="s">
        <v>67</v>
      </c>
      <c r="B28" s="14" t="s">
        <v>68</v>
      </c>
      <c r="C28" s="15">
        <v>300000</v>
      </c>
      <c r="D28" s="16">
        <v>1888.65</v>
      </c>
      <c r="E28" s="16">
        <f t="shared" si="0"/>
        <v>1.9776061143427373</v>
      </c>
      <c r="F28" s="16" t="s">
        <v>69</v>
      </c>
      <c r="G28" s="11"/>
      <c r="H28" s="11"/>
      <c r="K28" s="50"/>
    </row>
    <row r="29" spans="1:11" s="17" customFormat="1" ht="14.25" x14ac:dyDescent="0.3">
      <c r="A29" s="13" t="s">
        <v>70</v>
      </c>
      <c r="B29" s="14" t="s">
        <v>71</v>
      </c>
      <c r="C29" s="15">
        <v>917963</v>
      </c>
      <c r="D29" s="16">
        <v>1870.3496124999999</v>
      </c>
      <c r="E29" s="16">
        <f t="shared" si="0"/>
        <v>1.9584437718150896</v>
      </c>
      <c r="F29" s="16" t="s">
        <v>72</v>
      </c>
      <c r="G29" s="11"/>
      <c r="H29" s="10"/>
      <c r="K29" s="50"/>
    </row>
    <row r="30" spans="1:11" s="17" customFormat="1" ht="14.25" x14ac:dyDescent="0.3">
      <c r="A30" s="13" t="s">
        <v>73</v>
      </c>
      <c r="B30" s="14" t="s">
        <v>41</v>
      </c>
      <c r="C30" s="15">
        <v>808976</v>
      </c>
      <c r="D30" s="16">
        <v>1816.15112</v>
      </c>
      <c r="E30" s="16">
        <f t="shared" si="0"/>
        <v>1.9016925102493369</v>
      </c>
      <c r="F30" s="16" t="s">
        <v>74</v>
      </c>
      <c r="G30" s="11"/>
      <c r="H30" s="11"/>
      <c r="K30" s="50"/>
    </row>
    <row r="31" spans="1:11" s="17" customFormat="1" ht="14.25" x14ac:dyDescent="0.3">
      <c r="A31" s="13" t="s">
        <v>75</v>
      </c>
      <c r="B31" s="14" t="s">
        <v>23</v>
      </c>
      <c r="C31" s="15">
        <v>159756</v>
      </c>
      <c r="D31" s="16">
        <v>1784.394642</v>
      </c>
      <c r="E31" s="16">
        <f t="shared" si="0"/>
        <v>1.8684402903765225</v>
      </c>
      <c r="F31" s="16" t="s">
        <v>76</v>
      </c>
      <c r="G31" s="11"/>
      <c r="H31" s="10"/>
      <c r="K31" s="50"/>
    </row>
    <row r="32" spans="1:11" s="17" customFormat="1" ht="14.25" x14ac:dyDescent="0.3">
      <c r="A32" s="13" t="s">
        <v>77</v>
      </c>
      <c r="B32" s="14" t="s">
        <v>28</v>
      </c>
      <c r="C32" s="15">
        <v>4200000</v>
      </c>
      <c r="D32" s="16">
        <v>1747.2</v>
      </c>
      <c r="E32" s="16">
        <f t="shared" si="0"/>
        <v>1.8294937669656266</v>
      </c>
      <c r="F32" s="16" t="s">
        <v>78</v>
      </c>
      <c r="G32" s="11"/>
      <c r="H32" s="10"/>
      <c r="K32" s="50"/>
    </row>
    <row r="33" spans="1:11" s="17" customFormat="1" ht="14.25" x14ac:dyDescent="0.3">
      <c r="A33" s="13" t="s">
        <v>79</v>
      </c>
      <c r="B33" s="14" t="s">
        <v>50</v>
      </c>
      <c r="C33" s="15">
        <v>155974</v>
      </c>
      <c r="D33" s="16">
        <v>1743.3993849999999</v>
      </c>
      <c r="E33" s="16">
        <f t="shared" si="0"/>
        <v>1.8255141415918077</v>
      </c>
      <c r="F33" s="16" t="s">
        <v>80</v>
      </c>
      <c r="G33" s="11"/>
      <c r="H33" s="11"/>
      <c r="K33" s="50"/>
    </row>
    <row r="34" spans="1:11" s="17" customFormat="1" ht="14.25" x14ac:dyDescent="0.3">
      <c r="A34" s="13" t="s">
        <v>81</v>
      </c>
      <c r="B34" s="14" t="s">
        <v>82</v>
      </c>
      <c r="C34" s="15">
        <v>158000</v>
      </c>
      <c r="D34" s="16">
        <v>1671.403</v>
      </c>
      <c r="E34" s="16">
        <f t="shared" si="0"/>
        <v>1.7501267001989749</v>
      </c>
      <c r="F34" s="16" t="s">
        <v>83</v>
      </c>
      <c r="G34" s="11"/>
      <c r="H34" s="10"/>
      <c r="K34" s="50"/>
    </row>
    <row r="35" spans="1:11" s="17" customFormat="1" ht="14.25" x14ac:dyDescent="0.3">
      <c r="A35" s="13" t="s">
        <v>84</v>
      </c>
      <c r="B35" s="14" t="s">
        <v>85</v>
      </c>
      <c r="C35" s="15">
        <v>62800</v>
      </c>
      <c r="D35" s="16">
        <v>1662.6928</v>
      </c>
      <c r="E35" s="16">
        <f t="shared" si="0"/>
        <v>1.7410062465537002</v>
      </c>
      <c r="F35" s="16" t="s">
        <v>86</v>
      </c>
      <c r="G35" s="11"/>
      <c r="H35" s="11"/>
      <c r="K35" s="50"/>
    </row>
    <row r="36" spans="1:11" s="17" customFormat="1" ht="14.25" x14ac:dyDescent="0.3">
      <c r="A36" s="13" t="s">
        <v>87</v>
      </c>
      <c r="B36" s="14" t="s">
        <v>88</v>
      </c>
      <c r="C36" s="15">
        <v>130400</v>
      </c>
      <c r="D36" s="16">
        <v>1649.4295999999999</v>
      </c>
      <c r="E36" s="16">
        <f t="shared" si="0"/>
        <v>1.727118344922508</v>
      </c>
      <c r="F36" s="16" t="s">
        <v>89</v>
      </c>
      <c r="G36" s="11"/>
      <c r="H36" s="10"/>
      <c r="K36" s="50"/>
    </row>
    <row r="37" spans="1:11" s="17" customFormat="1" ht="14.25" x14ac:dyDescent="0.3">
      <c r="A37" s="13" t="s">
        <v>90</v>
      </c>
      <c r="B37" s="14" t="s">
        <v>23</v>
      </c>
      <c r="C37" s="15">
        <v>250000</v>
      </c>
      <c r="D37" s="16">
        <v>1563.375</v>
      </c>
      <c r="E37" s="16">
        <f t="shared" si="0"/>
        <v>1.6370105413975995</v>
      </c>
      <c r="F37" s="16" t="s">
        <v>91</v>
      </c>
      <c r="G37" s="11"/>
      <c r="H37" s="10"/>
      <c r="K37" s="50"/>
    </row>
    <row r="38" spans="1:11" s="17" customFormat="1" ht="14.25" x14ac:dyDescent="0.3">
      <c r="A38" s="13" t="s">
        <v>92</v>
      </c>
      <c r="B38" s="14" t="s">
        <v>17</v>
      </c>
      <c r="C38" s="15">
        <v>65000</v>
      </c>
      <c r="D38" s="16">
        <v>1535.2349999999999</v>
      </c>
      <c r="E38" s="16">
        <f t="shared" si="0"/>
        <v>1.6075451369777203</v>
      </c>
      <c r="F38" s="16" t="s">
        <v>93</v>
      </c>
      <c r="G38" s="11"/>
      <c r="H38" s="11"/>
      <c r="K38" s="50"/>
    </row>
    <row r="39" spans="1:11" s="17" customFormat="1" ht="14.25" x14ac:dyDescent="0.3">
      <c r="A39" s="13" t="s">
        <v>94</v>
      </c>
      <c r="B39" s="14" t="s">
        <v>95</v>
      </c>
      <c r="C39" s="15">
        <v>43850</v>
      </c>
      <c r="D39" s="16">
        <v>1472.7241750000001</v>
      </c>
      <c r="E39" s="16">
        <f t="shared" si="0"/>
        <v>1.5420900289732684</v>
      </c>
      <c r="F39" s="16" t="s">
        <v>96</v>
      </c>
      <c r="G39" s="11"/>
      <c r="H39" s="11"/>
      <c r="K39" s="50"/>
    </row>
    <row r="40" spans="1:11" s="17" customFormat="1" ht="14.25" x14ac:dyDescent="0.3">
      <c r="A40" s="13" t="s">
        <v>97</v>
      </c>
      <c r="B40" s="14" t="s">
        <v>98</v>
      </c>
      <c r="C40" s="15">
        <v>337781</v>
      </c>
      <c r="D40" s="16">
        <v>1467.1517735</v>
      </c>
      <c r="E40" s="16">
        <f t="shared" si="0"/>
        <v>1.5362551652992298</v>
      </c>
      <c r="F40" s="16" t="s">
        <v>99</v>
      </c>
      <c r="G40" s="11"/>
      <c r="H40" s="11"/>
      <c r="K40" s="50"/>
    </row>
    <row r="41" spans="1:11" s="17" customFormat="1" ht="14.25" x14ac:dyDescent="0.3">
      <c r="A41" s="13" t="s">
        <v>100</v>
      </c>
      <c r="B41" s="14" t="s">
        <v>101</v>
      </c>
      <c r="C41" s="15">
        <v>792247</v>
      </c>
      <c r="D41" s="16">
        <v>1448.6236394999999</v>
      </c>
      <c r="E41" s="16">
        <f t="shared" si="0"/>
        <v>1.5168543493271007</v>
      </c>
      <c r="F41" s="16" t="s">
        <v>102</v>
      </c>
      <c r="G41" s="11"/>
      <c r="H41" s="18"/>
      <c r="K41" s="50"/>
    </row>
    <row r="42" spans="1:11" s="17" customFormat="1" ht="14.25" x14ac:dyDescent="0.3">
      <c r="A42" s="13" t="s">
        <v>103</v>
      </c>
      <c r="B42" s="14" t="s">
        <v>104</v>
      </c>
      <c r="C42" s="15">
        <v>230000</v>
      </c>
      <c r="D42" s="16">
        <v>1426.345</v>
      </c>
      <c r="E42" s="16">
        <f t="shared" si="0"/>
        <v>1.4935263776571579</v>
      </c>
      <c r="F42" s="16" t="s">
        <v>105</v>
      </c>
      <c r="G42" s="11"/>
      <c r="H42" s="10"/>
      <c r="K42" s="50"/>
    </row>
    <row r="43" spans="1:11" s="17" customFormat="1" ht="14.25" x14ac:dyDescent="0.3">
      <c r="A43" s="13" t="s">
        <v>106</v>
      </c>
      <c r="B43" s="14" t="s">
        <v>107</v>
      </c>
      <c r="C43" s="15">
        <v>10712321</v>
      </c>
      <c r="D43" s="16">
        <v>1414.0263719999998</v>
      </c>
      <c r="E43" s="16">
        <f t="shared" si="0"/>
        <v>1.4806275377169287</v>
      </c>
      <c r="F43" s="16" t="s">
        <v>108</v>
      </c>
      <c r="G43" s="11"/>
      <c r="H43" s="11"/>
      <c r="K43" s="50"/>
    </row>
    <row r="44" spans="1:11" s="17" customFormat="1" ht="14.25" x14ac:dyDescent="0.3">
      <c r="A44" s="13" t="s">
        <v>109</v>
      </c>
      <c r="B44" s="14" t="s">
        <v>23</v>
      </c>
      <c r="C44" s="15">
        <v>295000</v>
      </c>
      <c r="D44" s="16">
        <v>1393.58</v>
      </c>
      <c r="E44" s="16">
        <f t="shared" si="0"/>
        <v>1.4592181340247008</v>
      </c>
      <c r="F44" s="16" t="s">
        <v>110</v>
      </c>
      <c r="G44" s="11"/>
      <c r="H44" s="11"/>
      <c r="K44" s="50"/>
    </row>
    <row r="45" spans="1:11" s="17" customFormat="1" ht="14.25" x14ac:dyDescent="0.3">
      <c r="A45" s="13" t="s">
        <v>111</v>
      </c>
      <c r="B45" s="14" t="s">
        <v>112</v>
      </c>
      <c r="C45" s="15">
        <v>228522</v>
      </c>
      <c r="D45" s="16">
        <v>1382.7866219999999</v>
      </c>
      <c r="E45" s="16">
        <f t="shared" si="0"/>
        <v>1.4479163839242521</v>
      </c>
      <c r="F45" s="16" t="s">
        <v>113</v>
      </c>
      <c r="G45" s="11"/>
      <c r="H45" s="11"/>
      <c r="K45" s="50"/>
    </row>
    <row r="46" spans="1:11" s="17" customFormat="1" ht="14.25" x14ac:dyDescent="0.3">
      <c r="A46" s="13" t="s">
        <v>114</v>
      </c>
      <c r="B46" s="14" t="s">
        <v>41</v>
      </c>
      <c r="C46" s="15">
        <v>263500</v>
      </c>
      <c r="D46" s="16">
        <v>1292.86275</v>
      </c>
      <c r="E46" s="16">
        <f t="shared" si="0"/>
        <v>1.3537570642554022</v>
      </c>
      <c r="F46" s="16" t="s">
        <v>115</v>
      </c>
      <c r="G46" s="11"/>
      <c r="H46" s="10"/>
      <c r="K46" s="50"/>
    </row>
    <row r="47" spans="1:11" s="17" customFormat="1" ht="14.25" x14ac:dyDescent="0.3">
      <c r="A47" s="13" t="s">
        <v>116</v>
      </c>
      <c r="B47" s="14" t="s">
        <v>117</v>
      </c>
      <c r="C47" s="15">
        <v>112573</v>
      </c>
      <c r="D47" s="16">
        <v>1288.2291255</v>
      </c>
      <c r="E47" s="16">
        <f t="shared" si="0"/>
        <v>1.3489051943256807</v>
      </c>
      <c r="F47" s="16" t="s">
        <v>118</v>
      </c>
      <c r="G47" s="11"/>
      <c r="H47" s="10"/>
      <c r="K47" s="50"/>
    </row>
    <row r="48" spans="1:11" s="17" customFormat="1" ht="14.25" x14ac:dyDescent="0.3">
      <c r="A48" s="13" t="s">
        <v>119</v>
      </c>
      <c r="B48" s="14" t="s">
        <v>57</v>
      </c>
      <c r="C48" s="15">
        <v>292500</v>
      </c>
      <c r="D48" s="16">
        <v>1282.75875</v>
      </c>
      <c r="E48" s="16">
        <f t="shared" si="0"/>
        <v>1.3431771621140212</v>
      </c>
      <c r="F48" s="16" t="s">
        <v>120</v>
      </c>
      <c r="G48" s="11"/>
      <c r="H48" s="11"/>
      <c r="K48" s="50"/>
    </row>
    <row r="49" spans="1:11" s="17" customFormat="1" ht="14.25" x14ac:dyDescent="0.3">
      <c r="A49" s="13" t="s">
        <v>121</v>
      </c>
      <c r="B49" s="14" t="s">
        <v>14</v>
      </c>
      <c r="C49" s="15">
        <v>85100</v>
      </c>
      <c r="D49" s="16">
        <v>1273.2236499999999</v>
      </c>
      <c r="E49" s="16">
        <f t="shared" si="0"/>
        <v>1.3331929553732966</v>
      </c>
      <c r="F49" s="16" t="s">
        <v>122</v>
      </c>
      <c r="G49" s="11"/>
      <c r="H49" s="11"/>
      <c r="K49" s="50"/>
    </row>
    <row r="50" spans="1:11" s="17" customFormat="1" ht="14.25" x14ac:dyDescent="0.3">
      <c r="A50" s="13" t="s">
        <v>123</v>
      </c>
      <c r="B50" s="14" t="s">
        <v>124</v>
      </c>
      <c r="C50" s="15">
        <v>277036</v>
      </c>
      <c r="D50" s="16">
        <v>1243.8916400000001</v>
      </c>
      <c r="E50" s="16">
        <f t="shared" si="0"/>
        <v>1.302479396841032</v>
      </c>
      <c r="F50" s="16" t="s">
        <v>125</v>
      </c>
      <c r="G50" s="11"/>
      <c r="H50" s="11"/>
      <c r="K50" s="50"/>
    </row>
    <row r="51" spans="1:11" s="17" customFormat="1" ht="14.25" x14ac:dyDescent="0.3">
      <c r="A51" s="13" t="s">
        <v>126</v>
      </c>
      <c r="B51" s="14" t="s">
        <v>127</v>
      </c>
      <c r="C51" s="15">
        <v>25500</v>
      </c>
      <c r="D51" s="16">
        <v>1158.47775</v>
      </c>
      <c r="E51" s="16">
        <f t="shared" si="0"/>
        <v>1.2130424809943701</v>
      </c>
      <c r="F51" s="16" t="s">
        <v>128</v>
      </c>
      <c r="G51" s="11"/>
      <c r="H51" s="11"/>
      <c r="K51" s="50"/>
    </row>
    <row r="52" spans="1:11" s="17" customFormat="1" ht="14.25" x14ac:dyDescent="0.3">
      <c r="A52" s="13" t="s">
        <v>129</v>
      </c>
      <c r="B52" s="14" t="s">
        <v>112</v>
      </c>
      <c r="C52" s="15">
        <v>14000</v>
      </c>
      <c r="D52" s="16">
        <v>1155.8119999999999</v>
      </c>
      <c r="E52" s="16">
        <f t="shared" si="0"/>
        <v>1.2102511731822769</v>
      </c>
      <c r="F52" s="16" t="s">
        <v>130</v>
      </c>
      <c r="G52" s="11"/>
      <c r="H52" s="11"/>
      <c r="K52" s="50"/>
    </row>
    <row r="53" spans="1:11" s="17" customFormat="1" ht="14.25" x14ac:dyDescent="0.3">
      <c r="A53" s="13" t="s">
        <v>131</v>
      </c>
      <c r="B53" s="14" t="s">
        <v>85</v>
      </c>
      <c r="C53" s="15">
        <v>35524</v>
      </c>
      <c r="D53" s="16">
        <v>1119.592146</v>
      </c>
      <c r="E53" s="16">
        <f t="shared" si="0"/>
        <v>1.1723253506471323</v>
      </c>
      <c r="F53" s="16" t="s">
        <v>132</v>
      </c>
      <c r="G53" s="11"/>
      <c r="H53" s="10"/>
      <c r="K53" s="50"/>
    </row>
    <row r="54" spans="1:11" s="17" customFormat="1" ht="14.25" x14ac:dyDescent="0.3">
      <c r="A54" s="13" t="s">
        <v>133</v>
      </c>
      <c r="B54" s="14" t="s">
        <v>112</v>
      </c>
      <c r="C54" s="15">
        <v>150000</v>
      </c>
      <c r="D54" s="16">
        <v>1112.625</v>
      </c>
      <c r="E54" s="16">
        <f t="shared" si="0"/>
        <v>1.165030049490688</v>
      </c>
      <c r="F54" s="16" t="s">
        <v>134</v>
      </c>
      <c r="G54" s="11"/>
      <c r="H54" s="11"/>
      <c r="K54" s="50"/>
    </row>
    <row r="55" spans="1:11" s="17" customFormat="1" ht="14.25" x14ac:dyDescent="0.3">
      <c r="A55" s="13" t="s">
        <v>135</v>
      </c>
      <c r="B55" s="14" t="s">
        <v>28</v>
      </c>
      <c r="C55" s="15">
        <v>355659</v>
      </c>
      <c r="D55" s="16">
        <v>1065.0208754999999</v>
      </c>
      <c r="E55" s="16">
        <f t="shared" si="0"/>
        <v>1.1151837530995445</v>
      </c>
      <c r="F55" s="16" t="s">
        <v>136</v>
      </c>
      <c r="G55" s="11"/>
      <c r="H55" s="11"/>
      <c r="K55" s="50"/>
    </row>
    <row r="56" spans="1:11" s="17" customFormat="1" ht="14.25" x14ac:dyDescent="0.3">
      <c r="A56" s="13" t="s">
        <v>137</v>
      </c>
      <c r="B56" s="14" t="s">
        <v>138</v>
      </c>
      <c r="C56" s="15">
        <v>530000</v>
      </c>
      <c r="D56" s="16">
        <v>1023.6950000000001</v>
      </c>
      <c r="E56" s="16">
        <f t="shared" si="0"/>
        <v>1.0719114135610559</v>
      </c>
      <c r="F56" s="16" t="s">
        <v>139</v>
      </c>
      <c r="G56" s="11"/>
      <c r="H56" s="10"/>
      <c r="K56" s="50"/>
    </row>
    <row r="57" spans="1:11" s="17" customFormat="1" ht="14.25" x14ac:dyDescent="0.3">
      <c r="A57" s="13" t="s">
        <v>140</v>
      </c>
      <c r="B57" s="14" t="s">
        <v>33</v>
      </c>
      <c r="C57" s="15">
        <v>89384</v>
      </c>
      <c r="D57" s="16">
        <v>964.14051599999993</v>
      </c>
      <c r="E57" s="16">
        <f t="shared" si="0"/>
        <v>1.0095518913123984</v>
      </c>
      <c r="F57" s="16" t="s">
        <v>141</v>
      </c>
      <c r="G57" s="11"/>
      <c r="H57" s="10"/>
      <c r="K57" s="50"/>
    </row>
    <row r="58" spans="1:11" s="17" customFormat="1" ht="14.25" x14ac:dyDescent="0.3">
      <c r="A58" s="13" t="s">
        <v>142</v>
      </c>
      <c r="B58" s="14" t="s">
        <v>143</v>
      </c>
      <c r="C58" s="15">
        <v>215300</v>
      </c>
      <c r="D58" s="16">
        <v>863.56830000000002</v>
      </c>
      <c r="E58" s="16">
        <f t="shared" si="0"/>
        <v>0.90424268669820407</v>
      </c>
      <c r="F58" s="16" t="s">
        <v>144</v>
      </c>
      <c r="G58" s="11"/>
      <c r="H58" s="10"/>
      <c r="K58" s="50"/>
    </row>
    <row r="59" spans="1:11" s="17" customFormat="1" ht="14.25" x14ac:dyDescent="0.3">
      <c r="A59" s="13" t="s">
        <v>145</v>
      </c>
      <c r="B59" s="14" t="s">
        <v>50</v>
      </c>
      <c r="C59" s="15">
        <v>1326729</v>
      </c>
      <c r="D59" s="16">
        <v>764.19590400000004</v>
      </c>
      <c r="E59" s="16">
        <f t="shared" si="0"/>
        <v>0.80018981405028733</v>
      </c>
      <c r="F59" s="16" t="s">
        <v>146</v>
      </c>
      <c r="G59" s="11"/>
      <c r="H59" s="10"/>
      <c r="K59" s="50"/>
    </row>
    <row r="60" spans="1:11" s="17" customFormat="1" ht="14.25" x14ac:dyDescent="0.3">
      <c r="A60" s="12" t="s">
        <v>147</v>
      </c>
      <c r="B60" s="14"/>
      <c r="C60" s="15"/>
      <c r="D60" s="19">
        <f>IF(ISERROR(SUM(D7:D59)),0,SUM(D7:D59))</f>
        <v>95084.674924499996</v>
      </c>
      <c r="E60" s="19">
        <f>IF(ISERROR(SUM(E7:E59)),0,SUM(E7:E59))</f>
        <v>99.563198322072722</v>
      </c>
      <c r="F60" s="19"/>
      <c r="G60" s="11"/>
      <c r="H60" s="10"/>
    </row>
    <row r="61" spans="1:11" s="17" customFormat="1" ht="14.25" x14ac:dyDescent="0.3">
      <c r="A61" s="12"/>
      <c r="B61" s="12"/>
      <c r="C61" s="20"/>
      <c r="D61" s="21"/>
      <c r="E61" s="21"/>
      <c r="F61" s="21"/>
      <c r="G61" s="11"/>
      <c r="H61" s="10"/>
    </row>
    <row r="62" spans="1:11" s="17" customFormat="1" ht="14.25" x14ac:dyDescent="0.3">
      <c r="A62" s="12" t="s">
        <v>148</v>
      </c>
      <c r="B62" s="12"/>
      <c r="C62" s="20"/>
      <c r="D62" s="22" t="s">
        <v>149</v>
      </c>
      <c r="E62" s="22" t="s">
        <v>149</v>
      </c>
      <c r="F62" s="22"/>
      <c r="G62" s="11"/>
      <c r="H62" s="10"/>
    </row>
    <row r="63" spans="1:11" s="17" customFormat="1" ht="14.25" x14ac:dyDescent="0.3">
      <c r="A63" s="12"/>
      <c r="B63" s="5"/>
      <c r="C63" s="20"/>
      <c r="D63" s="22"/>
      <c r="E63" s="22"/>
      <c r="F63" s="23"/>
      <c r="G63" s="11"/>
      <c r="H63" s="10"/>
    </row>
    <row r="64" spans="1:11" s="17" customFormat="1" ht="14.25" x14ac:dyDescent="0.3">
      <c r="A64" s="12" t="s">
        <v>150</v>
      </c>
      <c r="B64" s="12"/>
      <c r="C64" s="20"/>
      <c r="D64" s="19">
        <f>IF(ISERROR(+D60),0,D60)+IF(ISERROR(+#REF!),0,#REF!)</f>
        <v>95084.674924499996</v>
      </c>
      <c r="E64" s="19">
        <f>IF(ISERROR(+E60),0,E60)+IF(ISERROR(+#REF!),0,#REF!)</f>
        <v>99.563198322072722</v>
      </c>
      <c r="F64" s="24"/>
      <c r="G64" s="11"/>
      <c r="H64" s="10"/>
    </row>
    <row r="65" spans="1:8" s="17" customFormat="1" ht="14.25" x14ac:dyDescent="0.3">
      <c r="A65" s="12"/>
      <c r="B65" s="5"/>
      <c r="C65" s="20"/>
      <c r="D65" s="22"/>
      <c r="E65" s="22"/>
      <c r="F65" s="23"/>
      <c r="G65" s="11"/>
      <c r="H65" s="10"/>
    </row>
    <row r="66" spans="1:8" s="17" customFormat="1" ht="14.25" x14ac:dyDescent="0.3">
      <c r="A66" s="12" t="s">
        <v>151</v>
      </c>
      <c r="B66" s="5"/>
      <c r="C66" s="20"/>
      <c r="D66" s="22"/>
      <c r="E66" s="22"/>
      <c r="F66" s="23"/>
      <c r="G66" s="11"/>
      <c r="H66" s="10"/>
    </row>
    <row r="67" spans="1:8" s="17" customFormat="1" ht="14.25" x14ac:dyDescent="0.3">
      <c r="A67" s="12" t="s">
        <v>12</v>
      </c>
      <c r="B67" s="5"/>
      <c r="C67" s="20"/>
      <c r="D67" s="22" t="s">
        <v>149</v>
      </c>
      <c r="E67" s="22" t="s">
        <v>149</v>
      </c>
      <c r="F67" s="25"/>
      <c r="G67" s="11"/>
      <c r="H67" s="10"/>
    </row>
    <row r="68" spans="1:8" s="17" customFormat="1" ht="14.25" x14ac:dyDescent="0.3">
      <c r="A68" s="12"/>
      <c r="B68" s="5"/>
      <c r="C68" s="26"/>
      <c r="D68" s="25"/>
      <c r="E68" s="25"/>
      <c r="F68" s="25"/>
      <c r="G68" s="11"/>
      <c r="H68" s="10"/>
    </row>
    <row r="69" spans="1:8" s="17" customFormat="1" ht="14.25" x14ac:dyDescent="0.3">
      <c r="A69" s="12" t="s">
        <v>152</v>
      </c>
      <c r="B69" s="5"/>
      <c r="C69" s="26"/>
      <c r="D69" s="22" t="s">
        <v>149</v>
      </c>
      <c r="E69" s="22" t="s">
        <v>149</v>
      </c>
      <c r="F69" s="23"/>
      <c r="G69" s="11"/>
      <c r="H69" s="10"/>
    </row>
    <row r="70" spans="1:8" s="17" customFormat="1" ht="14.25" x14ac:dyDescent="0.3">
      <c r="A70" s="12"/>
      <c r="B70" s="5"/>
      <c r="C70" s="26"/>
      <c r="D70" s="22"/>
      <c r="E70" s="22"/>
      <c r="F70" s="22"/>
      <c r="G70" s="11"/>
      <c r="H70" s="10"/>
    </row>
    <row r="71" spans="1:8" s="17" customFormat="1" ht="14.25" x14ac:dyDescent="0.3">
      <c r="A71" s="12" t="s">
        <v>153</v>
      </c>
      <c r="B71" s="5"/>
      <c r="C71" s="26"/>
      <c r="D71" s="22"/>
      <c r="E71" s="22"/>
      <c r="F71" s="22"/>
      <c r="G71" s="11"/>
      <c r="H71" s="10"/>
    </row>
    <row r="72" spans="1:8" s="17" customFormat="1" ht="14.25" x14ac:dyDescent="0.3">
      <c r="A72" s="12"/>
      <c r="B72" s="5"/>
      <c r="C72" s="26"/>
      <c r="D72" s="16"/>
      <c r="E72" s="16"/>
      <c r="F72" s="27"/>
      <c r="G72" s="11"/>
      <c r="H72" s="10"/>
    </row>
    <row r="73" spans="1:8" s="17" customFormat="1" ht="14.25" x14ac:dyDescent="0.3">
      <c r="A73" s="12" t="s">
        <v>154</v>
      </c>
      <c r="B73" s="5"/>
      <c r="C73" s="26"/>
      <c r="D73" s="22" t="s">
        <v>149</v>
      </c>
      <c r="E73" s="22" t="s">
        <v>149</v>
      </c>
      <c r="F73" s="22"/>
      <c r="G73" s="11"/>
      <c r="H73" s="10"/>
    </row>
    <row r="74" spans="1:8" s="17" customFormat="1" ht="14.25" x14ac:dyDescent="0.3">
      <c r="A74" s="12"/>
      <c r="B74" s="5"/>
      <c r="C74" s="26"/>
      <c r="D74" s="22"/>
      <c r="E74" s="22"/>
      <c r="F74" s="22"/>
      <c r="G74" s="11"/>
      <c r="H74" s="10"/>
    </row>
    <row r="75" spans="1:8" s="17" customFormat="1" ht="14.25" x14ac:dyDescent="0.3">
      <c r="A75" s="12" t="s">
        <v>155</v>
      </c>
      <c r="B75" s="5"/>
      <c r="C75" s="26"/>
      <c r="D75" s="22" t="s">
        <v>149</v>
      </c>
      <c r="E75" s="22" t="s">
        <v>149</v>
      </c>
      <c r="F75" s="22"/>
      <c r="G75" s="11"/>
      <c r="H75" s="10"/>
    </row>
    <row r="76" spans="1:8" s="17" customFormat="1" ht="14.25" x14ac:dyDescent="0.3">
      <c r="A76" s="12"/>
      <c r="B76" s="5"/>
      <c r="C76" s="26"/>
      <c r="D76" s="22"/>
      <c r="E76" s="22"/>
      <c r="F76" s="22"/>
      <c r="G76" s="11"/>
      <c r="H76" s="10"/>
    </row>
    <row r="77" spans="1:8" s="17" customFormat="1" ht="14.25" x14ac:dyDescent="0.3">
      <c r="A77" s="12" t="s">
        <v>156</v>
      </c>
      <c r="B77" s="5"/>
      <c r="C77" s="26"/>
      <c r="D77" s="22"/>
      <c r="E77" s="22"/>
      <c r="F77" s="23"/>
      <c r="G77" s="11"/>
      <c r="H77" s="10"/>
    </row>
    <row r="78" spans="1:8" s="17" customFormat="1" ht="14.25" x14ac:dyDescent="0.3">
      <c r="A78" s="13" t="s">
        <v>157</v>
      </c>
      <c r="B78" s="14"/>
      <c r="C78" s="15">
        <v>0</v>
      </c>
      <c r="D78" s="16">
        <v>670.32490240000004</v>
      </c>
      <c r="E78" s="16">
        <f>(+D78/$D$85*100)</f>
        <v>0.7018974535157062</v>
      </c>
      <c r="F78" s="16" t="s">
        <v>158</v>
      </c>
      <c r="G78" s="11">
        <v>6.6520999999999999</v>
      </c>
      <c r="H78" s="10"/>
    </row>
    <row r="79" spans="1:8" s="17" customFormat="1" ht="14.25" x14ac:dyDescent="0.3">
      <c r="A79" s="12" t="s">
        <v>147</v>
      </c>
      <c r="B79" s="5"/>
      <c r="C79" s="26"/>
      <c r="D79" s="22">
        <f>IF(ISERROR(SUM(D78:D78)),0,SUM(D78:D78))</f>
        <v>670.32490240000004</v>
      </c>
      <c r="E79" s="22">
        <f>IF(ISERROR(SUM(E78:E78)),0,SUM(E78:E78))</f>
        <v>0.7018974535157062</v>
      </c>
      <c r="F79" s="16"/>
      <c r="G79" s="11"/>
      <c r="H79" s="10"/>
    </row>
    <row r="80" spans="1:8" s="17" customFormat="1" ht="14.25" x14ac:dyDescent="0.3">
      <c r="A80" s="12"/>
      <c r="B80" s="5"/>
      <c r="C80" s="26"/>
      <c r="D80" s="22"/>
      <c r="E80" s="22"/>
      <c r="F80" s="23"/>
      <c r="G80" s="11"/>
      <c r="H80" s="10"/>
    </row>
    <row r="81" spans="1:8" s="17" customFormat="1" ht="14.25" x14ac:dyDescent="0.3">
      <c r="A81" s="12" t="s">
        <v>150</v>
      </c>
      <c r="B81" s="5"/>
      <c r="C81" s="26" t="s">
        <v>159</v>
      </c>
      <c r="D81" s="22">
        <f>+IF(ISERROR(#REF!),0,#REF!)+IF(ISERROR(D79),0,D79)+IF(ISERROR(D64),0,D64)+IF(ISERROR(#REF!),0,#REF!)+IF(ISERROR(#REF!),0,#REF!)+IF(ISERROR(#REF!),0,#REF!)+IF(ISERROR(#REF!),0,#REF!)+IF(ISERROR(#REF!),0,#REF!)+IF(ISERROR(#REF!),0,#REF!)+IF(ISERROR(#REF!),0,#REF!)</f>
        <v>95754.999826899992</v>
      </c>
      <c r="E81" s="22">
        <f>+IF(ISERROR(#REF!),0,#REF!)+IF(ISERROR(E79),0,E79)+IF(ISERROR(E64),0,E64)+IF(ISERROR(#REF!),0,#REF!)+IF(ISERROR(#REF!),0,#REF!)+IF(ISERROR(#REF!),0,#REF!)+IF(ISERROR(#REF!),0,#REF!)+IF(ISERROR(#REF!),0,#REF!)+IF(ISERROR(#REF!),0,#REF!)+IF(ISERROR(#REF!),0,#REF!)</f>
        <v>100.26509577558843</v>
      </c>
      <c r="F81" s="22"/>
      <c r="G81" s="11"/>
      <c r="H81" s="10"/>
    </row>
    <row r="82" spans="1:8" s="17" customFormat="1" ht="14.25" x14ac:dyDescent="0.3">
      <c r="A82" s="12"/>
      <c r="B82" s="5"/>
      <c r="C82" s="26"/>
      <c r="D82" s="22"/>
      <c r="E82" s="22"/>
      <c r="F82" s="28"/>
      <c r="G82" s="29"/>
      <c r="H82" s="30"/>
    </row>
    <row r="83" spans="1:8" s="17" customFormat="1" ht="14.25" x14ac:dyDescent="0.3">
      <c r="A83" s="12" t="s">
        <v>160</v>
      </c>
      <c r="B83" s="5"/>
      <c r="C83" s="26"/>
      <c r="D83" s="22">
        <f>+D85-D81</f>
        <v>-253.17131300008623</v>
      </c>
      <c r="E83" s="22">
        <f>D83/$D$85*100</f>
        <v>-0.26509577558846231</v>
      </c>
      <c r="F83" s="28"/>
      <c r="G83" s="29"/>
      <c r="H83" s="30"/>
    </row>
    <row r="84" spans="1:8" s="17" customFormat="1" ht="14.25" x14ac:dyDescent="0.3">
      <c r="A84" s="12"/>
      <c r="B84" s="5"/>
      <c r="C84" s="26"/>
      <c r="D84" s="25"/>
      <c r="E84" s="25"/>
      <c r="F84" s="28"/>
      <c r="G84" s="29"/>
      <c r="H84" s="30"/>
    </row>
    <row r="85" spans="1:8" s="17" customFormat="1" ht="14.25" x14ac:dyDescent="0.3">
      <c r="A85" s="12" t="s">
        <v>161</v>
      </c>
      <c r="B85" s="5"/>
      <c r="C85" s="26"/>
      <c r="D85" s="22">
        <v>95501.828513899905</v>
      </c>
      <c r="E85" s="22">
        <f>+E81+E83</f>
        <v>99.999999999999972</v>
      </c>
      <c r="F85" s="28"/>
      <c r="G85" s="29"/>
      <c r="H85" s="30"/>
    </row>
    <row r="86" spans="1:8" s="17" customFormat="1" ht="14.25" x14ac:dyDescent="0.3">
      <c r="A86" s="31"/>
      <c r="B86" s="32"/>
      <c r="C86" s="33"/>
      <c r="D86" s="34"/>
      <c r="E86" s="34"/>
      <c r="F86" s="28"/>
      <c r="G86" s="29"/>
      <c r="H86" s="30"/>
    </row>
    <row r="87" spans="1:8" ht="13.5" x14ac:dyDescent="0.2">
      <c r="A87" s="55" t="s">
        <v>162</v>
      </c>
      <c r="B87" s="55"/>
      <c r="C87" s="55"/>
      <c r="D87" s="55"/>
      <c r="E87" s="55"/>
      <c r="F87" s="55"/>
      <c r="G87" s="55"/>
      <c r="H87" s="55"/>
    </row>
    <row r="88" spans="1:8" ht="28.5" customHeight="1" x14ac:dyDescent="0.2">
      <c r="A88" s="56" t="s">
        <v>163</v>
      </c>
      <c r="B88" s="56"/>
      <c r="C88" s="56"/>
      <c r="D88" s="56"/>
      <c r="E88" s="56"/>
      <c r="F88" s="56"/>
      <c r="G88" s="56"/>
      <c r="H88" s="56"/>
    </row>
    <row r="89" spans="1:8" ht="13.5" x14ac:dyDescent="0.2">
      <c r="A89" s="57" t="s">
        <v>164</v>
      </c>
      <c r="B89" s="57"/>
      <c r="C89" s="57"/>
      <c r="D89" s="57"/>
      <c r="E89" s="57"/>
      <c r="F89" s="57"/>
      <c r="G89" s="57"/>
      <c r="H89" s="57"/>
    </row>
    <row r="90" spans="1:8" ht="51.75" customHeight="1" x14ac:dyDescent="0.2">
      <c r="A90" s="51" t="s">
        <v>165</v>
      </c>
      <c r="B90" s="51"/>
      <c r="C90" s="51"/>
      <c r="D90" s="51"/>
      <c r="E90" s="51"/>
      <c r="F90" s="51"/>
      <c r="G90" s="51"/>
      <c r="H90" s="51"/>
    </row>
    <row r="91" spans="1:8" ht="14.25" x14ac:dyDescent="0.3">
      <c r="A91" s="35"/>
      <c r="B91" s="36"/>
      <c r="C91" s="37"/>
      <c r="D91" s="28"/>
      <c r="E91" s="30"/>
      <c r="F91" s="30"/>
      <c r="G91" s="28"/>
      <c r="H91" s="28"/>
    </row>
    <row r="92" spans="1:8" ht="14.25" x14ac:dyDescent="0.3">
      <c r="A92" s="38" t="s">
        <v>166</v>
      </c>
      <c r="B92" s="39"/>
      <c r="C92" s="39"/>
      <c r="D92" s="30"/>
      <c r="E92" s="30"/>
      <c r="F92" s="30"/>
      <c r="G92" s="28"/>
      <c r="H92" s="28"/>
    </row>
    <row r="93" spans="1:8" ht="14.25" x14ac:dyDescent="0.3">
      <c r="A93" s="40" t="s">
        <v>167</v>
      </c>
      <c r="B93" s="39"/>
      <c r="C93" s="30"/>
      <c r="D93" s="30"/>
      <c r="E93" s="30"/>
      <c r="F93" s="30"/>
      <c r="G93" s="30"/>
      <c r="H93" s="30"/>
    </row>
    <row r="94" spans="1:8" ht="14.25" x14ac:dyDescent="0.3">
      <c r="A94" s="41" t="s">
        <v>168</v>
      </c>
      <c r="B94" s="42"/>
      <c r="C94" s="42"/>
      <c r="D94" s="30"/>
      <c r="E94" s="30"/>
      <c r="F94" s="30"/>
      <c r="G94" s="30"/>
      <c r="H94" s="30"/>
    </row>
    <row r="95" spans="1:8" ht="14.25" x14ac:dyDescent="0.3">
      <c r="A95" s="41" t="s">
        <v>169</v>
      </c>
      <c r="B95" s="39"/>
      <c r="C95" s="39"/>
      <c r="D95" s="30"/>
      <c r="E95" s="30"/>
      <c r="F95" s="30"/>
      <c r="G95" s="30"/>
      <c r="H95" s="30"/>
    </row>
    <row r="96" spans="1:8" ht="14.25" x14ac:dyDescent="0.3">
      <c r="A96" s="41"/>
      <c r="B96" s="39"/>
      <c r="C96" s="39"/>
      <c r="D96" s="30"/>
      <c r="E96" s="30"/>
      <c r="F96" s="30"/>
      <c r="G96" s="30"/>
      <c r="H96" s="30"/>
    </row>
    <row r="97" spans="1:8" ht="14.25" x14ac:dyDescent="0.3">
      <c r="A97" s="43" t="s">
        <v>170</v>
      </c>
      <c r="B97" s="44" t="s">
        <v>171</v>
      </c>
      <c r="D97" s="46"/>
      <c r="E97" s="30"/>
      <c r="F97" s="47"/>
      <c r="G97" s="39"/>
      <c r="H97" s="30"/>
    </row>
    <row r="98" spans="1:8" ht="14.25" x14ac:dyDescent="0.3">
      <c r="A98" s="41"/>
      <c r="B98" s="39"/>
      <c r="C98" s="39"/>
      <c r="D98" s="30"/>
      <c r="E98" s="30"/>
      <c r="F98" s="39"/>
      <c r="G98" s="39"/>
      <c r="H98" s="30"/>
    </row>
    <row r="99" spans="1:8" ht="14.25" x14ac:dyDescent="0.3">
      <c r="A99" s="41"/>
      <c r="B99" s="39"/>
      <c r="C99" s="39"/>
      <c r="D99" s="30"/>
      <c r="E99" s="30"/>
      <c r="F99" s="39"/>
      <c r="G99" s="39"/>
      <c r="H99" s="30"/>
    </row>
    <row r="100" spans="1:8" ht="14.25" x14ac:dyDescent="0.3">
      <c r="A100" s="39"/>
      <c r="B100" s="39"/>
      <c r="C100" s="39"/>
      <c r="D100" s="30"/>
      <c r="E100" s="30"/>
      <c r="F100" s="39"/>
      <c r="G100" s="39"/>
      <c r="H100" s="30"/>
    </row>
    <row r="101" spans="1:8" ht="14.25" x14ac:dyDescent="0.3">
      <c r="A101" s="39"/>
      <c r="B101" s="39"/>
      <c r="C101" s="39"/>
      <c r="D101" s="30"/>
      <c r="E101" s="30"/>
      <c r="F101" s="39"/>
      <c r="G101" s="39"/>
      <c r="H101" s="30"/>
    </row>
    <row r="102" spans="1:8" ht="14.25" x14ac:dyDescent="0.3">
      <c r="A102" s="39"/>
      <c r="B102" s="39"/>
      <c r="C102" s="39"/>
      <c r="D102" s="30"/>
      <c r="E102" s="30"/>
      <c r="F102" s="39"/>
      <c r="G102" s="39"/>
      <c r="H102" s="30"/>
    </row>
    <row r="103" spans="1:8" ht="14.25" x14ac:dyDescent="0.3">
      <c r="A103" s="39"/>
      <c r="B103" s="39"/>
      <c r="C103" s="39"/>
      <c r="D103" s="30"/>
      <c r="E103" s="30"/>
      <c r="F103" s="39"/>
      <c r="G103" s="39"/>
      <c r="H103" s="30"/>
    </row>
  </sheetData>
  <mergeCells count="7">
    <mergeCell ref="A90:H90"/>
    <mergeCell ref="A1:H1"/>
    <mergeCell ref="A2:H2"/>
    <mergeCell ref="A3:H3"/>
    <mergeCell ref="A87:H87"/>
    <mergeCell ref="A88:H88"/>
    <mergeCell ref="A89:H8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2024-05-02T14:39:29Z</dcterms:created>
  <dcterms:modified xsi:type="dcterms:W3CDTF">2024-05-06T07:20:44Z</dcterms:modified>
</cp:coreProperties>
</file>