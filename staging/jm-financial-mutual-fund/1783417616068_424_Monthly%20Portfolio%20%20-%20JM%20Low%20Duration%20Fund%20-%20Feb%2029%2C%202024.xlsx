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20490" windowHeight="7770"/>
  </bookViews>
  <sheets>
    <sheet name="JM Low Duration Fund" sheetId="1" r:id="rId1"/>
  </sheets>
  <definedNames>
    <definedName name="_xlnm._FilterDatabase" localSheetId="0" hidden="1">'JM Low Duration Fund'!$A$1:$H$121</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Low Duration Fund'!$A$1:$E$44</definedName>
  </definedNames>
  <calcPr calcId="1257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5" i="1"/>
  <c r="D53"/>
  <c r="E52"/>
  <c r="E53" s="1"/>
  <c r="D50"/>
  <c r="E49"/>
  <c r="E50" s="1"/>
  <c r="D48"/>
  <c r="E47"/>
  <c r="E48" s="1"/>
  <c r="D45"/>
  <c r="E44"/>
  <c r="E43"/>
  <c r="E42"/>
  <c r="E41"/>
  <c r="E45" s="1"/>
  <c r="D37"/>
  <c r="E36"/>
  <c r="E35"/>
  <c r="E34"/>
  <c r="E37" s="1"/>
  <c r="F25"/>
  <c r="F55" s="1"/>
  <c r="D21"/>
  <c r="D25" s="1"/>
  <c r="E20"/>
  <c r="E19"/>
  <c r="E18"/>
  <c r="E17"/>
  <c r="E16"/>
  <c r="E15"/>
  <c r="E14"/>
  <c r="E13"/>
  <c r="E12"/>
  <c r="E11"/>
  <c r="E10"/>
  <c r="E9"/>
  <c r="E8"/>
  <c r="E7"/>
  <c r="E21" l="1"/>
  <c r="E25" s="1"/>
  <c r="E55" s="1"/>
  <c r="D57"/>
  <c r="E57" s="1"/>
  <c r="E59" s="1"/>
</calcChain>
</file>

<file path=xl/sharedStrings.xml><?xml version="1.0" encoding="utf-8"?>
<sst xmlns="http://schemas.openxmlformats.org/spreadsheetml/2006/main" count="142" uniqueCount="115">
  <si>
    <t>JM Financial Mutual Fund</t>
  </si>
  <si>
    <t>JM Low Duration Fund (An open ended low duration debt scheme investing in instruments such that the Macaulay duration of the portfolio is between 6 to 12 months) A relatively low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</si>
  <si>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</si>
  <si>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</si>
  <si>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</si>
  <si>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</si>
  <si>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</si>
  <si>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</si>
  <si>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</si>
  <si>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</si>
  <si>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</si>
  <si>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</si>
  <si>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NABARD</t>
  </si>
  <si>
    <t>CRISIL AAA</t>
  </si>
  <si>
    <t>INE261F08DI1</t>
  </si>
  <si>
    <t>National Housing Bank Ltd.**</t>
  </si>
  <si>
    <t>CARE AAA</t>
  </si>
  <si>
    <t>INE557F08FN7</t>
  </si>
  <si>
    <t>Larsen &amp; Toubro Ltd</t>
  </si>
  <si>
    <t>INE018A08BA7</t>
  </si>
  <si>
    <t>Power Finance Corporation Ltd.</t>
  </si>
  <si>
    <t>INE134E08GU1</t>
  </si>
  <si>
    <t>REC Ltd.**</t>
  </si>
  <si>
    <t>INE020B08898</t>
  </si>
  <si>
    <t>SIDBI Ltd**</t>
  </si>
  <si>
    <t>INE556F08KD0</t>
  </si>
  <si>
    <t>360 ONE Prime Ltd.**</t>
  </si>
  <si>
    <t>CARE AA</t>
  </si>
  <si>
    <t>INE248U07EQ0</t>
  </si>
  <si>
    <t>REC Ltd.</t>
  </si>
  <si>
    <t>INE020B08DR1</t>
  </si>
  <si>
    <t>Mahindra Rural Housing Finance Ltd**</t>
  </si>
  <si>
    <t>IND AA+</t>
  </si>
  <si>
    <t>INE950O08253</t>
  </si>
  <si>
    <t>Export-Import Bank of India**</t>
  </si>
  <si>
    <t>INE514E08CH0</t>
  </si>
  <si>
    <t>Sikka Ports &amp; Terminals Ltd.**</t>
  </si>
  <si>
    <t>INE941D07208</t>
  </si>
  <si>
    <t>Power Finance Corporation Ltd.**</t>
  </si>
  <si>
    <t>INE134E08GY3</t>
  </si>
  <si>
    <t>NTPC Ltd.**</t>
  </si>
  <si>
    <t>INE733E08163</t>
  </si>
  <si>
    <t>Britannia Industries Ltd.**</t>
  </si>
  <si>
    <t>INE216A08027</t>
  </si>
  <si>
    <t>Sub Total:</t>
  </si>
  <si>
    <t>b) Privately Placed / Unlisted</t>
  </si>
  <si>
    <t>NIL</t>
  </si>
  <si>
    <t>Total:</t>
  </si>
  <si>
    <t>TERM DEPOSITS</t>
  </si>
  <si>
    <t>Deposits (Maturity not exceeding 91 days)</t>
  </si>
  <si>
    <t>Deposits (Placed as F &amp; O margin)</t>
  </si>
  <si>
    <t>GOVERNMENT SECURITIES</t>
  </si>
  <si>
    <t>8.06% Maharashtra SDL 2025 11/02/25</t>
  </si>
  <si>
    <t>Sovereign</t>
  </si>
  <si>
    <t>IN2220140205</t>
  </si>
  <si>
    <t>6.69% Government of India Securities 2024 27/06/2024</t>
  </si>
  <si>
    <t>IN0020220052</t>
  </si>
  <si>
    <t>5.63% Government of India Securities 2026 12/04/2026</t>
  </si>
  <si>
    <t>IN0020210012</t>
  </si>
  <si>
    <t>MONEY MARKET INSTRUMENTS</t>
  </si>
  <si>
    <t>Certificate of Deposit (CD) / Commercial Paper (CP)</t>
  </si>
  <si>
    <t>Bank of Baroda CD</t>
  </si>
  <si>
    <t>IND A1+</t>
  </si>
  <si>
    <t>INE028A16EJ4</t>
  </si>
  <si>
    <t>AXIS Bank Ltd.CD**</t>
  </si>
  <si>
    <t>CRISIL A1+</t>
  </si>
  <si>
    <t>INE238AD6561</t>
  </si>
  <si>
    <t>Shriram Finance Ltd.CP**</t>
  </si>
  <si>
    <t>CARE A1+</t>
  </si>
  <si>
    <t>INE721A14DJ1</t>
  </si>
  <si>
    <t>State Bank of India CD**</t>
  </si>
  <si>
    <t>INE062A16481</t>
  </si>
  <si>
    <t>Treasury Bills</t>
  </si>
  <si>
    <t>182 Days Treasury-Bill 07/03/2024</t>
  </si>
  <si>
    <t>IN002023Y243</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</si>
  <si>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</si>
  <si>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</si>
  <si>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</si>
  <si>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</si>
  <si>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</si>
  <si>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</si>
  <si>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</si>
  <si>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</si>
  <si>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</si>
  <si>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</si>
  <si>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</si>
  <si>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</si>
  <si>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</si>
  <si>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</si>
  <si>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</si>
  <si>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</si>
  <si>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</si>
  <si>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</si>
  <si>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</si>
  <si>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</si>
  <si>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</si>
  <si>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</si>
  <si>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</si>
  <si>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</si>
  <si>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</si>
  <si>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</si>
  <si>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</si>
  <si>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</si>
  <si>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</si>
  <si>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</si>
  <si>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</si>
  <si>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</si>
  <si>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</si>
  <si>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</si>
  <si>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t>
  </si>
  <si>
    <t>Residual Maturity</t>
  </si>
  <si>
    <t xml:space="preserve">As on (Date) </t>
  </si>
  <si>
    <t>29.02.2024</t>
  </si>
  <si>
    <t xml:space="preserve">* in case of semi annual YTM,  it will be annualised </t>
  </si>
  <si>
    <t>Monthly Portfolio Statement for the period ended 29.02.2024</t>
  </si>
</sst>
</file>

<file path=xl/styles.xml><?xml version="1.0" encoding="utf-8"?>
<styleSheet xmlns="http://schemas.openxmlformats.org/spreadsheetml/2006/main">
  <numFmts count="3">
    <numFmt numFmtId="43" formatCode="_(* #,##0.00_);_(* \(#,##0.00\);_(* &quot;-&quot;??_);_(@_)"/>
    <numFmt numFmtId="164" formatCode="_(* #,##0_);_(* \(#,##0\);_(* &quot;-&quot;??_);_(@_)"/>
    <numFmt numFmtId="165" formatCode="0.0000"/>
  </numFmts>
  <fonts count="1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43" fontId="1" fillId="0" borderId="0" applyFont="0" applyFill="0" applyBorder="0" applyAlignment="0" applyProtection="0"/>
  </cellStyleXfs>
  <cellXfs count="74">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4" fontId="4" fillId="0" borderId="3" xfId="1" applyNumberFormat="1" applyFont="1" applyFill="1" applyBorder="1"/>
    <xf numFmtId="43" fontId="4" fillId="0" borderId="3" xfId="1" applyFont="1" applyFill="1" applyBorder="1" applyAlignment="1">
      <alignment horizontal="right"/>
    </xf>
    <xf numFmtId="0" fontId="5" fillId="0" borderId="3" xfId="3" applyFont="1" applyFill="1" applyBorder="1" applyAlignment="1">
      <alignment horizontal="right"/>
    </xf>
    <xf numFmtId="165" fontId="5" fillId="0" borderId="3" xfId="3" applyNumberFormat="1" applyFont="1" applyFill="1" applyBorder="1"/>
    <xf numFmtId="0" fontId="5" fillId="0" borderId="3" xfId="3" applyFont="1" applyBorder="1"/>
    <xf numFmtId="0" fontId="3" fillId="0" borderId="0" xfId="3" applyFont="1" applyFill="1"/>
    <xf numFmtId="43"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4" fontId="5" fillId="0" borderId="3" xfId="1" applyNumberFormat="1" applyFont="1" applyFill="1" applyBorder="1"/>
    <xf numFmtId="43" fontId="5" fillId="0" borderId="3" xfId="1" applyFont="1" applyFill="1" applyBorder="1"/>
    <xf numFmtId="164" fontId="4" fillId="0" borderId="3" xfId="1" applyNumberFormat="1" applyFont="1" applyFill="1" applyBorder="1" applyAlignment="1">
      <alignment horizontal="right"/>
    </xf>
    <xf numFmtId="43" fontId="5" fillId="0" borderId="4" xfId="1" applyFont="1" applyFill="1" applyBorder="1"/>
    <xf numFmtId="4" fontId="4" fillId="0" borderId="3" xfId="1" applyNumberFormat="1" applyFont="1" applyFill="1" applyBorder="1" applyAlignment="1">
      <alignment horizontal="right"/>
    </xf>
    <xf numFmtId="0" fontId="5" fillId="0" borderId="3" xfId="3" applyFont="1" applyFill="1" applyBorder="1" applyAlignment="1">
      <alignment horizontal="left" wrapText="1"/>
    </xf>
    <xf numFmtId="164"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4" fontId="4" fillId="0" borderId="0" xfId="1" applyNumberFormat="1" applyFont="1" applyFill="1" applyBorder="1" applyAlignment="1">
      <alignment horizontal="right"/>
    </xf>
    <xf numFmtId="43"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7" fillId="0" borderId="0" xfId="6" applyFont="1" applyBorder="1"/>
    <xf numFmtId="0" fontId="8" fillId="0" borderId="0" xfId="7" applyFont="1" applyBorder="1" applyAlignment="1">
      <alignment horizontal="left" vertical="top" wrapText="1"/>
    </xf>
    <xf numFmtId="0" fontId="9" fillId="0" borderId="0" xfId="7" applyFont="1" applyBorder="1"/>
    <xf numFmtId="0" fontId="10" fillId="0" borderId="0" xfId="3" applyFont="1" applyFill="1" applyBorder="1" applyAlignment="1">
      <alignment horizontal="left" wrapText="1"/>
    </xf>
    <xf numFmtId="0" fontId="7" fillId="0" borderId="0" xfId="7" applyFont="1" applyBorder="1"/>
    <xf numFmtId="0" fontId="5" fillId="0" borderId="0" xfId="3" applyFont="1" applyAlignment="1">
      <alignment wrapText="1"/>
    </xf>
    <xf numFmtId="0" fontId="5" fillId="0" borderId="0" xfId="3" applyFont="1" applyAlignment="1">
      <alignment horizontal="left" wrapText="1"/>
    </xf>
    <xf numFmtId="164" fontId="5" fillId="0" borderId="0" xfId="1" applyNumberFormat="1" applyFont="1"/>
    <xf numFmtId="0" fontId="9" fillId="0" borderId="0" xfId="6" applyFont="1" applyAlignment="1">
      <alignment horizontal="center"/>
    </xf>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4" fontId="5" fillId="0" borderId="0" xfId="8" applyNumberFormat="1" applyFont="1"/>
    <xf numFmtId="10" fontId="5" fillId="0" borderId="3" xfId="2" applyNumberFormat="1" applyFont="1" applyBorder="1" applyAlignment="1">
      <alignment horizontal="center" wrapText="1"/>
    </xf>
    <xf numFmtId="165" fontId="5" fillId="0" borderId="3" xfId="3" applyNumberFormat="1" applyFont="1" applyBorder="1" applyAlignment="1">
      <alignment horizontal="center" wrapText="1"/>
    </xf>
    <xf numFmtId="0" fontId="5" fillId="0" borderId="3" xfId="3" applyFont="1" applyFill="1" applyBorder="1" applyAlignment="1">
      <alignment horizontal="center" wrapText="1"/>
    </xf>
    <xf numFmtId="0" fontId="3" fillId="0" borderId="0" xfId="3" applyFont="1" applyAlignment="1">
      <alignment wrapText="1"/>
    </xf>
    <xf numFmtId="0" fontId="3" fillId="0" borderId="0" xfId="3" applyFont="1" applyAlignment="1">
      <alignment horizontal="left" wrapText="1"/>
    </xf>
    <xf numFmtId="164" fontId="3" fillId="0" borderId="0" xfId="1" applyNumberFormat="1" applyFont="1"/>
    <xf numFmtId="0" fontId="4" fillId="0" borderId="3" xfId="3" applyFont="1" applyFill="1" applyBorder="1" applyAlignment="1">
      <alignment horizontal="center" vertical="top" wrapText="1"/>
    </xf>
    <xf numFmtId="164" fontId="4" fillId="0" borderId="3" xfId="1" applyNumberFormat="1" applyFont="1" applyFill="1" applyBorder="1" applyAlignment="1">
      <alignment horizontal="center" vertical="top"/>
    </xf>
    <xf numFmtId="0" fontId="5" fillId="0" borderId="4" xfId="3" applyFont="1" applyBorder="1" applyAlignment="1">
      <alignment horizontal="center" wrapText="1"/>
    </xf>
    <xf numFmtId="0" fontId="5" fillId="0" borderId="11" xfId="3" applyFont="1" applyBorder="1" applyAlignment="1">
      <alignment horizontal="center" wrapText="1"/>
    </xf>
    <xf numFmtId="0" fontId="8" fillId="0" borderId="0" xfId="7"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vertical="center" wrapText="1"/>
    </xf>
    <xf numFmtId="0" fontId="9" fillId="0" borderId="8" xfId="3" applyFont="1" applyBorder="1" applyAlignment="1">
      <alignment vertical="center"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7" fillId="0" borderId="0" xfId="7" applyFont="1" applyBorder="1" applyAlignment="1">
      <alignment horizontal="left" vertical="top"/>
    </xf>
    <xf numFmtId="0" fontId="7" fillId="0" borderId="0" xfId="7" applyFont="1" applyBorder="1" applyAlignment="1">
      <alignment horizontal="left" vertical="top" wrapText="1"/>
    </xf>
  </cellXfs>
  <cellStyles count="9">
    <cellStyle name="Comma" xfId="1" builtinId="3"/>
    <cellStyle name="Comma 3" xfId="8"/>
    <cellStyle name="Normal" xfId="0" builtinId="0"/>
    <cellStyle name="Normal 2 2" xfId="3"/>
    <cellStyle name="Normal 2 2 2" xfId="4"/>
    <cellStyle name="Normal 2 2_Template Portfolio Disclosure -28.02 2024" xfId="5"/>
    <cellStyle name="Normal 4_IF" xfId="6"/>
    <cellStyle name="Normal 4_LD" xfId="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752475</xdr:colOff>
      <xdr:row>73</xdr:row>
      <xdr:rowOff>47625</xdr:rowOff>
    </xdr:from>
    <xdr:to>
      <xdr:col>0</xdr:col>
      <xdr:colOff>2705100</xdr:colOff>
      <xdr:row>79</xdr:row>
      <xdr:rowOff>19050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752475" y="14125575"/>
          <a:ext cx="1952625" cy="10572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1</xdr:col>
      <xdr:colOff>504825</xdr:colOff>
      <xdr:row>73</xdr:row>
      <xdr:rowOff>57150</xdr:rowOff>
    </xdr:from>
    <xdr:to>
      <xdr:col>3</xdr:col>
      <xdr:colOff>514350</xdr:colOff>
      <xdr:row>79</xdr:row>
      <xdr:rowOff>28575</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3724275" y="14135100"/>
          <a:ext cx="1914525" cy="10572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indexed="11"/>
    <pageSetUpPr fitToPage="1"/>
  </sheetPr>
  <dimension ref="A1:H121"/>
  <sheetViews>
    <sheetView tabSelected="1" zoomScaleNormal="85" workbookViewId="0">
      <selection activeCell="A4" sqref="A4"/>
    </sheetView>
  </sheetViews>
  <sheetFormatPr defaultRowHeight="12.75"/>
  <cols>
    <col min="1" max="1" width="48.28515625" style="55" customWidth="1"/>
    <col min="2" max="2" width="17.140625" style="56" customWidth="1"/>
    <col min="3" max="3" width="11.42578125" style="57" customWidth="1"/>
    <col min="4" max="4" width="13.5703125" style="1" customWidth="1"/>
    <col min="5" max="5" width="11.85546875" style="1" customWidth="1"/>
    <col min="6" max="6" width="16.28515625" style="1" customWidth="1"/>
    <col min="7" max="7" width="9.5703125" style="1" bestFit="1" customWidth="1"/>
    <col min="8" max="8" width="12.28515625" style="1" customWidth="1"/>
    <col min="9" max="16384" width="9.140625" style="1"/>
  </cols>
  <sheetData>
    <row r="1" spans="1:8">
      <c r="A1" s="69" t="s">
        <v>0</v>
      </c>
      <c r="B1" s="69"/>
      <c r="C1" s="69"/>
      <c r="D1" s="69"/>
      <c r="E1" s="69"/>
      <c r="F1" s="69"/>
      <c r="G1" s="69"/>
      <c r="H1" s="69"/>
    </row>
    <row r="2" spans="1:8" ht="26.25" customHeight="1">
      <c r="A2" s="70" t="s">
        <v>1</v>
      </c>
      <c r="B2" s="70"/>
      <c r="C2" s="70"/>
      <c r="D2" s="70"/>
      <c r="E2" s="70"/>
      <c r="F2" s="70"/>
      <c r="G2" s="70"/>
      <c r="H2" s="70"/>
    </row>
    <row r="3" spans="1:8" ht="12.75" customHeight="1">
      <c r="A3" s="71" t="s">
        <v>114</v>
      </c>
      <c r="B3" s="71"/>
      <c r="C3" s="71"/>
      <c r="D3" s="71"/>
      <c r="E3" s="71"/>
      <c r="F3" s="71"/>
      <c r="G3" s="71"/>
      <c r="H3" s="71"/>
    </row>
    <row r="4" spans="1:8" s="2" customFormat="1" ht="25.5">
      <c r="A4" s="58" t="s">
        <v>2</v>
      </c>
      <c r="B4" s="58" t="s">
        <v>3</v>
      </c>
      <c r="C4" s="59" t="s">
        <v>4</v>
      </c>
      <c r="D4" s="58" t="s">
        <v>5</v>
      </c>
      <c r="E4" s="58" t="s">
        <v>6</v>
      </c>
      <c r="F4" s="58" t="s">
        <v>7</v>
      </c>
      <c r="G4" s="58" t="s">
        <v>8</v>
      </c>
      <c r="H4" s="58" t="s">
        <v>9</v>
      </c>
    </row>
    <row r="5" spans="1:8" s="10" customFormat="1" ht="14.25">
      <c r="A5" s="3" t="s">
        <v>10</v>
      </c>
      <c r="B5" s="4"/>
      <c r="C5" s="5"/>
      <c r="D5" s="6"/>
      <c r="E5" s="6"/>
      <c r="F5" s="7"/>
      <c r="G5" s="8"/>
      <c r="H5" s="9"/>
    </row>
    <row r="6" spans="1:8" s="10" customFormat="1" ht="14.25">
      <c r="A6" s="3" t="s">
        <v>11</v>
      </c>
      <c r="B6" s="4"/>
      <c r="C6" s="5"/>
      <c r="D6" s="11"/>
      <c r="E6" s="11"/>
      <c r="F6" s="11"/>
      <c r="G6" s="8"/>
      <c r="H6" s="9"/>
    </row>
    <row r="7" spans="1:8" s="10" customFormat="1" ht="14.25">
      <c r="A7" s="12" t="s">
        <v>12</v>
      </c>
      <c r="B7" s="13" t="s">
        <v>13</v>
      </c>
      <c r="C7" s="14">
        <v>250</v>
      </c>
      <c r="D7" s="15">
        <v>2442.77</v>
      </c>
      <c r="E7" s="15">
        <f t="shared" ref="E7:E20" si="0">(+D7/$D$59*100)</f>
        <v>9.8054858226293256</v>
      </c>
      <c r="F7" s="15" t="s">
        <v>14</v>
      </c>
      <c r="G7" s="8">
        <v>7.87</v>
      </c>
      <c r="H7" s="9"/>
    </row>
    <row r="8" spans="1:8" s="10" customFormat="1" ht="14.25">
      <c r="A8" s="12" t="s">
        <v>15</v>
      </c>
      <c r="B8" s="13" t="s">
        <v>16</v>
      </c>
      <c r="C8" s="14">
        <v>200</v>
      </c>
      <c r="D8" s="15">
        <v>1990.2919999999999</v>
      </c>
      <c r="E8" s="15">
        <f t="shared" si="0"/>
        <v>7.9892007798084004</v>
      </c>
      <c r="F8" s="15" t="s">
        <v>17</v>
      </c>
      <c r="G8" s="8">
        <v>7.6950000000000003</v>
      </c>
      <c r="H8" s="9"/>
    </row>
    <row r="9" spans="1:8" s="10" customFormat="1" ht="14.25">
      <c r="A9" s="12" t="s">
        <v>18</v>
      </c>
      <c r="B9" s="13" t="s">
        <v>13</v>
      </c>
      <c r="C9" s="14">
        <v>150</v>
      </c>
      <c r="D9" s="15">
        <v>1497.3315</v>
      </c>
      <c r="E9" s="15">
        <f t="shared" si="0"/>
        <v>6.0104155507994212</v>
      </c>
      <c r="F9" s="15" t="s">
        <v>19</v>
      </c>
      <c r="G9" s="8">
        <v>7.83</v>
      </c>
      <c r="H9" s="9"/>
    </row>
    <row r="10" spans="1:8" s="10" customFormat="1" ht="14.25">
      <c r="A10" s="12" t="s">
        <v>20</v>
      </c>
      <c r="B10" s="13" t="s">
        <v>13</v>
      </c>
      <c r="C10" s="14">
        <v>100</v>
      </c>
      <c r="D10" s="15">
        <v>1003.492</v>
      </c>
      <c r="E10" s="15">
        <f t="shared" si="0"/>
        <v>4.0281019412887611</v>
      </c>
      <c r="F10" s="15" t="s">
        <v>21</v>
      </c>
      <c r="G10" s="8">
        <v>7.85</v>
      </c>
      <c r="H10" s="9"/>
    </row>
    <row r="11" spans="1:8" s="10" customFormat="1" ht="14.25">
      <c r="A11" s="12" t="s">
        <v>22</v>
      </c>
      <c r="B11" s="13" t="s">
        <v>16</v>
      </c>
      <c r="C11" s="14">
        <v>100</v>
      </c>
      <c r="D11" s="15">
        <v>1003.329</v>
      </c>
      <c r="E11" s="15">
        <f t="shared" si="0"/>
        <v>4.0274476454733188</v>
      </c>
      <c r="F11" s="15" t="s">
        <v>23</v>
      </c>
      <c r="G11" s="8">
        <v>7.8449999999999998</v>
      </c>
      <c r="H11" s="9"/>
    </row>
    <row r="12" spans="1:8" s="10" customFormat="1" ht="14.25">
      <c r="A12" s="12" t="s">
        <v>24</v>
      </c>
      <c r="B12" s="13" t="s">
        <v>16</v>
      </c>
      <c r="C12" s="14">
        <v>100</v>
      </c>
      <c r="D12" s="15">
        <v>998.80499999999995</v>
      </c>
      <c r="E12" s="15">
        <f t="shared" si="0"/>
        <v>4.0092879260312202</v>
      </c>
      <c r="F12" s="15" t="s">
        <v>25</v>
      </c>
      <c r="G12" s="8">
        <v>7.79</v>
      </c>
      <c r="H12" s="9"/>
    </row>
    <row r="13" spans="1:8" s="10" customFormat="1" ht="14.25">
      <c r="A13" s="12" t="s">
        <v>26</v>
      </c>
      <c r="B13" s="13" t="s">
        <v>27</v>
      </c>
      <c r="C13" s="14">
        <v>100000</v>
      </c>
      <c r="D13" s="15">
        <v>997.47799999999995</v>
      </c>
      <c r="E13" s="15">
        <f t="shared" si="0"/>
        <v>4.0039612355582612</v>
      </c>
      <c r="F13" s="15" t="s">
        <v>28</v>
      </c>
      <c r="G13" s="8">
        <v>9.5367999999999995</v>
      </c>
      <c r="H13" s="9"/>
    </row>
    <row r="14" spans="1:8" s="10" customFormat="1" ht="14.25">
      <c r="A14" s="12" t="s">
        <v>29</v>
      </c>
      <c r="B14" s="13" t="s">
        <v>16</v>
      </c>
      <c r="C14" s="14">
        <v>100</v>
      </c>
      <c r="D14" s="15">
        <v>992.97299999999996</v>
      </c>
      <c r="E14" s="15">
        <f t="shared" si="0"/>
        <v>3.985877783726552</v>
      </c>
      <c r="F14" s="15" t="s">
        <v>30</v>
      </c>
      <c r="G14" s="8">
        <v>7.7999000000000001</v>
      </c>
      <c r="H14" s="9"/>
    </row>
    <row r="15" spans="1:8" s="10" customFormat="1" ht="14.25">
      <c r="A15" s="12" t="s">
        <v>31</v>
      </c>
      <c r="B15" s="13" t="s">
        <v>32</v>
      </c>
      <c r="C15" s="14">
        <v>100</v>
      </c>
      <c r="D15" s="15">
        <v>992.59699999999998</v>
      </c>
      <c r="E15" s="15">
        <f t="shared" si="0"/>
        <v>3.9843684878578007</v>
      </c>
      <c r="F15" s="15" t="s">
        <v>33</v>
      </c>
      <c r="G15" s="8">
        <v>8.16</v>
      </c>
      <c r="H15" s="9"/>
    </row>
    <row r="16" spans="1:8" s="10" customFormat="1" ht="14.25">
      <c r="A16" s="12" t="s">
        <v>34</v>
      </c>
      <c r="B16" s="13" t="s">
        <v>13</v>
      </c>
      <c r="C16" s="14">
        <v>80</v>
      </c>
      <c r="D16" s="15">
        <v>809.4248</v>
      </c>
      <c r="E16" s="15">
        <f t="shared" si="0"/>
        <v>3.2490997518737244</v>
      </c>
      <c r="F16" s="15" t="s">
        <v>35</v>
      </c>
      <c r="G16" s="8">
        <v>7.6299000000000001</v>
      </c>
      <c r="H16" s="9"/>
    </row>
    <row r="17" spans="1:8" s="10" customFormat="1" ht="14.25">
      <c r="A17" s="12" t="s">
        <v>36</v>
      </c>
      <c r="B17" s="13" t="s">
        <v>16</v>
      </c>
      <c r="C17" s="14">
        <v>70</v>
      </c>
      <c r="D17" s="15">
        <v>685.05499999999995</v>
      </c>
      <c r="E17" s="15">
        <f t="shared" si="0"/>
        <v>2.7498688334232577</v>
      </c>
      <c r="F17" s="15" t="s">
        <v>37</v>
      </c>
      <c r="G17" s="8">
        <v>7.8550000000000004</v>
      </c>
      <c r="H17" s="9"/>
    </row>
    <row r="18" spans="1:8" s="10" customFormat="1" ht="14.25">
      <c r="A18" s="12" t="s">
        <v>38</v>
      </c>
      <c r="B18" s="13" t="s">
        <v>16</v>
      </c>
      <c r="C18" s="14">
        <v>50</v>
      </c>
      <c r="D18" s="15">
        <v>501.71850000000001</v>
      </c>
      <c r="E18" s="15">
        <f t="shared" si="0"/>
        <v>2.0139405833135542</v>
      </c>
      <c r="F18" s="15" t="s">
        <v>39</v>
      </c>
      <c r="G18" s="8">
        <v>7.83</v>
      </c>
      <c r="H18" s="9"/>
    </row>
    <row r="19" spans="1:8" s="10" customFormat="1" ht="14.25">
      <c r="A19" s="12" t="s">
        <v>40</v>
      </c>
      <c r="B19" s="13" t="s">
        <v>16</v>
      </c>
      <c r="C19" s="14">
        <v>50</v>
      </c>
      <c r="D19" s="15">
        <v>482.86799999999999</v>
      </c>
      <c r="E19" s="15">
        <f t="shared" si="0"/>
        <v>1.9382730785957651</v>
      </c>
      <c r="F19" s="15" t="s">
        <v>41</v>
      </c>
      <c r="G19" s="8">
        <v>7.7450000000000001</v>
      </c>
      <c r="H19" s="9"/>
    </row>
    <row r="20" spans="1:8" s="10" customFormat="1" ht="14.25">
      <c r="A20" s="12" t="s">
        <v>42</v>
      </c>
      <c r="B20" s="13" t="s">
        <v>13</v>
      </c>
      <c r="C20" s="14">
        <v>725000</v>
      </c>
      <c r="D20" s="15">
        <v>208.63977499999999</v>
      </c>
      <c r="E20" s="15">
        <f t="shared" si="0"/>
        <v>0.83749774059738413</v>
      </c>
      <c r="F20" s="15" t="s">
        <v>43</v>
      </c>
      <c r="G20" s="8">
        <v>8.2097999999999995</v>
      </c>
      <c r="H20" s="9"/>
    </row>
    <row r="21" spans="1:8" s="10" customFormat="1" ht="14.25">
      <c r="A21" s="3" t="s">
        <v>44</v>
      </c>
      <c r="B21" s="4"/>
      <c r="C21" s="16"/>
      <c r="D21" s="6">
        <f>IF(ISERROR(SUM(D7:D20)),0,SUM(D7:D20))</f>
        <v>14606.773575000001</v>
      </c>
      <c r="E21" s="6">
        <f>IF(ISERROR(SUM(E7:E20)),0,SUM(E7:E20))</f>
        <v>58.632827160976746</v>
      </c>
      <c r="F21" s="6"/>
      <c r="G21" s="8"/>
      <c r="H21" s="9"/>
    </row>
    <row r="22" spans="1:8" s="10" customFormat="1" ht="14.25">
      <c r="A22" s="3"/>
      <c r="B22" s="4"/>
      <c r="C22" s="16"/>
      <c r="D22" s="11"/>
      <c r="E22" s="11"/>
      <c r="F22" s="11"/>
      <c r="G22" s="8"/>
      <c r="H22" s="9"/>
    </row>
    <row r="23" spans="1:8" s="10" customFormat="1" ht="14.25">
      <c r="A23" s="3" t="s">
        <v>45</v>
      </c>
      <c r="B23" s="4"/>
      <c r="C23" s="16"/>
      <c r="D23" s="6" t="s">
        <v>46</v>
      </c>
      <c r="E23" s="6" t="s">
        <v>46</v>
      </c>
      <c r="F23" s="7"/>
      <c r="G23" s="8"/>
      <c r="H23" s="9"/>
    </row>
    <row r="24" spans="1:8" s="10" customFormat="1" ht="14.25">
      <c r="A24" s="3"/>
      <c r="B24" s="4"/>
      <c r="C24" s="16"/>
      <c r="D24" s="11"/>
      <c r="E24" s="11"/>
      <c r="F24" s="11"/>
      <c r="G24" s="8"/>
      <c r="H24" s="9"/>
    </row>
    <row r="25" spans="1:8" s="10" customFormat="1" ht="14.25">
      <c r="A25" s="3" t="s">
        <v>47</v>
      </c>
      <c r="B25" s="4"/>
      <c r="C25" s="16"/>
      <c r="D25" s="6">
        <f>IF(ISERROR(+D21),0,D21)+IF(ISERROR(+#REF!),0,#REF!)+IF(ISERROR(+#REF!),0,#REF!)</f>
        <v>14606.773575000001</v>
      </c>
      <c r="E25" s="6">
        <f>IF(ISERROR(+E21),0,E21)+IF(ISERROR(+#REF!),0,#REF!)+IF(ISERROR(+#REF!),0,#REF!)</f>
        <v>58.632827160976746</v>
      </c>
      <c r="F25" s="6">
        <f>IF(ISERROR(+F21),0,F21)+IF(ISERROR(+#REF!),0,#REF!)+IF(ISERROR(+#REF!),0,#REF!)</f>
        <v>0</v>
      </c>
      <c r="G25" s="8"/>
      <c r="H25" s="9"/>
    </row>
    <row r="26" spans="1:8" s="10" customFormat="1" ht="14.25">
      <c r="A26" s="3"/>
      <c r="B26" s="4"/>
      <c r="C26" s="16"/>
      <c r="D26" s="6"/>
      <c r="E26" s="6"/>
      <c r="F26" s="6"/>
      <c r="G26" s="8"/>
      <c r="H26" s="9"/>
    </row>
    <row r="27" spans="1:8" s="10" customFormat="1" ht="14.25">
      <c r="A27" s="3" t="s">
        <v>48</v>
      </c>
      <c r="B27" s="4"/>
      <c r="C27" s="16"/>
      <c r="D27" s="6"/>
      <c r="E27" s="6"/>
      <c r="F27" s="6"/>
      <c r="G27" s="8"/>
      <c r="H27" s="9"/>
    </row>
    <row r="28" spans="1:8" s="10" customFormat="1" ht="14.25">
      <c r="A28" s="3"/>
      <c r="B28" s="4"/>
      <c r="C28" s="16"/>
      <c r="D28" s="15"/>
      <c r="E28" s="15"/>
      <c r="F28" s="17"/>
      <c r="G28" s="8"/>
      <c r="H28" s="9"/>
    </row>
    <row r="29" spans="1:8" s="10" customFormat="1" ht="14.25">
      <c r="A29" s="3" t="s">
        <v>49</v>
      </c>
      <c r="B29" s="4"/>
      <c r="C29" s="16"/>
      <c r="D29" s="6" t="s">
        <v>46</v>
      </c>
      <c r="E29" s="6" t="s">
        <v>46</v>
      </c>
      <c r="F29" s="6"/>
      <c r="G29" s="8"/>
      <c r="H29" s="9"/>
    </row>
    <row r="30" spans="1:8" s="10" customFormat="1" ht="14.25">
      <c r="A30" s="3"/>
      <c r="B30" s="4"/>
      <c r="C30" s="16"/>
      <c r="D30" s="6"/>
      <c r="E30" s="6"/>
      <c r="F30" s="6"/>
      <c r="G30" s="8"/>
      <c r="H30" s="9"/>
    </row>
    <row r="31" spans="1:8" s="10" customFormat="1" ht="14.25">
      <c r="A31" s="3" t="s">
        <v>50</v>
      </c>
      <c r="B31" s="4"/>
      <c r="C31" s="16"/>
      <c r="D31" s="6" t="s">
        <v>46</v>
      </c>
      <c r="E31" s="6" t="s">
        <v>46</v>
      </c>
      <c r="F31" s="6"/>
      <c r="G31" s="8"/>
      <c r="H31" s="9"/>
    </row>
    <row r="32" spans="1:8" s="10" customFormat="1" ht="14.25">
      <c r="A32" s="3"/>
      <c r="B32" s="4"/>
      <c r="C32" s="16"/>
      <c r="D32" s="6"/>
      <c r="E32" s="6"/>
      <c r="F32" s="6"/>
      <c r="G32" s="8"/>
      <c r="H32" s="9"/>
    </row>
    <row r="33" spans="1:8" s="10" customFormat="1" ht="14.25">
      <c r="A33" s="3" t="s">
        <v>51</v>
      </c>
      <c r="B33" s="4"/>
      <c r="C33" s="16"/>
      <c r="D33" s="6"/>
      <c r="E33" s="6"/>
      <c r="F33" s="6"/>
      <c r="G33" s="8"/>
      <c r="H33" s="9"/>
    </row>
    <row r="34" spans="1:8" s="10" customFormat="1" ht="14.25">
      <c r="A34" s="12" t="s">
        <v>52</v>
      </c>
      <c r="B34" s="13" t="s">
        <v>53</v>
      </c>
      <c r="C34" s="14">
        <v>500000</v>
      </c>
      <c r="D34" s="15">
        <v>503.779</v>
      </c>
      <c r="E34" s="15">
        <f>(+D34/$D$59*100)</f>
        <v>2.0222116049560044</v>
      </c>
      <c r="F34" s="15" t="s">
        <v>54</v>
      </c>
      <c r="G34" s="8">
        <v>7.21</v>
      </c>
      <c r="H34" s="9"/>
    </row>
    <row r="35" spans="1:8" s="10" customFormat="1" ht="14.25">
      <c r="A35" s="12" t="s">
        <v>55</v>
      </c>
      <c r="B35" s="13" t="s">
        <v>53</v>
      </c>
      <c r="C35" s="14">
        <v>500000</v>
      </c>
      <c r="D35" s="15">
        <v>499.27600000000001</v>
      </c>
      <c r="E35" s="15">
        <f>(+D35/$D$59*100)</f>
        <v>2.0041361812938097</v>
      </c>
      <c r="F35" s="15" t="s">
        <v>56</v>
      </c>
      <c r="G35" s="8">
        <v>7.0423</v>
      </c>
      <c r="H35" s="9"/>
    </row>
    <row r="36" spans="1:8" s="10" customFormat="1" ht="14.25">
      <c r="A36" s="12" t="s">
        <v>57</v>
      </c>
      <c r="B36" s="13" t="s">
        <v>53</v>
      </c>
      <c r="C36" s="14">
        <v>300000</v>
      </c>
      <c r="D36" s="15">
        <v>291.9468</v>
      </c>
      <c r="E36" s="15">
        <f>(+D36/$D$59*100)</f>
        <v>1.1718991998272448</v>
      </c>
      <c r="F36" s="15" t="s">
        <v>58</v>
      </c>
      <c r="G36" s="8">
        <v>7.0141</v>
      </c>
      <c r="H36" s="9"/>
    </row>
    <row r="37" spans="1:8" s="10" customFormat="1" ht="14.25">
      <c r="A37" s="3" t="s">
        <v>44</v>
      </c>
      <c r="B37" s="4"/>
      <c r="C37" s="16"/>
      <c r="D37" s="6">
        <f>IF(ISERROR(SUM(D34:D36)),0,SUM(D34:D36))</f>
        <v>1295.0018</v>
      </c>
      <c r="E37" s="6">
        <f>IF(ISERROR(SUM(E34:E36)),0,SUM(E34:E36))</f>
        <v>5.1982469860770593</v>
      </c>
      <c r="F37" s="18"/>
      <c r="G37" s="8"/>
      <c r="H37" s="9"/>
    </row>
    <row r="38" spans="1:8" s="10" customFormat="1" ht="14.25">
      <c r="A38" s="3"/>
      <c r="B38" s="4"/>
      <c r="C38" s="16"/>
      <c r="D38" s="6"/>
      <c r="E38" s="6"/>
      <c r="F38" s="6"/>
      <c r="G38" s="8"/>
      <c r="H38" s="9"/>
    </row>
    <row r="39" spans="1:8" s="10" customFormat="1" ht="14.25">
      <c r="A39" s="3" t="s">
        <v>59</v>
      </c>
      <c r="B39" s="4"/>
      <c r="C39" s="16"/>
      <c r="D39" s="6"/>
      <c r="E39" s="6"/>
      <c r="F39" s="7"/>
      <c r="G39" s="8"/>
      <c r="H39" s="9"/>
    </row>
    <row r="40" spans="1:8" s="10" customFormat="1" ht="14.25">
      <c r="A40" s="3" t="s">
        <v>60</v>
      </c>
      <c r="B40" s="4"/>
      <c r="C40" s="16"/>
      <c r="D40" s="6"/>
      <c r="E40" s="6"/>
      <c r="F40" s="7"/>
      <c r="G40" s="8"/>
      <c r="H40" s="9"/>
    </row>
    <row r="41" spans="1:8" s="10" customFormat="1" ht="14.25">
      <c r="A41" s="12" t="s">
        <v>61</v>
      </c>
      <c r="B41" s="13" t="s">
        <v>62</v>
      </c>
      <c r="C41" s="14">
        <v>500</v>
      </c>
      <c r="D41" s="15">
        <v>2460.04</v>
      </c>
      <c r="E41" s="15">
        <f>(+D41/$D$59*100)</f>
        <v>9.8748090663881758</v>
      </c>
      <c r="F41" s="15" t="s">
        <v>63</v>
      </c>
      <c r="G41" s="8">
        <v>7.6999000000000004</v>
      </c>
      <c r="H41" s="9"/>
    </row>
    <row r="42" spans="1:8" s="10" customFormat="1" ht="14.25">
      <c r="A42" s="12" t="s">
        <v>64</v>
      </c>
      <c r="B42" s="13" t="s">
        <v>65</v>
      </c>
      <c r="C42" s="14">
        <v>400</v>
      </c>
      <c r="D42" s="15">
        <v>1953.192</v>
      </c>
      <c r="E42" s="15">
        <f>(+D42/$D$59*100)</f>
        <v>7.8402782353119687</v>
      </c>
      <c r="F42" s="15" t="s">
        <v>66</v>
      </c>
      <c r="G42" s="8">
        <v>7.81</v>
      </c>
      <c r="H42" s="9"/>
    </row>
    <row r="43" spans="1:8" s="10" customFormat="1" ht="14.25">
      <c r="A43" s="12" t="s">
        <v>67</v>
      </c>
      <c r="B43" s="13" t="s">
        <v>68</v>
      </c>
      <c r="C43" s="14">
        <v>300</v>
      </c>
      <c r="D43" s="15">
        <v>1495.4835</v>
      </c>
      <c r="E43" s="15">
        <f>(+D43/$D$59*100)</f>
        <v>6.0029975221679006</v>
      </c>
      <c r="F43" s="15" t="s">
        <v>69</v>
      </c>
      <c r="G43" s="8">
        <v>7.8750999999999998</v>
      </c>
      <c r="H43" s="9"/>
    </row>
    <row r="44" spans="1:8" s="10" customFormat="1" ht="14.25">
      <c r="A44" s="12" t="s">
        <v>70</v>
      </c>
      <c r="B44" s="13" t="s">
        <v>68</v>
      </c>
      <c r="C44" s="14">
        <v>200</v>
      </c>
      <c r="D44" s="15">
        <v>997.32</v>
      </c>
      <c r="E44" s="15">
        <f>(+D44/$D$59*100)</f>
        <v>4.003327010166605</v>
      </c>
      <c r="F44" s="15" t="s">
        <v>71</v>
      </c>
      <c r="G44" s="8">
        <v>7.0058999999999996</v>
      </c>
      <c r="H44" s="9"/>
    </row>
    <row r="45" spans="1:8" s="10" customFormat="1" ht="14.25">
      <c r="A45" s="3" t="s">
        <v>44</v>
      </c>
      <c r="B45" s="19"/>
      <c r="C45" s="20"/>
      <c r="D45" s="6">
        <f>IF(ISERROR(SUM(D41:D44)),0,SUM(D41:D44))</f>
        <v>6906.0355</v>
      </c>
      <c r="E45" s="6">
        <f>IF(ISERROR(SUM(E41:E44)),0,SUM(E41:E44))</f>
        <v>27.721411834034651</v>
      </c>
      <c r="F45" s="21"/>
      <c r="G45" s="8"/>
      <c r="H45" s="9"/>
    </row>
    <row r="46" spans="1:8" s="10" customFormat="1" ht="14.25">
      <c r="A46" s="3" t="s">
        <v>72</v>
      </c>
      <c r="B46" s="13"/>
      <c r="C46" s="14"/>
      <c r="D46" s="15"/>
      <c r="E46" s="11"/>
      <c r="F46" s="22"/>
      <c r="G46" s="8"/>
      <c r="H46" s="9"/>
    </row>
    <row r="47" spans="1:8" s="10" customFormat="1" ht="14.25">
      <c r="A47" s="12" t="s">
        <v>73</v>
      </c>
      <c r="B47" s="13" t="s">
        <v>53</v>
      </c>
      <c r="C47" s="14">
        <v>500000</v>
      </c>
      <c r="D47" s="15">
        <v>499.46300000000002</v>
      </c>
      <c r="E47" s="15">
        <f>(+D47/$D$59*100)</f>
        <v>2.0048868151434274</v>
      </c>
      <c r="F47" s="15" t="s">
        <v>74</v>
      </c>
      <c r="G47" s="8">
        <v>6.5404999999999998</v>
      </c>
      <c r="H47" s="9"/>
    </row>
    <row r="48" spans="1:8" s="10" customFormat="1" ht="14.25">
      <c r="A48" s="3" t="s">
        <v>44</v>
      </c>
      <c r="B48" s="19"/>
      <c r="C48" s="20"/>
      <c r="D48" s="6">
        <f>IF(ISERROR(SUM(D47:D47)),0,SUM(D47:D47))</f>
        <v>499.46300000000002</v>
      </c>
      <c r="E48" s="6">
        <f>IF(ISERROR(SUM(E47:E47)),0,SUM(E47:E47))</f>
        <v>2.0048868151434274</v>
      </c>
      <c r="F48" s="21"/>
      <c r="G48" s="8"/>
      <c r="H48" s="9"/>
    </row>
    <row r="49" spans="1:8" s="10" customFormat="1" ht="14.25">
      <c r="A49" s="12" t="s">
        <v>75</v>
      </c>
      <c r="B49" s="13"/>
      <c r="C49" s="14">
        <v>0</v>
      </c>
      <c r="D49" s="15">
        <v>1066.2376463000001</v>
      </c>
      <c r="E49" s="15">
        <f>(+D49/$D$59*100)</f>
        <v>4.2799682836895458</v>
      </c>
      <c r="F49" s="15" t="s">
        <v>76</v>
      </c>
      <c r="G49" s="8">
        <v>6.5922999999999998</v>
      </c>
      <c r="H49" s="9"/>
    </row>
    <row r="50" spans="1:8" s="10" customFormat="1" ht="14.25">
      <c r="A50" s="3" t="s">
        <v>44</v>
      </c>
      <c r="B50" s="4"/>
      <c r="C50" s="16"/>
      <c r="D50" s="6">
        <f>IF(ISERROR(SUM(D49:D49)),0,SUM(D49:D49))</f>
        <v>1066.2376463000001</v>
      </c>
      <c r="E50" s="6">
        <f>IF(ISERROR(SUM(E49:E49)),0,SUM(E49:E49))</f>
        <v>4.2799682836895458</v>
      </c>
      <c r="F50" s="15"/>
      <c r="G50" s="8"/>
      <c r="H50" s="9"/>
    </row>
    <row r="51" spans="1:8" s="10" customFormat="1" ht="14.25">
      <c r="A51" s="23" t="s">
        <v>77</v>
      </c>
      <c r="B51" s="4"/>
      <c r="C51" s="16"/>
      <c r="D51" s="6"/>
      <c r="E51" s="6"/>
      <c r="F51" s="6"/>
      <c r="G51" s="8"/>
      <c r="H51" s="9"/>
    </row>
    <row r="52" spans="1:8" s="10" customFormat="1" ht="14.25">
      <c r="A52" s="24" t="s">
        <v>78</v>
      </c>
      <c r="B52" s="13"/>
      <c r="C52" s="14">
        <v>452.75599999999997</v>
      </c>
      <c r="D52" s="15">
        <v>45.970127703999999</v>
      </c>
      <c r="E52" s="15">
        <f>(+D52/$D$59*100)</f>
        <v>0.18452798890850614</v>
      </c>
      <c r="F52" s="15" t="s">
        <v>79</v>
      </c>
      <c r="G52" s="8">
        <v>7.03</v>
      </c>
      <c r="H52" s="9"/>
    </row>
    <row r="53" spans="1:8" s="10" customFormat="1" ht="14.25">
      <c r="A53" s="3" t="s">
        <v>44</v>
      </c>
      <c r="B53" s="4"/>
      <c r="C53" s="16"/>
      <c r="D53" s="6">
        <f>IF(ISERROR(SUM(D52:D52)),0,SUM(D52:D52))</f>
        <v>45.970127703999999</v>
      </c>
      <c r="E53" s="6">
        <f>IF(ISERROR(SUM(E52:E52)),0,SUM(E52:E52))</f>
        <v>0.18452798890850614</v>
      </c>
      <c r="F53" s="15"/>
      <c r="G53" s="8"/>
      <c r="H53" s="9"/>
    </row>
    <row r="54" spans="1:8" s="10" customFormat="1" ht="14.25">
      <c r="A54" s="3"/>
      <c r="B54" s="4"/>
      <c r="C54" s="16"/>
      <c r="D54" s="6"/>
      <c r="E54" s="6"/>
      <c r="F54" s="7"/>
      <c r="G54" s="8"/>
      <c r="H54" s="9"/>
    </row>
    <row r="55" spans="1:8" s="10" customFormat="1" ht="14.25">
      <c r="A55" s="3" t="s">
        <v>47</v>
      </c>
      <c r="B55" s="4"/>
      <c r="C55" s="16" t="s">
        <v>80</v>
      </c>
      <c r="D55" s="6">
        <f>+IF(ISERROR(D25),0,D25)+IF(ISERROR(D50),0,D50)+IF(ISERROR(#REF!),0,#REF!)+IF(ISERROR(#REF!),0,#REF!)+IF(ISERROR(D37),0,D37)+IF(ISERROR(D48),0,D48)+IF(ISERROR(#REF!),0,#REF!)+IF(ISERROR(#REF!),0,#REF!)+IF(ISERROR(D45),0,D45)+IF(ISERROR(D53),0,D53)+IF(ISERROR(#REF!),0,#REF!)</f>
        <v>24419.481649004003</v>
      </c>
      <c r="E55" s="6">
        <f>+IF(ISERROR(E25),0,E25)+IF(ISERROR(E50),0,E50)+IF(ISERROR(#REF!),0,#REF!)+IF(ISERROR(#REF!),0,#REF!)+IF(ISERROR(E37),0,E37)+IF(ISERROR(E48),0,E48)+IF(ISERROR(#REF!),0,#REF!)+IF(ISERROR(#REF!),0,#REF!)+IF(ISERROR(E45),0,E45)+IF(ISERROR(E53),0,E53)+IF(ISERROR(#REF!),0,#REF!)</f>
        <v>98.021869068829929</v>
      </c>
      <c r="F55" s="6">
        <f>+IF(ISERROR(F25),0,F25)+IF(ISERROR(F50),0,F50)+IF(ISERROR(#REF!),0,#REF!)+IF(ISERROR(#REF!),0,#REF!)+IF(ISERROR(F37),0,F37)+IF(ISERROR(F48),0,F48)+IF(ISERROR(#REF!),0,#REF!)+IF(ISERROR(#REF!),0,#REF!)+IF(ISERROR(#REF!),0,#REF!)+F45</f>
        <v>0</v>
      </c>
      <c r="G55" s="8"/>
      <c r="H55" s="9"/>
    </row>
    <row r="56" spans="1:8" s="10" customFormat="1" ht="14.25">
      <c r="A56" s="3"/>
      <c r="B56" s="4"/>
      <c r="C56" s="16"/>
      <c r="D56" s="6"/>
      <c r="E56" s="6"/>
      <c r="F56" s="25"/>
      <c r="G56" s="26"/>
      <c r="H56" s="27"/>
    </row>
    <row r="57" spans="1:8" s="10" customFormat="1" ht="14.25">
      <c r="A57" s="3" t="s">
        <v>81</v>
      </c>
      <c r="B57" s="4"/>
      <c r="C57" s="16"/>
      <c r="D57" s="6">
        <f>+D59-D55</f>
        <v>492.79749949590405</v>
      </c>
      <c r="E57" s="6">
        <f>D57/$D$59*100</f>
        <v>1.9781309311700528</v>
      </c>
      <c r="F57" s="25"/>
      <c r="G57" s="26"/>
      <c r="H57" s="27"/>
    </row>
    <row r="58" spans="1:8" s="10" customFormat="1" ht="14.25">
      <c r="A58" s="3"/>
      <c r="B58" s="4"/>
      <c r="C58" s="16"/>
      <c r="D58" s="11"/>
      <c r="E58" s="11"/>
      <c r="F58" s="25"/>
      <c r="G58" s="26"/>
      <c r="H58" s="27"/>
    </row>
    <row r="59" spans="1:8" s="10" customFormat="1" ht="14.25">
      <c r="A59" s="3" t="s">
        <v>82</v>
      </c>
      <c r="B59" s="4"/>
      <c r="C59" s="16"/>
      <c r="D59" s="6">
        <v>24912.279148499907</v>
      </c>
      <c r="E59" s="6">
        <f>+E55+E57</f>
        <v>99.999999999999986</v>
      </c>
      <c r="F59" s="25"/>
      <c r="G59" s="26"/>
      <c r="H59" s="27"/>
    </row>
    <row r="60" spans="1:8" s="10" customFormat="1" ht="14.25">
      <c r="A60" s="28"/>
      <c r="B60" s="29"/>
      <c r="C60" s="30"/>
      <c r="D60" s="31"/>
      <c r="E60" s="31"/>
      <c r="F60" s="25"/>
      <c r="G60" s="26"/>
      <c r="H60" s="27"/>
    </row>
    <row r="61" spans="1:8" s="10" customFormat="1" ht="14.25">
      <c r="A61" s="32" t="s">
        <v>83</v>
      </c>
      <c r="B61" s="29"/>
      <c r="C61" s="30"/>
      <c r="D61" s="31"/>
      <c r="E61" s="31"/>
      <c r="F61" s="33"/>
      <c r="G61" s="26"/>
      <c r="H61" s="27"/>
    </row>
    <row r="62" spans="1:8" s="10" customFormat="1" ht="14.25">
      <c r="A62" s="34"/>
      <c r="B62" s="29"/>
      <c r="C62" s="30"/>
      <c r="D62" s="31"/>
      <c r="E62" s="31"/>
      <c r="F62" s="33"/>
      <c r="G62" s="26"/>
      <c r="H62" s="27"/>
    </row>
    <row r="63" spans="1:8" s="10" customFormat="1" ht="13.5">
      <c r="A63" s="72" t="s">
        <v>84</v>
      </c>
      <c r="B63" s="72"/>
      <c r="C63" s="72"/>
      <c r="D63" s="72"/>
      <c r="E63" s="72"/>
      <c r="F63" s="72"/>
      <c r="G63" s="72"/>
      <c r="H63" s="72"/>
    </row>
    <row r="64" spans="1:8" s="10" customFormat="1" ht="26.25" customHeight="1">
      <c r="A64" s="73" t="s">
        <v>85</v>
      </c>
      <c r="B64" s="73"/>
      <c r="C64" s="73"/>
      <c r="D64" s="73"/>
      <c r="E64" s="73"/>
      <c r="F64" s="73"/>
      <c r="G64" s="73"/>
      <c r="H64" s="73"/>
    </row>
    <row r="65" spans="1:8" s="10" customFormat="1" ht="13.5">
      <c r="A65" s="72" t="s">
        <v>86</v>
      </c>
      <c r="B65" s="72"/>
      <c r="C65" s="72"/>
      <c r="D65" s="72"/>
      <c r="E65" s="72"/>
      <c r="F65" s="72"/>
      <c r="G65" s="72"/>
      <c r="H65" s="72"/>
    </row>
    <row r="66" spans="1:8" s="10" customFormat="1" ht="53.25" customHeight="1">
      <c r="A66" s="62" t="s">
        <v>87</v>
      </c>
      <c r="B66" s="62"/>
      <c r="C66" s="62"/>
      <c r="D66" s="62"/>
      <c r="E66" s="62"/>
      <c r="F66" s="62"/>
      <c r="G66" s="62"/>
      <c r="H66" s="62"/>
    </row>
    <row r="67" spans="1:8">
      <c r="A67" s="35"/>
      <c r="B67" s="35"/>
      <c r="C67" s="35"/>
      <c r="D67" s="35"/>
      <c r="E67" s="35"/>
      <c r="F67" s="35"/>
      <c r="G67" s="35"/>
      <c r="H67" s="35"/>
    </row>
    <row r="68" spans="1:8" ht="14.25">
      <c r="A68" s="36" t="s">
        <v>88</v>
      </c>
      <c r="B68" s="37"/>
      <c r="C68" s="37"/>
      <c r="D68" s="37"/>
      <c r="E68" s="27"/>
      <c r="F68" s="27"/>
      <c r="G68" s="27"/>
      <c r="H68" s="27"/>
    </row>
    <row r="69" spans="1:8" ht="14.25">
      <c r="A69" s="38" t="s">
        <v>89</v>
      </c>
      <c r="B69" s="37"/>
      <c r="C69" s="37"/>
      <c r="D69" s="37"/>
      <c r="E69" s="27"/>
      <c r="F69" s="27"/>
      <c r="G69" s="27"/>
      <c r="H69" s="27"/>
    </row>
    <row r="70" spans="1:8" ht="14.25">
      <c r="A70" s="38" t="s">
        <v>90</v>
      </c>
      <c r="B70" s="37"/>
      <c r="C70" s="37"/>
      <c r="D70" s="37"/>
      <c r="E70" s="27"/>
      <c r="F70" s="27"/>
      <c r="G70" s="27"/>
      <c r="H70" s="27"/>
    </row>
    <row r="71" spans="1:8" ht="14.25">
      <c r="A71" s="38" t="s">
        <v>91</v>
      </c>
      <c r="B71" s="37"/>
      <c r="C71" s="37"/>
      <c r="D71" s="37"/>
      <c r="E71" s="27"/>
      <c r="F71" s="27"/>
      <c r="G71" s="27"/>
      <c r="H71" s="27"/>
    </row>
    <row r="72" spans="1:8" ht="14.25">
      <c r="A72" s="39"/>
      <c r="B72" s="40"/>
      <c r="C72" s="41"/>
      <c r="D72" s="27"/>
      <c r="E72" s="27"/>
      <c r="F72" s="27"/>
      <c r="G72" s="27"/>
      <c r="H72" s="27"/>
    </row>
    <row r="73" spans="1:8" ht="14.25">
      <c r="A73" s="42" t="s">
        <v>92</v>
      </c>
      <c r="B73" s="63" t="s">
        <v>93</v>
      </c>
      <c r="C73" s="63"/>
      <c r="D73" s="63"/>
      <c r="E73" s="27"/>
      <c r="F73" s="27"/>
      <c r="G73" s="27"/>
      <c r="H73" s="27"/>
    </row>
    <row r="74" spans="1:8" ht="14.25">
      <c r="A74" s="39"/>
      <c r="B74" s="40"/>
      <c r="C74" s="41"/>
      <c r="D74" s="27"/>
      <c r="E74" s="27"/>
      <c r="F74" s="27"/>
      <c r="G74" s="27"/>
      <c r="H74" s="27"/>
    </row>
    <row r="75" spans="1:8" ht="14.25">
      <c r="A75" s="39"/>
      <c r="B75" s="40"/>
      <c r="C75" s="41"/>
      <c r="D75" s="27"/>
      <c r="E75" s="27"/>
      <c r="F75" s="27"/>
      <c r="G75" s="27"/>
      <c r="H75" s="27"/>
    </row>
    <row r="76" spans="1:8" ht="14.25">
      <c r="A76" s="39"/>
      <c r="B76" s="40"/>
      <c r="C76" s="41"/>
      <c r="D76" s="27"/>
      <c r="E76" s="27"/>
      <c r="F76" s="27"/>
      <c r="G76" s="27"/>
      <c r="H76" s="27"/>
    </row>
    <row r="77" spans="1:8" ht="14.25">
      <c r="A77" s="39"/>
      <c r="B77" s="40"/>
      <c r="C77" s="41"/>
      <c r="D77" s="27"/>
      <c r="E77" s="27"/>
      <c r="F77" s="27"/>
      <c r="G77" s="27"/>
      <c r="H77" s="27"/>
    </row>
    <row r="78" spans="1:8" ht="14.25">
      <c r="A78" s="39"/>
      <c r="B78" s="40"/>
      <c r="C78" s="41"/>
      <c r="D78" s="27"/>
      <c r="E78" s="27"/>
      <c r="F78" s="27"/>
      <c r="G78" s="27"/>
      <c r="H78" s="27"/>
    </row>
    <row r="79" spans="1:8" ht="14.25">
      <c r="A79" s="39"/>
      <c r="B79" s="40"/>
      <c r="C79" s="41"/>
      <c r="D79" s="27"/>
      <c r="E79" s="27"/>
      <c r="F79" s="27"/>
      <c r="G79" s="27"/>
      <c r="H79" s="27"/>
    </row>
    <row r="80" spans="1:8" ht="15" thickBot="1">
      <c r="A80" s="39"/>
      <c r="B80" s="40"/>
      <c r="C80" s="41"/>
      <c r="D80" s="27"/>
      <c r="E80" s="27"/>
      <c r="F80" s="27"/>
      <c r="G80" s="27"/>
      <c r="H80" s="27"/>
    </row>
    <row r="81" spans="1:8" ht="15" thickBot="1">
      <c r="A81" s="64" t="s">
        <v>94</v>
      </c>
      <c r="B81" s="65"/>
      <c r="C81" s="65"/>
      <c r="D81" s="66"/>
      <c r="E81" s="27"/>
      <c r="F81" s="27"/>
      <c r="G81" s="27"/>
      <c r="H81" s="27"/>
    </row>
    <row r="82" spans="1:8" ht="15" thickBot="1">
      <c r="A82" s="43" t="s">
        <v>95</v>
      </c>
      <c r="B82" s="67" t="s">
        <v>96</v>
      </c>
      <c r="C82" s="67" t="s">
        <v>97</v>
      </c>
      <c r="D82" s="67" t="s">
        <v>98</v>
      </c>
      <c r="E82" s="27"/>
      <c r="F82" s="27"/>
      <c r="G82" s="27"/>
      <c r="H82" s="27"/>
    </row>
    <row r="83" spans="1:8" ht="15" thickBot="1">
      <c r="A83" s="43" t="s">
        <v>99</v>
      </c>
      <c r="B83" s="68"/>
      <c r="C83" s="68"/>
      <c r="D83" s="68"/>
      <c r="E83" s="27"/>
      <c r="F83" s="27"/>
      <c r="G83" s="27"/>
      <c r="H83" s="27"/>
    </row>
    <row r="84" spans="1:8" ht="15" thickBot="1">
      <c r="A84" s="44" t="s">
        <v>100</v>
      </c>
      <c r="B84" s="45"/>
      <c r="C84" s="46" t="s">
        <v>101</v>
      </c>
      <c r="D84" s="45"/>
      <c r="E84" s="27"/>
      <c r="F84" s="27"/>
      <c r="G84" s="27"/>
      <c r="H84" s="27"/>
    </row>
    <row r="85" spans="1:8" ht="15" thickBot="1">
      <c r="A85" s="44" t="s">
        <v>102</v>
      </c>
      <c r="B85" s="45"/>
      <c r="C85" s="45"/>
      <c r="D85" s="45"/>
      <c r="E85" s="27"/>
      <c r="F85" s="27"/>
      <c r="G85" s="27"/>
      <c r="H85" s="27"/>
    </row>
    <row r="86" spans="1:8" ht="15" thickBot="1">
      <c r="A86" s="44" t="s">
        <v>103</v>
      </c>
      <c r="B86" s="45"/>
      <c r="C86" s="45"/>
      <c r="D86" s="45"/>
      <c r="E86" s="27"/>
      <c r="F86" s="27"/>
      <c r="G86" s="27"/>
      <c r="H86" s="27"/>
    </row>
    <row r="87" spans="1:8" ht="14.25">
      <c r="A87" s="34"/>
      <c r="B87" s="40"/>
      <c r="C87" s="41"/>
      <c r="D87" s="27"/>
      <c r="E87" s="27"/>
      <c r="F87" s="27"/>
      <c r="G87" s="27"/>
      <c r="H87" s="27"/>
    </row>
    <row r="88" spans="1:8" ht="14.25">
      <c r="A88" s="39"/>
      <c r="B88" s="40"/>
      <c r="C88" s="41"/>
      <c r="D88" s="27"/>
      <c r="E88" s="27"/>
      <c r="F88" s="27"/>
      <c r="G88" s="27"/>
      <c r="H88" s="27"/>
    </row>
    <row r="89" spans="1:8" ht="14.25">
      <c r="A89" s="60" t="s">
        <v>104</v>
      </c>
      <c r="B89" s="61"/>
      <c r="C89" s="27"/>
      <c r="D89" s="27"/>
      <c r="E89" s="27"/>
      <c r="F89" s="27"/>
      <c r="G89" s="27"/>
      <c r="H89" s="27"/>
    </row>
    <row r="90" spans="1:8" ht="27">
      <c r="A90" s="47" t="s">
        <v>105</v>
      </c>
      <c r="B90" s="48" t="s">
        <v>106</v>
      </c>
      <c r="C90" s="27"/>
      <c r="D90" s="27"/>
      <c r="E90" s="27"/>
      <c r="F90" s="27"/>
      <c r="G90" s="27"/>
      <c r="H90" s="27"/>
    </row>
    <row r="91" spans="1:8" ht="14.25">
      <c r="A91" s="49" t="s">
        <v>107</v>
      </c>
      <c r="B91" s="50"/>
      <c r="C91" s="51"/>
      <c r="D91" s="27"/>
      <c r="E91" s="27"/>
      <c r="F91" s="27"/>
      <c r="G91" s="27"/>
      <c r="H91" s="27"/>
    </row>
    <row r="92" spans="1:8" ht="14.25">
      <c r="A92" s="49"/>
      <c r="B92" s="50"/>
      <c r="C92" s="51"/>
      <c r="D92" s="27"/>
      <c r="E92" s="27"/>
      <c r="F92" s="27"/>
      <c r="G92" s="27"/>
      <c r="H92" s="27"/>
    </row>
    <row r="93" spans="1:8" ht="14.25">
      <c r="A93" s="49" t="s">
        <v>108</v>
      </c>
      <c r="B93" s="52">
        <v>7.7399999999999997E-2</v>
      </c>
      <c r="C93" s="51"/>
      <c r="D93" s="27"/>
      <c r="E93" s="27"/>
      <c r="F93" s="27"/>
      <c r="G93" s="27"/>
      <c r="H93" s="27"/>
    </row>
    <row r="94" spans="1:8" ht="14.25">
      <c r="A94" s="49" t="s">
        <v>80</v>
      </c>
      <c r="B94" s="50"/>
      <c r="C94" s="51"/>
      <c r="D94" s="27"/>
      <c r="E94" s="27"/>
      <c r="F94" s="27"/>
      <c r="G94" s="27"/>
      <c r="H94" s="27"/>
    </row>
    <row r="95" spans="1:8" ht="14.25">
      <c r="A95" s="49" t="s">
        <v>109</v>
      </c>
      <c r="B95" s="53">
        <v>0.76019999999999999</v>
      </c>
      <c r="C95" s="51"/>
      <c r="D95" s="27"/>
      <c r="E95" s="27"/>
      <c r="F95" s="27"/>
      <c r="G95" s="27"/>
      <c r="H95" s="27"/>
    </row>
    <row r="96" spans="1:8" ht="14.25">
      <c r="A96" s="49" t="s">
        <v>110</v>
      </c>
      <c r="B96" s="53">
        <v>0.79690000000000005</v>
      </c>
      <c r="C96" s="51"/>
      <c r="D96" s="27"/>
      <c r="E96" s="27"/>
      <c r="F96" s="27"/>
      <c r="G96" s="27"/>
      <c r="H96" s="27"/>
    </row>
    <row r="97" spans="1:8" ht="14.25">
      <c r="A97" s="49" t="s">
        <v>80</v>
      </c>
      <c r="B97" s="50"/>
      <c r="C97" s="51"/>
      <c r="D97" s="27"/>
      <c r="E97" s="27"/>
      <c r="F97" s="27"/>
      <c r="G97" s="27"/>
      <c r="H97" s="27"/>
    </row>
    <row r="98" spans="1:8" ht="14.25">
      <c r="A98" s="49" t="s">
        <v>111</v>
      </c>
      <c r="B98" s="54" t="s">
        <v>112</v>
      </c>
      <c r="C98" s="51"/>
      <c r="D98" s="27"/>
      <c r="E98" s="27"/>
      <c r="F98" s="27"/>
      <c r="G98" s="27"/>
      <c r="H98" s="27"/>
    </row>
    <row r="99" spans="1:8" ht="14.25">
      <c r="A99" s="49" t="s">
        <v>113</v>
      </c>
      <c r="B99" s="50"/>
      <c r="C99" s="51"/>
      <c r="D99" s="27"/>
      <c r="E99" s="27"/>
      <c r="F99" s="27"/>
      <c r="G99" s="27"/>
      <c r="H99" s="27"/>
    </row>
    <row r="100" spans="1:8" ht="14.25">
      <c r="A100" s="39"/>
      <c r="B100" s="40"/>
      <c r="C100" s="41"/>
      <c r="D100" s="27"/>
      <c r="E100" s="27"/>
      <c r="F100" s="27"/>
      <c r="G100" s="27"/>
      <c r="H100" s="27"/>
    </row>
    <row r="101" spans="1:8" ht="14.25">
      <c r="A101" s="39"/>
      <c r="B101" s="40"/>
      <c r="C101" s="41"/>
      <c r="D101" s="27"/>
      <c r="E101" s="27"/>
      <c r="F101" s="27"/>
      <c r="G101" s="27"/>
      <c r="H101" s="27"/>
    </row>
    <row r="102" spans="1:8" ht="14.25">
      <c r="A102" s="39"/>
      <c r="B102" s="40"/>
      <c r="C102" s="41"/>
      <c r="D102" s="27"/>
      <c r="E102" s="27"/>
      <c r="F102" s="27"/>
      <c r="G102" s="27"/>
      <c r="H102" s="27"/>
    </row>
    <row r="103" spans="1:8" ht="14.25">
      <c r="A103" s="39"/>
      <c r="B103" s="40"/>
      <c r="C103" s="41"/>
      <c r="D103" s="27"/>
      <c r="E103" s="27"/>
      <c r="F103" s="27"/>
      <c r="G103" s="27"/>
      <c r="H103" s="27"/>
    </row>
    <row r="104" spans="1:8" ht="14.25">
      <c r="A104" s="39"/>
      <c r="B104" s="40"/>
      <c r="C104" s="41"/>
      <c r="D104" s="27"/>
      <c r="E104" s="27"/>
      <c r="F104" s="27"/>
      <c r="G104" s="27"/>
      <c r="H104" s="27"/>
    </row>
    <row r="105" spans="1:8" ht="14.25">
      <c r="A105" s="39"/>
      <c r="B105" s="40"/>
      <c r="C105" s="41"/>
      <c r="D105" s="27"/>
      <c r="E105" s="27"/>
      <c r="F105" s="27"/>
      <c r="G105" s="27"/>
      <c r="H105" s="27"/>
    </row>
    <row r="106" spans="1:8" ht="14.25">
      <c r="A106" s="39"/>
      <c r="B106" s="40"/>
      <c r="C106" s="41"/>
      <c r="D106" s="27"/>
      <c r="E106" s="27"/>
      <c r="F106" s="27"/>
      <c r="G106" s="27"/>
      <c r="H106" s="27"/>
    </row>
    <row r="107" spans="1:8" ht="14.25">
      <c r="A107" s="39"/>
      <c r="B107" s="40"/>
      <c r="C107" s="41"/>
      <c r="D107" s="27"/>
      <c r="E107" s="27"/>
      <c r="F107" s="27"/>
      <c r="G107" s="27"/>
      <c r="H107" s="27"/>
    </row>
    <row r="108" spans="1:8" ht="14.25">
      <c r="A108" s="39"/>
      <c r="B108" s="40"/>
      <c r="C108" s="41"/>
      <c r="D108" s="27"/>
      <c r="E108" s="27"/>
      <c r="F108" s="27"/>
      <c r="G108" s="27"/>
      <c r="H108" s="27"/>
    </row>
    <row r="109" spans="1:8" ht="14.25">
      <c r="A109" s="39"/>
      <c r="B109" s="40"/>
      <c r="C109" s="41"/>
      <c r="D109" s="27"/>
      <c r="E109" s="27"/>
      <c r="F109" s="27"/>
      <c r="G109" s="27"/>
      <c r="H109" s="27"/>
    </row>
    <row r="110" spans="1:8" ht="14.25">
      <c r="A110" s="39"/>
      <c r="B110" s="40"/>
      <c r="C110" s="41"/>
      <c r="D110" s="27"/>
      <c r="E110" s="27"/>
      <c r="F110" s="27"/>
      <c r="G110" s="27"/>
      <c r="H110" s="27"/>
    </row>
    <row r="111" spans="1:8" ht="14.25">
      <c r="A111" s="39"/>
      <c r="B111" s="40"/>
      <c r="C111" s="41"/>
      <c r="D111" s="27"/>
      <c r="E111" s="27"/>
      <c r="F111" s="27"/>
      <c r="G111" s="27"/>
      <c r="H111" s="27"/>
    </row>
    <row r="112" spans="1:8" ht="14.25">
      <c r="A112" s="39"/>
      <c r="B112" s="40"/>
      <c r="C112" s="41"/>
      <c r="D112" s="27"/>
      <c r="E112" s="27"/>
      <c r="F112" s="27"/>
      <c r="G112" s="27"/>
      <c r="H112" s="27"/>
    </row>
    <row r="113" spans="1:8" ht="14.25">
      <c r="A113" s="39"/>
      <c r="B113" s="40"/>
      <c r="C113" s="41"/>
      <c r="D113" s="27"/>
      <c r="E113" s="27"/>
      <c r="F113" s="27"/>
      <c r="G113" s="27"/>
      <c r="H113" s="27"/>
    </row>
    <row r="114" spans="1:8" ht="14.25">
      <c r="A114" s="39"/>
      <c r="B114" s="40"/>
      <c r="C114" s="41"/>
      <c r="D114" s="27"/>
      <c r="E114" s="27"/>
      <c r="F114" s="27"/>
      <c r="G114" s="27"/>
      <c r="H114" s="27"/>
    </row>
    <row r="115" spans="1:8" ht="14.25">
      <c r="A115" s="39"/>
      <c r="B115" s="40"/>
      <c r="C115" s="41"/>
      <c r="D115" s="27"/>
      <c r="E115" s="27"/>
      <c r="F115" s="27"/>
      <c r="G115" s="27"/>
      <c r="H115" s="27"/>
    </row>
    <row r="116" spans="1:8" ht="14.25">
      <c r="A116" s="39"/>
      <c r="B116" s="40"/>
      <c r="C116" s="41"/>
      <c r="D116" s="27"/>
      <c r="E116" s="27"/>
      <c r="F116" s="27"/>
      <c r="G116" s="27"/>
      <c r="H116" s="27"/>
    </row>
    <row r="117" spans="1:8" ht="14.25">
      <c r="A117" s="39"/>
      <c r="B117" s="40"/>
      <c r="C117" s="41"/>
      <c r="D117" s="27"/>
      <c r="E117" s="27"/>
      <c r="F117" s="27"/>
      <c r="G117" s="27"/>
      <c r="H117" s="27"/>
    </row>
    <row r="118" spans="1:8" ht="14.25">
      <c r="A118" s="39"/>
      <c r="B118" s="40"/>
      <c r="C118" s="41"/>
      <c r="D118" s="27"/>
      <c r="E118" s="27"/>
      <c r="F118" s="27"/>
      <c r="G118" s="27"/>
      <c r="H118" s="27"/>
    </row>
    <row r="119" spans="1:8" ht="14.25">
      <c r="A119" s="39"/>
      <c r="B119" s="40"/>
      <c r="C119" s="41"/>
      <c r="D119" s="27"/>
      <c r="E119" s="27"/>
      <c r="F119" s="27"/>
      <c r="G119" s="27"/>
      <c r="H119" s="27"/>
    </row>
    <row r="120" spans="1:8" ht="14.25">
      <c r="A120" s="39"/>
      <c r="B120" s="40"/>
      <c r="C120" s="41"/>
      <c r="D120" s="27"/>
      <c r="E120" s="27"/>
      <c r="F120" s="27"/>
      <c r="G120" s="27"/>
      <c r="H120" s="27"/>
    </row>
    <row r="121" spans="1:8" ht="14.25">
      <c r="A121" s="39"/>
      <c r="B121" s="40"/>
      <c r="C121" s="41"/>
      <c r="D121" s="27"/>
      <c r="E121" s="27"/>
      <c r="F121" s="27"/>
      <c r="G121" s="27"/>
      <c r="H121" s="27"/>
    </row>
  </sheetData>
  <mergeCells count="13">
    <mergeCell ref="A65:H65"/>
    <mergeCell ref="A1:H1"/>
    <mergeCell ref="A2:H2"/>
    <mergeCell ref="A3:H3"/>
    <mergeCell ref="A63:H63"/>
    <mergeCell ref="A64:H64"/>
    <mergeCell ref="A89:B89"/>
    <mergeCell ref="A66:H66"/>
    <mergeCell ref="B73:D73"/>
    <mergeCell ref="A81:D81"/>
    <mergeCell ref="B82:B83"/>
    <mergeCell ref="C82:C83"/>
    <mergeCell ref="D82:D8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Shashidhar</cp:lastModifiedBy>
  <dcterms:created xsi:type="dcterms:W3CDTF">2024-03-01T10:40:21Z</dcterms:created>
  <dcterms:modified xsi:type="dcterms:W3CDTF">2024-03-04T10:54:38Z</dcterms:modified>
</cp:coreProperties>
</file>