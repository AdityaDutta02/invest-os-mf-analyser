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06A2CC38-D16F-4054-B1E6-DB1793C75B43}"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Fund'!$B$4:$I$71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7" i="1" l="1"/>
  <c r="E77" i="1"/>
  <c r="E59" i="1"/>
  <c r="F59" i="1" s="1"/>
</calcChain>
</file>

<file path=xl/sharedStrings.xml><?xml version="1.0" encoding="utf-8"?>
<sst xmlns="http://schemas.openxmlformats.org/spreadsheetml/2006/main" count="232" uniqueCount="175">
  <si>
    <t>Quantity</t>
  </si>
  <si>
    <t>JM Financial Mutual Fund</t>
  </si>
  <si>
    <t>NIL</t>
  </si>
  <si>
    <t>Total</t>
  </si>
  <si>
    <t>(b) Privately placed / Unlisted</t>
  </si>
  <si>
    <t>Cash &amp; Cash Equivalents</t>
  </si>
  <si>
    <t>Net Receivable/Payable</t>
  </si>
  <si>
    <t>CCIL</t>
  </si>
  <si>
    <t>HDFC Asset Management Company Limited</t>
  </si>
  <si>
    <t>Marico Limited</t>
  </si>
  <si>
    <t>IPCA Laboratories Limited</t>
  </si>
  <si>
    <t>Fortis Healthcare Limited</t>
  </si>
  <si>
    <t>Cummins India Limited</t>
  </si>
  <si>
    <t>(a) Listed / awaiting listing on the stock exchanges</t>
  </si>
  <si>
    <t>Dixon Technologies (India) Limited</t>
  </si>
  <si>
    <t>MOTILAL OSWAL FINANCIAL SERVICES</t>
  </si>
  <si>
    <t>Kaynes Technology India Private Ltd</t>
  </si>
  <si>
    <t>WAAREE ENERGIES LIMITED</t>
  </si>
  <si>
    <t>Thermax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</si>
  <si>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</si>
  <si>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</si>
  <si>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</si>
  <si>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</si>
  <si>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</si>
  <si>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</si>
  <si>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</si>
  <si>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</si>
  <si>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</si>
  <si>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</si>
  <si>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</si>
  <si>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</si>
  <si>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</si>
  <si>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</si>
  <si>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</si>
  <si>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INE127D01025</t>
  </si>
  <si>
    <t>INE935N01020</t>
  </si>
  <si>
    <t>INE196A01026</t>
  </si>
  <si>
    <t>INE061F01013</t>
  </si>
  <si>
    <t>INE571A01038</t>
  </si>
  <si>
    <t>INE298A01020</t>
  </si>
  <si>
    <t>INE338I01027</t>
  </si>
  <si>
    <t>INE918Z01012</t>
  </si>
  <si>
    <t>INE377N01017</t>
  </si>
  <si>
    <t>INE152A01029</t>
  </si>
  <si>
    <t>ISIN</t>
  </si>
  <si>
    <t>INE118H01025</t>
  </si>
  <si>
    <t>BSE Ltd</t>
  </si>
  <si>
    <t>Coforge Limited</t>
  </si>
  <si>
    <t>INE200A01026</t>
  </si>
  <si>
    <t>GE Vernova T&amp;D India Limited</t>
  </si>
  <si>
    <t>INE371P01015</t>
  </si>
  <si>
    <t>Amber Enterprises India Limited</t>
  </si>
  <si>
    <t>INE465A01025</t>
  </si>
  <si>
    <t>Bharat Forge Limited</t>
  </si>
  <si>
    <t>INE982J01020</t>
  </si>
  <si>
    <t>One 97 Communications Limited</t>
  </si>
  <si>
    <t>HDB Financial Services Limited</t>
  </si>
  <si>
    <t>INE756I01012</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</si>
  <si>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</si>
  <si>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</si>
  <si>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</si>
  <si>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</si>
  <si>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</si>
  <si>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</si>
  <si>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</si>
  <si>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</si>
  <si>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</si>
  <si>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</si>
  <si>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</si>
  <si>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</si>
  <si>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</si>
  <si>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</si>
  <si>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</si>
  <si>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</si>
  <si>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</si>
  <si>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</si>
  <si>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</si>
  <si>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INE200M01039</t>
  </si>
  <si>
    <t>Varun Beverages Limited</t>
  </si>
  <si>
    <t>INE089A01031</t>
  </si>
  <si>
    <t>Dr. Reddy's Laboratories Limited</t>
  </si>
  <si>
    <t>INE944F01028</t>
  </si>
  <si>
    <t>Radico Khaitan Limited</t>
  </si>
  <si>
    <t>INE481G01011</t>
  </si>
  <si>
    <t>UltraTech Cement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</si>
  <si>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</si>
  <si>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</si>
  <si>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</si>
  <si>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</si>
  <si>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</si>
  <si>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</si>
  <si>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</si>
  <si>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</si>
  <si>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</si>
  <si>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</si>
  <si>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INE455K01017</t>
  </si>
  <si>
    <t>Polycab India Limited</t>
  </si>
  <si>
    <t>INE226A01021</t>
  </si>
  <si>
    <t>Voltas Limited</t>
  </si>
  <si>
    <t>INE192R01011</t>
  </si>
  <si>
    <t>Avenue Supermarts Limited</t>
  </si>
  <si>
    <t>INE271C01023</t>
  </si>
  <si>
    <t>DLF Limited</t>
  </si>
  <si>
    <t>INE849A01020</t>
  </si>
  <si>
    <t>Trent Limited</t>
  </si>
  <si>
    <t>INE128S01021</t>
  </si>
  <si>
    <t>FIVE-STAR BUSINESS FINANCE LIMITED</t>
  </si>
  <si>
    <t>JM Large and Midcap Fund (An open ended equity scheme predominantly investing in large and mid cap stocks.)</t>
  </si>
  <si>
    <t>INE067A01029</t>
  </si>
  <si>
    <t>CG Power And Industrial Solutions Ltd</t>
  </si>
  <si>
    <t>INE0DYJ01015</t>
  </si>
  <si>
    <t>SYRMA SGS TECHNOLOGY LIMITED</t>
  </si>
  <si>
    <t>INE383A01012</t>
  </si>
  <si>
    <t>INDIA CEMENTS LTD</t>
  </si>
  <si>
    <t>INE062A01020</t>
  </si>
  <si>
    <t>State Bank of India</t>
  </si>
  <si>
    <t>INE417T01026</t>
  </si>
  <si>
    <t>PB Fintech Limited</t>
  </si>
  <si>
    <t>INE263A01024</t>
  </si>
  <si>
    <t>Bharat Electronics Limited</t>
  </si>
  <si>
    <t>INE180A01020</t>
  </si>
  <si>
    <t>Max Financial Services Limited</t>
  </si>
  <si>
    <t>INE151G01028</t>
  </si>
  <si>
    <t>Shaily Engineering Plastics Limited</t>
  </si>
  <si>
    <t>INE669C01036</t>
  </si>
  <si>
    <t>Tech Mahindra Limited</t>
  </si>
  <si>
    <t>INE013P01021</t>
  </si>
  <si>
    <t>One Source Specialty Pharma Ltd</t>
  </si>
  <si>
    <t>INE148O01028</t>
  </si>
  <si>
    <t>Delhivery Limited</t>
  </si>
  <si>
    <t>INE1NPP01017</t>
  </si>
  <si>
    <t>Siemens Energy India Limited</t>
  </si>
  <si>
    <t>INE158A01026</t>
  </si>
  <si>
    <t>Hero MotoCorp Limited</t>
  </si>
  <si>
    <t>01-SEP-2025</t>
  </si>
  <si>
    <t>Monthly Portfolio Statement for the period ended 31.08.2025</t>
  </si>
  <si>
    <t>Banks</t>
  </si>
  <si>
    <t>Telecom - Services</t>
  </si>
  <si>
    <t>IT - Software</t>
  </si>
  <si>
    <t>Finance</t>
  </si>
  <si>
    <t>Financial Technology (Fintech)</t>
  </si>
  <si>
    <t>Automobiles</t>
  </si>
  <si>
    <t>Electrical Equipment</t>
  </si>
  <si>
    <t>Industrial Manufacturing</t>
  </si>
  <si>
    <t>Industrial Products</t>
  </si>
  <si>
    <t>Capital Markets</t>
  </si>
  <si>
    <t>Transport Services</t>
  </si>
  <si>
    <t>Pharmaceuticals &amp; Biotechnology</t>
  </si>
  <si>
    <t>Cement &amp; Cement Products</t>
  </si>
  <si>
    <t>Beverages</t>
  </si>
  <si>
    <t>Transport Infrastructure</t>
  </si>
  <si>
    <t>Retailing</t>
  </si>
  <si>
    <t>Auto Components</t>
  </si>
  <si>
    <t>Consumer Durables</t>
  </si>
  <si>
    <t>Agricultural Food &amp; other Products</t>
  </si>
  <si>
    <t>Aerospace &amp; Defense</t>
  </si>
  <si>
    <t>Insurance</t>
  </si>
  <si>
    <t>Realty</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</si>
  <si>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</si>
  <si>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</si>
  <si>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</si>
  <si>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</si>
  <si>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</si>
  <si>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</si>
  <si>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</si>
  <si>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predominantly in equity &amp; equity related of predominantly large cap and mid cap stocks</t>
  </si>
  <si>
    <t>* Investors should consult their financial advisers if in doubt about whether the product is suitable for them</t>
  </si>
  <si>
    <t xml:space="preserve">                            Riskometer of the scheme </t>
  </si>
  <si>
    <t xml:space="preserve">                   The risk of the scheme is Very High</t>
  </si>
  <si>
    <t xml:space="preserve"> The risk of the benchmark is Very High </t>
  </si>
  <si>
    <t xml:space="preserve">                               Benchmark of the Scheme -  Nifty Large Midcap 250 TRI</t>
  </si>
  <si>
    <t>Non-Convertible Preference Shares</t>
  </si>
  <si>
    <t xml:space="preserve">6% TVS Motor Co Ltd. Cumulative Non Convertible
Redeemable Preference Shares  #
</t>
  </si>
  <si>
    <t># awaiting listing on Stock Exchanges</t>
  </si>
  <si>
    <t>INE494B04019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</si>
</sst>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10"/>
      <color indexed="9"/>
      <name val="Century Gothic"/>
      <family val="2"/>
    </font>
    <font>
      <sz val="10"/>
      <name val="Arial"/>
      <family val="2"/>
    </font>
    <font>
      <sz val="10"/>
      <name val="Mangal"/>
      <family val="2"/>
    </font>
    <font>
      <b/>
      <sz val="8"/>
      <name val="Century Gothic"/>
      <family val="2"/>
    </font>
    <font>
      <sz val="10"/>
      <name val="Century Gothic"/>
      <family val="2"/>
    </font>
    <font>
      <b/>
      <sz val="8"/>
      <color indexed="72"/>
      <name val="Century Gothic"/>
      <family val="2"/>
    </font>
    <font>
      <b/>
      <sz val="8"/>
      <color indexed="8"/>
      <name val="Century Gothic"/>
      <family val="2"/>
    </font>
    <font>
      <sz val="8"/>
      <color indexed="72"/>
      <name val="Century Gothic"/>
      <family val="2"/>
    </font>
    <font>
      <i/>
      <sz val="8"/>
      <color indexed="8"/>
      <name val="Century Gothic"/>
      <family val="2"/>
    </font>
    <font>
      <b/>
      <sz val="10"/>
      <name val="Tahoma"/>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2" fillId="0" borderId="0"/>
    <xf numFmtId="9" fontId="8" fillId="0" borderId="0" applyFont="0" applyFill="0" applyBorder="0" applyAlignment="0" applyProtection="0"/>
    <xf numFmtId="0" fontId="9" fillId="0" borderId="0" applyNumberFormat="0" applyFill="0" applyBorder="0" applyProtection="0"/>
    <xf numFmtId="0" fontId="5" fillId="0" borderId="0"/>
  </cellStyleXfs>
  <cellXfs count="8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0" borderId="0" xfId="3" applyFont="1"/>
    <xf numFmtId="0" fontId="7" fillId="2" borderId="0" xfId="2" applyFont="1" applyFill="1" applyAlignment="1">
      <alignment horizontal="center" vertical="center" wrapText="1"/>
    </xf>
    <xf numFmtId="0" fontId="10"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11" fillId="3" borderId="0" xfId="0" applyFont="1" applyFill="1"/>
    <xf numFmtId="165" fontId="10" fillId="0" borderId="1" xfId="1" applyNumberFormat="1" applyFont="1" applyFill="1" applyBorder="1" applyAlignment="1">
      <alignment horizontal="center" vertical="top"/>
    </xf>
    <xf numFmtId="0" fontId="1" fillId="0" borderId="0" xfId="2" applyFont="1" applyAlignment="1">
      <alignment horizontal="center"/>
    </xf>
    <xf numFmtId="0" fontId="6" fillId="0" borderId="1" xfId="0" applyFont="1" applyBorder="1"/>
    <xf numFmtId="0" fontId="12" fillId="0" borderId="1" xfId="0" applyFont="1" applyBorder="1" applyAlignment="1">
      <alignment horizontal="left" vertical="top"/>
    </xf>
    <xf numFmtId="4" fontId="6" fillId="0" borderId="1" xfId="0" applyNumberFormat="1" applyFont="1" applyBorder="1"/>
    <xf numFmtId="4" fontId="13" fillId="0" borderId="1" xfId="0" applyNumberFormat="1" applyFont="1" applyBorder="1" applyAlignment="1">
      <alignment horizontal="right"/>
    </xf>
    <xf numFmtId="10" fontId="6" fillId="0" borderId="1" xfId="7" applyNumberFormat="1" applyFont="1" applyFill="1" applyBorder="1" applyAlignment="1">
      <alignment horizontal="right"/>
    </xf>
    <xf numFmtId="10" fontId="6" fillId="0" borderId="1" xfId="7" applyNumberFormat="1" applyFont="1" applyFill="1" applyBorder="1" applyAlignment="1"/>
    <xf numFmtId="0" fontId="14" fillId="0" borderId="1" xfId="0" applyFont="1" applyBorder="1" applyAlignment="1">
      <alignment horizontal="right" vertical="top"/>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13" fillId="0" borderId="1" xfId="0" applyFont="1" applyBorder="1"/>
    <xf numFmtId="4" fontId="13" fillId="0" borderId="1" xfId="0" applyNumberFormat="1" applyFont="1" applyBorder="1"/>
    <xf numFmtId="4" fontId="10" fillId="0" borderId="1" xfId="0" applyNumberFormat="1" applyFont="1" applyBorder="1" applyAlignment="1">
      <alignment horizontal="right" vertical="top"/>
    </xf>
    <xf numFmtId="166" fontId="10"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10" fillId="0" borderId="1" xfId="7" applyNumberFormat="1" applyFont="1" applyFill="1" applyBorder="1" applyAlignment="1" applyProtection="1">
      <alignment horizontal="right" vertical="top"/>
    </xf>
    <xf numFmtId="167" fontId="6" fillId="0" borderId="1" xfId="0" applyNumberFormat="1" applyFont="1" applyBorder="1"/>
    <xf numFmtId="0" fontId="6" fillId="0" borderId="1" xfId="0" applyFont="1" applyBorder="1" applyAlignment="1">
      <alignment horizontal="right"/>
    </xf>
    <xf numFmtId="4" fontId="14" fillId="0" borderId="1" xfId="0" applyNumberFormat="1" applyFont="1" applyBorder="1" applyAlignment="1">
      <alignment horizontal="left" vertical="top"/>
    </xf>
    <xf numFmtId="167" fontId="10" fillId="0" borderId="1" xfId="0" applyNumberFormat="1" applyFont="1" applyBorder="1" applyAlignment="1">
      <alignment horizontal="right" vertical="top"/>
    </xf>
    <xf numFmtId="4" fontId="12"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0" fontId="3" fillId="0" borderId="0" xfId="0" applyFont="1"/>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13" fillId="0" borderId="1" xfId="0" applyNumberFormat="1" applyFont="1" applyBorder="1" applyAlignment="1">
      <alignment horizontal="right" vertical="top"/>
    </xf>
    <xf numFmtId="0" fontId="10" fillId="0" borderId="1" xfId="0" applyFont="1" applyBorder="1" applyAlignment="1">
      <alignment wrapText="1"/>
    </xf>
    <xf numFmtId="10" fontId="14"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0" fontId="3" fillId="0" borderId="1" xfId="0" applyFont="1" applyBorder="1"/>
    <xf numFmtId="0" fontId="3" fillId="0" borderId="1" xfId="0" applyFont="1" applyBorder="1" applyAlignment="1">
      <alignment horizontal="righ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165" fontId="3" fillId="0" borderId="0" xfId="5" applyNumberFormat="1" applyFont="1" applyFill="1" applyBorder="1"/>
    <xf numFmtId="0" fontId="3" fillId="0" borderId="0" xfId="2" applyFont="1" applyAlignment="1">
      <alignment horizontal="right"/>
    </xf>
    <xf numFmtId="4" fontId="3" fillId="0" borderId="0" xfId="2" applyNumberFormat="1" applyFont="1"/>
    <xf numFmtId="0" fontId="13" fillId="0" borderId="0" xfId="3" applyFont="1"/>
    <xf numFmtId="0" fontId="6" fillId="0" borderId="0" xfId="3" applyFont="1" applyAlignment="1">
      <alignment horizontal="left" wrapText="1"/>
    </xf>
    <xf numFmtId="0" fontId="13" fillId="0" borderId="1" xfId="0" applyFont="1" applyBorder="1" applyAlignment="1">
      <alignment wrapText="1"/>
    </xf>
    <xf numFmtId="0" fontId="10" fillId="0" borderId="0" xfId="0" applyFont="1" applyAlignment="1">
      <alignment wrapText="1"/>
    </xf>
    <xf numFmtId="4" fontId="13" fillId="0" borderId="0" xfId="0" applyNumberFormat="1" applyFont="1"/>
    <xf numFmtId="166" fontId="10"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16" fillId="0" borderId="1" xfId="0" applyFont="1" applyBorder="1" applyAlignment="1">
      <alignment horizontal="left" vertical="top" wrapText="1"/>
    </xf>
    <xf numFmtId="0" fontId="10" fillId="0" borderId="0" xfId="0" applyFont="1"/>
    <xf numFmtId="0" fontId="10" fillId="0" borderId="0" xfId="2" applyFont="1" applyAlignment="1">
      <alignment horizontal="center" wrapText="1"/>
    </xf>
    <xf numFmtId="0" fontId="7" fillId="2" borderId="3" xfId="2" applyFont="1" applyFill="1" applyBorder="1" applyAlignment="1">
      <alignment horizontal="center" vertical="center"/>
    </xf>
    <xf numFmtId="0" fontId="7" fillId="2" borderId="0" xfId="2" applyFont="1" applyFill="1" applyAlignment="1">
      <alignment horizontal="center" vertical="center" wrapText="1"/>
    </xf>
    <xf numFmtId="0" fontId="7" fillId="2" borderId="2" xfId="2" applyFont="1" applyFill="1" applyBorder="1" applyAlignment="1">
      <alignment horizontal="center" vertical="center" wrapText="1"/>
    </xf>
    <xf numFmtId="0" fontId="15" fillId="0" borderId="0" xfId="9" applyFont="1" applyAlignment="1">
      <alignment horizontal="left" vertical="top" wrapText="1"/>
    </xf>
    <xf numFmtId="0" fontId="15" fillId="0" borderId="4" xfId="9" applyFont="1" applyBorder="1" applyAlignment="1">
      <alignment horizontal="left" vertical="top" wrapText="1"/>
    </xf>
    <xf numFmtId="0" fontId="3" fillId="0" borderId="0" xfId="0" applyFont="1"/>
  </cellXfs>
  <cellStyles count="10">
    <cellStyle name="Comma" xfId="1" builtinId="3"/>
    <cellStyle name="Comma 4" xfId="5" xr:uid="{00000000-0005-0000-0000-000001000000}"/>
    <cellStyle name="Normal" xfId="0" builtinId="0"/>
    <cellStyle name="Normal 2 2 2" xfId="2" xr:uid="{00000000-0005-0000-0000-000003000000}"/>
    <cellStyle name="Normal 2 3 2" xfId="6" xr:uid="{00000000-0005-0000-0000-000004000000}"/>
    <cellStyle name="Normal 3" xfId="8" xr:uid="{00000000-0005-0000-0000-000005000000}"/>
    <cellStyle name="Normal 4_IF" xfId="4" xr:uid="{00000000-0005-0000-0000-000006000000}"/>
    <cellStyle name="Normal 4_LD" xfId="9" xr:uid="{37985702-313D-4E93-8D72-080A66847B69}"/>
    <cellStyle name="Normal 4_TG" xfId="3"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77029</xdr:colOff>
      <xdr:row>100</xdr:row>
      <xdr:rowOff>128381</xdr:rowOff>
    </xdr:from>
    <xdr:ext cx="2867219" cy="1672258"/>
    <xdr:pic>
      <xdr:nvPicPr>
        <xdr:cNvPr id="2" name="Picture 5">
          <a:extLst>
            <a:ext uri="{FF2B5EF4-FFF2-40B4-BE49-F238E27FC236}">
              <a16:creationId xmlns:a16="http://schemas.microsoft.com/office/drawing/2014/main" id="{784C27B6-38FB-4C56-974D-FACE151FB1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054" y="15254081"/>
          <a:ext cx="2867219" cy="16722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882098</xdr:colOff>
      <xdr:row>101</xdr:row>
      <xdr:rowOff>29818</xdr:rowOff>
    </xdr:from>
    <xdr:ext cx="2936875" cy="1717675"/>
    <xdr:pic>
      <xdr:nvPicPr>
        <xdr:cNvPr id="3" name="Picture 6">
          <a:extLst>
            <a:ext uri="{FF2B5EF4-FFF2-40B4-BE49-F238E27FC236}">
              <a16:creationId xmlns:a16="http://schemas.microsoft.com/office/drawing/2014/main" id="{17B19CC9-CB84-42EC-8B5D-C837F8CED6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4998" y="18660718"/>
          <a:ext cx="2936875"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3"/>
  <sheetViews>
    <sheetView tabSelected="1" topLeftCell="A70" zoomScaleNormal="100" workbookViewId="0">
      <selection activeCell="A88" sqref="A88"/>
    </sheetView>
  </sheetViews>
  <sheetFormatPr defaultColWidth="9.140625" defaultRowHeight="12.75" x14ac:dyDescent="0.2"/>
  <cols>
    <col min="1" max="1" width="14.42578125" style="1" customWidth="1"/>
    <col min="2" max="2" width="50.2851562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9"/>
      <c r="B1" s="74" t="s">
        <v>1</v>
      </c>
      <c r="C1" s="74"/>
      <c r="D1" s="74"/>
      <c r="E1" s="74"/>
      <c r="F1" s="74"/>
      <c r="G1" s="74"/>
      <c r="H1" s="74"/>
      <c r="I1" s="74"/>
      <c r="J1" s="13"/>
    </row>
    <row r="2" spans="1:10" ht="13.5" x14ac:dyDescent="0.25">
      <c r="A2" s="9"/>
      <c r="B2" s="75" t="s">
        <v>107</v>
      </c>
      <c r="C2" s="75"/>
      <c r="D2" s="75"/>
      <c r="E2" s="75"/>
      <c r="F2" s="75"/>
      <c r="G2" s="75"/>
      <c r="H2" s="75"/>
      <c r="I2" s="75"/>
      <c r="J2" s="13"/>
    </row>
    <row r="3" spans="1:10" ht="12.75" customHeight="1" x14ac:dyDescent="0.25">
      <c r="A3" s="9"/>
      <c r="B3" s="76" t="s">
        <v>135</v>
      </c>
      <c r="C3" s="76"/>
      <c r="D3" s="76"/>
      <c r="E3" s="76"/>
      <c r="F3" s="76"/>
      <c r="G3" s="76"/>
      <c r="H3" s="76"/>
      <c r="I3" s="76"/>
      <c r="J3" s="13"/>
    </row>
    <row r="4" spans="1:10" s="15" customFormat="1" ht="25.5" x14ac:dyDescent="0.2">
      <c r="A4" s="10" t="s">
        <v>44</v>
      </c>
      <c r="B4" s="10" t="s">
        <v>27</v>
      </c>
      <c r="C4" s="14" t="s">
        <v>28</v>
      </c>
      <c r="D4" s="10" t="s">
        <v>0</v>
      </c>
      <c r="E4" s="10" t="s">
        <v>29</v>
      </c>
      <c r="F4" s="10" t="s">
        <v>30</v>
      </c>
      <c r="G4" s="10" t="s">
        <v>31</v>
      </c>
      <c r="H4" s="10" t="s">
        <v>32</v>
      </c>
      <c r="I4" s="10" t="s">
        <v>33</v>
      </c>
      <c r="J4" s="10" t="s">
        <v>158</v>
      </c>
    </row>
    <row r="5" spans="1:10" ht="14.25" x14ac:dyDescent="0.3">
      <c r="A5" s="16"/>
      <c r="B5" s="17" t="s">
        <v>13</v>
      </c>
      <c r="C5" s="16"/>
      <c r="D5" s="18"/>
      <c r="E5" s="19"/>
      <c r="F5" s="19"/>
      <c r="G5" s="20"/>
      <c r="H5" s="21"/>
      <c r="I5" s="22"/>
      <c r="J5" s="11"/>
    </row>
    <row r="6" spans="1:10" ht="14.25" x14ac:dyDescent="0.3">
      <c r="A6" s="23" t="s">
        <v>59</v>
      </c>
      <c r="B6" s="23" t="s">
        <v>60</v>
      </c>
      <c r="C6" s="23" t="s">
        <v>136</v>
      </c>
      <c r="D6" s="24">
        <v>119000</v>
      </c>
      <c r="E6" s="24">
        <v>1663.3820000000001</v>
      </c>
      <c r="F6" s="25">
        <v>5.3066145875919013E-2</v>
      </c>
      <c r="G6" s="26"/>
      <c r="H6" s="26"/>
      <c r="I6" s="22"/>
      <c r="J6" s="11"/>
    </row>
    <row r="7" spans="1:10" ht="14.25" x14ac:dyDescent="0.3">
      <c r="A7" s="23" t="s">
        <v>63</v>
      </c>
      <c r="B7" s="23" t="s">
        <v>64</v>
      </c>
      <c r="C7" s="23" t="s">
        <v>137</v>
      </c>
      <c r="D7" s="24">
        <v>81000</v>
      </c>
      <c r="E7" s="24">
        <v>1529.9280000000001</v>
      </c>
      <c r="F7" s="25">
        <v>4.880862148782001E-2</v>
      </c>
      <c r="G7" s="26"/>
      <c r="H7" s="26"/>
      <c r="I7" s="22"/>
      <c r="J7" s="12"/>
    </row>
    <row r="8" spans="1:10" ht="14.25" x14ac:dyDescent="0.3">
      <c r="A8" s="23" t="s">
        <v>61</v>
      </c>
      <c r="B8" s="23" t="s">
        <v>62</v>
      </c>
      <c r="C8" s="23" t="s">
        <v>136</v>
      </c>
      <c r="D8" s="24">
        <v>150000</v>
      </c>
      <c r="E8" s="24">
        <v>1427.4</v>
      </c>
      <c r="F8" s="25">
        <v>4.5537715704081681E-2</v>
      </c>
      <c r="G8" s="26"/>
      <c r="H8" s="26"/>
      <c r="I8" s="22"/>
      <c r="J8" s="12"/>
    </row>
    <row r="9" spans="1:10" ht="14.25" x14ac:dyDescent="0.3">
      <c r="A9" s="23" t="s">
        <v>58</v>
      </c>
      <c r="B9" s="23" t="s">
        <v>47</v>
      </c>
      <c r="C9" s="23" t="s">
        <v>138</v>
      </c>
      <c r="D9" s="24">
        <v>67000</v>
      </c>
      <c r="E9" s="24">
        <v>1155.2809999999999</v>
      </c>
      <c r="F9" s="25">
        <v>3.6856422682028295E-2</v>
      </c>
      <c r="G9" s="26"/>
      <c r="H9" s="26"/>
      <c r="I9" s="22"/>
      <c r="J9" s="11"/>
    </row>
    <row r="10" spans="1:10" ht="14.25" x14ac:dyDescent="0.3">
      <c r="A10" s="23" t="s">
        <v>65</v>
      </c>
      <c r="B10" s="23" t="s">
        <v>66</v>
      </c>
      <c r="C10" s="23" t="s">
        <v>138</v>
      </c>
      <c r="D10" s="24">
        <v>21000</v>
      </c>
      <c r="E10" s="24">
        <v>1114.155</v>
      </c>
      <c r="F10" s="25">
        <v>3.5544397954519497E-2</v>
      </c>
      <c r="G10" s="26"/>
      <c r="H10" s="26"/>
      <c r="I10" s="22"/>
      <c r="J10" s="11"/>
    </row>
    <row r="11" spans="1:10" ht="14.25" x14ac:dyDescent="0.3">
      <c r="A11" s="23" t="s">
        <v>67</v>
      </c>
      <c r="B11" s="23" t="s">
        <v>68</v>
      </c>
      <c r="C11" s="23" t="s">
        <v>139</v>
      </c>
      <c r="D11" s="24">
        <v>97000</v>
      </c>
      <c r="E11" s="24">
        <v>851.5145</v>
      </c>
      <c r="F11" s="25">
        <v>2.7165493357785668E-2</v>
      </c>
      <c r="G11" s="26"/>
      <c r="H11" s="26"/>
      <c r="I11" s="22"/>
      <c r="J11" s="12"/>
    </row>
    <row r="12" spans="1:10" ht="14.25" x14ac:dyDescent="0.3">
      <c r="A12" s="23" t="s">
        <v>54</v>
      </c>
      <c r="B12" s="23" t="s">
        <v>55</v>
      </c>
      <c r="C12" s="23" t="s">
        <v>140</v>
      </c>
      <c r="D12" s="24">
        <v>63000</v>
      </c>
      <c r="E12" s="24">
        <v>760.41</v>
      </c>
      <c r="F12" s="25">
        <v>2.4259026480692693E-2</v>
      </c>
      <c r="G12" s="26"/>
      <c r="H12" s="26"/>
      <c r="I12" s="22"/>
      <c r="J12" s="12"/>
    </row>
    <row r="13" spans="1:10" ht="14.25" x14ac:dyDescent="0.3">
      <c r="A13" s="23" t="s">
        <v>69</v>
      </c>
      <c r="B13" s="23" t="s">
        <v>70</v>
      </c>
      <c r="C13" s="23" t="s">
        <v>71</v>
      </c>
      <c r="D13" s="24">
        <v>20300</v>
      </c>
      <c r="E13" s="24">
        <v>731.00300000000004</v>
      </c>
      <c r="F13" s="25">
        <v>2.3320867866632213E-2</v>
      </c>
      <c r="G13" s="26"/>
      <c r="H13" s="26"/>
      <c r="I13" s="22"/>
      <c r="J13" s="12"/>
    </row>
    <row r="14" spans="1:10" ht="14.25" x14ac:dyDescent="0.3">
      <c r="A14" s="23" t="s">
        <v>75</v>
      </c>
      <c r="B14" s="23" t="s">
        <v>76</v>
      </c>
      <c r="C14" s="23" t="s">
        <v>141</v>
      </c>
      <c r="D14" s="24">
        <v>21000</v>
      </c>
      <c r="E14" s="24">
        <v>688.08600000000001</v>
      </c>
      <c r="F14" s="25">
        <v>2.1951705652205934E-2</v>
      </c>
      <c r="G14" s="26"/>
      <c r="H14" s="26"/>
      <c r="I14" s="22"/>
      <c r="J14" s="12"/>
    </row>
    <row r="15" spans="1:10" ht="14.25" x14ac:dyDescent="0.3">
      <c r="A15" s="23" t="s">
        <v>108</v>
      </c>
      <c r="B15" s="23" t="s">
        <v>109</v>
      </c>
      <c r="C15" s="23" t="s">
        <v>142</v>
      </c>
      <c r="D15" s="24">
        <v>93465</v>
      </c>
      <c r="E15" s="24">
        <v>648.92749500000002</v>
      </c>
      <c r="F15" s="25">
        <v>2.0702449054134712E-2</v>
      </c>
      <c r="G15" s="26"/>
      <c r="H15" s="26"/>
      <c r="I15" s="22"/>
      <c r="J15" s="11"/>
    </row>
    <row r="16" spans="1:10" ht="14.25" x14ac:dyDescent="0.3">
      <c r="A16" s="23" t="s">
        <v>110</v>
      </c>
      <c r="B16" s="23" t="s">
        <v>111</v>
      </c>
      <c r="C16" s="23" t="s">
        <v>143</v>
      </c>
      <c r="D16" s="24">
        <v>85835</v>
      </c>
      <c r="E16" s="24">
        <v>646.55213749999996</v>
      </c>
      <c r="F16" s="25">
        <v>2.0626669066373355E-2</v>
      </c>
      <c r="G16" s="26"/>
      <c r="H16" s="26"/>
      <c r="I16" s="22"/>
      <c r="J16" s="12"/>
    </row>
    <row r="17" spans="1:10" ht="14.25" x14ac:dyDescent="0.3">
      <c r="A17" s="23" t="s">
        <v>39</v>
      </c>
      <c r="B17" s="23" t="s">
        <v>12</v>
      </c>
      <c r="C17" s="23" t="s">
        <v>144</v>
      </c>
      <c r="D17" s="24">
        <v>16500</v>
      </c>
      <c r="E17" s="24">
        <v>631.32299999999998</v>
      </c>
      <c r="F17" s="25">
        <v>2.0140820576886619E-2</v>
      </c>
      <c r="G17" s="26"/>
      <c r="H17" s="26"/>
      <c r="I17" s="22"/>
      <c r="J17" s="12"/>
    </row>
    <row r="18" spans="1:10" ht="14.25" x14ac:dyDescent="0.3">
      <c r="A18" s="23" t="s">
        <v>37</v>
      </c>
      <c r="B18" s="23" t="s">
        <v>11</v>
      </c>
      <c r="C18" s="23" t="s">
        <v>72</v>
      </c>
      <c r="D18" s="24">
        <v>68500</v>
      </c>
      <c r="E18" s="24">
        <v>624.37750000000005</v>
      </c>
      <c r="F18" s="25">
        <v>1.9919241338815511E-2</v>
      </c>
      <c r="G18" s="26"/>
      <c r="H18" s="26"/>
      <c r="I18" s="22"/>
      <c r="J18" s="12"/>
    </row>
    <row r="19" spans="1:10" ht="14.25" x14ac:dyDescent="0.3">
      <c r="A19" s="23" t="s">
        <v>45</v>
      </c>
      <c r="B19" s="23" t="s">
        <v>46</v>
      </c>
      <c r="C19" s="23" t="s">
        <v>145</v>
      </c>
      <c r="D19" s="24">
        <v>29500</v>
      </c>
      <c r="E19" s="24">
        <v>618.37900000000002</v>
      </c>
      <c r="F19" s="25">
        <v>1.9727873826099428E-2</v>
      </c>
      <c r="G19" s="26"/>
      <c r="H19" s="26"/>
      <c r="I19" s="22"/>
      <c r="J19" s="12"/>
    </row>
    <row r="20" spans="1:10" ht="14.25" x14ac:dyDescent="0.3">
      <c r="A20" s="23" t="s">
        <v>85</v>
      </c>
      <c r="B20" s="23" t="s">
        <v>86</v>
      </c>
      <c r="C20" s="23" t="s">
        <v>139</v>
      </c>
      <c r="D20" s="24">
        <v>99000</v>
      </c>
      <c r="E20" s="24">
        <v>574.44749999999999</v>
      </c>
      <c r="F20" s="25">
        <v>1.8326346463444349E-2</v>
      </c>
      <c r="G20" s="26"/>
      <c r="H20" s="26"/>
      <c r="I20" s="22"/>
      <c r="J20" s="11"/>
    </row>
    <row r="21" spans="1:10" ht="14.25" x14ac:dyDescent="0.3">
      <c r="A21" s="23" t="s">
        <v>73</v>
      </c>
      <c r="B21" s="23" t="s">
        <v>74</v>
      </c>
      <c r="C21" s="23" t="s">
        <v>146</v>
      </c>
      <c r="D21" s="24">
        <v>10000</v>
      </c>
      <c r="E21" s="24">
        <v>564.6</v>
      </c>
      <c r="F21" s="25">
        <v>1.8012185993081489E-2</v>
      </c>
      <c r="G21" s="26"/>
      <c r="H21" s="26"/>
      <c r="I21" s="22"/>
      <c r="J21" s="12"/>
    </row>
    <row r="22" spans="1:10" ht="14.25" x14ac:dyDescent="0.3">
      <c r="A22" s="23" t="s">
        <v>79</v>
      </c>
      <c r="B22" s="23" t="s">
        <v>80</v>
      </c>
      <c r="C22" s="23" t="s">
        <v>147</v>
      </c>
      <c r="D22" s="24">
        <v>41950</v>
      </c>
      <c r="E22" s="24">
        <v>528.61194999999998</v>
      </c>
      <c r="F22" s="25">
        <v>1.6864075029340227E-2</v>
      </c>
      <c r="G22" s="26"/>
      <c r="H22" s="26"/>
      <c r="I22" s="22"/>
      <c r="J22" s="12"/>
    </row>
    <row r="23" spans="1:10" ht="14.25" x14ac:dyDescent="0.3">
      <c r="A23" s="23" t="s">
        <v>112</v>
      </c>
      <c r="B23" s="23" t="s">
        <v>113</v>
      </c>
      <c r="C23" s="23" t="s">
        <v>148</v>
      </c>
      <c r="D23" s="24">
        <v>135000</v>
      </c>
      <c r="E23" s="24">
        <v>515.02499999999998</v>
      </c>
      <c r="F23" s="25">
        <v>1.6430616526898326E-2</v>
      </c>
      <c r="G23" s="26"/>
      <c r="H23" s="26"/>
      <c r="I23" s="22"/>
      <c r="J23" s="12"/>
    </row>
    <row r="24" spans="1:10" ht="14.25" x14ac:dyDescent="0.3">
      <c r="A24" s="23" t="s">
        <v>81</v>
      </c>
      <c r="B24" s="23" t="s">
        <v>82</v>
      </c>
      <c r="C24" s="23" t="s">
        <v>149</v>
      </c>
      <c r="D24" s="24">
        <v>18000</v>
      </c>
      <c r="E24" s="24">
        <v>513.45000000000005</v>
      </c>
      <c r="F24" s="25">
        <v>1.6380369993176921E-2</v>
      </c>
      <c r="G24" s="26"/>
      <c r="H24" s="26"/>
      <c r="I24" s="22"/>
      <c r="J24" s="12"/>
    </row>
    <row r="25" spans="1:10" ht="14.25" x14ac:dyDescent="0.3">
      <c r="A25" s="23" t="s">
        <v>42</v>
      </c>
      <c r="B25" s="23" t="s">
        <v>17</v>
      </c>
      <c r="C25" s="23" t="s">
        <v>142</v>
      </c>
      <c r="D25" s="24">
        <v>15000</v>
      </c>
      <c r="E25" s="24">
        <v>510.3</v>
      </c>
      <c r="F25" s="25">
        <v>1.627987692573412E-2</v>
      </c>
      <c r="G25" s="26"/>
      <c r="H25" s="26"/>
      <c r="I25" s="22"/>
      <c r="J25" s="11"/>
    </row>
    <row r="26" spans="1:10" ht="14.25" x14ac:dyDescent="0.3">
      <c r="A26" s="23" t="s">
        <v>89</v>
      </c>
      <c r="B26" s="23" t="s">
        <v>90</v>
      </c>
      <c r="C26" s="23" t="s">
        <v>141</v>
      </c>
      <c r="D26" s="24">
        <v>15900</v>
      </c>
      <c r="E26" s="24">
        <v>508.72050000000002</v>
      </c>
      <c r="F26" s="25">
        <v>1.6229486830487798E-2</v>
      </c>
      <c r="G26" s="26"/>
      <c r="H26" s="26"/>
      <c r="I26" s="22"/>
      <c r="J26" s="12"/>
    </row>
    <row r="27" spans="1:10" ht="14.25" x14ac:dyDescent="0.3">
      <c r="A27" s="23" t="s">
        <v>114</v>
      </c>
      <c r="B27" s="23" t="s">
        <v>115</v>
      </c>
      <c r="C27" s="23" t="s">
        <v>136</v>
      </c>
      <c r="D27" s="24">
        <v>62000</v>
      </c>
      <c r="E27" s="24">
        <v>497.55</v>
      </c>
      <c r="F27" s="25">
        <v>1.5873119271798963E-2</v>
      </c>
      <c r="G27" s="26"/>
      <c r="H27" s="26"/>
      <c r="I27" s="22"/>
      <c r="J27" s="11"/>
    </row>
    <row r="28" spans="1:10" ht="14.25" x14ac:dyDescent="0.3">
      <c r="A28" s="23" t="s">
        <v>87</v>
      </c>
      <c r="B28" s="23" t="s">
        <v>88</v>
      </c>
      <c r="C28" s="23" t="s">
        <v>147</v>
      </c>
      <c r="D28" s="24">
        <v>13702</v>
      </c>
      <c r="E28" s="24">
        <v>487.76379600000001</v>
      </c>
      <c r="F28" s="25">
        <v>1.5560914300820858E-2</v>
      </c>
      <c r="G28" s="26"/>
      <c r="H28" s="26"/>
      <c r="I28" s="22"/>
      <c r="J28" s="12"/>
    </row>
    <row r="29" spans="1:10" ht="14.25" x14ac:dyDescent="0.3">
      <c r="A29" s="23" t="s">
        <v>116</v>
      </c>
      <c r="B29" s="23" t="s">
        <v>117</v>
      </c>
      <c r="C29" s="23" t="s">
        <v>140</v>
      </c>
      <c r="D29" s="24">
        <v>26650</v>
      </c>
      <c r="E29" s="24">
        <v>471.91820000000001</v>
      </c>
      <c r="F29" s="25">
        <v>1.50553992063766E-2</v>
      </c>
      <c r="G29" s="26"/>
      <c r="H29" s="26"/>
      <c r="I29" s="22"/>
      <c r="J29" s="11"/>
    </row>
    <row r="30" spans="1:10" ht="14.25" x14ac:dyDescent="0.3">
      <c r="A30" s="23" t="s">
        <v>40</v>
      </c>
      <c r="B30" s="23" t="s">
        <v>15</v>
      </c>
      <c r="C30" s="23" t="s">
        <v>145</v>
      </c>
      <c r="D30" s="24">
        <v>55000</v>
      </c>
      <c r="E30" s="24">
        <v>471.51499999999999</v>
      </c>
      <c r="F30" s="25">
        <v>1.5042536093743921E-2</v>
      </c>
      <c r="G30" s="26"/>
      <c r="H30" s="26"/>
      <c r="I30" s="22"/>
      <c r="J30" s="11"/>
    </row>
    <row r="31" spans="1:10" ht="14.25" x14ac:dyDescent="0.3">
      <c r="A31" s="23" t="s">
        <v>91</v>
      </c>
      <c r="B31" s="23" t="s">
        <v>92</v>
      </c>
      <c r="C31" s="23" t="s">
        <v>150</v>
      </c>
      <c r="D31" s="24">
        <v>35900</v>
      </c>
      <c r="E31" s="24">
        <v>471.29520000000002</v>
      </c>
      <c r="F31" s="25">
        <v>1.5035523910815691E-2</v>
      </c>
      <c r="G31" s="26"/>
      <c r="H31" s="26"/>
      <c r="I31" s="22"/>
      <c r="J31" s="11"/>
    </row>
    <row r="32" spans="1:10" ht="14.25" x14ac:dyDescent="0.3">
      <c r="A32" s="23" t="s">
        <v>93</v>
      </c>
      <c r="B32" s="23" t="s">
        <v>94</v>
      </c>
      <c r="C32" s="23" t="s">
        <v>151</v>
      </c>
      <c r="D32" s="24">
        <v>150000</v>
      </c>
      <c r="E32" s="24">
        <v>470.92500000000001</v>
      </c>
      <c r="F32" s="25">
        <v>1.5023713582699079E-2</v>
      </c>
      <c r="G32" s="26"/>
      <c r="H32" s="26"/>
      <c r="I32" s="22"/>
      <c r="J32" s="11"/>
    </row>
    <row r="33" spans="1:10" ht="14.25" x14ac:dyDescent="0.3">
      <c r="A33" s="23" t="s">
        <v>52</v>
      </c>
      <c r="B33" s="23" t="s">
        <v>53</v>
      </c>
      <c r="C33" s="23" t="s">
        <v>152</v>
      </c>
      <c r="D33" s="24">
        <v>42000</v>
      </c>
      <c r="E33" s="24">
        <v>464.81400000000002</v>
      </c>
      <c r="F33" s="25">
        <v>1.482875703186004E-2</v>
      </c>
      <c r="G33" s="26"/>
      <c r="H33" s="26"/>
      <c r="I33" s="22"/>
      <c r="J33" s="12"/>
    </row>
    <row r="34" spans="1:10" ht="14.25" x14ac:dyDescent="0.3">
      <c r="A34" s="23" t="s">
        <v>95</v>
      </c>
      <c r="B34" s="23" t="s">
        <v>96</v>
      </c>
      <c r="C34" s="23" t="s">
        <v>144</v>
      </c>
      <c r="D34" s="24">
        <v>6510</v>
      </c>
      <c r="E34" s="24">
        <v>461.6241</v>
      </c>
      <c r="F34" s="25">
        <v>1.4726991052229629E-2</v>
      </c>
      <c r="G34" s="26"/>
      <c r="H34" s="26"/>
      <c r="I34" s="22"/>
      <c r="J34" s="11"/>
    </row>
    <row r="35" spans="1:10" ht="14.25" x14ac:dyDescent="0.3">
      <c r="A35" s="23" t="s">
        <v>103</v>
      </c>
      <c r="B35" s="23" t="s">
        <v>104</v>
      </c>
      <c r="C35" s="23" t="s">
        <v>151</v>
      </c>
      <c r="D35" s="24">
        <v>8700</v>
      </c>
      <c r="E35" s="24">
        <v>460.92599999999999</v>
      </c>
      <c r="F35" s="25">
        <v>1.4704719874330639E-2</v>
      </c>
      <c r="G35" s="26"/>
      <c r="H35" s="26"/>
      <c r="I35" s="22"/>
      <c r="J35" s="12"/>
    </row>
    <row r="36" spans="1:10" ht="14.25" x14ac:dyDescent="0.3">
      <c r="A36" s="23" t="s">
        <v>83</v>
      </c>
      <c r="B36" s="23" t="s">
        <v>84</v>
      </c>
      <c r="C36" s="23" t="s">
        <v>148</v>
      </c>
      <c r="D36" s="24">
        <v>3600</v>
      </c>
      <c r="E36" s="24">
        <v>455.04</v>
      </c>
      <c r="F36" s="25">
        <v>1.4516941399737514E-2</v>
      </c>
      <c r="G36" s="26"/>
      <c r="H36" s="26"/>
      <c r="I36" s="22"/>
      <c r="J36" s="12"/>
    </row>
    <row r="37" spans="1:10" ht="14.25" x14ac:dyDescent="0.3">
      <c r="A37" s="23" t="s">
        <v>35</v>
      </c>
      <c r="B37" s="23" t="s">
        <v>14</v>
      </c>
      <c r="C37" s="23" t="s">
        <v>153</v>
      </c>
      <c r="D37" s="24">
        <v>2700</v>
      </c>
      <c r="E37" s="24">
        <v>450.63</v>
      </c>
      <c r="F37" s="25">
        <v>1.4376251105317589E-2</v>
      </c>
      <c r="G37" s="26"/>
      <c r="H37" s="26"/>
      <c r="I37" s="22"/>
      <c r="J37" s="12"/>
    </row>
    <row r="38" spans="1:10" ht="14.25" x14ac:dyDescent="0.3">
      <c r="A38" s="23" t="s">
        <v>50</v>
      </c>
      <c r="B38" s="23" t="s">
        <v>51</v>
      </c>
      <c r="C38" s="23" t="s">
        <v>153</v>
      </c>
      <c r="D38" s="24">
        <v>6199</v>
      </c>
      <c r="E38" s="24">
        <v>450.51232499999998</v>
      </c>
      <c r="F38" s="25">
        <v>1.4372496971440977E-2</v>
      </c>
      <c r="G38" s="26"/>
      <c r="H38" s="26"/>
      <c r="I38" s="22"/>
      <c r="J38" s="12"/>
    </row>
    <row r="39" spans="1:10" ht="14.25" x14ac:dyDescent="0.3">
      <c r="A39" s="23" t="s">
        <v>36</v>
      </c>
      <c r="B39" s="23" t="s">
        <v>9</v>
      </c>
      <c r="C39" s="23" t="s">
        <v>154</v>
      </c>
      <c r="D39" s="24">
        <v>62000</v>
      </c>
      <c r="E39" s="24">
        <v>450.02699999999999</v>
      </c>
      <c r="F39" s="25">
        <v>1.4357013860978539E-2</v>
      </c>
      <c r="G39" s="26"/>
      <c r="H39" s="26"/>
      <c r="I39" s="22"/>
      <c r="J39" s="12"/>
    </row>
    <row r="40" spans="1:10" ht="14.25" x14ac:dyDescent="0.3">
      <c r="A40" s="23" t="s">
        <v>118</v>
      </c>
      <c r="B40" s="23" t="s">
        <v>119</v>
      </c>
      <c r="C40" s="23" t="s">
        <v>155</v>
      </c>
      <c r="D40" s="24">
        <v>120351</v>
      </c>
      <c r="E40" s="24">
        <v>444.576594</v>
      </c>
      <c r="F40" s="25">
        <v>1.4183131950582139E-2</v>
      </c>
      <c r="G40" s="26"/>
      <c r="H40" s="26"/>
      <c r="I40" s="22"/>
      <c r="J40" s="12"/>
    </row>
    <row r="41" spans="1:10" ht="14.25" x14ac:dyDescent="0.3">
      <c r="A41" s="23" t="s">
        <v>77</v>
      </c>
      <c r="B41" s="23" t="s">
        <v>78</v>
      </c>
      <c r="C41" s="23" t="s">
        <v>149</v>
      </c>
      <c r="D41" s="24">
        <v>90000</v>
      </c>
      <c r="E41" s="24">
        <v>438.435</v>
      </c>
      <c r="F41" s="25">
        <v>1.3987199372789024E-2</v>
      </c>
      <c r="G41" s="26"/>
      <c r="H41" s="26"/>
      <c r="I41" s="22"/>
      <c r="J41" s="12"/>
    </row>
    <row r="42" spans="1:10" ht="14.25" x14ac:dyDescent="0.3">
      <c r="A42" s="23" t="s">
        <v>120</v>
      </c>
      <c r="B42" s="23" t="s">
        <v>121</v>
      </c>
      <c r="C42" s="23" t="s">
        <v>156</v>
      </c>
      <c r="D42" s="24">
        <v>27299</v>
      </c>
      <c r="E42" s="24">
        <v>437.38457799999998</v>
      </c>
      <c r="F42" s="25">
        <v>1.3953688220760641E-2</v>
      </c>
      <c r="G42" s="26"/>
      <c r="H42" s="26"/>
      <c r="I42" s="22"/>
      <c r="J42" s="12"/>
    </row>
    <row r="43" spans="1:10" ht="14.25" x14ac:dyDescent="0.3">
      <c r="A43" s="23" t="s">
        <v>105</v>
      </c>
      <c r="B43" s="23" t="s">
        <v>106</v>
      </c>
      <c r="C43" s="23" t="s">
        <v>139</v>
      </c>
      <c r="D43" s="24">
        <v>79000</v>
      </c>
      <c r="E43" s="24">
        <v>430.58949999999999</v>
      </c>
      <c r="F43" s="25">
        <v>1.3736907829734258E-2</v>
      </c>
      <c r="G43" s="26"/>
      <c r="H43" s="26"/>
      <c r="I43" s="22"/>
      <c r="J43" s="12"/>
    </row>
    <row r="44" spans="1:10" ht="14.25" x14ac:dyDescent="0.3">
      <c r="A44" s="23" t="s">
        <v>57</v>
      </c>
      <c r="B44" s="23" t="s">
        <v>56</v>
      </c>
      <c r="C44" s="23" t="s">
        <v>139</v>
      </c>
      <c r="D44" s="24">
        <v>55000</v>
      </c>
      <c r="E44" s="24">
        <v>428.01</v>
      </c>
      <c r="F44" s="25">
        <v>1.3654615173394984E-2</v>
      </c>
      <c r="G44" s="26"/>
      <c r="H44" s="26"/>
      <c r="I44" s="22"/>
      <c r="J44" s="12"/>
    </row>
    <row r="45" spans="1:10" ht="14.25" x14ac:dyDescent="0.3">
      <c r="A45" s="23" t="s">
        <v>122</v>
      </c>
      <c r="B45" s="23" t="s">
        <v>123</v>
      </c>
      <c r="C45" s="23" t="s">
        <v>144</v>
      </c>
      <c r="D45" s="24">
        <v>18134</v>
      </c>
      <c r="E45" s="24">
        <v>404.75088</v>
      </c>
      <c r="F45" s="25">
        <v>1.2912589676626649E-2</v>
      </c>
      <c r="G45" s="26"/>
      <c r="H45" s="26"/>
      <c r="I45" s="22"/>
      <c r="J45" s="12"/>
    </row>
    <row r="46" spans="1:10" ht="14.25" x14ac:dyDescent="0.3">
      <c r="A46" s="23" t="s">
        <v>34</v>
      </c>
      <c r="B46" s="23" t="s">
        <v>8</v>
      </c>
      <c r="C46" s="23" t="s">
        <v>145</v>
      </c>
      <c r="D46" s="24">
        <v>7350</v>
      </c>
      <c r="E46" s="24">
        <v>401.53050000000002</v>
      </c>
      <c r="F46" s="25">
        <v>1.2809851306934125E-2</v>
      </c>
      <c r="G46" s="26"/>
      <c r="H46" s="26"/>
      <c r="I46" s="22"/>
      <c r="J46" s="11"/>
    </row>
    <row r="47" spans="1:10" ht="14.25" x14ac:dyDescent="0.3">
      <c r="A47" s="23" t="s">
        <v>124</v>
      </c>
      <c r="B47" s="23" t="s">
        <v>125</v>
      </c>
      <c r="C47" s="23" t="s">
        <v>138</v>
      </c>
      <c r="D47" s="24">
        <v>26000</v>
      </c>
      <c r="E47" s="24">
        <v>385.16399999999999</v>
      </c>
      <c r="F47" s="25">
        <v>1.2287718040806302E-2</v>
      </c>
      <c r="G47" s="26"/>
      <c r="H47" s="26"/>
      <c r="I47" s="22"/>
      <c r="J47" s="11"/>
    </row>
    <row r="48" spans="1:10" ht="14.25" x14ac:dyDescent="0.3">
      <c r="A48" s="23" t="s">
        <v>97</v>
      </c>
      <c r="B48" s="23" t="s">
        <v>98</v>
      </c>
      <c r="C48" s="23" t="s">
        <v>153</v>
      </c>
      <c r="D48" s="24">
        <v>28000</v>
      </c>
      <c r="E48" s="24">
        <v>384.72</v>
      </c>
      <c r="F48" s="25">
        <v>1.2273553303681031E-2</v>
      </c>
      <c r="G48" s="26"/>
      <c r="H48" s="26"/>
      <c r="I48" s="22"/>
      <c r="J48" s="12"/>
    </row>
    <row r="49" spans="1:10" ht="14.25" x14ac:dyDescent="0.3">
      <c r="A49" s="23" t="s">
        <v>126</v>
      </c>
      <c r="B49" s="23" t="s">
        <v>127</v>
      </c>
      <c r="C49" s="23" t="s">
        <v>147</v>
      </c>
      <c r="D49" s="24">
        <v>20199</v>
      </c>
      <c r="E49" s="24">
        <v>382.20547800000003</v>
      </c>
      <c r="F49" s="25">
        <v>1.2193333611956457E-2</v>
      </c>
      <c r="G49" s="26"/>
      <c r="H49" s="26"/>
      <c r="I49" s="22"/>
      <c r="J49" s="11"/>
    </row>
    <row r="50" spans="1:10" ht="14.25" x14ac:dyDescent="0.3">
      <c r="A50" s="23" t="s">
        <v>128</v>
      </c>
      <c r="B50" s="23" t="s">
        <v>129</v>
      </c>
      <c r="C50" s="23" t="s">
        <v>146</v>
      </c>
      <c r="D50" s="24">
        <v>81000</v>
      </c>
      <c r="E50" s="24">
        <v>379.12049999999999</v>
      </c>
      <c r="F50" s="25">
        <v>1.2094914912841039E-2</v>
      </c>
      <c r="G50" s="26"/>
      <c r="H50" s="26"/>
      <c r="I50" s="22"/>
      <c r="J50" s="12"/>
    </row>
    <row r="51" spans="1:10" ht="14.25" x14ac:dyDescent="0.3">
      <c r="A51" s="23" t="s">
        <v>38</v>
      </c>
      <c r="B51" s="23" t="s">
        <v>10</v>
      </c>
      <c r="C51" s="23" t="s">
        <v>147</v>
      </c>
      <c r="D51" s="24">
        <v>26000</v>
      </c>
      <c r="E51" s="24">
        <v>359.94400000000002</v>
      </c>
      <c r="F51" s="25">
        <v>1.1483135450042018E-2</v>
      </c>
      <c r="G51" s="26"/>
      <c r="H51" s="26"/>
      <c r="I51" s="22"/>
      <c r="J51" s="11"/>
    </row>
    <row r="52" spans="1:10" ht="14.25" x14ac:dyDescent="0.3">
      <c r="A52" s="23" t="s">
        <v>48</v>
      </c>
      <c r="B52" s="23" t="s">
        <v>49</v>
      </c>
      <c r="C52" s="23" t="s">
        <v>142</v>
      </c>
      <c r="D52" s="24">
        <v>12849</v>
      </c>
      <c r="E52" s="24">
        <v>357.09940799999998</v>
      </c>
      <c r="F52" s="25">
        <v>1.1392385679977492E-2</v>
      </c>
      <c r="G52" s="26"/>
      <c r="H52" s="26"/>
      <c r="I52" s="22"/>
      <c r="J52" s="12"/>
    </row>
    <row r="53" spans="1:10" ht="14.25" x14ac:dyDescent="0.3">
      <c r="A53" s="23" t="s">
        <v>130</v>
      </c>
      <c r="B53" s="23" t="s">
        <v>131</v>
      </c>
      <c r="C53" s="23" t="s">
        <v>142</v>
      </c>
      <c r="D53" s="24">
        <v>10500</v>
      </c>
      <c r="E53" s="24">
        <v>354.36450000000002</v>
      </c>
      <c r="F53" s="25">
        <v>1.1305135110423884E-2</v>
      </c>
      <c r="G53" s="26"/>
      <c r="H53" s="26"/>
      <c r="I53" s="22"/>
      <c r="J53" s="11"/>
    </row>
    <row r="54" spans="1:10" ht="14.25" x14ac:dyDescent="0.3">
      <c r="A54" s="23" t="s">
        <v>101</v>
      </c>
      <c r="B54" s="23" t="s">
        <v>102</v>
      </c>
      <c r="C54" s="23" t="s">
        <v>157</v>
      </c>
      <c r="D54" s="24">
        <v>47000</v>
      </c>
      <c r="E54" s="24">
        <v>347.3535</v>
      </c>
      <c r="F54" s="25">
        <v>1.1081466254601189E-2</v>
      </c>
      <c r="G54" s="26"/>
      <c r="H54" s="26"/>
      <c r="I54" s="22"/>
      <c r="J54" s="12"/>
    </row>
    <row r="55" spans="1:10" ht="14.25" x14ac:dyDescent="0.3">
      <c r="A55" s="23" t="s">
        <v>132</v>
      </c>
      <c r="B55" s="23" t="s">
        <v>133</v>
      </c>
      <c r="C55" s="23" t="s">
        <v>141</v>
      </c>
      <c r="D55" s="24">
        <v>6500</v>
      </c>
      <c r="E55" s="24">
        <v>330.70049999999998</v>
      </c>
      <c r="F55" s="25">
        <v>1.0550192904720236E-2</v>
      </c>
      <c r="G55" s="26"/>
      <c r="H55" s="26"/>
      <c r="I55" s="22"/>
      <c r="J55" s="12"/>
    </row>
    <row r="56" spans="1:10" ht="14.25" x14ac:dyDescent="0.3">
      <c r="A56" s="23" t="s">
        <v>99</v>
      </c>
      <c r="B56" s="23" t="s">
        <v>100</v>
      </c>
      <c r="C56" s="23" t="s">
        <v>151</v>
      </c>
      <c r="D56" s="24">
        <v>6800</v>
      </c>
      <c r="E56" s="24">
        <v>323.38080000000002</v>
      </c>
      <c r="F56" s="25">
        <v>1.0316675728288144E-2</v>
      </c>
      <c r="G56" s="26"/>
      <c r="H56" s="26"/>
      <c r="I56" s="22"/>
      <c r="J56" s="11"/>
    </row>
    <row r="57" spans="1:10" ht="14.25" x14ac:dyDescent="0.3">
      <c r="A57" s="23" t="s">
        <v>41</v>
      </c>
      <c r="B57" s="23" t="s">
        <v>16</v>
      </c>
      <c r="C57" s="23" t="s">
        <v>143</v>
      </c>
      <c r="D57" s="24">
        <v>5100</v>
      </c>
      <c r="E57" s="24">
        <v>312.27300000000002</v>
      </c>
      <c r="F57" s="25">
        <v>9.9623084601798365E-3</v>
      </c>
      <c r="G57" s="26"/>
      <c r="H57" s="26"/>
      <c r="I57" s="22"/>
      <c r="J57" s="12"/>
    </row>
    <row r="58" spans="1:10" ht="14.25" x14ac:dyDescent="0.3">
      <c r="A58" s="23" t="s">
        <v>43</v>
      </c>
      <c r="B58" s="23" t="s">
        <v>18</v>
      </c>
      <c r="C58" s="23" t="s">
        <v>142</v>
      </c>
      <c r="D58" s="24">
        <v>9393</v>
      </c>
      <c r="E58" s="24">
        <v>301.28986800000001</v>
      </c>
      <c r="F58" s="25">
        <v>9.6119184205578651E-3</v>
      </c>
      <c r="G58" s="26"/>
      <c r="H58" s="26"/>
      <c r="I58" s="22"/>
      <c r="J58" s="12"/>
    </row>
    <row r="59" spans="1:10" ht="14.25" x14ac:dyDescent="0.3">
      <c r="A59" s="27"/>
      <c r="B59" s="17" t="s">
        <v>3</v>
      </c>
      <c r="C59" s="27"/>
      <c r="D59" s="28"/>
      <c r="E59" s="29">
        <f>SUM(E6:E58)</f>
        <v>30073.306809499998</v>
      </c>
      <c r="F59" s="30">
        <f>E59/$E$86</f>
        <v>0.95941550775720519</v>
      </c>
      <c r="G59" s="31"/>
      <c r="H59" s="32"/>
      <c r="I59" s="22"/>
      <c r="J59" s="12"/>
    </row>
    <row r="60" spans="1:10" ht="14.25" x14ac:dyDescent="0.3">
      <c r="A60" s="23"/>
      <c r="B60" s="23"/>
      <c r="C60" s="23"/>
      <c r="D60" s="24"/>
      <c r="E60" s="24"/>
      <c r="F60" s="25"/>
      <c r="G60" s="26"/>
      <c r="H60" s="26"/>
      <c r="I60" s="22"/>
      <c r="J60" s="12"/>
    </row>
    <row r="61" spans="1:10" ht="14.25" x14ac:dyDescent="0.3">
      <c r="A61" s="16"/>
      <c r="B61" s="17" t="s">
        <v>20</v>
      </c>
      <c r="C61" s="16"/>
      <c r="D61" s="16"/>
      <c r="E61" s="16"/>
      <c r="F61" s="33"/>
      <c r="G61" s="34"/>
      <c r="H61" s="16"/>
      <c r="I61" s="22"/>
      <c r="J61" s="12"/>
    </row>
    <row r="62" spans="1:10" ht="14.25" x14ac:dyDescent="0.3">
      <c r="A62" s="23"/>
      <c r="B62" s="17" t="s">
        <v>21</v>
      </c>
      <c r="C62" s="23"/>
      <c r="D62" s="35"/>
      <c r="E62" s="29" t="s">
        <v>2</v>
      </c>
      <c r="F62" s="36" t="s">
        <v>2</v>
      </c>
      <c r="G62" s="22"/>
      <c r="H62" s="23"/>
      <c r="I62" s="22"/>
      <c r="J62" s="12"/>
    </row>
    <row r="63" spans="1:10" ht="14.25" x14ac:dyDescent="0.3">
      <c r="A63" s="16"/>
      <c r="B63" s="17" t="s">
        <v>19</v>
      </c>
      <c r="C63" s="16"/>
      <c r="D63" s="18"/>
      <c r="E63" s="37" t="s">
        <v>2</v>
      </c>
      <c r="F63" s="30" t="s">
        <v>2</v>
      </c>
      <c r="G63" s="38"/>
      <c r="H63" s="30"/>
      <c r="I63" s="22"/>
      <c r="J63" s="12"/>
    </row>
    <row r="64" spans="1:10" ht="14.25" x14ac:dyDescent="0.3">
      <c r="A64" s="27"/>
      <c r="B64" s="17" t="s">
        <v>4</v>
      </c>
      <c r="C64" s="27"/>
      <c r="D64" s="28"/>
      <c r="E64" s="19" t="s">
        <v>2</v>
      </c>
      <c r="F64" s="19" t="s">
        <v>2</v>
      </c>
      <c r="G64" s="38"/>
      <c r="H64" s="30"/>
      <c r="I64" s="22"/>
      <c r="J64" s="12"/>
    </row>
    <row r="65" spans="1:10" ht="14.25" x14ac:dyDescent="0.3">
      <c r="A65" s="39"/>
      <c r="B65" s="17" t="s">
        <v>19</v>
      </c>
      <c r="C65" s="39"/>
      <c r="D65" s="39"/>
      <c r="E65" s="37" t="s">
        <v>2</v>
      </c>
      <c r="F65" s="30" t="s">
        <v>2</v>
      </c>
      <c r="G65" s="40"/>
      <c r="H65" s="39"/>
      <c r="I65" s="22"/>
      <c r="J65" s="53"/>
    </row>
    <row r="66" spans="1:10" ht="14.25" x14ac:dyDescent="0.3">
      <c r="A66" s="39"/>
      <c r="B66" s="17" t="s">
        <v>22</v>
      </c>
      <c r="C66" s="39"/>
      <c r="D66" s="40"/>
      <c r="E66" s="19" t="s">
        <v>2</v>
      </c>
      <c r="F66" s="19" t="s">
        <v>2</v>
      </c>
      <c r="G66" s="42"/>
      <c r="H66" s="42"/>
      <c r="I66" s="22"/>
      <c r="J66" s="53"/>
    </row>
    <row r="67" spans="1:10" ht="14.25" x14ac:dyDescent="0.3">
      <c r="A67" s="27"/>
      <c r="B67" s="17" t="s">
        <v>19</v>
      </c>
      <c r="C67" s="27"/>
      <c r="D67" s="28"/>
      <c r="E67" s="37" t="s">
        <v>2</v>
      </c>
      <c r="F67" s="30" t="s">
        <v>2</v>
      </c>
      <c r="G67" s="43"/>
      <c r="H67" s="44"/>
      <c r="I67" s="22"/>
      <c r="J67" s="53"/>
    </row>
    <row r="68" spans="1:10" ht="14.25" x14ac:dyDescent="0.3">
      <c r="A68" s="27"/>
      <c r="B68" s="17" t="s">
        <v>23</v>
      </c>
      <c r="C68" s="27"/>
      <c r="D68" s="28"/>
      <c r="E68" s="19" t="s">
        <v>2</v>
      </c>
      <c r="F68" s="19" t="s">
        <v>2</v>
      </c>
      <c r="G68" s="43"/>
      <c r="H68" s="44"/>
      <c r="I68" s="22"/>
      <c r="J68" s="53"/>
    </row>
    <row r="69" spans="1:10" ht="14.25" x14ac:dyDescent="0.3">
      <c r="A69" s="27"/>
      <c r="B69" s="17" t="s">
        <v>19</v>
      </c>
      <c r="C69" s="27"/>
      <c r="D69" s="28"/>
      <c r="E69" s="37" t="s">
        <v>2</v>
      </c>
      <c r="F69" s="30" t="s">
        <v>2</v>
      </c>
      <c r="G69" s="38"/>
      <c r="H69" s="30"/>
      <c r="I69" s="22"/>
      <c r="J69" s="53"/>
    </row>
    <row r="70" spans="1:10" ht="14.25" x14ac:dyDescent="0.3">
      <c r="A70" s="27"/>
      <c r="B70" s="45" t="s">
        <v>3</v>
      </c>
      <c r="C70" s="27"/>
      <c r="D70" s="28"/>
      <c r="E70" s="37" t="s">
        <v>2</v>
      </c>
      <c r="F70" s="30" t="s">
        <v>2</v>
      </c>
      <c r="G70" s="38"/>
      <c r="H70" s="30"/>
      <c r="I70" s="22"/>
      <c r="J70" s="53"/>
    </row>
    <row r="71" spans="1:10" ht="14.25" x14ac:dyDescent="0.3">
      <c r="A71" s="39"/>
      <c r="B71" s="39"/>
      <c r="C71" s="39"/>
      <c r="D71" s="46"/>
      <c r="E71" s="46"/>
      <c r="F71" s="47"/>
      <c r="G71" s="42"/>
      <c r="H71" s="42"/>
      <c r="I71" s="22"/>
      <c r="J71" s="53"/>
    </row>
    <row r="72" spans="1:10" ht="13.5" customHeight="1" x14ac:dyDescent="0.3">
      <c r="A72" s="27"/>
      <c r="B72" s="17" t="s">
        <v>24</v>
      </c>
      <c r="C72" s="27"/>
      <c r="D72" s="28"/>
      <c r="E72" s="48"/>
      <c r="F72" s="36"/>
      <c r="G72" s="38"/>
      <c r="H72" s="30"/>
      <c r="I72" s="22"/>
      <c r="J72" s="53"/>
    </row>
    <row r="73" spans="1:10" ht="13.5" customHeight="1" x14ac:dyDescent="0.3">
      <c r="A73" s="27"/>
      <c r="B73" s="27" t="s">
        <v>3</v>
      </c>
      <c r="C73" s="27"/>
      <c r="D73" s="28"/>
      <c r="E73" s="29" t="s">
        <v>2</v>
      </c>
      <c r="F73" s="30" t="s">
        <v>2</v>
      </c>
      <c r="G73" s="38"/>
      <c r="H73" s="30"/>
      <c r="I73" s="22"/>
      <c r="J73" s="53"/>
    </row>
    <row r="74" spans="1:10" ht="13.5" customHeight="1" x14ac:dyDescent="0.3">
      <c r="A74" s="27"/>
      <c r="B74" s="27"/>
      <c r="C74" s="27"/>
      <c r="D74" s="28"/>
      <c r="E74" s="29"/>
      <c r="F74" s="30"/>
      <c r="G74" s="38"/>
      <c r="H74" s="30"/>
      <c r="I74" s="22"/>
      <c r="J74" s="53"/>
    </row>
    <row r="75" spans="1:10" ht="13.5" customHeight="1" x14ac:dyDescent="0.3">
      <c r="A75" s="27"/>
      <c r="B75" s="71" t="s">
        <v>171</v>
      </c>
      <c r="C75" s="27"/>
      <c r="D75" s="28"/>
      <c r="E75" s="29"/>
      <c r="F75" s="30"/>
      <c r="G75" s="38"/>
      <c r="H75" s="30"/>
      <c r="I75" s="22"/>
      <c r="J75" s="53"/>
    </row>
    <row r="76" spans="1:10" ht="44.25" customHeight="1" x14ac:dyDescent="0.3">
      <c r="A76" s="16" t="s">
        <v>174</v>
      </c>
      <c r="B76" s="65" t="s">
        <v>172</v>
      </c>
      <c r="C76" s="27" t="s">
        <v>141</v>
      </c>
      <c r="D76" s="24">
        <v>84000</v>
      </c>
      <c r="E76" s="24">
        <v>8.4</v>
      </c>
      <c r="F76" s="25">
        <v>2.6798151318080859E-4</v>
      </c>
      <c r="G76" s="38"/>
      <c r="H76" s="30"/>
      <c r="I76" s="22"/>
      <c r="J76" s="53"/>
    </row>
    <row r="77" spans="1:10" ht="13.5" customHeight="1" x14ac:dyDescent="0.3">
      <c r="A77" s="27"/>
      <c r="B77" s="27" t="s">
        <v>3</v>
      </c>
      <c r="C77" s="27"/>
      <c r="D77" s="28"/>
      <c r="E77" s="29">
        <f>E76</f>
        <v>8.4</v>
      </c>
      <c r="F77" s="25">
        <f>F76</f>
        <v>2.6798151318080859E-4</v>
      </c>
      <c r="G77" s="38"/>
      <c r="H77" s="30"/>
      <c r="I77" s="22"/>
      <c r="J77" s="53"/>
    </row>
    <row r="78" spans="1:10" ht="13.5" customHeight="1" x14ac:dyDescent="0.3">
      <c r="A78" s="27"/>
      <c r="B78" s="27"/>
      <c r="C78" s="27"/>
      <c r="D78" s="28"/>
      <c r="E78" s="28"/>
      <c r="F78" s="36"/>
      <c r="G78" s="38"/>
      <c r="H78" s="30"/>
      <c r="I78" s="22"/>
      <c r="J78" s="53"/>
    </row>
    <row r="79" spans="1:10" ht="14.25" x14ac:dyDescent="0.3">
      <c r="A79" s="27"/>
      <c r="B79" s="49" t="s">
        <v>25</v>
      </c>
      <c r="C79" s="27"/>
      <c r="D79" s="28"/>
      <c r="E79" s="28"/>
      <c r="F79" s="36"/>
      <c r="G79" s="38"/>
      <c r="H79" s="30"/>
      <c r="I79" s="22"/>
      <c r="J79" s="53"/>
    </row>
    <row r="80" spans="1:10" ht="14.25" x14ac:dyDescent="0.3">
      <c r="A80" s="23"/>
      <c r="B80" s="23" t="s">
        <v>7</v>
      </c>
      <c r="C80" s="23"/>
      <c r="D80" s="24">
        <v>16231.5299</v>
      </c>
      <c r="E80" s="24">
        <v>1623.15299</v>
      </c>
      <c r="F80" s="25">
        <v>5.1782737426684974E-2</v>
      </c>
      <c r="G80" s="38" t="s">
        <v>134</v>
      </c>
      <c r="H80" s="30"/>
      <c r="I80" s="50">
        <v>5.4047159999999997E-2</v>
      </c>
      <c r="J80" s="53"/>
    </row>
    <row r="81" spans="1:10" ht="14.25" x14ac:dyDescent="0.3">
      <c r="A81" s="27"/>
      <c r="B81" s="49" t="s">
        <v>3</v>
      </c>
      <c r="C81" s="27"/>
      <c r="D81" s="28"/>
      <c r="E81" s="29">
        <v>1623.15299</v>
      </c>
      <c r="F81" s="30">
        <v>5.1782737426684974E-2</v>
      </c>
      <c r="G81" s="38"/>
      <c r="H81" s="30"/>
      <c r="I81" s="22"/>
      <c r="J81" s="53"/>
    </row>
    <row r="82" spans="1:10" ht="14.25" x14ac:dyDescent="0.3">
      <c r="A82" s="27"/>
      <c r="B82" s="49"/>
      <c r="C82" s="27"/>
      <c r="D82" s="28"/>
      <c r="E82" s="28"/>
      <c r="F82" s="36"/>
      <c r="G82" s="38"/>
      <c r="H82" s="30"/>
      <c r="I82" s="22"/>
      <c r="J82" s="53"/>
    </row>
    <row r="83" spans="1:10" ht="14.25" x14ac:dyDescent="0.3">
      <c r="A83" s="27"/>
      <c r="B83" s="49" t="s">
        <v>5</v>
      </c>
      <c r="C83" s="27"/>
      <c r="D83" s="28"/>
      <c r="E83" s="28"/>
      <c r="F83" s="36"/>
      <c r="G83" s="38"/>
      <c r="H83" s="30"/>
      <c r="I83" s="22"/>
      <c r="J83" s="53"/>
    </row>
    <row r="84" spans="1:10" ht="14.25" x14ac:dyDescent="0.3">
      <c r="A84" s="16"/>
      <c r="B84" s="49" t="s">
        <v>6</v>
      </c>
      <c r="C84" s="16"/>
      <c r="D84" s="18"/>
      <c r="E84" s="18">
        <v>-359.41398759999998</v>
      </c>
      <c r="F84" s="25">
        <v>-1.1466226697070996E-2</v>
      </c>
      <c r="G84" s="38"/>
      <c r="H84" s="38"/>
      <c r="I84" s="22"/>
      <c r="J84" s="53"/>
    </row>
    <row r="85" spans="1:10" ht="14.25" x14ac:dyDescent="0.3">
      <c r="A85" s="27"/>
      <c r="B85" s="49" t="s">
        <v>3</v>
      </c>
      <c r="C85" s="27"/>
      <c r="D85" s="28"/>
      <c r="E85" s="28">
        <v>-359.41398759999998</v>
      </c>
      <c r="F85" s="30">
        <v>-1.1466226697070996E-2</v>
      </c>
      <c r="G85" s="51"/>
      <c r="H85" s="52"/>
      <c r="I85" s="22"/>
      <c r="J85" s="53"/>
    </row>
    <row r="86" spans="1:10" ht="14.25" x14ac:dyDescent="0.3">
      <c r="A86" s="53"/>
      <c r="B86" s="49" t="s">
        <v>26</v>
      </c>
      <c r="C86" s="53"/>
      <c r="D86" s="53"/>
      <c r="E86" s="28">
        <v>31345.445811899997</v>
      </c>
      <c r="F86" s="30">
        <v>1</v>
      </c>
      <c r="G86" s="54"/>
      <c r="H86" s="53"/>
      <c r="I86" s="22"/>
      <c r="J86" s="53"/>
    </row>
    <row r="87" spans="1:10" ht="14.25" x14ac:dyDescent="0.3">
      <c r="A87" s="41"/>
      <c r="B87" s="66"/>
      <c r="C87" s="41"/>
      <c r="D87" s="41"/>
      <c r="E87" s="67"/>
      <c r="F87" s="68"/>
      <c r="G87" s="69"/>
      <c r="H87" s="41"/>
      <c r="I87" s="70"/>
      <c r="J87" s="41"/>
    </row>
    <row r="88" spans="1:10" ht="14.25" x14ac:dyDescent="0.3">
      <c r="A88" s="41" t="s">
        <v>173</v>
      </c>
      <c r="B88" s="8"/>
      <c r="C88" s="7"/>
      <c r="D88" s="7"/>
      <c r="E88" s="62"/>
      <c r="F88" s="62"/>
      <c r="G88" s="7"/>
      <c r="H88" s="7"/>
      <c r="I88" s="6"/>
      <c r="J88" s="41"/>
    </row>
    <row r="89" spans="1:10" ht="14.25" x14ac:dyDescent="0.3">
      <c r="A89" s="41"/>
      <c r="B89" s="8"/>
      <c r="C89" s="7"/>
      <c r="D89" s="7"/>
      <c r="E89" s="6"/>
      <c r="F89" s="6"/>
      <c r="G89" s="7"/>
      <c r="H89" s="7"/>
      <c r="I89" s="6"/>
      <c r="J89" s="41"/>
    </row>
    <row r="90" spans="1:10" ht="14.25" customHeight="1" x14ac:dyDescent="0.3">
      <c r="A90" s="41" t="s">
        <v>159</v>
      </c>
      <c r="B90" s="41"/>
      <c r="C90" s="41"/>
      <c r="D90" s="41"/>
      <c r="E90" s="41"/>
      <c r="F90" s="41"/>
      <c r="G90" s="41"/>
      <c r="H90" s="41"/>
      <c r="I90" s="41"/>
      <c r="J90" s="41"/>
    </row>
    <row r="91" spans="1:10" ht="14.25" customHeight="1" x14ac:dyDescent="0.3">
      <c r="A91" s="41" t="s">
        <v>160</v>
      </c>
      <c r="B91" s="41"/>
      <c r="C91" s="41"/>
      <c r="D91" s="41"/>
      <c r="E91" s="41"/>
      <c r="F91" s="41"/>
      <c r="G91" s="41"/>
      <c r="H91" s="41"/>
      <c r="I91" s="41"/>
      <c r="J91" s="41"/>
    </row>
    <row r="92" spans="1:10" ht="14.25" customHeight="1" x14ac:dyDescent="0.3">
      <c r="A92" s="41" t="s">
        <v>161</v>
      </c>
      <c r="B92" s="41"/>
      <c r="C92" s="41"/>
      <c r="D92" s="41"/>
      <c r="E92" s="41"/>
      <c r="F92" s="41"/>
      <c r="G92" s="41"/>
      <c r="H92" s="41"/>
      <c r="I92" s="41"/>
      <c r="J92" s="41"/>
    </row>
    <row r="93" spans="1:10" ht="64.5" customHeight="1" x14ac:dyDescent="0.3">
      <c r="A93" s="77" t="s">
        <v>162</v>
      </c>
      <c r="B93" s="77"/>
      <c r="C93" s="77"/>
      <c r="D93" s="77"/>
      <c r="E93" s="77"/>
      <c r="F93" s="77"/>
      <c r="G93" s="77"/>
      <c r="H93" s="78"/>
      <c r="I93" s="79"/>
      <c r="J93" s="41"/>
    </row>
    <row r="94" spans="1:10" ht="14.25" x14ac:dyDescent="0.3">
      <c r="A94" s="55"/>
      <c r="B94" s="56"/>
      <c r="C94" s="60"/>
      <c r="D94" s="61"/>
      <c r="E94" s="6"/>
      <c r="F94" s="62"/>
      <c r="G94" s="61"/>
      <c r="H94" s="61"/>
      <c r="I94" s="41"/>
      <c r="J94" s="41"/>
    </row>
    <row r="95" spans="1:10" ht="14.25" x14ac:dyDescent="0.3">
      <c r="A95" s="63" t="s">
        <v>163</v>
      </c>
      <c r="B95" s="63"/>
      <c r="C95" s="7"/>
      <c r="D95" s="7"/>
      <c r="E95" s="6"/>
      <c r="F95" s="6"/>
      <c r="G95" s="61"/>
      <c r="H95" s="61"/>
      <c r="I95" s="41"/>
      <c r="J95" s="41"/>
    </row>
    <row r="96" spans="1:10" ht="14.25" x14ac:dyDescent="0.3">
      <c r="A96" s="8" t="s">
        <v>164</v>
      </c>
      <c r="B96" s="8"/>
      <c r="C96" s="7"/>
      <c r="D96" s="6"/>
      <c r="E96" s="6"/>
      <c r="F96" s="6"/>
      <c r="G96" s="6"/>
      <c r="H96" s="6"/>
      <c r="I96" s="41"/>
      <c r="J96" s="41"/>
    </row>
    <row r="97" spans="1:10" ht="14.25" x14ac:dyDescent="0.3">
      <c r="A97" s="8" t="s">
        <v>165</v>
      </c>
      <c r="B97" s="8"/>
      <c r="C97" s="64"/>
      <c r="D97" s="64"/>
      <c r="E97" s="6"/>
      <c r="F97" s="6"/>
      <c r="G97" s="6"/>
      <c r="H97" s="6"/>
      <c r="I97" s="41"/>
      <c r="J97" s="41"/>
    </row>
    <row r="98" spans="1:10" ht="14.25" x14ac:dyDescent="0.3">
      <c r="A98" s="8" t="s">
        <v>166</v>
      </c>
      <c r="B98" s="8"/>
      <c r="C98" s="7"/>
      <c r="D98" s="7"/>
      <c r="E98" s="6"/>
      <c r="F98" s="6"/>
      <c r="G98" s="6"/>
      <c r="H98" s="6"/>
      <c r="I98" s="41"/>
      <c r="J98" s="41"/>
    </row>
    <row r="99" spans="1:10" ht="14.25" x14ac:dyDescent="0.3">
      <c r="A99" s="41"/>
      <c r="B99" s="8"/>
      <c r="C99" s="7"/>
      <c r="D99" s="7"/>
      <c r="E99" s="6"/>
      <c r="F99" s="6"/>
      <c r="G99" s="6"/>
      <c r="H99" s="6"/>
      <c r="I99" s="41"/>
      <c r="J99" s="41"/>
    </row>
    <row r="100" spans="1:10" ht="14.25" x14ac:dyDescent="0.3">
      <c r="A100" s="72" t="s">
        <v>167</v>
      </c>
      <c r="B100" s="72"/>
      <c r="C100" s="72" t="s">
        <v>170</v>
      </c>
      <c r="D100" s="79"/>
      <c r="E100" s="79"/>
      <c r="F100" s="79"/>
      <c r="G100" s="79"/>
      <c r="H100" s="79"/>
      <c r="I100" s="79"/>
      <c r="J100" s="79"/>
    </row>
    <row r="101" spans="1:10" ht="14.25" x14ac:dyDescent="0.3">
      <c r="A101" s="41"/>
      <c r="B101" s="8"/>
      <c r="C101" s="7"/>
      <c r="D101" s="7"/>
      <c r="E101" s="6"/>
      <c r="F101" s="6"/>
      <c r="G101" s="7"/>
      <c r="H101" s="6"/>
      <c r="I101" s="41"/>
      <c r="J101" s="41"/>
    </row>
    <row r="102" spans="1:10" ht="14.25" x14ac:dyDescent="0.3">
      <c r="A102" s="41"/>
      <c r="B102" s="8"/>
      <c r="C102" s="7"/>
      <c r="D102" s="7"/>
      <c r="E102" s="6"/>
      <c r="F102" s="6"/>
      <c r="G102" s="7"/>
      <c r="H102" s="6"/>
      <c r="I102" s="41"/>
      <c r="J102" s="41"/>
    </row>
    <row r="103" spans="1:10" ht="14.25" x14ac:dyDescent="0.3">
      <c r="A103" s="41"/>
      <c r="B103" s="7"/>
      <c r="C103" s="7"/>
      <c r="D103" s="7"/>
      <c r="E103" s="6"/>
      <c r="F103" s="6"/>
      <c r="G103" s="7"/>
      <c r="H103" s="6"/>
      <c r="I103" s="41"/>
      <c r="J103" s="41"/>
    </row>
    <row r="104" spans="1:10" ht="14.25" x14ac:dyDescent="0.3">
      <c r="A104" s="41"/>
      <c r="B104" s="7"/>
      <c r="C104" s="7"/>
      <c r="D104" s="7"/>
      <c r="E104" s="6"/>
      <c r="F104" s="6"/>
      <c r="G104" s="7"/>
      <c r="H104" s="6"/>
      <c r="I104" s="41"/>
      <c r="J104" s="41"/>
    </row>
    <row r="105" spans="1:10" ht="14.25" x14ac:dyDescent="0.3">
      <c r="A105" s="41"/>
      <c r="B105" s="7"/>
      <c r="C105" s="7"/>
      <c r="D105" s="7"/>
      <c r="E105" s="6"/>
      <c r="F105" s="6"/>
      <c r="G105" s="7"/>
      <c r="H105" s="6"/>
      <c r="I105" s="41"/>
      <c r="J105" s="41"/>
    </row>
    <row r="106" spans="1:10" ht="14.25" x14ac:dyDescent="0.3">
      <c r="A106" s="41"/>
      <c r="B106" s="7"/>
      <c r="C106" s="7"/>
      <c r="D106" s="7"/>
      <c r="E106" s="6"/>
      <c r="F106" s="6"/>
      <c r="G106" s="7"/>
      <c r="H106" s="6"/>
      <c r="I106" s="41"/>
      <c r="J106" s="41"/>
    </row>
    <row r="107" spans="1:10" ht="14.25" x14ac:dyDescent="0.3">
      <c r="A107" s="41"/>
      <c r="B107" s="55"/>
      <c r="C107" s="56"/>
      <c r="D107" s="57"/>
      <c r="E107" s="6"/>
      <c r="F107" s="6"/>
      <c r="G107" s="6"/>
      <c r="H107" s="6"/>
      <c r="I107" s="41"/>
      <c r="J107" s="41"/>
    </row>
    <row r="108" spans="1:10" ht="14.25" x14ac:dyDescent="0.3">
      <c r="A108" s="41"/>
      <c r="B108" s="55"/>
      <c r="C108" s="56"/>
      <c r="D108" s="57"/>
      <c r="E108" s="6"/>
      <c r="F108" s="6"/>
      <c r="G108" s="6"/>
      <c r="H108" s="6"/>
      <c r="I108" s="41"/>
      <c r="J108" s="41"/>
    </row>
    <row r="109" spans="1:10" ht="14.25" x14ac:dyDescent="0.3">
      <c r="A109" s="41"/>
      <c r="B109" s="55"/>
      <c r="C109" s="56"/>
      <c r="D109" s="57"/>
      <c r="E109" s="6"/>
      <c r="F109" s="6"/>
      <c r="G109" s="6"/>
      <c r="H109" s="6"/>
      <c r="I109" s="41"/>
      <c r="J109" s="41"/>
    </row>
    <row r="110" spans="1:10" ht="14.25" x14ac:dyDescent="0.3">
      <c r="A110" s="41"/>
      <c r="B110" s="55"/>
      <c r="C110" s="56"/>
      <c r="D110" s="57"/>
      <c r="E110" s="6"/>
      <c r="F110" s="6"/>
      <c r="G110" s="6"/>
      <c r="H110" s="6"/>
      <c r="I110" s="41"/>
      <c r="J110" s="41"/>
    </row>
    <row r="111" spans="1:10" ht="14.25" x14ac:dyDescent="0.3">
      <c r="A111" s="41"/>
      <c r="B111" s="55"/>
      <c r="C111" s="56"/>
      <c r="D111" s="57"/>
      <c r="E111" s="6"/>
      <c r="F111" s="6"/>
      <c r="G111" s="6"/>
      <c r="H111" s="6"/>
      <c r="I111" s="41"/>
      <c r="J111" s="41"/>
    </row>
    <row r="112" spans="1:10" ht="14.25" x14ac:dyDescent="0.3">
      <c r="A112" s="72" t="s">
        <v>168</v>
      </c>
      <c r="B112" s="72"/>
      <c r="C112" s="73" t="s">
        <v>169</v>
      </c>
      <c r="D112" s="73"/>
      <c r="E112" s="73"/>
      <c r="F112" s="73"/>
      <c r="G112" s="6"/>
      <c r="H112" s="6"/>
      <c r="I112" s="41"/>
      <c r="J112" s="41"/>
    </row>
    <row r="113" spans="1:10" ht="14.25" x14ac:dyDescent="0.3">
      <c r="A113" s="58"/>
      <c r="B113" s="59"/>
      <c r="C113" s="57"/>
      <c r="D113" s="41"/>
      <c r="E113" s="41"/>
      <c r="F113" s="41"/>
      <c r="G113" s="41"/>
      <c r="H113" s="41"/>
      <c r="I113" s="41"/>
      <c r="J113" s="41"/>
    </row>
    <row r="114" spans="1:10" ht="14.25" x14ac:dyDescent="0.3">
      <c r="A114" s="41"/>
      <c r="B114" s="58"/>
      <c r="C114" s="59"/>
      <c r="D114" s="57"/>
      <c r="E114" s="41"/>
      <c r="F114" s="41"/>
      <c r="G114" s="41"/>
      <c r="H114" s="41"/>
      <c r="I114" s="41"/>
      <c r="J114" s="41"/>
    </row>
    <row r="115" spans="1:10" ht="14.25" x14ac:dyDescent="0.3">
      <c r="A115" s="41"/>
      <c r="B115" s="58"/>
      <c r="C115" s="59"/>
      <c r="D115" s="57"/>
      <c r="E115" s="41"/>
      <c r="F115" s="41"/>
      <c r="G115" s="41"/>
      <c r="H115" s="41"/>
      <c r="I115" s="41"/>
      <c r="J115" s="41"/>
    </row>
    <row r="116" spans="1:10" ht="14.25" x14ac:dyDescent="0.3">
      <c r="A116" s="41"/>
      <c r="B116" s="58"/>
      <c r="C116" s="59"/>
      <c r="D116" s="57"/>
      <c r="E116" s="41"/>
      <c r="F116" s="41"/>
      <c r="G116" s="41"/>
      <c r="H116" s="41"/>
      <c r="I116" s="41"/>
      <c r="J116" s="41"/>
    </row>
    <row r="117" spans="1:10" ht="14.25" x14ac:dyDescent="0.3">
      <c r="A117" s="41"/>
      <c r="B117" s="58"/>
      <c r="C117" s="59"/>
      <c r="D117" s="57"/>
      <c r="E117" s="41"/>
      <c r="F117" s="41"/>
      <c r="G117" s="41"/>
      <c r="H117" s="41"/>
      <c r="I117" s="41"/>
      <c r="J117" s="41"/>
    </row>
    <row r="118" spans="1:10" ht="14.25" x14ac:dyDescent="0.3">
      <c r="A118" s="41"/>
      <c r="B118" s="58"/>
      <c r="C118" s="59"/>
      <c r="D118" s="57"/>
      <c r="E118" s="41"/>
      <c r="F118" s="41"/>
      <c r="G118" s="41"/>
      <c r="H118" s="41"/>
      <c r="I118" s="41"/>
      <c r="J118" s="41"/>
    </row>
    <row r="119" spans="1:10" ht="14.25" x14ac:dyDescent="0.3">
      <c r="A119" s="41"/>
      <c r="B119" s="58"/>
      <c r="C119" s="59"/>
      <c r="D119" s="57"/>
      <c r="E119" s="41"/>
      <c r="F119" s="41"/>
      <c r="G119" s="41"/>
      <c r="H119" s="41"/>
      <c r="I119" s="41"/>
      <c r="J119" s="41"/>
    </row>
    <row r="120" spans="1:10" ht="14.25" x14ac:dyDescent="0.3">
      <c r="A120" s="41"/>
      <c r="B120" s="58"/>
      <c r="C120" s="59"/>
      <c r="D120" s="57"/>
      <c r="E120" s="41"/>
      <c r="F120" s="41"/>
      <c r="G120" s="41"/>
      <c r="H120" s="41"/>
      <c r="I120" s="41"/>
      <c r="J120" s="6"/>
    </row>
    <row r="121" spans="1:10" ht="14.25" x14ac:dyDescent="0.3">
      <c r="A121" s="41"/>
      <c r="B121" s="58"/>
      <c r="C121" s="59"/>
      <c r="D121" s="57"/>
      <c r="E121" s="41"/>
      <c r="F121" s="41"/>
      <c r="G121" s="41"/>
      <c r="H121" s="41"/>
      <c r="I121" s="41"/>
      <c r="J121" s="6"/>
    </row>
    <row r="122" spans="1:10" ht="14.25" x14ac:dyDescent="0.3">
      <c r="J122" s="6"/>
    </row>
    <row r="123" spans="1:10" ht="14.25" x14ac:dyDescent="0.3">
      <c r="J123" s="6"/>
    </row>
  </sheetData>
  <mergeCells count="8">
    <mergeCell ref="A112:B112"/>
    <mergeCell ref="C112:F112"/>
    <mergeCell ref="B1:I1"/>
    <mergeCell ref="B2:I2"/>
    <mergeCell ref="B3:I3"/>
    <mergeCell ref="A93:I93"/>
    <mergeCell ref="A100:B100"/>
    <mergeCell ref="C100:J100"/>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2025-02-05T10:44:04Z</dcterms:created>
  <dcterms:modified xsi:type="dcterms:W3CDTF">2025-09-05T12:04:43Z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