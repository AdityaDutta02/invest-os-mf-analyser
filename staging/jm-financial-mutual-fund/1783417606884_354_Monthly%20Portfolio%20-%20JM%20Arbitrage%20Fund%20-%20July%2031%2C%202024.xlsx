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July 2024\Monthly portfolio\Monthly sent 31.07.24\"/>
    </mc:Choice>
  </mc:AlternateContent>
  <bookViews>
    <workbookView xWindow="0" yWindow="0" windowWidth="20490" windowHeight="7770"/>
  </bookViews>
  <sheets>
    <sheet name="JM Arbitrage Fund" sheetId="1" r:id="rId1"/>
  </sheets>
  <externalReferences>
    <externalReference r:id="rId2"/>
  </externalReferences>
  <definedNames>
    <definedName name="_xlnm._FilterDatabase" localSheetId="0" hidden="1">'JM Arbitrage Fund'!$A$1:$H$106</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Arbitrage Fund'!$A$1:$E$79</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99" i="1" l="1"/>
  <c r="D95" i="1"/>
  <c r="E94" i="1"/>
  <c r="E95" i="1" s="1"/>
  <c r="D92" i="1"/>
  <c r="E91" i="1"/>
  <c r="E92" i="1" s="1"/>
  <c r="D90" i="1"/>
  <c r="E89" i="1"/>
  <c r="E88" i="1"/>
  <c r="E87" i="1"/>
  <c r="E86" i="1"/>
  <c r="E85" i="1"/>
  <c r="E84" i="1"/>
  <c r="E83" i="1"/>
  <c r="E82" i="1"/>
  <c r="E81" i="1"/>
  <c r="D62" i="1"/>
  <c r="D66" i="1" s="1"/>
  <c r="E61" i="1"/>
  <c r="E60" i="1"/>
  <c r="E59" i="1"/>
  <c r="E58" i="1"/>
  <c r="E57" i="1"/>
  <c r="E56" i="1"/>
  <c r="E55" i="1"/>
  <c r="E54" i="1"/>
  <c r="E53" i="1"/>
  <c r="E52" i="1"/>
  <c r="E51" i="1"/>
  <c r="E50" i="1"/>
  <c r="E49" i="1"/>
  <c r="E48" i="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62" i="1" s="1"/>
  <c r="E66" i="1" s="1"/>
  <c r="E90" i="1" l="1"/>
  <c r="E97" i="1"/>
  <c r="D97" i="1"/>
  <c r="D99" i="1" s="1"/>
</calcChain>
</file>

<file path=xl/sharedStrings.xml><?xml version="1.0" encoding="utf-8"?>
<sst xmlns="http://schemas.openxmlformats.org/spreadsheetml/2006/main" count="395" uniqueCount="276">
  <si>
    <t>JM Financial Mutual Fund</t>
  </si>
  <si>
    <t>Monthly Portfolio Statement for the period ended 31.07.2024</t>
  </si>
  <si>
    <t>Name of the Instruments</t>
  </si>
  <si>
    <t>Industry/Rating</t>
  </si>
  <si>
    <t>Quantity</t>
  </si>
  <si>
    <t>Market Value (Rs. In Lakhs)</t>
  </si>
  <si>
    <t>% age to NAV</t>
  </si>
  <si>
    <t>ISIN</t>
  </si>
  <si>
    <t>Yield %</t>
  </si>
  <si>
    <t>^YTC (AT1/Tier 2 bonds)</t>
  </si>
  <si>
    <t>EQUITY &amp; EQUITY RELATED</t>
  </si>
  <si>
    <t>a) Listed/Awaiting Listing On  Stock Exchange</t>
  </si>
  <si>
    <t>Multi Commodity Exchange of India Ltd.</t>
  </si>
  <si>
    <t>Capital Markets</t>
  </si>
  <si>
    <t>INE745G01035</t>
  </si>
  <si>
    <t>Hindustan Aeronautics Ltd.</t>
  </si>
  <si>
    <t>Aerospace &amp; Defense</t>
  </si>
  <si>
    <t>INE066F01020</t>
  </si>
  <si>
    <t>Maruti Suzuki India Ltd.</t>
  </si>
  <si>
    <t>Automobiles</t>
  </si>
  <si>
    <t>INE585B01010</t>
  </si>
  <si>
    <t>IndusInd Bank Ltd.</t>
  </si>
  <si>
    <t>Banks</t>
  </si>
  <si>
    <t>INE095A01012</t>
  </si>
  <si>
    <t>Bajaj Finance Ltd.</t>
  </si>
  <si>
    <t>Finance</t>
  </si>
  <si>
    <t>INE296A01024</t>
  </si>
  <si>
    <t>Tata Power Company Ltd.</t>
  </si>
  <si>
    <t>Power</t>
  </si>
  <si>
    <t>INE245A01021</t>
  </si>
  <si>
    <t>Biocon Ltd.</t>
  </si>
  <si>
    <t>Pharmaceuticals &amp; Biotechnology</t>
  </si>
  <si>
    <t>INE376G01013</t>
  </si>
  <si>
    <t>DLF Ltd.</t>
  </si>
  <si>
    <t>Realty</t>
  </si>
  <si>
    <t>INE271C01023</t>
  </si>
  <si>
    <t>Petronet LNG Ltd.</t>
  </si>
  <si>
    <t>Gas</t>
  </si>
  <si>
    <t>INE347G01014</t>
  </si>
  <si>
    <t>Titan Company Ltd.</t>
  </si>
  <si>
    <t>Consumer Durables</t>
  </si>
  <si>
    <t>INE280A01028</t>
  </si>
  <si>
    <t>ITC Ltd.</t>
  </si>
  <si>
    <t>Diversified FMCG</t>
  </si>
  <si>
    <t>INE154A01025</t>
  </si>
  <si>
    <t>Apollo Hospitals Enterprise Ltd.</t>
  </si>
  <si>
    <t>Healthcare Services</t>
  </si>
  <si>
    <t>INE437A01024</t>
  </si>
  <si>
    <t>Indian Energy Exchange Ltd.</t>
  </si>
  <si>
    <t>INE022Q01020</t>
  </si>
  <si>
    <t>Dixon Technologies (India) Ltd.</t>
  </si>
  <si>
    <t>INE935N01020</t>
  </si>
  <si>
    <t>Bank of Baroda</t>
  </si>
  <si>
    <t>INE028A01039</t>
  </si>
  <si>
    <t>HDFC Life Insurance Company Ltd.</t>
  </si>
  <si>
    <t>Insurance</t>
  </si>
  <si>
    <t>INE795G01014</t>
  </si>
  <si>
    <t>Indian Railway Catering And Tourism Corporation Ltd.</t>
  </si>
  <si>
    <t>Leisure Services</t>
  </si>
  <si>
    <t>INE335Y01020</t>
  </si>
  <si>
    <t>Cipla Ltd.</t>
  </si>
  <si>
    <t>INE059A01026</t>
  </si>
  <si>
    <t>Indus Towers Ltd.</t>
  </si>
  <si>
    <t>Telecom - Services</t>
  </si>
  <si>
    <t>INE121J01017</t>
  </si>
  <si>
    <t>LIC Housing Finance Ltd.</t>
  </si>
  <si>
    <t>INE115A01026</t>
  </si>
  <si>
    <t>Divi's Laboratories Ltd.</t>
  </si>
  <si>
    <t>INE361B01024</t>
  </si>
  <si>
    <t>Larsen &amp; Toubro Ltd.</t>
  </si>
  <si>
    <t>Construction</t>
  </si>
  <si>
    <t>INE018A01030</t>
  </si>
  <si>
    <t>Tata Steel Ltd.</t>
  </si>
  <si>
    <t>Ferrous Metals</t>
  </si>
  <si>
    <t>INE081A01020</t>
  </si>
  <si>
    <t>GMR Airports Infrastructure Ltd.</t>
  </si>
  <si>
    <t>Transport Infrastructure</t>
  </si>
  <si>
    <t>INE776C01039</t>
  </si>
  <si>
    <t>Glenmark Pharmaceuticals Ltd.</t>
  </si>
  <si>
    <t>INE935A01035</t>
  </si>
  <si>
    <t>Hindustan Copper Ltd.</t>
  </si>
  <si>
    <t>Non - Ferrous Metals</t>
  </si>
  <si>
    <t>INE531E01026</t>
  </si>
  <si>
    <t>Bajaj Finserv Ltd.</t>
  </si>
  <si>
    <t>INE918I01026</t>
  </si>
  <si>
    <t>Indian Oil Corporation Ltd.</t>
  </si>
  <si>
    <t>Petroleum Products</t>
  </si>
  <si>
    <t>INE242A01010</t>
  </si>
  <si>
    <t>HDFC Asset Management Company Ltd.</t>
  </si>
  <si>
    <t>INE127D01025</t>
  </si>
  <si>
    <t>Laurus Labs Ltd.</t>
  </si>
  <si>
    <t>INE947Q01028</t>
  </si>
  <si>
    <t>Aarti Industries Ltd.</t>
  </si>
  <si>
    <t>Chemicals &amp; Petrochemicals</t>
  </si>
  <si>
    <t>INE769A01020</t>
  </si>
  <si>
    <t>Zydus Lifesciences Limited</t>
  </si>
  <si>
    <t>INE010B01027</t>
  </si>
  <si>
    <t>Info Edge (India) Ltd.</t>
  </si>
  <si>
    <t>Retailing</t>
  </si>
  <si>
    <t>INE663F01024</t>
  </si>
  <si>
    <t>State Bank of India</t>
  </si>
  <si>
    <t>INE062A01020</t>
  </si>
  <si>
    <t>TVS Motor Company Ltd.</t>
  </si>
  <si>
    <t>INE494B01023</t>
  </si>
  <si>
    <t>Bharat Electronics Ltd.</t>
  </si>
  <si>
    <t>INE263A01024</t>
  </si>
  <si>
    <t>Polycab India Ltd.</t>
  </si>
  <si>
    <t>Industrial Products</t>
  </si>
  <si>
    <t>INE455K01017</t>
  </si>
  <si>
    <t>Hindustan Unilever Ltd.</t>
  </si>
  <si>
    <t>INE030A01027</t>
  </si>
  <si>
    <t>Oberoi Realty Ltd.</t>
  </si>
  <si>
    <t>INE093I01010</t>
  </si>
  <si>
    <t>Bata India Ltd.</t>
  </si>
  <si>
    <t>INE176A01028</t>
  </si>
  <si>
    <t>Trent Ltd.</t>
  </si>
  <si>
    <t>INE849A01020</t>
  </si>
  <si>
    <t>Crompton Greaves Consumer Electricals Ltd.</t>
  </si>
  <si>
    <t>INE299U01018</t>
  </si>
  <si>
    <t>Ashok Leyland Ltd.</t>
  </si>
  <si>
    <t>Agricultural, Commercial &amp; Construction Vehicles</t>
  </si>
  <si>
    <t>INE208A01029</t>
  </si>
  <si>
    <t>Canara Bank</t>
  </si>
  <si>
    <t>INE476A01022</t>
  </si>
  <si>
    <t>ICICI Prudential Life Insurance Company Ltd.</t>
  </si>
  <si>
    <t>INE726G01019</t>
  </si>
  <si>
    <t>The Indian Hotels Company Ltd.</t>
  </si>
  <si>
    <t>INE053A01029</t>
  </si>
  <si>
    <t>JSW Steel Ltd.</t>
  </si>
  <si>
    <t>INE019A01038</t>
  </si>
  <si>
    <t>Hindustan Petroleum Corporation Ltd.</t>
  </si>
  <si>
    <t>INE094A01015</t>
  </si>
  <si>
    <t>Britannia Industries Ltd.</t>
  </si>
  <si>
    <t>Food Products</t>
  </si>
  <si>
    <t>INE216A01030</t>
  </si>
  <si>
    <t>Jindal Steel &amp; Power Ltd.</t>
  </si>
  <si>
    <t>INE749A01030</t>
  </si>
  <si>
    <t>Aditya Birla Fashion and Retail Ltd.</t>
  </si>
  <si>
    <t>INE647O01011</t>
  </si>
  <si>
    <t>ACC Ltd.</t>
  </si>
  <si>
    <t>Cement &amp; Cement Products</t>
  </si>
  <si>
    <t>INE012A01025</t>
  </si>
  <si>
    <t>UPL Ltd.</t>
  </si>
  <si>
    <t>Fertilizers &amp; Agrochemicals</t>
  </si>
  <si>
    <t>INE628A01036</t>
  </si>
  <si>
    <t>Aditya Birla Capital Ltd.</t>
  </si>
  <si>
    <t>INE674K01013</t>
  </si>
  <si>
    <t>Abbott India Ltd.</t>
  </si>
  <si>
    <t>INE358A01014</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</si>
  <si>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</si>
  <si>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</si>
  <si>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</si>
  <si>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</si>
  <si>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</si>
  <si>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</si>
  <si>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</si>
  <si>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</si>
  <si>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</si>
  <si>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</si>
  <si>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Treasury Bills</t>
  </si>
  <si>
    <t>182 Days Treasury-Bill 18/10/2024</t>
  </si>
  <si>
    <t>Sovereign</t>
  </si>
  <si>
    <t>IN002024Y035</t>
  </si>
  <si>
    <t>91 Days Treasury-Bill 15/08/2024</t>
  </si>
  <si>
    <t>IN002024X086</t>
  </si>
  <si>
    <t>182 Days Treasury-Bill 29/08/2024</t>
  </si>
  <si>
    <t>IN002023Y508</t>
  </si>
  <si>
    <t>182 Days Treasury-Bill 22/08/2024</t>
  </si>
  <si>
    <t>IN002023Y490</t>
  </si>
  <si>
    <t>182 Days Treasury-Bill 05/09/2024</t>
  </si>
  <si>
    <t>IN002023Y516</t>
  </si>
  <si>
    <t>182 Days Treasury-Bill 26/09/2024</t>
  </si>
  <si>
    <t>IN002023Y540</t>
  </si>
  <si>
    <t>182 Days Treasury-Bill 03/10/2024</t>
  </si>
  <si>
    <t>IN002024Y019</t>
  </si>
  <si>
    <t>364 Days Treasury-Bill 24/10/2024</t>
  </si>
  <si>
    <t>IN002023Z323</t>
  </si>
  <si>
    <t>182 Days Treasury-Bill 01/11/2024</t>
  </si>
  <si>
    <t>IN002024Y050</t>
  </si>
  <si>
    <t>TREPS-Triparty Repo</t>
  </si>
  <si>
    <t/>
  </si>
  <si>
    <t>Mutual Fund Units</t>
  </si>
  <si>
    <t>JM Liquid Fund - Direct Growth</t>
  </si>
  <si>
    <t>INF192K01CM6</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</si>
  <si>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</si>
  <si>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</si>
  <si>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</si>
  <si>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</si>
  <si>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</si>
  <si>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</si>
  <si>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</si>
  <si>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Hedging Positions through futures as on July 31, 2024:</t>
  </si>
  <si>
    <t>Underlying</t>
  </si>
  <si>
    <t>Long / Short</t>
  </si>
  <si>
    <t>Futures price when purchased (Rs.)</t>
  </si>
  <si>
    <t>Current  price of the Contract (Rs.)</t>
  </si>
  <si>
    <t>Total Margin maintained in   (Rs. In Lakhs)</t>
  </si>
  <si>
    <t>Aarti Industries Ltd.Aug-2024</t>
  </si>
  <si>
    <t>Short</t>
  </si>
  <si>
    <t>Abbott India Ltd.Aug-2024</t>
  </si>
  <si>
    <t>Aditya Birla Capital Ltd.Aug-2024</t>
  </si>
  <si>
    <t>Aditya Birla Fashion and Retail Ltd.Aug-2024</t>
  </si>
  <si>
    <t>ACC Ltd.Aug-2024</t>
  </si>
  <si>
    <t>Apollo Hospitals Enterprise Ltd.Aug-2024</t>
  </si>
  <si>
    <t>Ashok Leyland Ltd.Aug-2024</t>
  </si>
  <si>
    <t>Bajaj Finserv Ltd.Sep-2024</t>
  </si>
  <si>
    <t>Bajaj Finance Ltd.Aug-2024</t>
  </si>
  <si>
    <t>Bajaj Finance Ltd.Sep-2024</t>
  </si>
  <si>
    <t>Bank of BarodaAug-2024</t>
  </si>
  <si>
    <t>Bata India Ltd.Aug-2024</t>
  </si>
  <si>
    <t>Bharat Electronics Ltd.Aug-2024</t>
  </si>
  <si>
    <t>Biocon Ltd.Aug-2024</t>
  </si>
  <si>
    <t>Britannia Industries Ltd.Aug-2024</t>
  </si>
  <si>
    <t>Canara BankAug-2024</t>
  </si>
  <si>
    <t>Cipla Ltd.Aug-2024</t>
  </si>
  <si>
    <t>Crompton Greaves Consumer Electricals Ltd.Aug-2024</t>
  </si>
  <si>
    <t>Divi's Laboratories Ltd.Aug-2024</t>
  </si>
  <si>
    <t>Dixon Technologies (India) Ltd.Aug-2024</t>
  </si>
  <si>
    <t>DLF Ltd.Aug-2024</t>
  </si>
  <si>
    <t>Glenmark Pharmaceuticals Ltd.Aug-2024</t>
  </si>
  <si>
    <t>GMR Airports Infrastructure Ltd.Aug-2024</t>
  </si>
  <si>
    <t>Hindustan Aeronautics Ltd.Aug-2024</t>
  </si>
  <si>
    <t>HDFC Asset Management Company Ltd.Aug-2024</t>
  </si>
  <si>
    <t>HDFC Life Insurance Company Ltd.Aug-2024</t>
  </si>
  <si>
    <t>Hindustan Copper Ltd.Aug-2024</t>
  </si>
  <si>
    <t>Hindustan Petroleum Corporation Ltd.Aug-2024</t>
  </si>
  <si>
    <t>Hindustan Unilever Ltd.Aug-2024</t>
  </si>
  <si>
    <t>ICICI Prudential Life Insurance Company Ltd.Aug-2024</t>
  </si>
  <si>
    <t>Indian Energy Exchange Ltd.Aug-2024</t>
  </si>
  <si>
    <t>The Indian Hotels Company Ltd.Aug-2024</t>
  </si>
  <si>
    <t>IndusInd Bank Ltd.Aug-2024</t>
  </si>
  <si>
    <t>IndusInd Bank Ltd.Sep-2024</t>
  </si>
  <si>
    <t>Indus Towers Ltd.Aug-2024</t>
  </si>
  <si>
    <t>Indian Oil Corporation Ltd.Aug-2024</t>
  </si>
  <si>
    <t>Indian Railway Catering And Tourism Corporation Ltd.Aug-2024</t>
  </si>
  <si>
    <t>ITC Ltd.Aug-2024</t>
  </si>
  <si>
    <t>Jindal Steel &amp; Power Ltd.Aug-2024</t>
  </si>
  <si>
    <t>JSW Steel Ltd.Aug-2024</t>
  </si>
  <si>
    <t>Laurus Labs Ltd.Aug-2024</t>
  </si>
  <si>
    <t>LIC Housing Finance Ltd.Aug-2024</t>
  </si>
  <si>
    <t>Larsen &amp; Toubro Ltd.Aug-2024</t>
  </si>
  <si>
    <t>Larsen &amp; Toubro Ltd.Sep-2024</t>
  </si>
  <si>
    <t>Maruti Suzuki India Ltd.Aug-2024</t>
  </si>
  <si>
    <t>Multi Commodity Exchange of India Ltd.Aug-2024</t>
  </si>
  <si>
    <t>Info Edge (India) Ltd.Aug-2024</t>
  </si>
  <si>
    <t>Oberoi Realty Ltd.Aug-2024</t>
  </si>
  <si>
    <t>Petronet LNG Ltd.Aug-2024</t>
  </si>
  <si>
    <t>Polycab India Ltd.Aug-2024</t>
  </si>
  <si>
    <t>State Bank of IndiaAug-2024</t>
  </si>
  <si>
    <t>State Bank of IndiaSep-2024</t>
  </si>
  <si>
    <t>Tata Power Company Ltd.Aug-2024</t>
  </si>
  <si>
    <t>Tata Power Company Ltd.Sep-2024</t>
  </si>
  <si>
    <t>Tata Steel Ltd.Aug-2024</t>
  </si>
  <si>
    <t>Titan Company Ltd.Aug-2024</t>
  </si>
  <si>
    <t>Trent Ltd.Aug-2024</t>
  </si>
  <si>
    <t>TVS Motor Company Ltd.Aug-2024</t>
  </si>
  <si>
    <t>UPL Ltd.Aug-2024</t>
  </si>
  <si>
    <t>Zydus Lifesciences LimitedAug-2024</t>
  </si>
  <si>
    <t>Total outstanding exposure in derivative instruments at the end of the period - Short -(Rs in Lakhs) : (11,253.01)</t>
  </si>
  <si>
    <t>Total 69.27% of existing assets hedged through futures as on 31/07/2024</t>
  </si>
  <si>
    <t>For the period ended July 31, 2024, following are the hedging transactions through futures which have been squared off / expired :</t>
  </si>
  <si>
    <t>Total number of contracts where futures were bought</t>
  </si>
  <si>
    <t>Total number of contracts where futures were sold</t>
  </si>
  <si>
    <t>Gross notional value of contracts where futures were bought (Rs. In Lakhs)</t>
  </si>
  <si>
    <t>Gross notional value of contracts where futures were sold (Rs. In Lakhs)</t>
  </si>
  <si>
    <t>Net Profit /(Loss) on all contracts combined (Rs.in Lakhs)</t>
  </si>
  <si>
    <t>Total exposure due to futures (non hedging positions) was 0% of net assets as on 31/07/2024</t>
  </si>
  <si>
    <t>For the period ended July 31, 2024, following are the non-hedging transactions through futures which have been squared off / expired :</t>
  </si>
  <si>
    <t>-</t>
  </si>
  <si>
    <t>This Product is suitable for investors who are seeking*</t>
  </si>
  <si>
    <t>• Regular Income over Medium Term</t>
  </si>
  <si>
    <t>• Income through arbitrage by investment predominantly in Equity Stocks and taking offsetting positions in Equity Futures and Options.</t>
  </si>
  <si>
    <t>*Investors should consult their financial advisers if in doubt about whether the product is suitable for them.</t>
  </si>
  <si>
    <t xml:space="preserve">         Riskometer of the scheme </t>
  </si>
  <si>
    <t>Benchmark of the scheme - Nifty 50 Arbitrage Index</t>
  </si>
  <si>
    <t>JM Arbitrage Fund (An open ended scheme investing in arbitrage opportunities.)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</si>
</sst>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3" formatCode="_ * #,##0.00_ ;_ * \-#,##0.00_ ;_ * &quot;-&quot;??_ ;_ @_ "/>
    <numFmt numFmtId="164" formatCode="_(* #,##0.00_);_(* \(#,##0.00\);_(* &quot;-&quot;??_);_(@_)"/>
    <numFmt numFmtId="165" formatCode="_(* #,##0_);_(* \(#,##0\);_(* &quot;-&quot;??_);_(@_)"/>
    <numFmt numFmtId="166" formatCode="0.0000"/>
  </numFmts>
  <fonts count="11"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5">
    <fill>
      <patternFill patternType="none"/>
    </fill>
    <fill>
      <patternFill patternType="gray125"/>
    </fill>
    <fill>
      <patternFill patternType="solid">
        <fgColor indexed="8"/>
        <bgColor indexed="64"/>
      </patternFill>
    </fill>
    <fill>
      <patternFill patternType="solid">
        <fgColor indexed="22"/>
        <bgColor indexed="64"/>
      </patternFill>
    </fill>
    <fill>
      <patternFill patternType="solid">
        <fgColor indexed="23"/>
        <bgColor indexed="64"/>
      </patternFill>
    </fill>
  </fills>
  <borders count="6">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9">
    <xf numFmtId="0" fontId="0" fillId="0" borderId="0"/>
    <xf numFmtId="164" fontId="1" fillId="0" borderId="0" applyFont="0" applyFill="0" applyBorder="0" applyAlignment="0" applyProtection="0"/>
    <xf numFmtId="0" fontId="1" fillId="0" borderId="0"/>
    <xf numFmtId="0" fontId="1" fillId="0" borderId="0"/>
    <xf numFmtId="0" fontId="6" fillId="0" borderId="0"/>
    <xf numFmtId="164" fontId="6" fillId="0" borderId="0" applyFont="0" applyFill="0" applyBorder="0" applyAlignment="0" applyProtection="0"/>
    <xf numFmtId="164" fontId="1" fillId="0" borderId="0" applyFont="0" applyFill="0" applyBorder="0" applyAlignment="0" applyProtection="0"/>
    <xf numFmtId="0" fontId="6" fillId="0" borderId="0"/>
    <xf numFmtId="0" fontId="6" fillId="0" borderId="0"/>
  </cellStyleXfs>
  <cellXfs count="92">
    <xf numFmtId="0" fontId="0" fillId="0" borderId="0" xfId="0"/>
    <xf numFmtId="0" fontId="2" fillId="2" borderId="1" xfId="2" applyFont="1" applyFill="1" applyBorder="1" applyAlignment="1">
      <alignment horizontal="center" vertical="center"/>
    </xf>
    <xf numFmtId="0" fontId="3" fillId="0" borderId="0" xfId="2" applyFont="1"/>
    <xf numFmtId="0" fontId="2" fillId="2" borderId="2" xfId="2" applyFont="1" applyFill="1" applyBorder="1" applyAlignment="1">
      <alignment horizontal="center" vertical="center" wrapText="1"/>
    </xf>
    <xf numFmtId="0" fontId="4" fillId="0" borderId="3" xfId="2" applyFont="1" applyFill="1" applyBorder="1" applyAlignment="1">
      <alignment horizontal="center" vertical="top" wrapText="1"/>
    </xf>
    <xf numFmtId="165" fontId="4" fillId="0" borderId="3" xfId="1" applyNumberFormat="1" applyFont="1" applyFill="1" applyBorder="1" applyAlignment="1">
      <alignment horizontal="center" vertical="top"/>
    </xf>
    <xf numFmtId="0" fontId="3" fillId="0" borderId="0" xfId="2" applyFont="1" applyAlignment="1">
      <alignment horizontal="center"/>
    </xf>
    <xf numFmtId="0" fontId="4" fillId="0" borderId="3" xfId="2" applyFont="1" applyFill="1" applyBorder="1" applyAlignment="1">
      <alignment horizontal="left" wrapText="1"/>
    </xf>
    <xf numFmtId="0" fontId="5" fillId="0" borderId="3" xfId="2" applyFont="1" applyFill="1" applyBorder="1" applyAlignment="1">
      <alignment horizontal="center" wrapText="1"/>
    </xf>
    <xf numFmtId="165" fontId="5" fillId="0" borderId="3" xfId="1" applyNumberFormat="1" applyFont="1" applyFill="1" applyBorder="1" applyAlignment="1">
      <alignment horizontal="center"/>
    </xf>
    <xf numFmtId="0" fontId="4" fillId="0" borderId="3" xfId="2" applyFont="1" applyFill="1" applyBorder="1" applyAlignment="1">
      <alignment horizontal="center" wrapText="1"/>
    </xf>
    <xf numFmtId="0" fontId="5" fillId="0" borderId="3" xfId="2" applyFont="1" applyFill="1" applyBorder="1" applyAlignment="1">
      <alignment horizontal="center"/>
    </xf>
    <xf numFmtId="0" fontId="5" fillId="0" borderId="3" xfId="2" applyFont="1" applyBorder="1"/>
    <xf numFmtId="166" fontId="5" fillId="0" borderId="3" xfId="2" applyNumberFormat="1" applyFont="1" applyFill="1" applyBorder="1"/>
    <xf numFmtId="0" fontId="4" fillId="0" borderId="3" xfId="2" applyFont="1" applyFill="1" applyBorder="1" applyAlignment="1">
      <alignment wrapText="1"/>
    </xf>
    <xf numFmtId="4" fontId="5" fillId="0" borderId="3" xfId="2" applyNumberFormat="1" applyFont="1" applyFill="1" applyBorder="1" applyAlignment="1">
      <alignment wrapText="1"/>
    </xf>
    <xf numFmtId="0" fontId="5" fillId="0" borderId="3" xfId="2" applyFont="1" applyFill="1" applyBorder="1" applyAlignment="1">
      <alignment wrapText="1"/>
    </xf>
    <xf numFmtId="165" fontId="5" fillId="0" borderId="3" xfId="1" applyNumberFormat="1" applyFont="1" applyFill="1" applyBorder="1"/>
    <xf numFmtId="164" fontId="5" fillId="0" borderId="3" xfId="1" applyFont="1" applyFill="1" applyBorder="1"/>
    <xf numFmtId="0" fontId="3" fillId="0" borderId="0" xfId="2" applyFont="1" applyFill="1"/>
    <xf numFmtId="0" fontId="5" fillId="0" borderId="3" xfId="2" applyFont="1" applyFill="1" applyBorder="1"/>
    <xf numFmtId="164" fontId="4" fillId="0" borderId="3" xfId="1" applyFont="1" applyFill="1" applyBorder="1"/>
    <xf numFmtId="165" fontId="4" fillId="0" borderId="3" xfId="1" applyNumberFormat="1" applyFont="1" applyFill="1" applyBorder="1"/>
    <xf numFmtId="164" fontId="5" fillId="0" borderId="3" xfId="1" applyFont="1" applyFill="1" applyBorder="1" applyAlignment="1">
      <alignment horizontal="center"/>
    </xf>
    <xf numFmtId="164" fontId="4" fillId="0" borderId="3" xfId="1" applyFont="1" applyFill="1" applyBorder="1" applyAlignment="1">
      <alignment horizontal="right"/>
    </xf>
    <xf numFmtId="0" fontId="5" fillId="0" borderId="3" xfId="2" applyFont="1" applyFill="1" applyBorder="1" applyAlignment="1">
      <alignment horizontal="right"/>
    </xf>
    <xf numFmtId="4" fontId="4" fillId="0" borderId="3" xfId="1" applyNumberFormat="1" applyFont="1" applyFill="1" applyBorder="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4" xfId="1" applyFont="1" applyFill="1" applyBorder="1"/>
    <xf numFmtId="2" fontId="5" fillId="0" borderId="3" xfId="2" applyNumberFormat="1" applyFont="1" applyFill="1" applyBorder="1" applyAlignment="1">
      <alignment horizontal="right"/>
    </xf>
    <xf numFmtId="0" fontId="5" fillId="0" borderId="3" xfId="2" applyFont="1" applyFill="1" applyBorder="1" applyAlignment="1">
      <alignment horizontal="left" wrapText="1"/>
    </xf>
    <xf numFmtId="165" fontId="5" fillId="0" borderId="3" xfId="1" applyNumberFormat="1" applyFont="1" applyFill="1" applyBorder="1" applyAlignment="1">
      <alignment horizontal="right"/>
    </xf>
    <xf numFmtId="4" fontId="4" fillId="0" borderId="3" xfId="2" applyNumberFormat="1" applyFont="1" applyFill="1" applyBorder="1" applyAlignment="1">
      <alignment horizontal="right"/>
    </xf>
    <xf numFmtId="4" fontId="4" fillId="0" borderId="3" xfId="1" applyNumberFormat="1" applyFont="1" applyFill="1" applyBorder="1" applyAlignment="1">
      <alignment horizontal="right"/>
    </xf>
    <xf numFmtId="0" fontId="5" fillId="0" borderId="0" xfId="2" applyFont="1" applyFill="1" applyBorder="1" applyAlignment="1">
      <alignment horizontal="right"/>
    </xf>
    <xf numFmtId="0" fontId="5" fillId="0" borderId="0" xfId="2" applyFont="1" applyFill="1"/>
    <xf numFmtId="0" fontId="5" fillId="0" borderId="0" xfId="2" applyFont="1"/>
    <xf numFmtId="4" fontId="5" fillId="0" borderId="0" xfId="2" applyNumberFormat="1" applyFont="1"/>
    <xf numFmtId="0" fontId="4" fillId="0" borderId="0" xfId="2" applyFont="1" applyFill="1" applyBorder="1" applyAlignment="1">
      <alignment wrapText="1"/>
    </xf>
    <xf numFmtId="0" fontId="4" fillId="0" borderId="0" xfId="2"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3" applyFont="1" applyAlignment="1">
      <alignment horizontal="left" vertical="top" wrapText="1"/>
    </xf>
    <xf numFmtId="0" fontId="5" fillId="0" borderId="0" xfId="2" applyFont="1" applyAlignment="1">
      <alignment horizontal="left" vertical="top" wrapText="1"/>
    </xf>
    <xf numFmtId="0" fontId="7" fillId="0" borderId="0" xfId="4" applyFont="1" applyBorder="1" applyAlignment="1">
      <alignment horizontal="left" vertical="top" wrapText="1"/>
    </xf>
    <xf numFmtId="0" fontId="8" fillId="0" borderId="0" xfId="4" applyFont="1" applyBorder="1" applyAlignment="1">
      <alignment horizontal="left" vertical="top" wrapText="1"/>
    </xf>
    <xf numFmtId="0" fontId="4" fillId="0" borderId="0" xfId="3" applyFont="1" applyFill="1" applyAlignment="1"/>
    <xf numFmtId="0" fontId="5" fillId="0" borderId="0" xfId="2" applyFont="1" applyFill="1" applyAlignment="1">
      <alignment horizontal="left" wrapText="1"/>
    </xf>
    <xf numFmtId="165" fontId="5" fillId="0" borderId="0" xfId="1" applyNumberFormat="1" applyFont="1" applyFill="1"/>
    <xf numFmtId="164" fontId="5" fillId="0" borderId="0" xfId="1" applyFont="1" applyFill="1" applyAlignment="1">
      <alignment horizontal="right"/>
    </xf>
    <xf numFmtId="0" fontId="5" fillId="0" borderId="0" xfId="2" applyFont="1" applyFill="1" applyAlignment="1">
      <alignment horizontal="right"/>
    </xf>
    <xf numFmtId="0" fontId="4" fillId="3" borderId="3" xfId="3" applyFont="1" applyFill="1" applyBorder="1" applyAlignment="1">
      <alignment horizontal="left" vertical="top" wrapText="1"/>
    </xf>
    <xf numFmtId="0" fontId="4" fillId="3" borderId="3" xfId="2" applyFont="1" applyFill="1" applyBorder="1" applyAlignment="1">
      <alignment horizontal="left" vertical="top" wrapText="1"/>
    </xf>
    <xf numFmtId="165" fontId="4" fillId="3" borderId="3" xfId="5" applyNumberFormat="1" applyFont="1" applyFill="1" applyBorder="1" applyAlignment="1">
      <alignment horizontal="left" vertical="top"/>
    </xf>
    <xf numFmtId="4" fontId="3" fillId="0" borderId="3" xfId="2" applyNumberFormat="1" applyFont="1" applyFill="1" applyBorder="1" applyAlignment="1">
      <alignment wrapText="1"/>
    </xf>
    <xf numFmtId="3" fontId="5" fillId="0" borderId="3" xfId="1" applyNumberFormat="1" applyFont="1" applyFill="1" applyBorder="1"/>
    <xf numFmtId="4" fontId="5" fillId="0" borderId="3" xfId="1" applyNumberFormat="1" applyFont="1" applyFill="1" applyBorder="1"/>
    <xf numFmtId="0" fontId="5" fillId="0" borderId="0" xfId="2" applyFont="1" applyAlignment="1">
      <alignment wrapText="1"/>
    </xf>
    <xf numFmtId="0" fontId="5" fillId="0" borderId="0" xfId="2" applyFont="1" applyAlignment="1">
      <alignment horizontal="left" wrapText="1"/>
    </xf>
    <xf numFmtId="165" fontId="5" fillId="0" borderId="0" xfId="1" applyNumberFormat="1" applyFont="1"/>
    <xf numFmtId="164" fontId="5" fillId="0" borderId="0" xfId="1" applyFont="1" applyFill="1" applyBorder="1"/>
    <xf numFmtId="0" fontId="5" fillId="0" borderId="0" xfId="3" applyFont="1" applyFill="1" applyBorder="1" applyAlignment="1"/>
    <xf numFmtId="4" fontId="5" fillId="0" borderId="0" xfId="6" applyNumberFormat="1" applyFont="1"/>
    <xf numFmtId="0" fontId="5" fillId="0" borderId="0" xfId="2" applyFont="1" applyFill="1" applyAlignment="1">
      <alignment wrapText="1"/>
    </xf>
    <xf numFmtId="165" fontId="5" fillId="0" borderId="0" xfId="6" applyNumberFormat="1" applyFont="1" applyFill="1"/>
    <xf numFmtId="0" fontId="4" fillId="0" borderId="1" xfId="2" applyFont="1" applyFill="1" applyBorder="1" applyAlignment="1">
      <alignment horizontal="left"/>
    </xf>
    <xf numFmtId="164" fontId="5" fillId="0" borderId="0" xfId="2" applyNumberFormat="1" applyFont="1"/>
    <xf numFmtId="0" fontId="4" fillId="4" borderId="3" xfId="2" applyFont="1" applyFill="1" applyBorder="1" applyAlignment="1"/>
    <xf numFmtId="0" fontId="5" fillId="0" borderId="4" xfId="2" applyFont="1" applyFill="1" applyBorder="1" applyAlignment="1">
      <alignment horizontal="left"/>
    </xf>
    <xf numFmtId="0" fontId="5" fillId="0" borderId="2" xfId="2" applyFont="1" applyFill="1" applyBorder="1" applyAlignment="1">
      <alignment horizontal="left"/>
    </xf>
    <xf numFmtId="0" fontId="5" fillId="0" borderId="5" xfId="2" applyFont="1" applyFill="1" applyBorder="1" applyAlignment="1">
      <alignment horizontal="left"/>
    </xf>
    <xf numFmtId="165" fontId="5" fillId="0" borderId="3" xfId="1" applyNumberFormat="1" applyFont="1" applyBorder="1"/>
    <xf numFmtId="4" fontId="5" fillId="0" borderId="3" xfId="2" applyNumberFormat="1" applyFont="1" applyBorder="1"/>
    <xf numFmtId="164" fontId="5" fillId="0" borderId="3" xfId="1" applyFont="1" applyBorder="1"/>
    <xf numFmtId="4" fontId="3" fillId="0" borderId="0" xfId="2" applyNumberFormat="1" applyFont="1"/>
    <xf numFmtId="164" fontId="3" fillId="0" borderId="0" xfId="2" applyNumberFormat="1" applyFont="1"/>
    <xf numFmtId="43" fontId="3" fillId="0" borderId="0" xfId="2" applyNumberFormat="1" applyFont="1"/>
    <xf numFmtId="0" fontId="4" fillId="0" borderId="0" xfId="2" applyFont="1"/>
    <xf numFmtId="0" fontId="4" fillId="4" borderId="4" xfId="2" applyFont="1" applyFill="1" applyBorder="1" applyAlignment="1"/>
    <xf numFmtId="0" fontId="4" fillId="4" borderId="2" xfId="2" applyFont="1" applyFill="1" applyBorder="1" applyAlignment="1"/>
    <xf numFmtId="0" fontId="4" fillId="4" borderId="5" xfId="2" applyFont="1" applyFill="1" applyBorder="1" applyAlignment="1"/>
    <xf numFmtId="0" fontId="5" fillId="4" borderId="3" xfId="2" applyFont="1" applyFill="1" applyBorder="1" applyAlignment="1"/>
    <xf numFmtId="0" fontId="5" fillId="0" borderId="3" xfId="2" applyFont="1" applyBorder="1" applyAlignment="1">
      <alignment horizontal="center" vertical="top"/>
    </xf>
    <xf numFmtId="0" fontId="9" fillId="0" borderId="0" xfId="7" applyFont="1"/>
    <xf numFmtId="0" fontId="10" fillId="0" borderId="0" xfId="2" applyFont="1" applyFill="1" applyBorder="1" applyAlignment="1">
      <alignment horizontal="left" wrapText="1"/>
    </xf>
    <xf numFmtId="0" fontId="7" fillId="0" borderId="0" xfId="7" applyFont="1" applyBorder="1"/>
    <xf numFmtId="0" fontId="9" fillId="0" borderId="0" xfId="8" applyFont="1" applyAlignment="1">
      <alignment horizontal="center"/>
    </xf>
    <xf numFmtId="0" fontId="3" fillId="0" borderId="0" xfId="2" applyFont="1" applyAlignment="1">
      <alignment wrapText="1"/>
    </xf>
    <xf numFmtId="0" fontId="3" fillId="0" borderId="0" xfId="2" applyFont="1" applyAlignment="1">
      <alignment horizontal="left" wrapText="1"/>
    </xf>
    <xf numFmtId="165" fontId="3" fillId="0" borderId="0" xfId="1" applyNumberFormat="1" applyFont="1"/>
    <xf numFmtId="0" fontId="4" fillId="0" borderId="0" xfId="2" applyFont="1" applyFill="1" applyBorder="1" applyAlignment="1">
      <alignment horizontal="center"/>
    </xf>
  </cellXfs>
  <cellStyles count="9">
    <cellStyle name="Comma" xfId="1" builtinId="3"/>
    <cellStyle name="Comma 2" xfId="5"/>
    <cellStyle name="Comma 4" xfId="6"/>
    <cellStyle name="Normal" xfId="0" builtinId="0"/>
    <cellStyle name="Normal 2 2 2" xfId="2"/>
    <cellStyle name="Normal 2 3 2" xfId="3"/>
    <cellStyle name="Normal 4_AA" xfId="7"/>
    <cellStyle name="Normal 4_IF" xfId="8"/>
    <cellStyle name="Normal 4_LD"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533400</xdr:colOff>
      <xdr:row>200</xdr:row>
      <xdr:rowOff>142875</xdr:rowOff>
    </xdr:from>
    <xdr:to>
      <xdr:col>0</xdr:col>
      <xdr:colOff>2800351</xdr:colOff>
      <xdr:row>203</xdr:row>
      <xdr:rowOff>85725</xdr:rowOff>
    </xdr:to>
    <xdr:sp macro="" textlink="">
      <xdr:nvSpPr>
        <xdr:cNvPr id="2" name="TextBox 1"/>
        <xdr:cNvSpPr txBox="1"/>
      </xdr:nvSpPr>
      <xdr:spPr>
        <a:xfrm>
          <a:off x="533400" y="37661850"/>
          <a:ext cx="2266951"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Investors understand that their</a:t>
          </a:r>
        </a:p>
        <a:p>
          <a:pPr algn="ctr"/>
          <a:r>
            <a:rPr lang="en-IN" sz="1100" b="1" i="0" u="none" strike="noStrike" baseline="0" smtClean="0">
              <a:solidFill>
                <a:sysClr val="windowText" lastClr="000000"/>
              </a:solidFill>
              <a:latin typeface="+mn-lt"/>
              <a:ea typeface="+mn-ea"/>
              <a:cs typeface="+mn-cs"/>
            </a:rPr>
            <a:t>principal will be at low risk</a:t>
          </a:r>
          <a:endParaRPr lang="en-IN" sz="1100">
            <a:solidFill>
              <a:sysClr val="windowText" lastClr="000000"/>
            </a:solidFill>
          </a:endParaRPr>
        </a:p>
      </xdr:txBody>
    </xdr:sp>
    <xdr:clientData/>
  </xdr:twoCellAnchor>
  <xdr:twoCellAnchor>
    <xdr:from>
      <xdr:col>1</xdr:col>
      <xdr:colOff>123825</xdr:colOff>
      <xdr:row>200</xdr:row>
      <xdr:rowOff>133350</xdr:rowOff>
    </xdr:from>
    <xdr:to>
      <xdr:col>1</xdr:col>
      <xdr:colOff>2752726</xdr:colOff>
      <xdr:row>203</xdr:row>
      <xdr:rowOff>76200</xdr:rowOff>
    </xdr:to>
    <xdr:sp macro="" textlink="">
      <xdr:nvSpPr>
        <xdr:cNvPr id="3" name="TextBox 2"/>
        <xdr:cNvSpPr txBox="1"/>
      </xdr:nvSpPr>
      <xdr:spPr>
        <a:xfrm>
          <a:off x="3143250" y="37652325"/>
          <a:ext cx="2628901"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Benchmark riskometer is</a:t>
          </a:r>
        </a:p>
        <a:p>
          <a:pPr algn="ctr"/>
          <a:r>
            <a:rPr lang="en-IN" sz="1100" b="1" i="0" u="none" strike="noStrike" baseline="0" smtClean="0">
              <a:solidFill>
                <a:sysClr val="windowText" lastClr="000000"/>
              </a:solidFill>
              <a:latin typeface="+mn-lt"/>
              <a:ea typeface="+mn-ea"/>
              <a:cs typeface="+mn-cs"/>
            </a:rPr>
            <a:t>at low risk</a:t>
          </a:r>
          <a:endParaRPr lang="en-IN" sz="1100">
            <a:solidFill>
              <a:sysClr val="windowText" lastClr="000000"/>
            </a:solidFill>
          </a:endParaRPr>
        </a:p>
      </xdr:txBody>
    </xdr:sp>
    <xdr:clientData/>
  </xdr:twoCellAnchor>
  <xdr:twoCellAnchor editAs="oneCell">
    <xdr:from>
      <xdr:col>0</xdr:col>
      <xdr:colOff>590550</xdr:colOff>
      <xdr:row>194</xdr:row>
      <xdr:rowOff>57150</xdr:rowOff>
    </xdr:from>
    <xdr:to>
      <xdr:col>0</xdr:col>
      <xdr:colOff>2724150</xdr:colOff>
      <xdr:row>200</xdr:row>
      <xdr:rowOff>161925</xdr:rowOff>
    </xdr:to>
    <xdr:pic>
      <xdr:nvPicPr>
        <xdr:cNvPr id="4" name="Picture 1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0550" y="36490275"/>
          <a:ext cx="2133600" cy="1190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342900</xdr:colOff>
      <xdr:row>194</xdr:row>
      <xdr:rowOff>76200</xdr:rowOff>
    </xdr:from>
    <xdr:to>
      <xdr:col>1</xdr:col>
      <xdr:colOff>2495550</xdr:colOff>
      <xdr:row>200</xdr:row>
      <xdr:rowOff>171450</xdr:rowOff>
    </xdr:to>
    <xdr:pic>
      <xdr:nvPicPr>
        <xdr:cNvPr id="5" name="Picture 1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362325" y="36509325"/>
          <a:ext cx="2152650" cy="1181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NAV%20All%20Files%202006-2007/Monthly%20Portfolio/July%202024/Monthly%20portfolio/Template%20Portfolio%20Disclosure%20-31.07%202024.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M Small Cap Fund"/>
      <sheetName val="JM Arbitrage Fund"/>
      <sheetName val="JM Midcap Fund"/>
      <sheetName val="JM Focused Fund"/>
      <sheetName val="JM Value Fund"/>
      <sheetName val="JM Flexicap Fund"/>
      <sheetName val="JM Large Cap Fund"/>
      <sheetName val="JM ELSS Tax Saver Fund"/>
      <sheetName val="JM Aggressive Hybrid Fund"/>
      <sheetName val="JM Short Duration Fund"/>
      <sheetName val="JM Medium to Long Duration Fund"/>
      <sheetName val="JM Dynamic Bond Fund"/>
      <sheetName val="JM Low Duration Fund"/>
      <sheetName val="JM Liquid Fund"/>
      <sheetName val="JM Overnight Fund"/>
      <sheetName val="Index"/>
      <sheetName val="Final (2)"/>
      <sheetName val="Final (204)"/>
      <sheetName val="Scheme Names"/>
      <sheetName val="SH 31.07.2024"/>
      <sheetName val="GHS 31072024"/>
      <sheetName val="Sheet1 (2)"/>
      <sheetName val="NAV"/>
      <sheetName val="Long Name"/>
      <sheetName val="Sheet1"/>
      <sheetName val="checklist"/>
      <sheetName val="SQ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tabColor indexed="11"/>
    <pageSetUpPr fitToPage="1"/>
  </sheetPr>
  <dimension ref="A1:H203"/>
  <sheetViews>
    <sheetView tabSelected="1" zoomScaleNormal="100" workbookViewId="0">
      <selection activeCell="A2" sqref="A2:H2"/>
    </sheetView>
  </sheetViews>
  <sheetFormatPr defaultRowHeight="12.75" x14ac:dyDescent="0.2"/>
  <cols>
    <col min="1" max="1" width="45.28515625" style="88" customWidth="1"/>
    <col min="2" max="2" width="42.5703125" style="89" customWidth="1"/>
    <col min="3" max="3" width="11.140625" style="90" customWidth="1"/>
    <col min="4" max="4" width="13.28515625" style="2" customWidth="1"/>
    <col min="5" max="5" width="9.85546875" style="2" customWidth="1"/>
    <col min="6" max="6" width="14.140625" style="2" customWidth="1"/>
    <col min="7" max="7" width="14.140625" style="2" bestFit="1" customWidth="1"/>
    <col min="8" max="8" width="14.7109375" style="2" bestFit="1" customWidth="1"/>
    <col min="9" max="16384" width="9.140625" style="2"/>
  </cols>
  <sheetData>
    <row r="1" spans="1:8" x14ac:dyDescent="0.2">
      <c r="A1" s="1" t="s">
        <v>0</v>
      </c>
      <c r="B1" s="1"/>
      <c r="C1" s="1"/>
      <c r="D1" s="1"/>
      <c r="E1" s="1"/>
      <c r="F1" s="1"/>
      <c r="G1" s="1"/>
      <c r="H1" s="1"/>
    </row>
    <row r="2" spans="1:8" x14ac:dyDescent="0.2">
      <c r="A2" s="1" t="s">
        <v>275</v>
      </c>
      <c r="B2" s="1"/>
      <c r="C2" s="1"/>
      <c r="D2" s="1"/>
      <c r="E2" s="1"/>
      <c r="F2" s="1"/>
      <c r="G2" s="1"/>
      <c r="H2" s="1"/>
    </row>
    <row r="3" spans="1:8" ht="12.75" customHeight="1" x14ac:dyDescent="0.2">
      <c r="A3" s="3" t="s">
        <v>1</v>
      </c>
      <c r="B3" s="3"/>
      <c r="C3" s="3"/>
      <c r="D3" s="3"/>
      <c r="E3" s="3"/>
      <c r="F3" s="3"/>
      <c r="G3" s="3"/>
      <c r="H3" s="3"/>
    </row>
    <row r="4" spans="1:8" s="6" customFormat="1" ht="25.5" x14ac:dyDescent="0.2">
      <c r="A4" s="4" t="s">
        <v>2</v>
      </c>
      <c r="B4" s="4" t="s">
        <v>3</v>
      </c>
      <c r="C4" s="5" t="s">
        <v>4</v>
      </c>
      <c r="D4" s="4" t="s">
        <v>5</v>
      </c>
      <c r="E4" s="4" t="s">
        <v>6</v>
      </c>
      <c r="F4" s="4" t="s">
        <v>7</v>
      </c>
      <c r="G4" s="4" t="s">
        <v>8</v>
      </c>
      <c r="H4" s="4" t="s">
        <v>9</v>
      </c>
    </row>
    <row r="5" spans="1:8" ht="14.25" x14ac:dyDescent="0.3">
      <c r="A5" s="7" t="s">
        <v>10</v>
      </c>
      <c r="B5" s="8"/>
      <c r="C5" s="9"/>
      <c r="D5" s="10"/>
      <c r="E5" s="10"/>
      <c r="F5" s="11"/>
      <c r="G5" s="12"/>
      <c r="H5" s="13"/>
    </row>
    <row r="6" spans="1:8" ht="14.25" x14ac:dyDescent="0.3">
      <c r="A6" s="14" t="s">
        <v>11</v>
      </c>
      <c r="B6" s="8"/>
      <c r="C6" s="9"/>
      <c r="D6" s="10"/>
      <c r="E6" s="10"/>
      <c r="F6" s="11"/>
      <c r="G6" s="12"/>
      <c r="H6" s="13"/>
    </row>
    <row r="7" spans="1:8" s="19" customFormat="1" ht="14.25" x14ac:dyDescent="0.3">
      <c r="A7" s="15" t="s">
        <v>12</v>
      </c>
      <c r="B7" s="16" t="s">
        <v>13</v>
      </c>
      <c r="C7" s="17">
        <v>14400</v>
      </c>
      <c r="D7" s="18">
        <v>617.72</v>
      </c>
      <c r="E7" s="18">
        <f t="shared" ref="E7:E61" si="0">ROUND((+D7/$D$101*100),2)</f>
        <v>3.8</v>
      </c>
      <c r="F7" s="18" t="s">
        <v>14</v>
      </c>
      <c r="G7" s="13"/>
      <c r="H7" s="12"/>
    </row>
    <row r="8" spans="1:8" s="19" customFormat="1" ht="14.25" x14ac:dyDescent="0.3">
      <c r="A8" s="15" t="s">
        <v>15</v>
      </c>
      <c r="B8" s="16" t="s">
        <v>16</v>
      </c>
      <c r="C8" s="17">
        <v>12300</v>
      </c>
      <c r="D8" s="18">
        <v>605.51</v>
      </c>
      <c r="E8" s="18">
        <f t="shared" si="0"/>
        <v>3.73</v>
      </c>
      <c r="F8" s="18" t="s">
        <v>17</v>
      </c>
      <c r="G8" s="13"/>
      <c r="H8" s="13"/>
    </row>
    <row r="9" spans="1:8" s="19" customFormat="1" ht="14.25" x14ac:dyDescent="0.3">
      <c r="A9" s="15" t="s">
        <v>18</v>
      </c>
      <c r="B9" s="16" t="s">
        <v>19</v>
      </c>
      <c r="C9" s="17">
        <v>4200</v>
      </c>
      <c r="D9" s="18">
        <v>550.86</v>
      </c>
      <c r="E9" s="18">
        <f t="shared" si="0"/>
        <v>3.39</v>
      </c>
      <c r="F9" s="18" t="s">
        <v>20</v>
      </c>
      <c r="G9" s="13"/>
      <c r="H9" s="12"/>
    </row>
    <row r="10" spans="1:8" s="19" customFormat="1" ht="14.25" x14ac:dyDescent="0.3">
      <c r="A10" s="15" t="s">
        <v>21</v>
      </c>
      <c r="B10" s="16" t="s">
        <v>22</v>
      </c>
      <c r="C10" s="17">
        <v>36000</v>
      </c>
      <c r="D10" s="18">
        <v>514.01</v>
      </c>
      <c r="E10" s="18">
        <f t="shared" si="0"/>
        <v>3.16</v>
      </c>
      <c r="F10" s="18" t="s">
        <v>23</v>
      </c>
      <c r="G10" s="13"/>
      <c r="H10" s="20"/>
    </row>
    <row r="11" spans="1:8" s="19" customFormat="1" ht="14.25" x14ac:dyDescent="0.3">
      <c r="A11" s="15" t="s">
        <v>24</v>
      </c>
      <c r="B11" s="16" t="s">
        <v>25</v>
      </c>
      <c r="C11" s="17">
        <v>7500</v>
      </c>
      <c r="D11" s="18">
        <v>510.52</v>
      </c>
      <c r="E11" s="18">
        <f t="shared" si="0"/>
        <v>3.14</v>
      </c>
      <c r="F11" s="18" t="s">
        <v>26</v>
      </c>
      <c r="G11" s="13"/>
      <c r="H11" s="13"/>
    </row>
    <row r="12" spans="1:8" s="19" customFormat="1" ht="14.25" x14ac:dyDescent="0.3">
      <c r="A12" s="15" t="s">
        <v>27</v>
      </c>
      <c r="B12" s="16" t="s">
        <v>28</v>
      </c>
      <c r="C12" s="17">
        <v>108000</v>
      </c>
      <c r="D12" s="18">
        <v>489.89</v>
      </c>
      <c r="E12" s="18">
        <f t="shared" si="0"/>
        <v>3.02</v>
      </c>
      <c r="F12" s="18" t="s">
        <v>29</v>
      </c>
      <c r="G12" s="13"/>
      <c r="H12" s="12"/>
    </row>
    <row r="13" spans="1:8" s="19" customFormat="1" ht="14.25" x14ac:dyDescent="0.3">
      <c r="A13" s="15" t="s">
        <v>30</v>
      </c>
      <c r="B13" s="16" t="s">
        <v>31</v>
      </c>
      <c r="C13" s="17">
        <v>132500</v>
      </c>
      <c r="D13" s="18">
        <v>480.11</v>
      </c>
      <c r="E13" s="18">
        <f t="shared" si="0"/>
        <v>2.96</v>
      </c>
      <c r="F13" s="18" t="s">
        <v>32</v>
      </c>
      <c r="G13" s="13"/>
      <c r="H13" s="13"/>
    </row>
    <row r="14" spans="1:8" s="19" customFormat="1" ht="14.25" x14ac:dyDescent="0.3">
      <c r="A14" s="15" t="s">
        <v>33</v>
      </c>
      <c r="B14" s="16" t="s">
        <v>34</v>
      </c>
      <c r="C14" s="17">
        <v>49500</v>
      </c>
      <c r="D14" s="18">
        <v>440.13</v>
      </c>
      <c r="E14" s="18">
        <f t="shared" si="0"/>
        <v>2.71</v>
      </c>
      <c r="F14" s="18" t="s">
        <v>35</v>
      </c>
      <c r="G14" s="13"/>
      <c r="H14" s="13"/>
    </row>
    <row r="15" spans="1:8" s="19" customFormat="1" ht="14.25" x14ac:dyDescent="0.3">
      <c r="A15" s="15" t="s">
        <v>36</v>
      </c>
      <c r="B15" s="16" t="s">
        <v>37</v>
      </c>
      <c r="C15" s="17">
        <v>111000</v>
      </c>
      <c r="D15" s="18">
        <v>409.04</v>
      </c>
      <c r="E15" s="18">
        <f t="shared" si="0"/>
        <v>2.52</v>
      </c>
      <c r="F15" s="18" t="s">
        <v>38</v>
      </c>
      <c r="G15" s="13"/>
      <c r="H15" s="12"/>
    </row>
    <row r="16" spans="1:8" s="19" customFormat="1" ht="14.25" x14ac:dyDescent="0.3">
      <c r="A16" s="15" t="s">
        <v>39</v>
      </c>
      <c r="B16" s="16" t="s">
        <v>40</v>
      </c>
      <c r="C16" s="17">
        <v>11375</v>
      </c>
      <c r="D16" s="18">
        <v>393.46</v>
      </c>
      <c r="E16" s="18">
        <f t="shared" si="0"/>
        <v>2.42</v>
      </c>
      <c r="F16" s="18" t="s">
        <v>41</v>
      </c>
      <c r="G16" s="13"/>
      <c r="H16" s="12"/>
    </row>
    <row r="17" spans="1:8" s="19" customFormat="1" ht="14.25" x14ac:dyDescent="0.3">
      <c r="A17" s="15" t="s">
        <v>42</v>
      </c>
      <c r="B17" s="16" t="s">
        <v>43</v>
      </c>
      <c r="C17" s="17">
        <v>70400</v>
      </c>
      <c r="D17" s="18">
        <v>348.73</v>
      </c>
      <c r="E17" s="18">
        <f t="shared" si="0"/>
        <v>2.15</v>
      </c>
      <c r="F17" s="18" t="s">
        <v>44</v>
      </c>
      <c r="G17" s="13"/>
      <c r="H17" s="12"/>
    </row>
    <row r="18" spans="1:8" s="19" customFormat="1" ht="14.25" x14ac:dyDescent="0.3">
      <c r="A18" s="15" t="s">
        <v>45</v>
      </c>
      <c r="B18" s="16" t="s">
        <v>46</v>
      </c>
      <c r="C18" s="17">
        <v>5250</v>
      </c>
      <c r="D18" s="18">
        <v>347.3</v>
      </c>
      <c r="E18" s="18">
        <f t="shared" si="0"/>
        <v>2.14</v>
      </c>
      <c r="F18" s="18" t="s">
        <v>47</v>
      </c>
      <c r="G18" s="13"/>
      <c r="H18" s="13"/>
    </row>
    <row r="19" spans="1:8" s="19" customFormat="1" ht="14.25" x14ac:dyDescent="0.3">
      <c r="A19" s="15" t="s">
        <v>48</v>
      </c>
      <c r="B19" s="16" t="s">
        <v>13</v>
      </c>
      <c r="C19" s="17">
        <v>180000</v>
      </c>
      <c r="D19" s="18">
        <v>345.8</v>
      </c>
      <c r="E19" s="18">
        <f t="shared" si="0"/>
        <v>2.13</v>
      </c>
      <c r="F19" s="18" t="s">
        <v>49</v>
      </c>
      <c r="G19" s="13"/>
      <c r="H19" s="20"/>
    </row>
    <row r="20" spans="1:8" s="19" customFormat="1" ht="14.25" x14ac:dyDescent="0.3">
      <c r="A20" s="15" t="s">
        <v>50</v>
      </c>
      <c r="B20" s="16" t="s">
        <v>40</v>
      </c>
      <c r="C20" s="17">
        <v>2600</v>
      </c>
      <c r="D20" s="18">
        <v>314.77</v>
      </c>
      <c r="E20" s="18">
        <f t="shared" si="0"/>
        <v>1.94</v>
      </c>
      <c r="F20" s="18" t="s">
        <v>51</v>
      </c>
      <c r="G20" s="13"/>
      <c r="H20" s="13"/>
    </row>
    <row r="21" spans="1:8" s="19" customFormat="1" ht="14.25" x14ac:dyDescent="0.3">
      <c r="A21" s="15" t="s">
        <v>52</v>
      </c>
      <c r="B21" s="16" t="s">
        <v>22</v>
      </c>
      <c r="C21" s="17">
        <v>122850</v>
      </c>
      <c r="D21" s="18">
        <v>311.61</v>
      </c>
      <c r="E21" s="18">
        <f t="shared" si="0"/>
        <v>1.92</v>
      </c>
      <c r="F21" s="18" t="s">
        <v>53</v>
      </c>
      <c r="G21" s="13"/>
      <c r="H21" s="13"/>
    </row>
    <row r="22" spans="1:8" s="19" customFormat="1" ht="14.25" x14ac:dyDescent="0.3">
      <c r="A22" s="15" t="s">
        <v>54</v>
      </c>
      <c r="B22" s="16" t="s">
        <v>55</v>
      </c>
      <c r="C22" s="17">
        <v>41800</v>
      </c>
      <c r="D22" s="18">
        <v>299.08</v>
      </c>
      <c r="E22" s="18">
        <f t="shared" si="0"/>
        <v>1.84</v>
      </c>
      <c r="F22" s="18" t="s">
        <v>56</v>
      </c>
      <c r="G22" s="13"/>
      <c r="H22" s="13"/>
    </row>
    <row r="23" spans="1:8" s="19" customFormat="1" ht="14.25" x14ac:dyDescent="0.3">
      <c r="A23" s="15" t="s">
        <v>57</v>
      </c>
      <c r="B23" s="16" t="s">
        <v>58</v>
      </c>
      <c r="C23" s="17">
        <v>28875</v>
      </c>
      <c r="D23" s="18">
        <v>285.18</v>
      </c>
      <c r="E23" s="18">
        <f t="shared" si="0"/>
        <v>1.76</v>
      </c>
      <c r="F23" s="18" t="s">
        <v>59</v>
      </c>
      <c r="G23" s="13"/>
      <c r="H23" s="12"/>
    </row>
    <row r="24" spans="1:8" s="19" customFormat="1" ht="14.25" x14ac:dyDescent="0.3">
      <c r="A24" s="15" t="s">
        <v>60</v>
      </c>
      <c r="B24" s="16" t="s">
        <v>31</v>
      </c>
      <c r="C24" s="17">
        <v>17550</v>
      </c>
      <c r="D24" s="18">
        <v>271.02</v>
      </c>
      <c r="E24" s="18">
        <f t="shared" si="0"/>
        <v>1.67</v>
      </c>
      <c r="F24" s="18" t="s">
        <v>61</v>
      </c>
      <c r="G24" s="13"/>
      <c r="H24" s="13"/>
    </row>
    <row r="25" spans="1:8" s="19" customFormat="1" ht="14.25" x14ac:dyDescent="0.3">
      <c r="A25" s="15" t="s">
        <v>62</v>
      </c>
      <c r="B25" s="16" t="s">
        <v>63</v>
      </c>
      <c r="C25" s="17">
        <v>61200</v>
      </c>
      <c r="D25" s="18">
        <v>265.08999999999997</v>
      </c>
      <c r="E25" s="18">
        <f t="shared" si="0"/>
        <v>1.63</v>
      </c>
      <c r="F25" s="18" t="s">
        <v>64</v>
      </c>
      <c r="G25" s="13"/>
      <c r="H25" s="20"/>
    </row>
    <row r="26" spans="1:8" s="19" customFormat="1" ht="14.25" x14ac:dyDescent="0.3">
      <c r="A26" s="15" t="s">
        <v>65</v>
      </c>
      <c r="B26" s="16" t="s">
        <v>25</v>
      </c>
      <c r="C26" s="17">
        <v>31000</v>
      </c>
      <c r="D26" s="18">
        <v>237.85</v>
      </c>
      <c r="E26" s="18">
        <f t="shared" si="0"/>
        <v>1.46</v>
      </c>
      <c r="F26" s="18" t="s">
        <v>66</v>
      </c>
      <c r="G26" s="13"/>
      <c r="H26" s="12"/>
    </row>
    <row r="27" spans="1:8" s="19" customFormat="1" ht="14.25" x14ac:dyDescent="0.3">
      <c r="A27" s="15" t="s">
        <v>67</v>
      </c>
      <c r="B27" s="16" t="s">
        <v>31</v>
      </c>
      <c r="C27" s="17">
        <v>4800</v>
      </c>
      <c r="D27" s="18">
        <v>236.31</v>
      </c>
      <c r="E27" s="18">
        <f t="shared" si="0"/>
        <v>1.45</v>
      </c>
      <c r="F27" s="18" t="s">
        <v>68</v>
      </c>
      <c r="G27" s="13"/>
      <c r="H27" s="13"/>
    </row>
    <row r="28" spans="1:8" s="19" customFormat="1" ht="14.25" x14ac:dyDescent="0.3">
      <c r="A28" s="15" t="s">
        <v>69</v>
      </c>
      <c r="B28" s="16" t="s">
        <v>70</v>
      </c>
      <c r="C28" s="17">
        <v>5700</v>
      </c>
      <c r="D28" s="18">
        <v>217.46</v>
      </c>
      <c r="E28" s="18">
        <f t="shared" si="0"/>
        <v>1.34</v>
      </c>
      <c r="F28" s="18" t="s">
        <v>71</v>
      </c>
      <c r="G28" s="13"/>
      <c r="H28" s="12"/>
    </row>
    <row r="29" spans="1:8" s="19" customFormat="1" ht="14.25" x14ac:dyDescent="0.3">
      <c r="A29" s="15" t="s">
        <v>72</v>
      </c>
      <c r="B29" s="16" t="s">
        <v>73</v>
      </c>
      <c r="C29" s="17">
        <v>121000</v>
      </c>
      <c r="D29" s="18">
        <v>200.05</v>
      </c>
      <c r="E29" s="18">
        <f t="shared" si="0"/>
        <v>1.23</v>
      </c>
      <c r="F29" s="18" t="s">
        <v>74</v>
      </c>
      <c r="G29" s="13"/>
      <c r="H29" s="12"/>
    </row>
    <row r="30" spans="1:8" s="19" customFormat="1" ht="14.25" x14ac:dyDescent="0.3">
      <c r="A30" s="15" t="s">
        <v>75</v>
      </c>
      <c r="B30" s="16" t="s">
        <v>76</v>
      </c>
      <c r="C30" s="17">
        <v>191250</v>
      </c>
      <c r="D30" s="18">
        <v>194.56</v>
      </c>
      <c r="E30" s="18">
        <f t="shared" si="0"/>
        <v>1.2</v>
      </c>
      <c r="F30" s="18" t="s">
        <v>77</v>
      </c>
      <c r="G30" s="13"/>
      <c r="H30" s="13"/>
    </row>
    <row r="31" spans="1:8" s="19" customFormat="1" ht="14.25" x14ac:dyDescent="0.3">
      <c r="A31" s="15" t="s">
        <v>78</v>
      </c>
      <c r="B31" s="16" t="s">
        <v>31</v>
      </c>
      <c r="C31" s="17">
        <v>13050</v>
      </c>
      <c r="D31" s="18">
        <v>191.67</v>
      </c>
      <c r="E31" s="18">
        <f t="shared" si="0"/>
        <v>1.18</v>
      </c>
      <c r="F31" s="18" t="s">
        <v>79</v>
      </c>
      <c r="G31" s="13"/>
      <c r="H31" s="13"/>
    </row>
    <row r="32" spans="1:8" s="19" customFormat="1" ht="14.25" x14ac:dyDescent="0.3">
      <c r="A32" s="15" t="s">
        <v>80</v>
      </c>
      <c r="B32" s="16" t="s">
        <v>81</v>
      </c>
      <c r="C32" s="17">
        <v>53000</v>
      </c>
      <c r="D32" s="18">
        <v>170.45</v>
      </c>
      <c r="E32" s="18">
        <f t="shared" si="0"/>
        <v>1.05</v>
      </c>
      <c r="F32" s="18" t="s">
        <v>82</v>
      </c>
      <c r="G32" s="13"/>
      <c r="H32" s="13"/>
    </row>
    <row r="33" spans="1:8" s="19" customFormat="1" ht="14.25" x14ac:dyDescent="0.3">
      <c r="A33" s="15" t="s">
        <v>83</v>
      </c>
      <c r="B33" s="16" t="s">
        <v>25</v>
      </c>
      <c r="C33" s="17">
        <v>10000</v>
      </c>
      <c r="D33" s="18">
        <v>165.17</v>
      </c>
      <c r="E33" s="18">
        <f t="shared" si="0"/>
        <v>1.02</v>
      </c>
      <c r="F33" s="18" t="s">
        <v>84</v>
      </c>
      <c r="G33" s="13"/>
      <c r="H33" s="13"/>
    </row>
    <row r="34" spans="1:8" s="19" customFormat="1" ht="14.25" x14ac:dyDescent="0.3">
      <c r="A34" s="15" t="s">
        <v>85</v>
      </c>
      <c r="B34" s="16" t="s">
        <v>86</v>
      </c>
      <c r="C34" s="17">
        <v>78000</v>
      </c>
      <c r="D34" s="18">
        <v>141.69999999999999</v>
      </c>
      <c r="E34" s="18">
        <f t="shared" si="0"/>
        <v>0.87</v>
      </c>
      <c r="F34" s="18" t="s">
        <v>87</v>
      </c>
      <c r="G34" s="13"/>
      <c r="H34" s="20"/>
    </row>
    <row r="35" spans="1:8" s="19" customFormat="1" ht="14.25" x14ac:dyDescent="0.3">
      <c r="A35" s="15" t="s">
        <v>88</v>
      </c>
      <c r="B35" s="16" t="s">
        <v>13</v>
      </c>
      <c r="C35" s="17">
        <v>3000</v>
      </c>
      <c r="D35" s="18">
        <v>123.43</v>
      </c>
      <c r="E35" s="18">
        <f t="shared" si="0"/>
        <v>0.76</v>
      </c>
      <c r="F35" s="18" t="s">
        <v>89</v>
      </c>
      <c r="G35" s="13"/>
      <c r="H35" s="13"/>
    </row>
    <row r="36" spans="1:8" s="19" customFormat="1" ht="14.25" x14ac:dyDescent="0.3">
      <c r="A36" s="15" t="s">
        <v>90</v>
      </c>
      <c r="B36" s="16" t="s">
        <v>31</v>
      </c>
      <c r="C36" s="17">
        <v>25500</v>
      </c>
      <c r="D36" s="18">
        <v>118.29</v>
      </c>
      <c r="E36" s="18">
        <f t="shared" si="0"/>
        <v>0.73</v>
      </c>
      <c r="F36" s="18" t="s">
        <v>91</v>
      </c>
      <c r="G36" s="13"/>
      <c r="H36" s="12"/>
    </row>
    <row r="37" spans="1:8" s="19" customFormat="1" ht="14.25" x14ac:dyDescent="0.3">
      <c r="A37" s="15" t="s">
        <v>92</v>
      </c>
      <c r="B37" s="16" t="s">
        <v>93</v>
      </c>
      <c r="C37" s="17">
        <v>15000</v>
      </c>
      <c r="D37" s="18">
        <v>112.33</v>
      </c>
      <c r="E37" s="18">
        <f t="shared" si="0"/>
        <v>0.69</v>
      </c>
      <c r="F37" s="18" t="s">
        <v>94</v>
      </c>
      <c r="G37" s="13"/>
      <c r="H37" s="13"/>
    </row>
    <row r="38" spans="1:8" s="19" customFormat="1" ht="14.25" x14ac:dyDescent="0.3">
      <c r="A38" s="15" t="s">
        <v>95</v>
      </c>
      <c r="B38" s="16" t="s">
        <v>31</v>
      </c>
      <c r="C38" s="17">
        <v>9000</v>
      </c>
      <c r="D38" s="18">
        <v>112.25</v>
      </c>
      <c r="E38" s="18">
        <f t="shared" si="0"/>
        <v>0.69</v>
      </c>
      <c r="F38" s="18" t="s">
        <v>96</v>
      </c>
      <c r="G38" s="13"/>
      <c r="H38" s="12"/>
    </row>
    <row r="39" spans="1:8" s="19" customFormat="1" ht="14.25" x14ac:dyDescent="0.3">
      <c r="A39" s="15" t="s">
        <v>97</v>
      </c>
      <c r="B39" s="16" t="s">
        <v>98</v>
      </c>
      <c r="C39" s="17">
        <v>1500</v>
      </c>
      <c r="D39" s="18">
        <v>105.41</v>
      </c>
      <c r="E39" s="18">
        <f t="shared" si="0"/>
        <v>0.65</v>
      </c>
      <c r="F39" s="18" t="s">
        <v>99</v>
      </c>
      <c r="G39" s="13"/>
      <c r="H39" s="12"/>
    </row>
    <row r="40" spans="1:8" s="19" customFormat="1" ht="14.25" x14ac:dyDescent="0.3">
      <c r="A40" s="15" t="s">
        <v>100</v>
      </c>
      <c r="B40" s="16" t="s">
        <v>22</v>
      </c>
      <c r="C40" s="17">
        <v>12000</v>
      </c>
      <c r="D40" s="18">
        <v>104.69</v>
      </c>
      <c r="E40" s="18">
        <f t="shared" si="0"/>
        <v>0.64</v>
      </c>
      <c r="F40" s="18" t="s">
        <v>101</v>
      </c>
      <c r="G40" s="13"/>
      <c r="H40" s="12"/>
    </row>
    <row r="41" spans="1:8" s="19" customFormat="1" ht="14.25" x14ac:dyDescent="0.3">
      <c r="A41" s="15" t="s">
        <v>102</v>
      </c>
      <c r="B41" s="16" t="s">
        <v>19</v>
      </c>
      <c r="C41" s="17">
        <v>3850</v>
      </c>
      <c r="D41" s="18">
        <v>97.44</v>
      </c>
      <c r="E41" s="18">
        <f t="shared" si="0"/>
        <v>0.6</v>
      </c>
      <c r="F41" s="18" t="s">
        <v>103</v>
      </c>
      <c r="G41" s="13"/>
      <c r="H41" s="12"/>
    </row>
    <row r="42" spans="1:8" s="19" customFormat="1" ht="14.25" x14ac:dyDescent="0.3">
      <c r="A42" s="15" t="s">
        <v>104</v>
      </c>
      <c r="B42" s="16" t="s">
        <v>16</v>
      </c>
      <c r="C42" s="17">
        <v>28500</v>
      </c>
      <c r="D42" s="18">
        <v>90.07</v>
      </c>
      <c r="E42" s="18">
        <f t="shared" si="0"/>
        <v>0.55000000000000004</v>
      </c>
      <c r="F42" s="18" t="s">
        <v>105</v>
      </c>
      <c r="G42" s="13"/>
      <c r="H42" s="13"/>
    </row>
    <row r="43" spans="1:8" s="19" customFormat="1" ht="14.25" x14ac:dyDescent="0.3">
      <c r="A43" s="15" t="s">
        <v>106</v>
      </c>
      <c r="B43" s="16" t="s">
        <v>107</v>
      </c>
      <c r="C43" s="17">
        <v>1250</v>
      </c>
      <c r="D43" s="18">
        <v>85.73</v>
      </c>
      <c r="E43" s="18">
        <f t="shared" si="0"/>
        <v>0.53</v>
      </c>
      <c r="F43" s="18" t="s">
        <v>108</v>
      </c>
      <c r="G43" s="13"/>
      <c r="H43" s="12"/>
    </row>
    <row r="44" spans="1:8" s="19" customFormat="1" ht="14.25" x14ac:dyDescent="0.3">
      <c r="A44" s="15" t="s">
        <v>109</v>
      </c>
      <c r="B44" s="16" t="s">
        <v>43</v>
      </c>
      <c r="C44" s="17">
        <v>3000</v>
      </c>
      <c r="D44" s="18">
        <v>81.17</v>
      </c>
      <c r="E44" s="18">
        <f t="shared" si="0"/>
        <v>0.5</v>
      </c>
      <c r="F44" s="18" t="s">
        <v>110</v>
      </c>
      <c r="G44" s="13"/>
      <c r="H44" s="13"/>
    </row>
    <row r="45" spans="1:8" s="19" customFormat="1" ht="14.25" x14ac:dyDescent="0.3">
      <c r="A45" s="15" t="s">
        <v>111</v>
      </c>
      <c r="B45" s="16" t="s">
        <v>34</v>
      </c>
      <c r="C45" s="17">
        <v>4200</v>
      </c>
      <c r="D45" s="18">
        <v>78.22</v>
      </c>
      <c r="E45" s="18">
        <f t="shared" si="0"/>
        <v>0.48</v>
      </c>
      <c r="F45" s="18" t="s">
        <v>112</v>
      </c>
      <c r="G45" s="13"/>
      <c r="H45" s="12"/>
    </row>
    <row r="46" spans="1:8" s="19" customFormat="1" ht="14.25" x14ac:dyDescent="0.3">
      <c r="A46" s="15" t="s">
        <v>113</v>
      </c>
      <c r="B46" s="16" t="s">
        <v>40</v>
      </c>
      <c r="C46" s="17">
        <v>4875</v>
      </c>
      <c r="D46" s="18">
        <v>77.819999999999993</v>
      </c>
      <c r="E46" s="18">
        <f t="shared" si="0"/>
        <v>0.48</v>
      </c>
      <c r="F46" s="18" t="s">
        <v>114</v>
      </c>
      <c r="G46" s="13"/>
      <c r="H46" s="13"/>
    </row>
    <row r="47" spans="1:8" s="19" customFormat="1" ht="14.25" x14ac:dyDescent="0.3">
      <c r="A47" s="15" t="s">
        <v>115</v>
      </c>
      <c r="B47" s="16" t="s">
        <v>98</v>
      </c>
      <c r="C47" s="17">
        <v>1200</v>
      </c>
      <c r="D47" s="18">
        <v>70.069999999999993</v>
      </c>
      <c r="E47" s="18">
        <f t="shared" si="0"/>
        <v>0.43</v>
      </c>
      <c r="F47" s="18" t="s">
        <v>116</v>
      </c>
      <c r="G47" s="13"/>
      <c r="H47" s="12"/>
    </row>
    <row r="48" spans="1:8" s="19" customFormat="1" ht="14.25" x14ac:dyDescent="0.3">
      <c r="A48" s="15" t="s">
        <v>117</v>
      </c>
      <c r="B48" s="16" t="s">
        <v>40</v>
      </c>
      <c r="C48" s="17">
        <v>12600</v>
      </c>
      <c r="D48" s="18">
        <v>56.88</v>
      </c>
      <c r="E48" s="18">
        <f t="shared" si="0"/>
        <v>0.35</v>
      </c>
      <c r="F48" s="18" t="s">
        <v>118</v>
      </c>
      <c r="G48" s="13"/>
      <c r="H48" s="13"/>
    </row>
    <row r="49" spans="1:8" s="19" customFormat="1" ht="14.25" x14ac:dyDescent="0.3">
      <c r="A49" s="15" t="s">
        <v>119</v>
      </c>
      <c r="B49" s="16" t="s">
        <v>120</v>
      </c>
      <c r="C49" s="17">
        <v>20000</v>
      </c>
      <c r="D49" s="18">
        <v>51.42</v>
      </c>
      <c r="E49" s="18">
        <f t="shared" si="0"/>
        <v>0.32</v>
      </c>
      <c r="F49" s="18" t="s">
        <v>121</v>
      </c>
      <c r="G49" s="13"/>
      <c r="H49" s="13"/>
    </row>
    <row r="50" spans="1:8" s="19" customFormat="1" ht="14.25" x14ac:dyDescent="0.3">
      <c r="A50" s="15" t="s">
        <v>122</v>
      </c>
      <c r="B50" s="16" t="s">
        <v>22</v>
      </c>
      <c r="C50" s="17">
        <v>40500</v>
      </c>
      <c r="D50" s="18">
        <v>46.46</v>
      </c>
      <c r="E50" s="18">
        <f t="shared" si="0"/>
        <v>0.28999999999999998</v>
      </c>
      <c r="F50" s="18" t="s">
        <v>123</v>
      </c>
      <c r="G50" s="13"/>
      <c r="H50" s="13"/>
    </row>
    <row r="51" spans="1:8" s="19" customFormat="1" ht="14.25" x14ac:dyDescent="0.3">
      <c r="A51" s="15" t="s">
        <v>124</v>
      </c>
      <c r="B51" s="16" t="s">
        <v>55</v>
      </c>
      <c r="C51" s="17">
        <v>4500</v>
      </c>
      <c r="D51" s="18">
        <v>33.119999999999997</v>
      </c>
      <c r="E51" s="18">
        <f t="shared" si="0"/>
        <v>0.2</v>
      </c>
      <c r="F51" s="18" t="s">
        <v>125</v>
      </c>
      <c r="G51" s="13"/>
      <c r="H51" s="20"/>
    </row>
    <row r="52" spans="1:8" s="19" customFormat="1" ht="14.25" x14ac:dyDescent="0.3">
      <c r="A52" s="15" t="s">
        <v>126</v>
      </c>
      <c r="B52" s="16" t="s">
        <v>58</v>
      </c>
      <c r="C52" s="17">
        <v>4000</v>
      </c>
      <c r="D52" s="18">
        <v>25.68</v>
      </c>
      <c r="E52" s="18">
        <f t="shared" si="0"/>
        <v>0.16</v>
      </c>
      <c r="F52" s="18" t="s">
        <v>127</v>
      </c>
      <c r="G52" s="13"/>
      <c r="H52" s="20"/>
    </row>
    <row r="53" spans="1:8" s="19" customFormat="1" ht="14.25" x14ac:dyDescent="0.3">
      <c r="A53" s="15" t="s">
        <v>128</v>
      </c>
      <c r="B53" s="16" t="s">
        <v>73</v>
      </c>
      <c r="C53" s="17">
        <v>2700</v>
      </c>
      <c r="D53" s="18">
        <v>25.06</v>
      </c>
      <c r="E53" s="18">
        <f t="shared" si="0"/>
        <v>0.15</v>
      </c>
      <c r="F53" s="18" t="s">
        <v>129</v>
      </c>
      <c r="G53" s="13"/>
      <c r="H53" s="12"/>
    </row>
    <row r="54" spans="1:8" s="19" customFormat="1" ht="14.25" x14ac:dyDescent="0.3">
      <c r="A54" s="15" t="s">
        <v>130</v>
      </c>
      <c r="B54" s="16" t="s">
        <v>86</v>
      </c>
      <c r="C54" s="17">
        <v>6075</v>
      </c>
      <c r="D54" s="18">
        <v>23.83</v>
      </c>
      <c r="E54" s="18">
        <f t="shared" si="0"/>
        <v>0.15</v>
      </c>
      <c r="F54" s="18" t="s">
        <v>131</v>
      </c>
      <c r="G54" s="13"/>
      <c r="H54" s="13"/>
    </row>
    <row r="55" spans="1:8" s="19" customFormat="1" ht="14.25" x14ac:dyDescent="0.3">
      <c r="A55" s="15" t="s">
        <v>132</v>
      </c>
      <c r="B55" s="16" t="s">
        <v>133</v>
      </c>
      <c r="C55" s="17">
        <v>400</v>
      </c>
      <c r="D55" s="18">
        <v>23.14</v>
      </c>
      <c r="E55" s="18">
        <f t="shared" si="0"/>
        <v>0.14000000000000001</v>
      </c>
      <c r="F55" s="18" t="s">
        <v>134</v>
      </c>
      <c r="G55" s="13"/>
      <c r="H55" s="13"/>
    </row>
    <row r="56" spans="1:8" s="19" customFormat="1" ht="14.25" x14ac:dyDescent="0.3">
      <c r="A56" s="15" t="s">
        <v>135</v>
      </c>
      <c r="B56" s="16" t="s">
        <v>73</v>
      </c>
      <c r="C56" s="17">
        <v>1875</v>
      </c>
      <c r="D56" s="18">
        <v>18.53</v>
      </c>
      <c r="E56" s="18">
        <f t="shared" si="0"/>
        <v>0.11</v>
      </c>
      <c r="F56" s="18" t="s">
        <v>136</v>
      </c>
      <c r="G56" s="13"/>
      <c r="H56" s="12"/>
    </row>
    <row r="57" spans="1:8" s="19" customFormat="1" ht="14.25" x14ac:dyDescent="0.3">
      <c r="A57" s="15" t="s">
        <v>137</v>
      </c>
      <c r="B57" s="16" t="s">
        <v>98</v>
      </c>
      <c r="C57" s="17">
        <v>5200</v>
      </c>
      <c r="D57" s="18">
        <v>17.87</v>
      </c>
      <c r="E57" s="18">
        <f t="shared" si="0"/>
        <v>0.11</v>
      </c>
      <c r="F57" s="18" t="s">
        <v>138</v>
      </c>
      <c r="G57" s="13"/>
      <c r="H57" s="13"/>
    </row>
    <row r="58" spans="1:8" s="19" customFormat="1" ht="14.25" x14ac:dyDescent="0.3">
      <c r="A58" s="15" t="s">
        <v>139</v>
      </c>
      <c r="B58" s="16" t="s">
        <v>140</v>
      </c>
      <c r="C58" s="17">
        <v>600</v>
      </c>
      <c r="D58" s="18">
        <v>15.54</v>
      </c>
      <c r="E58" s="18">
        <f t="shared" si="0"/>
        <v>0.1</v>
      </c>
      <c r="F58" s="18" t="s">
        <v>141</v>
      </c>
      <c r="G58" s="13"/>
      <c r="H58" s="13"/>
    </row>
    <row r="59" spans="1:8" s="19" customFormat="1" ht="14.25" x14ac:dyDescent="0.3">
      <c r="A59" s="15" t="s">
        <v>142</v>
      </c>
      <c r="B59" s="16" t="s">
        <v>143</v>
      </c>
      <c r="C59" s="17">
        <v>2600</v>
      </c>
      <c r="D59" s="18">
        <v>14.87</v>
      </c>
      <c r="E59" s="18">
        <f t="shared" si="0"/>
        <v>0.09</v>
      </c>
      <c r="F59" s="18" t="s">
        <v>144</v>
      </c>
      <c r="G59" s="13"/>
      <c r="H59" s="12"/>
    </row>
    <row r="60" spans="1:8" s="19" customFormat="1" ht="14.25" x14ac:dyDescent="0.3">
      <c r="A60" s="15" t="s">
        <v>145</v>
      </c>
      <c r="B60" s="16" t="s">
        <v>25</v>
      </c>
      <c r="C60" s="17">
        <v>5400</v>
      </c>
      <c r="D60" s="18">
        <v>12.25</v>
      </c>
      <c r="E60" s="18">
        <f t="shared" si="0"/>
        <v>0.08</v>
      </c>
      <c r="F60" s="18" t="s">
        <v>146</v>
      </c>
      <c r="G60" s="13"/>
      <c r="H60" s="13"/>
    </row>
    <row r="61" spans="1:8" s="19" customFormat="1" ht="14.25" x14ac:dyDescent="0.3">
      <c r="A61" s="15" t="s">
        <v>147</v>
      </c>
      <c r="B61" s="16" t="s">
        <v>31</v>
      </c>
      <c r="C61" s="17">
        <v>40</v>
      </c>
      <c r="D61" s="18">
        <v>11.35</v>
      </c>
      <c r="E61" s="18">
        <f t="shared" si="0"/>
        <v>7.0000000000000007E-2</v>
      </c>
      <c r="F61" s="18" t="s">
        <v>148</v>
      </c>
      <c r="G61" s="13"/>
      <c r="H61" s="13"/>
    </row>
    <row r="62" spans="1:8" s="19" customFormat="1" ht="14.25" x14ac:dyDescent="0.3">
      <c r="A62" s="14" t="s">
        <v>149</v>
      </c>
      <c r="B62" s="16"/>
      <c r="C62" s="17"/>
      <c r="D62" s="21">
        <f>IF(ISERROR(SUM(D7:D61)),0,SUM(D7:D61))</f>
        <v>11187.970000000001</v>
      </c>
      <c r="E62" s="21">
        <f>IF(ISERROR(SUM(E7:E61)),0,SUM(E7:E61))</f>
        <v>68.88000000000001</v>
      </c>
      <c r="F62" s="21"/>
      <c r="G62" s="13"/>
      <c r="H62" s="12"/>
    </row>
    <row r="63" spans="1:8" s="19" customFormat="1" ht="14.25" x14ac:dyDescent="0.3">
      <c r="A63" s="14"/>
      <c r="B63" s="14"/>
      <c r="C63" s="22"/>
      <c r="D63" s="23"/>
      <c r="E63" s="23"/>
      <c r="F63" s="23"/>
      <c r="G63" s="13"/>
      <c r="H63" s="12"/>
    </row>
    <row r="64" spans="1:8" s="19" customFormat="1" ht="14.25" x14ac:dyDescent="0.3">
      <c r="A64" s="14" t="s">
        <v>150</v>
      </c>
      <c r="B64" s="14"/>
      <c r="C64" s="22"/>
      <c r="D64" s="24" t="s">
        <v>151</v>
      </c>
      <c r="E64" s="24" t="s">
        <v>151</v>
      </c>
      <c r="F64" s="24"/>
      <c r="G64" s="13"/>
      <c r="H64" s="12"/>
    </row>
    <row r="65" spans="1:8" s="19" customFormat="1" ht="14.25" x14ac:dyDescent="0.3">
      <c r="A65" s="14"/>
      <c r="B65" s="7"/>
      <c r="C65" s="22"/>
      <c r="D65" s="24"/>
      <c r="E65" s="24"/>
      <c r="F65" s="25"/>
      <c r="G65" s="13"/>
      <c r="H65" s="12"/>
    </row>
    <row r="66" spans="1:8" s="19" customFormat="1" ht="14.25" x14ac:dyDescent="0.3">
      <c r="A66" s="14" t="s">
        <v>152</v>
      </c>
      <c r="B66" s="14"/>
      <c r="C66" s="22"/>
      <c r="D66" s="21">
        <f>IF(ISERROR(+D62),0,D62)+IF(ISERROR(+#REF!),0,#REF!)</f>
        <v>11187.970000000001</v>
      </c>
      <c r="E66" s="21">
        <f>IF(ISERROR(+E62),0,E62)+IF(ISERROR(+#REF!),0,#REF!)</f>
        <v>68.88000000000001</v>
      </c>
      <c r="F66" s="26"/>
      <c r="G66" s="13"/>
      <c r="H66" s="12"/>
    </row>
    <row r="67" spans="1:8" s="19" customFormat="1" ht="14.25" x14ac:dyDescent="0.3">
      <c r="A67" s="14"/>
      <c r="B67" s="14"/>
      <c r="C67" s="22"/>
      <c r="D67" s="21"/>
      <c r="E67" s="21"/>
      <c r="F67" s="26"/>
      <c r="G67" s="13"/>
      <c r="H67" s="12"/>
    </row>
    <row r="68" spans="1:8" s="19" customFormat="1" ht="14.25" x14ac:dyDescent="0.3">
      <c r="A68" s="14" t="s">
        <v>153</v>
      </c>
      <c r="B68" s="7"/>
      <c r="C68" s="22"/>
      <c r="D68" s="24"/>
      <c r="E68" s="24"/>
      <c r="F68" s="25"/>
      <c r="G68" s="13"/>
      <c r="H68" s="12"/>
    </row>
    <row r="69" spans="1:8" s="19" customFormat="1" ht="14.25" x14ac:dyDescent="0.3">
      <c r="A69" s="14" t="s">
        <v>11</v>
      </c>
      <c r="B69" s="7"/>
      <c r="C69" s="22"/>
      <c r="D69" s="24" t="s">
        <v>151</v>
      </c>
      <c r="E69" s="24" t="s">
        <v>151</v>
      </c>
      <c r="F69" s="27"/>
      <c r="G69" s="13"/>
      <c r="H69" s="12"/>
    </row>
    <row r="70" spans="1:8" s="19" customFormat="1" ht="14.25" x14ac:dyDescent="0.3">
      <c r="A70" s="14"/>
      <c r="B70" s="7"/>
      <c r="C70" s="28"/>
      <c r="D70" s="27"/>
      <c r="E70" s="27"/>
      <c r="F70" s="27"/>
      <c r="G70" s="13"/>
      <c r="H70" s="12"/>
    </row>
    <row r="71" spans="1:8" s="19" customFormat="1" ht="14.25" x14ac:dyDescent="0.3">
      <c r="A71" s="14" t="s">
        <v>154</v>
      </c>
      <c r="B71" s="7"/>
      <c r="C71" s="28"/>
      <c r="D71" s="24" t="s">
        <v>151</v>
      </c>
      <c r="E71" s="24" t="s">
        <v>151</v>
      </c>
      <c r="F71" s="25"/>
      <c r="G71" s="13"/>
      <c r="H71" s="12"/>
    </row>
    <row r="72" spans="1:8" s="19" customFormat="1" ht="14.25" x14ac:dyDescent="0.3">
      <c r="A72" s="14"/>
      <c r="B72" s="7"/>
      <c r="C72" s="28"/>
      <c r="D72" s="24"/>
      <c r="E72" s="24"/>
      <c r="F72" s="24"/>
      <c r="G72" s="13"/>
      <c r="H72" s="12"/>
    </row>
    <row r="73" spans="1:8" s="19" customFormat="1" ht="14.25" x14ac:dyDescent="0.3">
      <c r="A73" s="14" t="s">
        <v>155</v>
      </c>
      <c r="B73" s="7"/>
      <c r="C73" s="28"/>
      <c r="D73" s="24"/>
      <c r="E73" s="24"/>
      <c r="F73" s="24"/>
      <c r="G73" s="13"/>
      <c r="H73" s="12"/>
    </row>
    <row r="74" spans="1:8" s="19" customFormat="1" ht="14.25" x14ac:dyDescent="0.3">
      <c r="A74" s="14"/>
      <c r="B74" s="7"/>
      <c r="C74" s="28"/>
      <c r="D74" s="18"/>
      <c r="E74" s="18"/>
      <c r="F74" s="29"/>
      <c r="G74" s="13"/>
      <c r="H74" s="12"/>
    </row>
    <row r="75" spans="1:8" s="19" customFormat="1" ht="14.25" x14ac:dyDescent="0.3">
      <c r="A75" s="14" t="s">
        <v>156</v>
      </c>
      <c r="B75" s="7"/>
      <c r="C75" s="28"/>
      <c r="D75" s="24" t="s">
        <v>151</v>
      </c>
      <c r="E75" s="24" t="s">
        <v>151</v>
      </c>
      <c r="F75" s="24"/>
      <c r="G75" s="13"/>
      <c r="H75" s="12"/>
    </row>
    <row r="76" spans="1:8" s="19" customFormat="1" ht="14.25" x14ac:dyDescent="0.3">
      <c r="A76" s="14"/>
      <c r="B76" s="7"/>
      <c r="C76" s="28"/>
      <c r="D76" s="24"/>
      <c r="E76" s="24"/>
      <c r="F76" s="24"/>
      <c r="G76" s="13"/>
      <c r="H76" s="12"/>
    </row>
    <row r="77" spans="1:8" s="19" customFormat="1" ht="14.25" x14ac:dyDescent="0.3">
      <c r="A77" s="14" t="s">
        <v>157</v>
      </c>
      <c r="B77" s="7"/>
      <c r="C77" s="28"/>
      <c r="D77" s="24" t="s">
        <v>151</v>
      </c>
      <c r="E77" s="24" t="s">
        <v>151</v>
      </c>
      <c r="F77" s="24"/>
      <c r="G77" s="13"/>
      <c r="H77" s="12"/>
    </row>
    <row r="78" spans="1:8" s="19" customFormat="1" ht="14.25" x14ac:dyDescent="0.3">
      <c r="A78" s="14"/>
      <c r="B78" s="7"/>
      <c r="C78" s="28"/>
      <c r="D78" s="24"/>
      <c r="E78" s="24"/>
      <c r="F78" s="24"/>
      <c r="G78" s="13"/>
      <c r="H78" s="12"/>
    </row>
    <row r="79" spans="1:8" s="19" customFormat="1" ht="14.25" x14ac:dyDescent="0.3">
      <c r="A79" s="14" t="s">
        <v>158</v>
      </c>
      <c r="B79" s="7"/>
      <c r="C79" s="28"/>
      <c r="D79" s="24"/>
      <c r="E79" s="24"/>
      <c r="F79" s="25"/>
      <c r="G79" s="13"/>
      <c r="H79" s="12"/>
    </row>
    <row r="80" spans="1:8" s="19" customFormat="1" ht="14.25" x14ac:dyDescent="0.3">
      <c r="A80" s="14" t="s">
        <v>159</v>
      </c>
      <c r="B80" s="16"/>
      <c r="C80" s="17"/>
      <c r="D80" s="18"/>
      <c r="E80" s="27"/>
      <c r="F80" s="30"/>
      <c r="G80" s="13"/>
      <c r="H80" s="12"/>
    </row>
    <row r="81" spans="1:8" s="19" customFormat="1" ht="14.25" x14ac:dyDescent="0.3">
      <c r="A81" s="15" t="s">
        <v>160</v>
      </c>
      <c r="B81" s="16" t="s">
        <v>161</v>
      </c>
      <c r="C81" s="17">
        <v>500000</v>
      </c>
      <c r="D81" s="18">
        <v>493.02</v>
      </c>
      <c r="E81" s="18">
        <f t="shared" ref="E81:E89" si="1">ROUND((+D81/$D$101*100),2)</f>
        <v>3.03</v>
      </c>
      <c r="F81" s="18" t="s">
        <v>162</v>
      </c>
      <c r="G81" s="13">
        <v>6.6272000000000002</v>
      </c>
      <c r="H81" s="12"/>
    </row>
    <row r="82" spans="1:8" s="19" customFormat="1" ht="14.25" x14ac:dyDescent="0.3">
      <c r="A82" s="15" t="s">
        <v>163</v>
      </c>
      <c r="B82" s="16" t="s">
        <v>161</v>
      </c>
      <c r="C82" s="17">
        <v>300000</v>
      </c>
      <c r="D82" s="18">
        <v>299.3</v>
      </c>
      <c r="E82" s="18">
        <f t="shared" si="1"/>
        <v>1.84</v>
      </c>
      <c r="F82" s="18" t="s">
        <v>164</v>
      </c>
      <c r="G82" s="13">
        <v>6.1242000000000001</v>
      </c>
      <c r="H82" s="12"/>
    </row>
    <row r="83" spans="1:8" s="19" customFormat="1" ht="14.25" x14ac:dyDescent="0.3">
      <c r="A83" s="15" t="s">
        <v>165</v>
      </c>
      <c r="B83" s="16" t="s">
        <v>161</v>
      </c>
      <c r="C83" s="17">
        <v>210000</v>
      </c>
      <c r="D83" s="18">
        <v>208.95</v>
      </c>
      <c r="E83" s="18">
        <f t="shared" si="1"/>
        <v>1.29</v>
      </c>
      <c r="F83" s="18" t="s">
        <v>166</v>
      </c>
      <c r="G83" s="13">
        <v>6.55</v>
      </c>
      <c r="H83" s="12"/>
    </row>
    <row r="84" spans="1:8" s="19" customFormat="1" ht="14.25" x14ac:dyDescent="0.3">
      <c r="A84" s="15" t="s">
        <v>167</v>
      </c>
      <c r="B84" s="16" t="s">
        <v>161</v>
      </c>
      <c r="C84" s="17">
        <v>200000</v>
      </c>
      <c r="D84" s="18">
        <v>199.25</v>
      </c>
      <c r="E84" s="18">
        <f t="shared" si="1"/>
        <v>1.23</v>
      </c>
      <c r="F84" s="18" t="s">
        <v>168</v>
      </c>
      <c r="G84" s="13">
        <v>6.5494000000000003</v>
      </c>
      <c r="H84" s="12"/>
    </row>
    <row r="85" spans="1:8" s="19" customFormat="1" ht="14.25" x14ac:dyDescent="0.3">
      <c r="A85" s="15" t="s">
        <v>169</v>
      </c>
      <c r="B85" s="16" t="s">
        <v>161</v>
      </c>
      <c r="C85" s="17">
        <v>200000</v>
      </c>
      <c r="D85" s="18">
        <v>198.75</v>
      </c>
      <c r="E85" s="18">
        <f t="shared" si="1"/>
        <v>1.22</v>
      </c>
      <c r="F85" s="18" t="s">
        <v>170</v>
      </c>
      <c r="G85" s="13">
        <v>6.58</v>
      </c>
      <c r="H85" s="12"/>
    </row>
    <row r="86" spans="1:8" s="19" customFormat="1" ht="14.25" x14ac:dyDescent="0.3">
      <c r="A86" s="15" t="s">
        <v>171</v>
      </c>
      <c r="B86" s="16" t="s">
        <v>161</v>
      </c>
      <c r="C86" s="17">
        <v>200000</v>
      </c>
      <c r="D86" s="18">
        <v>198.01</v>
      </c>
      <c r="E86" s="18">
        <f t="shared" si="1"/>
        <v>1.22</v>
      </c>
      <c r="F86" s="18" t="s">
        <v>172</v>
      </c>
      <c r="G86" s="13">
        <v>6.5598000000000001</v>
      </c>
      <c r="H86" s="12"/>
    </row>
    <row r="87" spans="1:8" s="19" customFormat="1" ht="14.25" x14ac:dyDescent="0.3">
      <c r="A87" s="15" t="s">
        <v>173</v>
      </c>
      <c r="B87" s="16" t="s">
        <v>161</v>
      </c>
      <c r="C87" s="17">
        <v>200000</v>
      </c>
      <c r="D87" s="18">
        <v>197.75</v>
      </c>
      <c r="E87" s="18">
        <f t="shared" si="1"/>
        <v>1.22</v>
      </c>
      <c r="F87" s="18" t="s">
        <v>174</v>
      </c>
      <c r="G87" s="13">
        <v>6.6048</v>
      </c>
      <c r="H87" s="12"/>
    </row>
    <row r="88" spans="1:8" s="19" customFormat="1" ht="14.25" x14ac:dyDescent="0.3">
      <c r="A88" s="15" t="s">
        <v>175</v>
      </c>
      <c r="B88" s="16" t="s">
        <v>161</v>
      </c>
      <c r="C88" s="17">
        <v>200000</v>
      </c>
      <c r="D88" s="18">
        <v>196.98</v>
      </c>
      <c r="E88" s="18">
        <f t="shared" si="1"/>
        <v>1.21</v>
      </c>
      <c r="F88" s="18" t="s">
        <v>176</v>
      </c>
      <c r="G88" s="13">
        <v>6.6600999999999999</v>
      </c>
      <c r="H88" s="12"/>
    </row>
    <row r="89" spans="1:8" s="19" customFormat="1" ht="14.25" x14ac:dyDescent="0.3">
      <c r="A89" s="15" t="s">
        <v>177</v>
      </c>
      <c r="B89" s="16" t="s">
        <v>161</v>
      </c>
      <c r="C89" s="17">
        <v>200000</v>
      </c>
      <c r="D89" s="18">
        <v>196.73</v>
      </c>
      <c r="E89" s="18">
        <f t="shared" si="1"/>
        <v>1.21</v>
      </c>
      <c r="F89" s="18" t="s">
        <v>178</v>
      </c>
      <c r="G89" s="13">
        <v>6.6035000000000004</v>
      </c>
      <c r="H89" s="12"/>
    </row>
    <row r="90" spans="1:8" s="19" customFormat="1" ht="14.25" x14ac:dyDescent="0.3">
      <c r="A90" s="14" t="s">
        <v>149</v>
      </c>
      <c r="B90" s="31"/>
      <c r="C90" s="32"/>
      <c r="D90" s="24">
        <f>IF(ISERROR(SUM(D81:D89)),0,SUM(D81:D89))</f>
        <v>2188.7399999999998</v>
      </c>
      <c r="E90" s="24">
        <f>IF(ISERROR(SUM(E81:E89)),0,SUM(E81:E89))</f>
        <v>13.470000000000002</v>
      </c>
      <c r="F90" s="33"/>
      <c r="G90" s="13"/>
      <c r="H90" s="12"/>
    </row>
    <row r="91" spans="1:8" s="19" customFormat="1" ht="14.25" x14ac:dyDescent="0.3">
      <c r="A91" s="15" t="s">
        <v>179</v>
      </c>
      <c r="B91" s="16"/>
      <c r="C91" s="17">
        <v>0</v>
      </c>
      <c r="D91" s="18">
        <v>1735.49</v>
      </c>
      <c r="E91" s="18">
        <f>ROUND((+D91/$D$101*100),2)</f>
        <v>10.68</v>
      </c>
      <c r="F91" s="18" t="s">
        <v>180</v>
      </c>
      <c r="G91" s="13">
        <v>6.3921000000000001</v>
      </c>
      <c r="H91" s="12"/>
    </row>
    <row r="92" spans="1:8" s="19" customFormat="1" ht="14.25" x14ac:dyDescent="0.3">
      <c r="A92" s="14" t="s">
        <v>149</v>
      </c>
      <c r="B92" s="7"/>
      <c r="C92" s="28"/>
      <c r="D92" s="24">
        <f>IF(ISERROR(SUM(D91:D91)),0,SUM(D91:D91))</f>
        <v>1735.49</v>
      </c>
      <c r="E92" s="24">
        <f>IF(ISERROR(SUM(E91:E91)),0,SUM(E91:E91))</f>
        <v>10.68</v>
      </c>
      <c r="F92" s="18"/>
      <c r="G92" s="13"/>
      <c r="H92" s="12"/>
    </row>
    <row r="93" spans="1:8" s="19" customFormat="1" ht="14.25" x14ac:dyDescent="0.3">
      <c r="A93" s="14" t="s">
        <v>181</v>
      </c>
      <c r="B93" s="7"/>
      <c r="C93" s="28"/>
      <c r="D93" s="24"/>
      <c r="E93" s="24"/>
      <c r="F93" s="24"/>
      <c r="G93" s="13"/>
      <c r="H93" s="12"/>
    </row>
    <row r="94" spans="1:8" s="19" customFormat="1" ht="14.25" x14ac:dyDescent="0.3">
      <c r="A94" s="15" t="s">
        <v>182</v>
      </c>
      <c r="B94" s="16"/>
      <c r="C94" s="17">
        <v>1914369.97</v>
      </c>
      <c r="D94" s="18">
        <v>1293.97</v>
      </c>
      <c r="E94" s="18">
        <f>ROUND((+D94/$D$101*100),2)</f>
        <v>7.96</v>
      </c>
      <c r="F94" s="18" t="s">
        <v>183</v>
      </c>
      <c r="G94" s="13"/>
      <c r="H94" s="12"/>
    </row>
    <row r="95" spans="1:8" s="19" customFormat="1" ht="14.25" x14ac:dyDescent="0.3">
      <c r="A95" s="14" t="s">
        <v>149</v>
      </c>
      <c r="B95" s="7"/>
      <c r="C95" s="28"/>
      <c r="D95" s="24">
        <f>IF(ISERROR(SUM(D94:D94)),0,SUM(D94:D94))</f>
        <v>1293.97</v>
      </c>
      <c r="E95" s="24">
        <f>IF(ISERROR(SUM(E94:E94)),0,SUM(E94:E94))</f>
        <v>7.96</v>
      </c>
      <c r="F95" s="34"/>
      <c r="G95" s="13"/>
      <c r="H95" s="12"/>
    </row>
    <row r="96" spans="1:8" s="19" customFormat="1" ht="14.25" x14ac:dyDescent="0.3">
      <c r="A96" s="14"/>
      <c r="B96" s="7"/>
      <c r="C96" s="28"/>
      <c r="D96" s="24"/>
      <c r="E96" s="24"/>
      <c r="F96" s="25"/>
      <c r="G96" s="13"/>
      <c r="H96" s="12"/>
    </row>
    <row r="97" spans="1:8" s="19" customFormat="1" ht="14.25" x14ac:dyDescent="0.3">
      <c r="A97" s="14" t="s">
        <v>152</v>
      </c>
      <c r="B97" s="7"/>
      <c r="C97" s="28" t="s">
        <v>184</v>
      </c>
      <c r="D97" s="24">
        <f>+IF(ISERROR(#REF!),0,#REF!)+IF(ISERROR(D92),0,D92)+IF(ISERROR(#REF!),0,#REF!)+IF(ISERROR(#REF!),0,#REF!)+IF(ISERROR(#REF!),0,#REF!)+IF(ISERROR(D90),0,D90)+IF(ISERROR(D95),0,D95)+IF(ISERROR(#REF!),0,#REF!)+IF(ISERROR(#REF!),0,#REF!)+IF(ISERROR(#REF!),0,#REF!)+D66</f>
        <v>16406.170000000002</v>
      </c>
      <c r="E97" s="24">
        <f>+IF(ISERROR(#REF!),0,#REF!)+IF(ISERROR(E92),0,E92)+IF(ISERROR(#REF!),0,#REF!)+IF(ISERROR(#REF!),0,#REF!)+IF(ISERROR(#REF!),0,#REF!)+IF(ISERROR(E90),0,E90)+IF(ISERROR(E95),0,E95)+IF(ISERROR(#REF!),0,#REF!)+IF(ISERROR(#REF!),0,#REF!)+IF(ISERROR(#REF!),0,#REF!)+E66</f>
        <v>100.99000000000001</v>
      </c>
      <c r="F97" s="24"/>
      <c r="G97" s="13"/>
      <c r="H97" s="12"/>
    </row>
    <row r="98" spans="1:8" s="19" customFormat="1" ht="14.25" x14ac:dyDescent="0.3">
      <c r="A98" s="14"/>
      <c r="B98" s="7"/>
      <c r="C98" s="28"/>
      <c r="D98" s="24"/>
      <c r="E98" s="24"/>
      <c r="F98" s="35"/>
      <c r="G98" s="36"/>
      <c r="H98" s="37"/>
    </row>
    <row r="99" spans="1:8" s="19" customFormat="1" ht="14.25" x14ac:dyDescent="0.3">
      <c r="A99" s="14" t="s">
        <v>185</v>
      </c>
      <c r="B99" s="7"/>
      <c r="C99" s="28"/>
      <c r="D99" s="24">
        <f>+D101-D97</f>
        <v>-160.29000000000269</v>
      </c>
      <c r="E99" s="24">
        <f>+E101-E97</f>
        <v>-0.99000000000000909</v>
      </c>
      <c r="F99" s="35"/>
      <c r="G99" s="36"/>
      <c r="H99" s="37"/>
    </row>
    <row r="100" spans="1:8" s="19" customFormat="1" ht="14.25" x14ac:dyDescent="0.3">
      <c r="A100" s="14"/>
      <c r="B100" s="7"/>
      <c r="C100" s="28"/>
      <c r="D100" s="27"/>
      <c r="E100" s="27"/>
      <c r="F100" s="35"/>
      <c r="G100" s="36"/>
      <c r="H100" s="37"/>
    </row>
    <row r="101" spans="1:8" s="19" customFormat="1" ht="14.25" x14ac:dyDescent="0.3">
      <c r="A101" s="14" t="s">
        <v>186</v>
      </c>
      <c r="B101" s="7"/>
      <c r="C101" s="28"/>
      <c r="D101" s="24">
        <v>16245.88</v>
      </c>
      <c r="E101" s="24">
        <v>100</v>
      </c>
      <c r="F101" s="35"/>
      <c r="G101" s="36"/>
      <c r="H101" s="38"/>
    </row>
    <row r="102" spans="1:8" s="19" customFormat="1" ht="14.25" x14ac:dyDescent="0.3">
      <c r="A102" s="39"/>
      <c r="B102" s="40"/>
      <c r="C102" s="41"/>
      <c r="D102" s="42"/>
      <c r="E102" s="42"/>
      <c r="F102" s="35"/>
      <c r="G102" s="36"/>
      <c r="H102" s="37"/>
    </row>
    <row r="103" spans="1:8" s="19" customFormat="1" ht="13.5" x14ac:dyDescent="0.2">
      <c r="A103" s="43" t="s">
        <v>187</v>
      </c>
      <c r="B103" s="43"/>
      <c r="C103" s="43"/>
      <c r="D103" s="43"/>
      <c r="E103" s="43"/>
      <c r="F103" s="43"/>
      <c r="G103" s="43"/>
      <c r="H103" s="43"/>
    </row>
    <row r="104" spans="1:8" s="19" customFormat="1" ht="27" customHeight="1" x14ac:dyDescent="0.2">
      <c r="A104" s="43" t="s">
        <v>188</v>
      </c>
      <c r="B104" s="43"/>
      <c r="C104" s="43"/>
      <c r="D104" s="43"/>
      <c r="E104" s="43"/>
      <c r="F104" s="43"/>
      <c r="G104" s="43"/>
      <c r="H104" s="44"/>
    </row>
    <row r="105" spans="1:8" s="19" customFormat="1" ht="13.5" x14ac:dyDescent="0.2">
      <c r="A105" s="45" t="s">
        <v>189</v>
      </c>
      <c r="B105" s="45"/>
      <c r="C105" s="45"/>
      <c r="D105" s="45"/>
      <c r="E105" s="45"/>
      <c r="F105" s="45"/>
      <c r="G105" s="45"/>
      <c r="H105" s="44"/>
    </row>
    <row r="106" spans="1:8" ht="52.5" customHeight="1" x14ac:dyDescent="0.2">
      <c r="A106" s="46" t="s">
        <v>190</v>
      </c>
      <c r="B106" s="46"/>
      <c r="C106" s="46"/>
      <c r="D106" s="46"/>
      <c r="E106" s="46"/>
      <c r="F106" s="46"/>
      <c r="G106" s="46"/>
      <c r="H106" s="44"/>
    </row>
    <row r="108" spans="1:8" ht="14.25" x14ac:dyDescent="0.3">
      <c r="A108" s="47" t="s">
        <v>191</v>
      </c>
      <c r="B108" s="48"/>
      <c r="C108" s="49"/>
      <c r="D108" s="50"/>
      <c r="E108" s="50"/>
      <c r="F108" s="51"/>
    </row>
    <row r="109" spans="1:8" ht="51" x14ac:dyDescent="0.2">
      <c r="A109" s="52" t="s">
        <v>192</v>
      </c>
      <c r="B109" s="53" t="s">
        <v>193</v>
      </c>
      <c r="C109" s="54" t="s">
        <v>4</v>
      </c>
      <c r="D109" s="52" t="s">
        <v>194</v>
      </c>
      <c r="E109" s="52" t="s">
        <v>195</v>
      </c>
      <c r="F109" s="52" t="s">
        <v>196</v>
      </c>
    </row>
    <row r="110" spans="1:8" ht="14.25" x14ac:dyDescent="0.3">
      <c r="A110" s="55" t="s">
        <v>197</v>
      </c>
      <c r="B110" s="15" t="s">
        <v>198</v>
      </c>
      <c r="C110" s="56">
        <v>15000</v>
      </c>
      <c r="D110" s="57">
        <v>687.8</v>
      </c>
      <c r="E110" s="57">
        <v>754.4</v>
      </c>
      <c r="F110" s="57">
        <v>24.472650000000002</v>
      </c>
    </row>
    <row r="111" spans="1:8" ht="14.25" x14ac:dyDescent="0.3">
      <c r="A111" s="55" t="s">
        <v>199</v>
      </c>
      <c r="B111" s="15" t="s">
        <v>198</v>
      </c>
      <c r="C111" s="56">
        <v>40</v>
      </c>
      <c r="D111" s="57">
        <v>28477.8</v>
      </c>
      <c r="E111" s="57">
        <v>28578.799999999999</v>
      </c>
      <c r="F111" s="57">
        <v>2.0163424999999999</v>
      </c>
    </row>
    <row r="112" spans="1:8" ht="14.25" x14ac:dyDescent="0.3">
      <c r="A112" s="55" t="s">
        <v>200</v>
      </c>
      <c r="B112" s="15" t="s">
        <v>198</v>
      </c>
      <c r="C112" s="56">
        <v>5400</v>
      </c>
      <c r="D112" s="57">
        <v>228.71</v>
      </c>
      <c r="E112" s="57">
        <v>228.08</v>
      </c>
      <c r="F112" s="57">
        <v>2.9763369000000002</v>
      </c>
    </row>
    <row r="113" spans="1:6" ht="14.25" x14ac:dyDescent="0.3">
      <c r="A113" s="55" t="s">
        <v>201</v>
      </c>
      <c r="B113" s="15" t="s">
        <v>198</v>
      </c>
      <c r="C113" s="56">
        <v>5200</v>
      </c>
      <c r="D113" s="57">
        <v>321.07499999999999</v>
      </c>
      <c r="E113" s="57">
        <v>346</v>
      </c>
      <c r="F113" s="57">
        <v>5.3331200000000001</v>
      </c>
    </row>
    <row r="114" spans="1:6" ht="14.25" x14ac:dyDescent="0.3">
      <c r="A114" s="55" t="s">
        <v>202</v>
      </c>
      <c r="B114" s="15" t="s">
        <v>198</v>
      </c>
      <c r="C114" s="56">
        <v>600</v>
      </c>
      <c r="D114" s="57">
        <v>2650.3249999999998</v>
      </c>
      <c r="E114" s="57">
        <v>2602.1999999999998</v>
      </c>
      <c r="F114" s="57">
        <v>3.4150290000000001</v>
      </c>
    </row>
    <row r="115" spans="1:6" ht="14.25" x14ac:dyDescent="0.3">
      <c r="A115" s="55" t="s">
        <v>203</v>
      </c>
      <c r="B115" s="15" t="s">
        <v>198</v>
      </c>
      <c r="C115" s="56">
        <v>5250</v>
      </c>
      <c r="D115" s="57">
        <v>6530.0737581000003</v>
      </c>
      <c r="E115" s="57">
        <v>6646.05</v>
      </c>
      <c r="F115" s="57">
        <v>61.645224400000004</v>
      </c>
    </row>
    <row r="116" spans="1:6" ht="14.25" x14ac:dyDescent="0.3">
      <c r="A116" s="55" t="s">
        <v>204</v>
      </c>
      <c r="B116" s="15" t="s">
        <v>198</v>
      </c>
      <c r="C116" s="56">
        <v>20000</v>
      </c>
      <c r="D116" s="57">
        <v>224.39</v>
      </c>
      <c r="E116" s="57">
        <v>258.19</v>
      </c>
      <c r="F116" s="57">
        <v>10.7347</v>
      </c>
    </row>
    <row r="117" spans="1:6" ht="14.25" x14ac:dyDescent="0.3">
      <c r="A117" s="55" t="s">
        <v>205</v>
      </c>
      <c r="B117" s="15" t="s">
        <v>198</v>
      </c>
      <c r="C117" s="56">
        <v>10000</v>
      </c>
      <c r="D117" s="57">
        <v>1587.2125000000001</v>
      </c>
      <c r="E117" s="57">
        <v>1669.9</v>
      </c>
      <c r="F117" s="57">
        <v>29.4861</v>
      </c>
    </row>
    <row r="118" spans="1:6" ht="14.25" x14ac:dyDescent="0.3">
      <c r="A118" s="55" t="s">
        <v>206</v>
      </c>
      <c r="B118" s="15" t="s">
        <v>198</v>
      </c>
      <c r="C118" s="56">
        <v>1500</v>
      </c>
      <c r="D118" s="57">
        <v>7144.8916600000002</v>
      </c>
      <c r="E118" s="57">
        <v>6852.7</v>
      </c>
      <c r="F118" s="57">
        <v>18.394402500000002</v>
      </c>
    </row>
    <row r="119" spans="1:6" ht="14.25" x14ac:dyDescent="0.3">
      <c r="A119" s="55" t="s">
        <v>207</v>
      </c>
      <c r="B119" s="15" t="s">
        <v>198</v>
      </c>
      <c r="C119" s="56">
        <v>6000</v>
      </c>
      <c r="D119" s="57">
        <v>6649.5739000000003</v>
      </c>
      <c r="E119" s="57">
        <v>6896.7</v>
      </c>
      <c r="F119" s="57">
        <v>73.577610000000007</v>
      </c>
    </row>
    <row r="120" spans="1:6" ht="14.25" x14ac:dyDescent="0.3">
      <c r="A120" s="55" t="s">
        <v>208</v>
      </c>
      <c r="B120" s="15" t="s">
        <v>198</v>
      </c>
      <c r="C120" s="56">
        <v>122850</v>
      </c>
      <c r="D120" s="57">
        <v>260.3083072</v>
      </c>
      <c r="E120" s="57">
        <v>255.45</v>
      </c>
      <c r="F120" s="57">
        <v>74.115404999999996</v>
      </c>
    </row>
    <row r="121" spans="1:6" ht="14.25" x14ac:dyDescent="0.3">
      <c r="A121" s="55" t="s">
        <v>209</v>
      </c>
      <c r="B121" s="15" t="s">
        <v>198</v>
      </c>
      <c r="C121" s="56">
        <v>4875</v>
      </c>
      <c r="D121" s="57">
        <v>1525.1076</v>
      </c>
      <c r="E121" s="57">
        <v>1597.85</v>
      </c>
      <c r="F121" s="57">
        <v>13.805683100000001</v>
      </c>
    </row>
    <row r="122" spans="1:6" ht="14.25" x14ac:dyDescent="0.3">
      <c r="A122" s="55" t="s">
        <v>210</v>
      </c>
      <c r="B122" s="15" t="s">
        <v>198</v>
      </c>
      <c r="C122" s="56">
        <v>28500</v>
      </c>
      <c r="D122" s="57">
        <v>301.7</v>
      </c>
      <c r="E122" s="57">
        <v>317.5</v>
      </c>
      <c r="F122" s="57">
        <v>22.186109999999999</v>
      </c>
    </row>
    <row r="123" spans="1:6" ht="14.25" x14ac:dyDescent="0.3">
      <c r="A123" s="55" t="s">
        <v>211</v>
      </c>
      <c r="B123" s="15" t="s">
        <v>198</v>
      </c>
      <c r="C123" s="56">
        <v>132500</v>
      </c>
      <c r="D123" s="57">
        <v>340.39056604000001</v>
      </c>
      <c r="E123" s="57">
        <v>364.6</v>
      </c>
      <c r="F123" s="57">
        <v>113.5230188</v>
      </c>
    </row>
    <row r="124" spans="1:6" ht="14.25" x14ac:dyDescent="0.3">
      <c r="A124" s="55" t="s">
        <v>212</v>
      </c>
      <c r="B124" s="15" t="s">
        <v>198</v>
      </c>
      <c r="C124" s="56">
        <v>400</v>
      </c>
      <c r="D124" s="57">
        <v>5405</v>
      </c>
      <c r="E124" s="57">
        <v>5751.15</v>
      </c>
      <c r="F124" s="57">
        <v>4.1006850000000004</v>
      </c>
    </row>
    <row r="125" spans="1:6" ht="14.25" x14ac:dyDescent="0.3">
      <c r="A125" s="55" t="s">
        <v>213</v>
      </c>
      <c r="B125" s="15" t="s">
        <v>198</v>
      </c>
      <c r="C125" s="56">
        <v>40500</v>
      </c>
      <c r="D125" s="57">
        <v>118.20833333</v>
      </c>
      <c r="E125" s="57">
        <v>115.37</v>
      </c>
      <c r="F125" s="57">
        <v>10.8607028</v>
      </c>
    </row>
    <row r="126" spans="1:6" ht="14.25" x14ac:dyDescent="0.3">
      <c r="A126" s="55" t="s">
        <v>214</v>
      </c>
      <c r="B126" s="15" t="s">
        <v>198</v>
      </c>
      <c r="C126" s="56">
        <v>17550</v>
      </c>
      <c r="D126" s="57">
        <v>1485.54258519</v>
      </c>
      <c r="E126" s="57">
        <v>1541.25</v>
      </c>
      <c r="F126" s="57">
        <v>48.055322300000007</v>
      </c>
    </row>
    <row r="127" spans="1:6" ht="14.25" x14ac:dyDescent="0.3">
      <c r="A127" s="55" t="s">
        <v>215</v>
      </c>
      <c r="B127" s="15" t="s">
        <v>198</v>
      </c>
      <c r="C127" s="56">
        <v>12600</v>
      </c>
      <c r="D127" s="57">
        <v>426.8</v>
      </c>
      <c r="E127" s="57">
        <v>454.6</v>
      </c>
      <c r="F127" s="57">
        <v>11.426813999999998</v>
      </c>
    </row>
    <row r="128" spans="1:6" ht="14.25" x14ac:dyDescent="0.3">
      <c r="A128" s="55" t="s">
        <v>216</v>
      </c>
      <c r="B128" s="15" t="s">
        <v>198</v>
      </c>
      <c r="C128" s="56">
        <v>4800</v>
      </c>
      <c r="D128" s="57">
        <v>4537.6875</v>
      </c>
      <c r="E128" s="57">
        <v>4906.7</v>
      </c>
      <c r="F128" s="57">
        <v>41.89152</v>
      </c>
    </row>
    <row r="129" spans="1:6" ht="14.25" x14ac:dyDescent="0.3">
      <c r="A129" s="55" t="s">
        <v>217</v>
      </c>
      <c r="B129" s="15" t="s">
        <v>198</v>
      </c>
      <c r="C129" s="56">
        <v>2600</v>
      </c>
      <c r="D129" s="57">
        <v>10947.1826</v>
      </c>
      <c r="E129" s="57">
        <v>12175.35</v>
      </c>
      <c r="F129" s="57">
        <v>74.817340000000002</v>
      </c>
    </row>
    <row r="130" spans="1:6" ht="14.25" x14ac:dyDescent="0.3">
      <c r="A130" s="55" t="s">
        <v>218</v>
      </c>
      <c r="B130" s="15" t="s">
        <v>198</v>
      </c>
      <c r="C130" s="56">
        <v>49500</v>
      </c>
      <c r="D130" s="57">
        <v>817.63660000000004</v>
      </c>
      <c r="E130" s="57">
        <v>894.5</v>
      </c>
      <c r="F130" s="57">
        <v>93.935531300000008</v>
      </c>
    </row>
    <row r="131" spans="1:6" ht="14.25" x14ac:dyDescent="0.3">
      <c r="A131" s="55" t="s">
        <v>219</v>
      </c>
      <c r="B131" s="15" t="s">
        <v>198</v>
      </c>
      <c r="C131" s="56">
        <v>13050</v>
      </c>
      <c r="D131" s="57">
        <v>1446.1415999999999</v>
      </c>
      <c r="E131" s="57">
        <v>1478.85</v>
      </c>
      <c r="F131" s="57">
        <v>39.282229100000002</v>
      </c>
    </row>
    <row r="132" spans="1:6" ht="14.25" x14ac:dyDescent="0.3">
      <c r="A132" s="55" t="s">
        <v>220</v>
      </c>
      <c r="B132" s="15" t="s">
        <v>198</v>
      </c>
      <c r="C132" s="56">
        <v>191250</v>
      </c>
      <c r="D132" s="57">
        <v>94.328199999999995</v>
      </c>
      <c r="E132" s="57">
        <v>102.44</v>
      </c>
      <c r="F132" s="57">
        <v>68.402474999999995</v>
      </c>
    </row>
    <row r="133" spans="1:6" ht="14.25" x14ac:dyDescent="0.3">
      <c r="A133" s="55" t="s">
        <v>221</v>
      </c>
      <c r="B133" s="15" t="s">
        <v>198</v>
      </c>
      <c r="C133" s="56">
        <v>12300</v>
      </c>
      <c r="D133" s="57">
        <v>5159.3585024399999</v>
      </c>
      <c r="E133" s="57">
        <v>4942.8500000000004</v>
      </c>
      <c r="F133" s="57">
        <v>155.15444479999999</v>
      </c>
    </row>
    <row r="134" spans="1:6" ht="14.25" x14ac:dyDescent="0.3">
      <c r="A134" s="55" t="s">
        <v>222</v>
      </c>
      <c r="B134" s="15" t="s">
        <v>198</v>
      </c>
      <c r="C134" s="56">
        <v>3000</v>
      </c>
      <c r="D134" s="57">
        <v>4011.1025</v>
      </c>
      <c r="E134" s="57">
        <v>4142.3</v>
      </c>
      <c r="F134" s="57">
        <v>26.671957500000001</v>
      </c>
    </row>
    <row r="135" spans="1:6" ht="14.25" x14ac:dyDescent="0.3">
      <c r="A135" s="55" t="s">
        <v>223</v>
      </c>
      <c r="B135" s="15" t="s">
        <v>198</v>
      </c>
      <c r="C135" s="56">
        <v>41800</v>
      </c>
      <c r="D135" s="57">
        <v>656.25394211000003</v>
      </c>
      <c r="E135" s="57">
        <v>719.6</v>
      </c>
      <c r="F135" s="57">
        <v>53.132293499999996</v>
      </c>
    </row>
    <row r="136" spans="1:6" ht="14.25" x14ac:dyDescent="0.3">
      <c r="A136" s="55" t="s">
        <v>224</v>
      </c>
      <c r="B136" s="15" t="s">
        <v>198</v>
      </c>
      <c r="C136" s="56">
        <v>53000</v>
      </c>
      <c r="D136" s="57">
        <v>310.99</v>
      </c>
      <c r="E136" s="57">
        <v>323.8</v>
      </c>
      <c r="F136" s="57">
        <v>60.642865</v>
      </c>
    </row>
    <row r="137" spans="1:6" ht="14.25" x14ac:dyDescent="0.3">
      <c r="A137" s="55" t="s">
        <v>225</v>
      </c>
      <c r="B137" s="15" t="s">
        <v>198</v>
      </c>
      <c r="C137" s="56">
        <v>6075</v>
      </c>
      <c r="D137" s="57">
        <v>345.68333332999998</v>
      </c>
      <c r="E137" s="57">
        <v>394.6</v>
      </c>
      <c r="F137" s="57">
        <v>6.2974665000000005</v>
      </c>
    </row>
    <row r="138" spans="1:6" ht="14.25" x14ac:dyDescent="0.3">
      <c r="A138" s="55" t="s">
        <v>226</v>
      </c>
      <c r="B138" s="15" t="s">
        <v>198</v>
      </c>
      <c r="C138" s="56">
        <v>3000</v>
      </c>
      <c r="D138" s="57">
        <v>2725.5250000000001</v>
      </c>
      <c r="E138" s="57">
        <v>2716.95</v>
      </c>
      <c r="F138" s="57">
        <v>14.4075525</v>
      </c>
    </row>
    <row r="139" spans="1:6" ht="14.25" x14ac:dyDescent="0.3">
      <c r="A139" s="55" t="s">
        <v>227</v>
      </c>
      <c r="B139" s="15" t="s">
        <v>198</v>
      </c>
      <c r="C139" s="56">
        <v>4500</v>
      </c>
      <c r="D139" s="57">
        <v>693.5</v>
      </c>
      <c r="E139" s="57">
        <v>740.95</v>
      </c>
      <c r="F139" s="57">
        <v>6.2725499999999998</v>
      </c>
    </row>
    <row r="140" spans="1:6" ht="14.25" x14ac:dyDescent="0.3">
      <c r="A140" s="55" t="s">
        <v>228</v>
      </c>
      <c r="B140" s="15" t="s">
        <v>198</v>
      </c>
      <c r="C140" s="56">
        <v>180000</v>
      </c>
      <c r="D140" s="57">
        <v>174.39391667000001</v>
      </c>
      <c r="E140" s="57">
        <v>193.52</v>
      </c>
      <c r="F140" s="57">
        <v>82.087019999999995</v>
      </c>
    </row>
    <row r="141" spans="1:6" ht="14.25" x14ac:dyDescent="0.3">
      <c r="A141" s="55" t="s">
        <v>229</v>
      </c>
      <c r="B141" s="15" t="s">
        <v>198</v>
      </c>
      <c r="C141" s="56">
        <v>4000</v>
      </c>
      <c r="D141" s="57">
        <v>588.95000000000005</v>
      </c>
      <c r="E141" s="57">
        <v>646.29999999999995</v>
      </c>
      <c r="F141" s="57">
        <v>5.2224599999999999</v>
      </c>
    </row>
    <row r="142" spans="1:6" ht="14.25" x14ac:dyDescent="0.3">
      <c r="A142" s="55" t="s">
        <v>230</v>
      </c>
      <c r="B142" s="15" t="s">
        <v>198</v>
      </c>
      <c r="C142" s="56">
        <v>12000</v>
      </c>
      <c r="D142" s="57">
        <v>1448.1958</v>
      </c>
      <c r="E142" s="57">
        <v>1438</v>
      </c>
      <c r="F142" s="57">
        <v>32.5199</v>
      </c>
    </row>
    <row r="143" spans="1:6" ht="14.25" x14ac:dyDescent="0.3">
      <c r="A143" s="55" t="s">
        <v>231</v>
      </c>
      <c r="B143" s="15" t="s">
        <v>198</v>
      </c>
      <c r="C143" s="56">
        <v>24000</v>
      </c>
      <c r="D143" s="57">
        <v>1422.38640833</v>
      </c>
      <c r="E143" s="57">
        <v>1447.55</v>
      </c>
      <c r="F143" s="57">
        <v>65.0398</v>
      </c>
    </row>
    <row r="144" spans="1:6" ht="14.25" x14ac:dyDescent="0.3">
      <c r="A144" s="55" t="s">
        <v>232</v>
      </c>
      <c r="B144" s="15" t="s">
        <v>198</v>
      </c>
      <c r="C144" s="56">
        <v>61200</v>
      </c>
      <c r="D144" s="57">
        <v>418.47217777999998</v>
      </c>
      <c r="E144" s="57">
        <v>436</v>
      </c>
      <c r="F144" s="57">
        <v>84.049402499999999</v>
      </c>
    </row>
    <row r="145" spans="1:6" ht="14.25" x14ac:dyDescent="0.3">
      <c r="A145" s="55" t="s">
        <v>233</v>
      </c>
      <c r="B145" s="15" t="s">
        <v>198</v>
      </c>
      <c r="C145" s="56">
        <v>78000</v>
      </c>
      <c r="D145" s="57">
        <v>171.25616872000001</v>
      </c>
      <c r="E145" s="57">
        <v>182.6</v>
      </c>
      <c r="F145" s="57">
        <v>30.652439999999999</v>
      </c>
    </row>
    <row r="146" spans="1:6" ht="27" x14ac:dyDescent="0.3">
      <c r="A146" s="55" t="s">
        <v>234</v>
      </c>
      <c r="B146" s="15" t="s">
        <v>198</v>
      </c>
      <c r="C146" s="56">
        <v>28875</v>
      </c>
      <c r="D146" s="57">
        <v>966.75300016999995</v>
      </c>
      <c r="E146" s="57">
        <v>990.95</v>
      </c>
      <c r="F146" s="57">
        <v>64.597850600000001</v>
      </c>
    </row>
    <row r="147" spans="1:6" ht="14.25" x14ac:dyDescent="0.3">
      <c r="A147" s="55" t="s">
        <v>235</v>
      </c>
      <c r="B147" s="15" t="s">
        <v>198</v>
      </c>
      <c r="C147" s="56">
        <v>70400</v>
      </c>
      <c r="D147" s="57">
        <v>450.85681818</v>
      </c>
      <c r="E147" s="57">
        <v>498.7</v>
      </c>
      <c r="F147" s="57">
        <v>61.921728000000002</v>
      </c>
    </row>
    <row r="148" spans="1:6" ht="14.25" x14ac:dyDescent="0.3">
      <c r="A148" s="55" t="s">
        <v>236</v>
      </c>
      <c r="B148" s="15" t="s">
        <v>198</v>
      </c>
      <c r="C148" s="56">
        <v>1875</v>
      </c>
      <c r="D148" s="57">
        <v>935.05</v>
      </c>
      <c r="E148" s="57">
        <v>990.75</v>
      </c>
      <c r="F148" s="57">
        <v>4.0991999999999997</v>
      </c>
    </row>
    <row r="149" spans="1:6" ht="14.25" x14ac:dyDescent="0.3">
      <c r="A149" s="55" t="s">
        <v>237</v>
      </c>
      <c r="B149" s="15" t="s">
        <v>198</v>
      </c>
      <c r="C149" s="56">
        <v>2700</v>
      </c>
      <c r="D149" s="57">
        <v>936</v>
      </c>
      <c r="E149" s="57">
        <v>937.1</v>
      </c>
      <c r="F149" s="57">
        <v>4.5528750000000002</v>
      </c>
    </row>
    <row r="150" spans="1:6" ht="14.25" x14ac:dyDescent="0.3">
      <c r="A150" s="55" t="s">
        <v>238</v>
      </c>
      <c r="B150" s="15" t="s">
        <v>198</v>
      </c>
      <c r="C150" s="56">
        <v>25500</v>
      </c>
      <c r="D150" s="57">
        <v>435.75659999999999</v>
      </c>
      <c r="E150" s="57">
        <v>466.85</v>
      </c>
      <c r="F150" s="57">
        <v>24.027629999999998</v>
      </c>
    </row>
    <row r="151" spans="1:6" ht="14.25" x14ac:dyDescent="0.3">
      <c r="A151" s="55" t="s">
        <v>239</v>
      </c>
      <c r="B151" s="15" t="s">
        <v>198</v>
      </c>
      <c r="C151" s="56">
        <v>31000</v>
      </c>
      <c r="D151" s="57">
        <v>780.22578710000005</v>
      </c>
      <c r="E151" s="57">
        <v>763.75</v>
      </c>
      <c r="F151" s="57">
        <v>58.291392500000001</v>
      </c>
    </row>
    <row r="152" spans="1:6" ht="14.25" x14ac:dyDescent="0.3">
      <c r="A152" s="55" t="s">
        <v>240</v>
      </c>
      <c r="B152" s="15" t="s">
        <v>198</v>
      </c>
      <c r="C152" s="56">
        <v>3750</v>
      </c>
      <c r="D152" s="57">
        <v>3654.01</v>
      </c>
      <c r="E152" s="57">
        <v>3832</v>
      </c>
      <c r="F152" s="57">
        <v>25.991927499999999</v>
      </c>
    </row>
    <row r="153" spans="1:6" ht="14.25" x14ac:dyDescent="0.3">
      <c r="A153" s="55" t="s">
        <v>241</v>
      </c>
      <c r="B153" s="15" t="s">
        <v>198</v>
      </c>
      <c r="C153" s="56">
        <v>1950</v>
      </c>
      <c r="D153" s="57">
        <v>3586.1884</v>
      </c>
      <c r="E153" s="57">
        <v>3855</v>
      </c>
      <c r="F153" s="57">
        <v>13.515802299999999</v>
      </c>
    </row>
    <row r="154" spans="1:6" ht="14.25" x14ac:dyDescent="0.3">
      <c r="A154" s="55" t="s">
        <v>242</v>
      </c>
      <c r="B154" s="15" t="s">
        <v>198</v>
      </c>
      <c r="C154" s="56">
        <v>4200</v>
      </c>
      <c r="D154" s="57">
        <v>12176.22968095</v>
      </c>
      <c r="E154" s="57">
        <v>13116.55</v>
      </c>
      <c r="F154" s="57">
        <v>98.021416500000001</v>
      </c>
    </row>
    <row r="155" spans="1:6" ht="14.25" x14ac:dyDescent="0.3">
      <c r="A155" s="55" t="s">
        <v>243</v>
      </c>
      <c r="B155" s="15" t="s">
        <v>198</v>
      </c>
      <c r="C155" s="56">
        <v>14400</v>
      </c>
      <c r="D155" s="57">
        <v>4082.9069</v>
      </c>
      <c r="E155" s="57">
        <v>4316.8999999999996</v>
      </c>
      <c r="F155" s="57">
        <v>162.30744000000001</v>
      </c>
    </row>
    <row r="156" spans="1:6" ht="14.25" x14ac:dyDescent="0.3">
      <c r="A156" s="55" t="s">
        <v>244</v>
      </c>
      <c r="B156" s="15" t="s">
        <v>198</v>
      </c>
      <c r="C156" s="56">
        <v>1500</v>
      </c>
      <c r="D156" s="57">
        <v>6922.0249533300002</v>
      </c>
      <c r="E156" s="57">
        <v>7077.3</v>
      </c>
      <c r="F156" s="57">
        <v>21.35961</v>
      </c>
    </row>
    <row r="157" spans="1:6" ht="14.25" x14ac:dyDescent="0.3">
      <c r="A157" s="55" t="s">
        <v>245</v>
      </c>
      <c r="B157" s="15" t="s">
        <v>198</v>
      </c>
      <c r="C157" s="56">
        <v>4200</v>
      </c>
      <c r="D157" s="57">
        <v>1737.5</v>
      </c>
      <c r="E157" s="57">
        <v>1874.3</v>
      </c>
      <c r="F157" s="57">
        <v>16.874140499999999</v>
      </c>
    </row>
    <row r="158" spans="1:6" ht="14.25" x14ac:dyDescent="0.3">
      <c r="A158" s="55" t="s">
        <v>246</v>
      </c>
      <c r="B158" s="15" t="s">
        <v>198</v>
      </c>
      <c r="C158" s="56">
        <v>111000</v>
      </c>
      <c r="D158" s="57">
        <v>343.10943514000002</v>
      </c>
      <c r="E158" s="57">
        <v>370.1</v>
      </c>
      <c r="F158" s="57">
        <v>85.211924999999994</v>
      </c>
    </row>
    <row r="159" spans="1:6" ht="14.25" x14ac:dyDescent="0.3">
      <c r="A159" s="55" t="s">
        <v>247</v>
      </c>
      <c r="B159" s="15" t="s">
        <v>198</v>
      </c>
      <c r="C159" s="56">
        <v>1250</v>
      </c>
      <c r="D159" s="57">
        <v>6364.28</v>
      </c>
      <c r="E159" s="57">
        <v>6889.55</v>
      </c>
      <c r="F159" s="57">
        <v>19.6484156</v>
      </c>
    </row>
    <row r="160" spans="1:6" ht="14.25" x14ac:dyDescent="0.3">
      <c r="A160" s="55" t="s">
        <v>248</v>
      </c>
      <c r="B160" s="15" t="s">
        <v>198</v>
      </c>
      <c r="C160" s="56">
        <v>5250</v>
      </c>
      <c r="D160" s="57">
        <v>838.02850094999997</v>
      </c>
      <c r="E160" s="57">
        <v>878.8</v>
      </c>
      <c r="F160" s="57">
        <v>8.7633598937499997</v>
      </c>
    </row>
    <row r="161" spans="1:6" ht="14.25" x14ac:dyDescent="0.3">
      <c r="A161" s="55" t="s">
        <v>249</v>
      </c>
      <c r="B161" s="15" t="s">
        <v>198</v>
      </c>
      <c r="C161" s="56">
        <v>6750</v>
      </c>
      <c r="D161" s="57">
        <v>863.92770073999998</v>
      </c>
      <c r="E161" s="57">
        <v>884.55</v>
      </c>
      <c r="F161" s="57">
        <v>11.26717700625</v>
      </c>
    </row>
    <row r="162" spans="1:6" ht="14.25" x14ac:dyDescent="0.3">
      <c r="A162" s="55" t="s">
        <v>250</v>
      </c>
      <c r="B162" s="15" t="s">
        <v>198</v>
      </c>
      <c r="C162" s="56">
        <v>39150</v>
      </c>
      <c r="D162" s="57">
        <v>444.02237241</v>
      </c>
      <c r="E162" s="57">
        <v>456.6</v>
      </c>
      <c r="F162" s="57">
        <v>39.899908462500001</v>
      </c>
    </row>
    <row r="163" spans="1:6" ht="14.25" x14ac:dyDescent="0.3">
      <c r="A163" s="55" t="s">
        <v>251</v>
      </c>
      <c r="B163" s="15" t="s">
        <v>198</v>
      </c>
      <c r="C163" s="56">
        <v>68850</v>
      </c>
      <c r="D163" s="57">
        <v>423.88624706000002</v>
      </c>
      <c r="E163" s="57">
        <v>459.7</v>
      </c>
      <c r="F163" s="57">
        <v>70.168804537500009</v>
      </c>
    </row>
    <row r="164" spans="1:6" ht="14.25" x14ac:dyDescent="0.3">
      <c r="A164" s="55" t="s">
        <v>252</v>
      </c>
      <c r="B164" s="15" t="s">
        <v>198</v>
      </c>
      <c r="C164" s="56">
        <v>121000</v>
      </c>
      <c r="D164" s="57">
        <v>170.7004</v>
      </c>
      <c r="E164" s="57">
        <v>166.33</v>
      </c>
      <c r="F164" s="57">
        <v>40.302075000000002</v>
      </c>
    </row>
    <row r="165" spans="1:6" ht="14.25" x14ac:dyDescent="0.3">
      <c r="A165" s="55" t="s">
        <v>253</v>
      </c>
      <c r="B165" s="15" t="s">
        <v>198</v>
      </c>
      <c r="C165" s="56">
        <v>11375</v>
      </c>
      <c r="D165" s="57">
        <v>3409.9245784599998</v>
      </c>
      <c r="E165" s="57">
        <v>3483.35</v>
      </c>
      <c r="F165" s="57">
        <v>69.897071600000004</v>
      </c>
    </row>
    <row r="166" spans="1:6" ht="14.25" x14ac:dyDescent="0.3">
      <c r="A166" s="55" t="s">
        <v>254</v>
      </c>
      <c r="B166" s="15" t="s">
        <v>198</v>
      </c>
      <c r="C166" s="56">
        <v>1200</v>
      </c>
      <c r="D166" s="57">
        <v>5372.55</v>
      </c>
      <c r="E166" s="57">
        <v>5871.85</v>
      </c>
      <c r="F166" s="57">
        <v>14.745393</v>
      </c>
    </row>
    <row r="167" spans="1:6" ht="14.25" x14ac:dyDescent="0.3">
      <c r="A167" s="55" t="s">
        <v>255</v>
      </c>
      <c r="B167" s="15" t="s">
        <v>198</v>
      </c>
      <c r="C167" s="56">
        <v>3850</v>
      </c>
      <c r="D167" s="57">
        <v>2477.9045013</v>
      </c>
      <c r="E167" s="57">
        <v>2547.6999999999998</v>
      </c>
      <c r="F167" s="57">
        <v>17.3155675</v>
      </c>
    </row>
    <row r="168" spans="1:6" ht="14.25" x14ac:dyDescent="0.3">
      <c r="A168" s="55" t="s">
        <v>256</v>
      </c>
      <c r="B168" s="15" t="s">
        <v>198</v>
      </c>
      <c r="C168" s="56">
        <v>2600</v>
      </c>
      <c r="D168" s="57">
        <v>532.82500000000005</v>
      </c>
      <c r="E168" s="57">
        <v>573.6</v>
      </c>
      <c r="F168" s="57">
        <v>2.9012099999999998</v>
      </c>
    </row>
    <row r="169" spans="1:6" ht="14.25" x14ac:dyDescent="0.3">
      <c r="A169" s="55" t="s">
        <v>257</v>
      </c>
      <c r="B169" s="15" t="s">
        <v>198</v>
      </c>
      <c r="C169" s="56">
        <v>9000</v>
      </c>
      <c r="D169" s="57">
        <v>1140.28</v>
      </c>
      <c r="E169" s="57">
        <v>1252.55</v>
      </c>
      <c r="F169" s="57">
        <v>20.180250000000001</v>
      </c>
    </row>
    <row r="170" spans="1:6" ht="14.25" x14ac:dyDescent="0.3">
      <c r="A170" s="58"/>
      <c r="B170" s="59"/>
      <c r="C170" s="60"/>
      <c r="D170" s="37"/>
      <c r="E170" s="61"/>
      <c r="F170" s="37"/>
    </row>
    <row r="171" spans="1:6" ht="14.25" x14ac:dyDescent="0.3">
      <c r="A171" s="62" t="s">
        <v>258</v>
      </c>
      <c r="B171" s="59"/>
      <c r="C171" s="63"/>
      <c r="D171" s="37"/>
      <c r="E171" s="61"/>
      <c r="F171" s="37"/>
    </row>
    <row r="172" spans="1:6" ht="14.25" x14ac:dyDescent="0.3">
      <c r="A172" s="64"/>
      <c r="B172" s="48"/>
      <c r="C172" s="65"/>
      <c r="D172" s="37"/>
      <c r="E172" s="61"/>
      <c r="F172" s="37"/>
    </row>
    <row r="173" spans="1:6" ht="14.25" x14ac:dyDescent="0.3">
      <c r="A173" s="66" t="s">
        <v>259</v>
      </c>
      <c r="B173" s="66"/>
      <c r="C173" s="66"/>
      <c r="D173" s="67"/>
      <c r="E173" s="61"/>
      <c r="F173" s="37"/>
    </row>
    <row r="174" spans="1:6" ht="14.25" x14ac:dyDescent="0.3">
      <c r="A174" s="68" t="s">
        <v>260</v>
      </c>
      <c r="B174" s="68"/>
      <c r="C174" s="68"/>
      <c r="D174" s="68"/>
      <c r="E174" s="37"/>
      <c r="F174" s="37"/>
    </row>
    <row r="175" spans="1:6" ht="14.25" x14ac:dyDescent="0.3">
      <c r="A175" s="69" t="s">
        <v>261</v>
      </c>
      <c r="B175" s="70"/>
      <c r="C175" s="71"/>
      <c r="D175" s="72">
        <v>1141</v>
      </c>
      <c r="E175" s="37"/>
      <c r="F175" s="37"/>
    </row>
    <row r="176" spans="1:6" ht="14.25" x14ac:dyDescent="0.3">
      <c r="A176" s="69" t="s">
        <v>262</v>
      </c>
      <c r="B176" s="70"/>
      <c r="C176" s="71"/>
      <c r="D176" s="72">
        <v>1216</v>
      </c>
      <c r="E176" s="37"/>
      <c r="F176" s="37"/>
    </row>
    <row r="177" spans="1:8" ht="14.25" x14ac:dyDescent="0.3">
      <c r="A177" s="69" t="s">
        <v>263</v>
      </c>
      <c r="B177" s="70"/>
      <c r="C177" s="71"/>
      <c r="D177" s="73">
        <v>9584.4217592999994</v>
      </c>
      <c r="E177" s="37"/>
      <c r="F177" s="37"/>
    </row>
    <row r="178" spans="1:8" ht="14.25" x14ac:dyDescent="0.3">
      <c r="A178" s="69" t="s">
        <v>264</v>
      </c>
      <c r="B178" s="70"/>
      <c r="C178" s="71"/>
      <c r="D178" s="73">
        <v>9852.0423501000005</v>
      </c>
      <c r="E178" s="37"/>
      <c r="F178" s="37"/>
    </row>
    <row r="179" spans="1:8" ht="14.25" x14ac:dyDescent="0.3">
      <c r="A179" s="69" t="s">
        <v>265</v>
      </c>
      <c r="B179" s="70"/>
      <c r="C179" s="71"/>
      <c r="D179" s="74">
        <v>-238.91116979999995</v>
      </c>
      <c r="E179" s="37"/>
      <c r="F179" s="37"/>
      <c r="G179" s="75"/>
      <c r="H179" s="76"/>
    </row>
    <row r="180" spans="1:8" ht="14.25" x14ac:dyDescent="0.3">
      <c r="A180" s="64"/>
      <c r="B180" s="48"/>
      <c r="C180" s="37"/>
      <c r="D180" s="37"/>
      <c r="E180" s="37"/>
      <c r="F180" s="37"/>
      <c r="G180" s="75"/>
      <c r="H180" s="77"/>
    </row>
    <row r="181" spans="1:8" ht="14.25" x14ac:dyDescent="0.3">
      <c r="A181" s="78" t="s">
        <v>266</v>
      </c>
      <c r="B181" s="78"/>
      <c r="C181" s="78"/>
      <c r="D181" s="37"/>
      <c r="E181" s="37"/>
      <c r="F181" s="37"/>
    </row>
    <row r="182" spans="1:8" ht="14.25" x14ac:dyDescent="0.3">
      <c r="A182" s="79" t="s">
        <v>267</v>
      </c>
      <c r="B182" s="80"/>
      <c r="C182" s="81"/>
      <c r="D182" s="82"/>
      <c r="E182" s="37"/>
      <c r="F182" s="37"/>
    </row>
    <row r="183" spans="1:8" ht="14.25" x14ac:dyDescent="0.3">
      <c r="A183" s="69" t="s">
        <v>261</v>
      </c>
      <c r="B183" s="70"/>
      <c r="C183" s="71"/>
      <c r="D183" s="83" t="s">
        <v>268</v>
      </c>
      <c r="E183" s="37"/>
      <c r="F183" s="37"/>
    </row>
    <row r="184" spans="1:8" ht="14.25" x14ac:dyDescent="0.3">
      <c r="A184" s="69" t="s">
        <v>262</v>
      </c>
      <c r="B184" s="70"/>
      <c r="C184" s="71"/>
      <c r="D184" s="83" t="s">
        <v>268</v>
      </c>
      <c r="E184" s="37"/>
      <c r="F184" s="37"/>
    </row>
    <row r="185" spans="1:8" ht="14.25" x14ac:dyDescent="0.3">
      <c r="A185" s="69" t="s">
        <v>263</v>
      </c>
      <c r="B185" s="70"/>
      <c r="C185" s="71"/>
      <c r="D185" s="83" t="s">
        <v>268</v>
      </c>
      <c r="E185" s="37"/>
      <c r="F185" s="37"/>
    </row>
    <row r="186" spans="1:8" ht="14.25" x14ac:dyDescent="0.3">
      <c r="A186" s="69" t="s">
        <v>264</v>
      </c>
      <c r="B186" s="70"/>
      <c r="C186" s="71"/>
      <c r="D186" s="83" t="s">
        <v>268</v>
      </c>
      <c r="E186" s="37"/>
      <c r="F186" s="37"/>
    </row>
    <row r="187" spans="1:8" ht="14.25" x14ac:dyDescent="0.3">
      <c r="A187" s="69" t="s">
        <v>265</v>
      </c>
      <c r="B187" s="70"/>
      <c r="C187" s="71"/>
      <c r="D187" s="83" t="s">
        <v>268</v>
      </c>
      <c r="E187" s="37"/>
      <c r="F187" s="37"/>
    </row>
    <row r="188" spans="1:8" ht="14.25" x14ac:dyDescent="0.3">
      <c r="A188" s="58"/>
      <c r="B188" s="59"/>
      <c r="C188" s="60"/>
      <c r="D188" s="37"/>
      <c r="E188" s="37"/>
      <c r="F188" s="37"/>
    </row>
    <row r="189" spans="1:8" ht="14.25" x14ac:dyDescent="0.3">
      <c r="A189" s="84" t="s">
        <v>269</v>
      </c>
      <c r="B189" s="85"/>
      <c r="C189" s="85"/>
      <c r="D189" s="37"/>
      <c r="E189" s="37"/>
      <c r="F189" s="37"/>
    </row>
    <row r="190" spans="1:8" ht="14.25" x14ac:dyDescent="0.3">
      <c r="A190" s="86" t="s">
        <v>270</v>
      </c>
      <c r="B190" s="85"/>
      <c r="C190" s="85"/>
      <c r="D190" s="37"/>
      <c r="E190" s="37"/>
      <c r="F190" s="37"/>
    </row>
    <row r="191" spans="1:8" ht="14.25" x14ac:dyDescent="0.3">
      <c r="A191" s="86" t="s">
        <v>271</v>
      </c>
      <c r="B191" s="86"/>
      <c r="C191" s="86"/>
      <c r="D191" s="37"/>
      <c r="E191" s="37"/>
      <c r="F191" s="37"/>
    </row>
    <row r="192" spans="1:8" ht="14.25" x14ac:dyDescent="0.3">
      <c r="A192" s="86" t="s">
        <v>272</v>
      </c>
      <c r="B192" s="86"/>
      <c r="C192" s="86"/>
      <c r="D192" s="37"/>
      <c r="E192" s="37"/>
      <c r="F192" s="37"/>
    </row>
    <row r="193" spans="1:6" ht="14.25" x14ac:dyDescent="0.3">
      <c r="A193" s="86"/>
      <c r="B193" s="85"/>
      <c r="C193" s="85"/>
      <c r="D193" s="37"/>
      <c r="E193" s="37"/>
      <c r="F193" s="37"/>
    </row>
    <row r="194" spans="1:6" ht="14.25" x14ac:dyDescent="0.3">
      <c r="A194" s="87" t="s">
        <v>273</v>
      </c>
      <c r="B194" s="91" t="s">
        <v>274</v>
      </c>
      <c r="C194" s="2"/>
      <c r="D194" s="37"/>
      <c r="E194" s="37"/>
      <c r="F194" s="37"/>
    </row>
    <row r="195" spans="1:6" ht="14.25" x14ac:dyDescent="0.3">
      <c r="A195" s="85"/>
      <c r="B195" s="85"/>
      <c r="C195" s="85"/>
      <c r="D195" s="37"/>
      <c r="E195" s="37"/>
      <c r="F195" s="37"/>
    </row>
    <row r="196" spans="1:6" ht="14.25" x14ac:dyDescent="0.3">
      <c r="A196" s="85"/>
      <c r="B196" s="85"/>
      <c r="C196" s="85"/>
      <c r="D196" s="37"/>
      <c r="E196" s="37"/>
      <c r="F196" s="37"/>
    </row>
    <row r="197" spans="1:6" ht="14.25" x14ac:dyDescent="0.3">
      <c r="A197" s="85"/>
      <c r="B197" s="85"/>
      <c r="C197" s="85"/>
      <c r="D197" s="37"/>
      <c r="E197" s="37"/>
      <c r="F197" s="37"/>
    </row>
    <row r="198" spans="1:6" ht="14.25" x14ac:dyDescent="0.3">
      <c r="A198" s="85"/>
      <c r="B198" s="85"/>
      <c r="C198" s="85"/>
      <c r="D198" s="37"/>
      <c r="E198" s="37"/>
      <c r="F198" s="37"/>
    </row>
    <row r="199" spans="1:6" ht="14.25" x14ac:dyDescent="0.3">
      <c r="A199" s="85"/>
      <c r="B199" s="85"/>
      <c r="C199" s="85"/>
      <c r="D199" s="37"/>
      <c r="E199" s="37"/>
      <c r="F199" s="37"/>
    </row>
    <row r="200" spans="1:6" ht="14.25" x14ac:dyDescent="0.3">
      <c r="A200" s="85"/>
      <c r="B200" s="85"/>
      <c r="C200" s="85"/>
      <c r="D200" s="37"/>
      <c r="E200" s="37"/>
      <c r="F200" s="37"/>
    </row>
    <row r="201" spans="1:6" ht="14.25" x14ac:dyDescent="0.3">
      <c r="A201" s="85"/>
      <c r="B201" s="85"/>
      <c r="C201" s="85"/>
      <c r="D201" s="37"/>
      <c r="E201" s="37"/>
      <c r="F201" s="37"/>
    </row>
    <row r="202" spans="1:6" ht="14.25" x14ac:dyDescent="0.3">
      <c r="A202" s="58"/>
      <c r="B202" s="59"/>
      <c r="C202" s="60"/>
      <c r="D202" s="37"/>
      <c r="E202" s="37"/>
      <c r="F202" s="37"/>
    </row>
    <row r="203" spans="1:6" ht="14.25" x14ac:dyDescent="0.3">
      <c r="A203" s="58"/>
      <c r="B203" s="59"/>
      <c r="C203" s="60"/>
      <c r="D203" s="37"/>
      <c r="E203" s="37"/>
      <c r="F203" s="37"/>
    </row>
  </sheetData>
  <mergeCells count="18">
    <mergeCell ref="A179:C179"/>
    <mergeCell ref="A183:C183"/>
    <mergeCell ref="A184:C184"/>
    <mergeCell ref="A185:C185"/>
    <mergeCell ref="A186:C186"/>
    <mergeCell ref="A187:C187"/>
    <mergeCell ref="A106:H106"/>
    <mergeCell ref="A173:C173"/>
    <mergeCell ref="A175:C175"/>
    <mergeCell ref="A176:C176"/>
    <mergeCell ref="A177:C177"/>
    <mergeCell ref="A178:C178"/>
    <mergeCell ref="A1:H1"/>
    <mergeCell ref="A2:H2"/>
    <mergeCell ref="A3:H3"/>
    <mergeCell ref="A103:H103"/>
    <mergeCell ref="A104:H104"/>
    <mergeCell ref="A105:H105"/>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Arbitrage Fund</vt:lpstr>
      <vt:lpstr>'JM Arbitrage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2024-08-05T08:00:08Z</dcterms:created>
  <dcterms:modified xsi:type="dcterms:W3CDTF">2024-08-05T08:11:08Z</dcterms:modified>
</cp:coreProperties>
</file>