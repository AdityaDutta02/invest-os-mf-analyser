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3\Monthly\For sent\"/>
    </mc:Choice>
  </mc:AlternateContent>
  <bookViews>
    <workbookView xWindow="0" yWindow="0" windowWidth="20490" windowHeight="7770"/>
  </bookViews>
  <sheets>
    <sheet name="MD" sheetId="1" r:id="rId1"/>
  </sheets>
  <externalReferences>
    <externalReference r:id="rId2"/>
  </externalReferences>
  <definedNames>
    <definedName name="_xlnm._FilterDatabase" localSheetId="0" hidden="1">MD!$A$1:$H$79</definedName>
    <definedName name="Afs">#REF!</definedName>
    <definedName name="_xlnm.Database">#REF!</definedName>
    <definedName name="EBLDB">#REF!</definedName>
    <definedName name="fl">#REF!</definedName>
    <definedName name="_xlnm.Print_Area" localSheetId="0">MD!$A$1:$E$63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8" i="1" l="1"/>
  <c r="D66" i="1"/>
  <c r="E65" i="1"/>
  <c r="E66" i="1" s="1"/>
  <c r="D46" i="1"/>
  <c r="D50" i="1" s="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6" i="1" l="1"/>
  <c r="E50" i="1" s="1"/>
  <c r="E68" i="1" s="1"/>
  <c r="D68" i="1"/>
  <c r="D70" i="1" s="1"/>
  <c r="E70" i="1" s="1"/>
  <c r="E72" i="1" l="1"/>
</calcChain>
</file>

<file path=xl/sharedStrings.xml><?xml version="1.0" encoding="utf-8"?>
<sst xmlns="http://schemas.openxmlformats.org/spreadsheetml/2006/main" count="169" uniqueCount="140">
  <si>
    <t>JM Midcap Fund (An open ended equity scheme predominantly investing in mid cap stocks)</t>
  </si>
  <si>
    <t>Portfolio as on 28.02.2023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</si>
  <si>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</si>
  <si>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</si>
  <si>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</si>
  <si>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</si>
  <si>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</si>
  <si>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</si>
  <si>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</si>
  <si>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</si>
  <si>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</si>
  <si>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</si>
  <si>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Equitas Small Finance Bank Ltd.</t>
  </si>
  <si>
    <t>Banks</t>
  </si>
  <si>
    <t>INE063P01018</t>
  </si>
  <si>
    <t>Schaeffler India Ltd.</t>
  </si>
  <si>
    <t>Auto Components</t>
  </si>
  <si>
    <t>INE513A01022</t>
  </si>
  <si>
    <t>Blue Star Ltd.</t>
  </si>
  <si>
    <t>Consumer Durables</t>
  </si>
  <si>
    <t>INE472A01039</t>
  </si>
  <si>
    <t>KEC International Ltd.</t>
  </si>
  <si>
    <t>Electrical Equipment</t>
  </si>
  <si>
    <t>INE389H01022</t>
  </si>
  <si>
    <t>Crompton Greaves Consumer Electricals Ltd.</t>
  </si>
  <si>
    <t>INE299U01018</t>
  </si>
  <si>
    <t>Narayana Hrudayalaya Ltd</t>
  </si>
  <si>
    <t>Healthcare Services</t>
  </si>
  <si>
    <t>INE410P01011</t>
  </si>
  <si>
    <t>Canara Bank</t>
  </si>
  <si>
    <t>INE476A01014</t>
  </si>
  <si>
    <t>Jubilant Foodworks Ltd.</t>
  </si>
  <si>
    <t>Leisure Services</t>
  </si>
  <si>
    <t>INE797F01020</t>
  </si>
  <si>
    <t>Cummins India Ltd.</t>
  </si>
  <si>
    <t>Industrial Products</t>
  </si>
  <si>
    <t>INE298A01020</t>
  </si>
  <si>
    <t>JK Cement Ltd.</t>
  </si>
  <si>
    <t>Cement &amp; Cement Products</t>
  </si>
  <si>
    <t>INE823G01014</t>
  </si>
  <si>
    <t>Balkrishna Industries Ltd.</t>
  </si>
  <si>
    <t>INE787D01026</t>
  </si>
  <si>
    <t>Sundram Fasteners Ltd.</t>
  </si>
  <si>
    <t>INE387A01021</t>
  </si>
  <si>
    <t>Gujarat Gas Ltd.</t>
  </si>
  <si>
    <t>Gas</t>
  </si>
  <si>
    <t>INE844O01030</t>
  </si>
  <si>
    <t>One 97 Communications Ltd.</t>
  </si>
  <si>
    <t>Financial Technology (Fintech)</t>
  </si>
  <si>
    <t>INE982J01020</t>
  </si>
  <si>
    <t>Devyani International Ltd.</t>
  </si>
  <si>
    <t>INE872J01023</t>
  </si>
  <si>
    <t>Fortis Healthcare Ltd.</t>
  </si>
  <si>
    <t>INE061F01013</t>
  </si>
  <si>
    <t>The Federal Bank  Ltd.</t>
  </si>
  <si>
    <t>INE171A01029</t>
  </si>
  <si>
    <t>Kalpataru Power Transmission Ltd.</t>
  </si>
  <si>
    <t>Construction</t>
  </si>
  <si>
    <t>INE220B01022</t>
  </si>
  <si>
    <t>REC Ltd.</t>
  </si>
  <si>
    <t>Finance</t>
  </si>
  <si>
    <t>INE020B01018</t>
  </si>
  <si>
    <t>Mahindra &amp; Mahindra Financial Services Ltd.</t>
  </si>
  <si>
    <t>INE774D01024</t>
  </si>
  <si>
    <t>K.P.R. Mill Ltd.</t>
  </si>
  <si>
    <t>Textiles &amp; Apparels</t>
  </si>
  <si>
    <t>INE930H01031</t>
  </si>
  <si>
    <t>360 ONE WAM Ltd.</t>
  </si>
  <si>
    <t>INE466L01038</t>
  </si>
  <si>
    <t>Escorts Kubota Ltd.</t>
  </si>
  <si>
    <t>Agricultural, Commercial &amp; Construction Vehicles</t>
  </si>
  <si>
    <t>INE042A01014</t>
  </si>
  <si>
    <t>L&amp;T Technology Services Ltd.</t>
  </si>
  <si>
    <t>IT - Services</t>
  </si>
  <si>
    <t>INE010V01017</t>
  </si>
  <si>
    <t>Aditya Birla Fashion and Retail Ltd.</t>
  </si>
  <si>
    <t>Retailing</t>
  </si>
  <si>
    <t>INE647O01011</t>
  </si>
  <si>
    <t>Birlasoft Ltd.</t>
  </si>
  <si>
    <t>IT - Software</t>
  </si>
  <si>
    <t>INE836A01035</t>
  </si>
  <si>
    <t>Bharat Forge Ltd.</t>
  </si>
  <si>
    <t>INE465A01025</t>
  </si>
  <si>
    <t>Supreme Industries Ltd.</t>
  </si>
  <si>
    <t>INE195A01028</t>
  </si>
  <si>
    <t>Varun Beverages Ltd.</t>
  </si>
  <si>
    <t>Beverages</t>
  </si>
  <si>
    <t>INE200M01013</t>
  </si>
  <si>
    <t>Tata Elxsi Ltd</t>
  </si>
  <si>
    <t>INE670A01012</t>
  </si>
  <si>
    <t>Bharat Heavy Electricals Ltd.</t>
  </si>
  <si>
    <t>INE257A01026</t>
  </si>
  <si>
    <t>Sumitomo Chemical India Ltd.</t>
  </si>
  <si>
    <t>Fertilizers &amp; Agrochemicals</t>
  </si>
  <si>
    <t>INE258G01013</t>
  </si>
  <si>
    <t>TVS Motor Company Ltd.</t>
  </si>
  <si>
    <t>Automobiles</t>
  </si>
  <si>
    <t>INE494B01023</t>
  </si>
  <si>
    <t>Coromandel International Ltd.</t>
  </si>
  <si>
    <t>INE169A01031</t>
  </si>
  <si>
    <t>Hindustan Aeronautics Ltd.</t>
  </si>
  <si>
    <t>Aerospace &amp; Defense</t>
  </si>
  <si>
    <t>INE066F01012</t>
  </si>
  <si>
    <t>Hindustan Petroleum Corporation Ltd.</t>
  </si>
  <si>
    <t>Petroleum Products</t>
  </si>
  <si>
    <t>INE094A01015</t>
  </si>
  <si>
    <t>Jindal Saw Ltd.</t>
  </si>
  <si>
    <t>INE324A01024</t>
  </si>
  <si>
    <t>Trent Ltd.</t>
  </si>
  <si>
    <t>INE849A01020</t>
  </si>
  <si>
    <t>Bharat Electronics Ltd.</t>
  </si>
  <si>
    <t>INE263A01024</t>
  </si>
  <si>
    <t>Alkem Laboratories Ltd.</t>
  </si>
  <si>
    <t>Pharmaceuticals &amp; Biotechnology</t>
  </si>
  <si>
    <t>INE540L01014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</si>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</sst>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b/>
      <sz val="11"/>
      <name val="Calibri"/>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2" fillId="2" borderId="1" xfId="0" applyFont="1" applyFill="1" applyBorder="1" applyAlignment="1">
      <alignment horizontal="left" wrapText="1"/>
    </xf>
    <xf numFmtId="0" fontId="3" fillId="0" borderId="0" xfId="0" applyFont="1"/>
    <xf numFmtId="0" fontId="2" fillId="2" borderId="2" xfId="0" applyFont="1" applyFill="1" applyBorder="1" applyAlignment="1">
      <alignment horizontal="left"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0" fontId="3" fillId="0" borderId="3" xfId="0" applyFont="1" applyBorder="1"/>
    <xf numFmtId="166" fontId="3" fillId="0" borderId="3" xfId="0" applyNumberFormat="1" applyFont="1" applyFill="1" applyBorder="1"/>
    <xf numFmtId="0" fontId="4" fillId="0" borderId="3" xfId="0" applyFont="1" applyFill="1" applyBorder="1" applyAlignment="1">
      <alignment wrapText="1"/>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0" fontId="3" fillId="0" borderId="0" xfId="0" applyFont="1" applyFill="1"/>
    <xf numFmtId="0" fontId="3" fillId="0" borderId="3" xfId="0" applyFont="1" applyFill="1" applyBorder="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4" xfId="1" applyFont="1" applyFill="1" applyBorder="1"/>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165" fontId="3" fillId="0" borderId="0" xfId="1" applyNumberFormat="1" applyFont="1"/>
    <xf numFmtId="0" fontId="6" fillId="0" borderId="0" xfId="5" applyBorder="1" applyAlignment="1"/>
    <xf numFmtId="0" fontId="6" fillId="0" borderId="0" xfId="5" applyBorder="1" applyAlignment="1">
      <alignment horizontal="left" wrapText="1"/>
    </xf>
    <xf numFmtId="0" fontId="9" fillId="0" borderId="0" xfId="6" applyFont="1"/>
    <xf numFmtId="0" fontId="10"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cellXfs>
  <cellStyles count="7">
    <cellStyle name="Comma" xfId="1" builtinId="3"/>
    <cellStyle name="Comma 4" xfId="4"/>
    <cellStyle name="Normal" xfId="0" builtinId="0"/>
    <cellStyle name="Normal 2 3 2" xfId="2"/>
    <cellStyle name="Normal 4_IF" xfId="6"/>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88</xdr:row>
      <xdr:rowOff>0</xdr:rowOff>
    </xdr:from>
    <xdr:to>
      <xdr:col>0</xdr:col>
      <xdr:colOff>3917576</xdr:colOff>
      <xdr:row>101</xdr:row>
      <xdr:rowOff>104775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7011650"/>
          <a:ext cx="3917576" cy="2209800"/>
        </a:xfrm>
        <a:prstGeom prst="rect">
          <a:avLst/>
        </a:prstGeom>
        <a:noFill/>
        <a:ln w="9525">
          <a:noFill/>
          <a:miter lim="800000"/>
          <a:headEnd/>
          <a:tailEnd/>
        </a:ln>
      </xdr:spPr>
    </xdr:pic>
    <xdr:clientData/>
  </xdr:twoCellAnchor>
  <xdr:twoCellAnchor editAs="oneCell">
    <xdr:from>
      <xdr:col>2</xdr:col>
      <xdr:colOff>114300</xdr:colOff>
      <xdr:row>88</xdr:row>
      <xdr:rowOff>9525</xdr:rowOff>
    </xdr:from>
    <xdr:to>
      <xdr:col>5</xdr:col>
      <xdr:colOff>609600</xdr:colOff>
      <xdr:row>101</xdr:row>
      <xdr:rowOff>104775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953125" y="17021175"/>
          <a:ext cx="3829050" cy="22002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February%202023/Monthly/Template%20Portfolio%20Disclosure%20-28th%20Feb%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FF"/>
      <sheetName val="IF"/>
      <sheetName val="ON"/>
      <sheetName val="LF"/>
      <sheetName val="Index"/>
      <sheetName val="Final (2)"/>
      <sheetName val="Final (203)"/>
      <sheetName val="ISIN"/>
      <sheetName val="Scheme Names"/>
      <sheetName val="SH 28.02.2023"/>
      <sheetName val="GHS 280223"/>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1"/>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B8" sqref="B8"/>
    </sheetView>
  </sheetViews>
  <sheetFormatPr defaultRowHeight="12.75" x14ac:dyDescent="0.2"/>
  <cols>
    <col min="1" max="1" width="60" style="58" customWidth="1"/>
    <col min="2" max="2" width="39.42578125" style="59" customWidth="1"/>
    <col min="3" max="3" width="13.42578125" style="53" customWidth="1"/>
    <col min="4" max="4" width="20.85546875" style="2" customWidth="1"/>
    <col min="5" max="5" width="15.7109375" style="2" customWidth="1"/>
    <col min="6" max="6" width="16.28515625" style="2" customWidth="1"/>
    <col min="7" max="7" width="9.5703125" style="2" bestFit="1" customWidth="1"/>
    <col min="8" max="8" width="16"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9" customFormat="1" ht="25.5" x14ac:dyDescent="0.2">
      <c r="A3" s="4" t="s">
        <v>2</v>
      </c>
      <c r="B3" s="5" t="s">
        <v>3</v>
      </c>
      <c r="C3" s="6" t="s">
        <v>4</v>
      </c>
      <c r="D3" s="4" t="s">
        <v>5</v>
      </c>
      <c r="E3" s="4" t="s">
        <v>6</v>
      </c>
      <c r="F3" s="4" t="s">
        <v>7</v>
      </c>
      <c r="G3" s="7"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2" customFormat="1" x14ac:dyDescent="0.2">
      <c r="A6" s="18" t="s">
        <v>12</v>
      </c>
      <c r="B6" s="19" t="s">
        <v>13</v>
      </c>
      <c r="C6" s="20">
        <v>640000</v>
      </c>
      <c r="D6" s="21">
        <v>457.6</v>
      </c>
      <c r="E6" s="21">
        <f t="shared" ref="E6:E45" si="0">(+D6/$D$72*100)</f>
        <v>4.0857830797585697</v>
      </c>
      <c r="F6" s="21" t="s">
        <v>14</v>
      </c>
      <c r="G6" s="16"/>
      <c r="H6" s="16"/>
    </row>
    <row r="7" spans="1:8" s="22" customFormat="1" x14ac:dyDescent="0.2">
      <c r="A7" s="18" t="s">
        <v>15</v>
      </c>
      <c r="B7" s="19" t="s">
        <v>16</v>
      </c>
      <c r="C7" s="20">
        <v>14650</v>
      </c>
      <c r="D7" s="21">
        <v>436.841025</v>
      </c>
      <c r="E7" s="21">
        <f t="shared" si="0"/>
        <v>3.9004319678526884</v>
      </c>
      <c r="F7" s="21" t="s">
        <v>17</v>
      </c>
      <c r="G7" s="16"/>
      <c r="H7" s="15"/>
    </row>
    <row r="8" spans="1:8" s="22" customFormat="1" x14ac:dyDescent="0.2">
      <c r="A8" s="18" t="s">
        <v>18</v>
      </c>
      <c r="B8" s="19" t="s">
        <v>19</v>
      </c>
      <c r="C8" s="20">
        <v>26500</v>
      </c>
      <c r="D8" s="21">
        <v>380.61950000000002</v>
      </c>
      <c r="E8" s="21">
        <f t="shared" si="0"/>
        <v>3.3984456139120782</v>
      </c>
      <c r="F8" s="21" t="s">
        <v>20</v>
      </c>
      <c r="G8" s="16"/>
      <c r="H8" s="16"/>
    </row>
    <row r="9" spans="1:8" s="22" customFormat="1" x14ac:dyDescent="0.2">
      <c r="A9" s="18" t="s">
        <v>21</v>
      </c>
      <c r="B9" s="19" t="s">
        <v>22</v>
      </c>
      <c r="C9" s="20">
        <v>78165</v>
      </c>
      <c r="D9" s="21">
        <v>351.15626250000003</v>
      </c>
      <c r="E9" s="21">
        <f t="shared" si="0"/>
        <v>3.1353765639723754</v>
      </c>
      <c r="F9" s="21" t="s">
        <v>23</v>
      </c>
      <c r="G9" s="16"/>
      <c r="H9" s="23"/>
    </row>
    <row r="10" spans="1:8" s="22" customFormat="1" x14ac:dyDescent="0.2">
      <c r="A10" s="18" t="s">
        <v>24</v>
      </c>
      <c r="B10" s="19" t="s">
        <v>19</v>
      </c>
      <c r="C10" s="20">
        <v>115500</v>
      </c>
      <c r="D10" s="21">
        <v>350.94675000000001</v>
      </c>
      <c r="E10" s="21">
        <f t="shared" si="0"/>
        <v>3.1335058851535416</v>
      </c>
      <c r="F10" s="21" t="s">
        <v>25</v>
      </c>
      <c r="G10" s="16"/>
      <c r="H10" s="16"/>
    </row>
    <row r="11" spans="1:8" s="22" customFormat="1" x14ac:dyDescent="0.2">
      <c r="A11" s="18" t="s">
        <v>26</v>
      </c>
      <c r="B11" s="19" t="s">
        <v>27</v>
      </c>
      <c r="C11" s="20">
        <v>46650</v>
      </c>
      <c r="D11" s="21">
        <v>349.45515</v>
      </c>
      <c r="E11" s="21">
        <f t="shared" si="0"/>
        <v>3.1201878037685598</v>
      </c>
      <c r="F11" s="21" t="s">
        <v>28</v>
      </c>
      <c r="G11" s="16"/>
      <c r="H11" s="15"/>
    </row>
    <row r="12" spans="1:8" s="22" customFormat="1" x14ac:dyDescent="0.2">
      <c r="A12" s="18" t="s">
        <v>29</v>
      </c>
      <c r="B12" s="19" t="s">
        <v>13</v>
      </c>
      <c r="C12" s="20">
        <v>120000</v>
      </c>
      <c r="D12" s="21">
        <v>335.46</v>
      </c>
      <c r="E12" s="21">
        <f t="shared" si="0"/>
        <v>2.9952290033562274</v>
      </c>
      <c r="F12" s="21" t="s">
        <v>30</v>
      </c>
      <c r="G12" s="16"/>
      <c r="H12" s="16"/>
    </row>
    <row r="13" spans="1:8" s="22" customFormat="1" x14ac:dyDescent="0.2">
      <c r="A13" s="18" t="s">
        <v>31</v>
      </c>
      <c r="B13" s="19" t="s">
        <v>32</v>
      </c>
      <c r="C13" s="20">
        <v>73600</v>
      </c>
      <c r="D13" s="21">
        <v>324.46559999999999</v>
      </c>
      <c r="E13" s="21">
        <f t="shared" si="0"/>
        <v>2.8970630647808395</v>
      </c>
      <c r="F13" s="21" t="s">
        <v>33</v>
      </c>
      <c r="G13" s="16"/>
      <c r="H13" s="23"/>
    </row>
    <row r="14" spans="1:8" s="22" customFormat="1" x14ac:dyDescent="0.2">
      <c r="A14" s="18" t="s">
        <v>34</v>
      </c>
      <c r="B14" s="19" t="s">
        <v>35</v>
      </c>
      <c r="C14" s="20">
        <v>20500</v>
      </c>
      <c r="D14" s="21">
        <v>321.87049999999999</v>
      </c>
      <c r="E14" s="21">
        <f t="shared" si="0"/>
        <v>2.8738921389279515</v>
      </c>
      <c r="F14" s="21" t="s">
        <v>36</v>
      </c>
      <c r="G14" s="16"/>
      <c r="H14" s="16"/>
    </row>
    <row r="15" spans="1:8" s="22" customFormat="1" x14ac:dyDescent="0.2">
      <c r="A15" s="18" t="s">
        <v>37</v>
      </c>
      <c r="B15" s="19" t="s">
        <v>38</v>
      </c>
      <c r="C15" s="20">
        <v>11400</v>
      </c>
      <c r="D15" s="21">
        <v>315.1644</v>
      </c>
      <c r="E15" s="21">
        <f t="shared" si="0"/>
        <v>2.8140152378982992</v>
      </c>
      <c r="F15" s="21" t="s">
        <v>39</v>
      </c>
      <c r="G15" s="16"/>
      <c r="H15" s="23"/>
    </row>
    <row r="16" spans="1:8" s="22" customFormat="1" x14ac:dyDescent="0.2">
      <c r="A16" s="18" t="s">
        <v>40</v>
      </c>
      <c r="B16" s="19" t="s">
        <v>16</v>
      </c>
      <c r="C16" s="20">
        <v>15250</v>
      </c>
      <c r="D16" s="21">
        <v>307.18837500000001</v>
      </c>
      <c r="E16" s="21">
        <f t="shared" si="0"/>
        <v>2.7427995298809669</v>
      </c>
      <c r="F16" s="21" t="s">
        <v>41</v>
      </c>
      <c r="G16" s="16"/>
      <c r="H16" s="16"/>
    </row>
    <row r="17" spans="1:8" s="22" customFormat="1" x14ac:dyDescent="0.2">
      <c r="A17" s="18" t="s">
        <v>42</v>
      </c>
      <c r="B17" s="19" t="s">
        <v>16</v>
      </c>
      <c r="C17" s="20">
        <v>31200</v>
      </c>
      <c r="D17" s="21">
        <v>306.85199999999998</v>
      </c>
      <c r="E17" s="21">
        <f t="shared" si="0"/>
        <v>2.739796131097195</v>
      </c>
      <c r="F17" s="21" t="s">
        <v>43</v>
      </c>
      <c r="G17" s="16"/>
      <c r="H17" s="15"/>
    </row>
    <row r="18" spans="1:8" s="22" customFormat="1" x14ac:dyDescent="0.2">
      <c r="A18" s="18" t="s">
        <v>44</v>
      </c>
      <c r="B18" s="19" t="s">
        <v>45</v>
      </c>
      <c r="C18" s="20">
        <v>60700</v>
      </c>
      <c r="D18" s="21">
        <v>306.47430000000003</v>
      </c>
      <c r="E18" s="21">
        <f t="shared" si="0"/>
        <v>2.736423752886477</v>
      </c>
      <c r="F18" s="21" t="s">
        <v>46</v>
      </c>
      <c r="G18" s="16"/>
      <c r="H18" s="16"/>
    </row>
    <row r="19" spans="1:8" s="22" customFormat="1" x14ac:dyDescent="0.2">
      <c r="A19" s="18" t="s">
        <v>47</v>
      </c>
      <c r="B19" s="19" t="s">
        <v>48</v>
      </c>
      <c r="C19" s="20">
        <v>51250</v>
      </c>
      <c r="D19" s="21">
        <v>306.09062499999999</v>
      </c>
      <c r="E19" s="21">
        <f t="shared" si="0"/>
        <v>2.7329980255632109</v>
      </c>
      <c r="F19" s="21" t="s">
        <v>49</v>
      </c>
      <c r="G19" s="16"/>
      <c r="H19" s="15"/>
    </row>
    <row r="20" spans="1:8" s="22" customFormat="1" x14ac:dyDescent="0.2">
      <c r="A20" s="18" t="s">
        <v>50</v>
      </c>
      <c r="B20" s="19" t="s">
        <v>32</v>
      </c>
      <c r="C20" s="20">
        <v>198000</v>
      </c>
      <c r="D20" s="21">
        <v>301.75200000000001</v>
      </c>
      <c r="E20" s="21">
        <f t="shared" si="0"/>
        <v>2.6942596500946414</v>
      </c>
      <c r="F20" s="21" t="s">
        <v>51</v>
      </c>
      <c r="G20" s="16"/>
      <c r="H20" s="16"/>
    </row>
    <row r="21" spans="1:8" s="22" customFormat="1" x14ac:dyDescent="0.2">
      <c r="A21" s="18" t="s">
        <v>52</v>
      </c>
      <c r="B21" s="19" t="s">
        <v>27</v>
      </c>
      <c r="C21" s="20">
        <v>112500</v>
      </c>
      <c r="D21" s="21">
        <v>300.65625</v>
      </c>
      <c r="E21" s="21">
        <f t="shared" si="0"/>
        <v>2.684476003220416</v>
      </c>
      <c r="F21" s="21" t="s">
        <v>53</v>
      </c>
      <c r="G21" s="16"/>
      <c r="H21" s="16"/>
    </row>
    <row r="22" spans="1:8" s="22" customFormat="1" x14ac:dyDescent="0.2">
      <c r="A22" s="18" t="s">
        <v>54</v>
      </c>
      <c r="B22" s="19" t="s">
        <v>13</v>
      </c>
      <c r="C22" s="20">
        <v>230500</v>
      </c>
      <c r="D22" s="21">
        <v>297.69074999999998</v>
      </c>
      <c r="E22" s="21">
        <f t="shared" si="0"/>
        <v>2.6579978788256957</v>
      </c>
      <c r="F22" s="21" t="s">
        <v>55</v>
      </c>
      <c r="G22" s="16"/>
      <c r="H22" s="16"/>
    </row>
    <row r="23" spans="1:8" s="22" customFormat="1" x14ac:dyDescent="0.2">
      <c r="A23" s="18" t="s">
        <v>56</v>
      </c>
      <c r="B23" s="19" t="s">
        <v>57</v>
      </c>
      <c r="C23" s="20">
        <v>55184</v>
      </c>
      <c r="D23" s="21">
        <v>292.47519999999997</v>
      </c>
      <c r="E23" s="21">
        <f t="shared" si="0"/>
        <v>2.6114296840231721</v>
      </c>
      <c r="F23" s="21" t="s">
        <v>58</v>
      </c>
      <c r="G23" s="16"/>
      <c r="H23" s="23"/>
    </row>
    <row r="24" spans="1:8" s="22" customFormat="1" x14ac:dyDescent="0.2">
      <c r="A24" s="18" t="s">
        <v>59</v>
      </c>
      <c r="B24" s="19" t="s">
        <v>60</v>
      </c>
      <c r="C24" s="20">
        <v>251500</v>
      </c>
      <c r="D24" s="21">
        <v>287.46449999999999</v>
      </c>
      <c r="E24" s="21">
        <f t="shared" si="0"/>
        <v>2.5666905378742508</v>
      </c>
      <c r="F24" s="21" t="s">
        <v>61</v>
      </c>
      <c r="G24" s="16"/>
      <c r="H24" s="15"/>
    </row>
    <row r="25" spans="1:8" s="22" customFormat="1" x14ac:dyDescent="0.2">
      <c r="A25" s="18" t="s">
        <v>62</v>
      </c>
      <c r="B25" s="19" t="s">
        <v>60</v>
      </c>
      <c r="C25" s="20">
        <v>114000</v>
      </c>
      <c r="D25" s="21">
        <v>287.05200000000002</v>
      </c>
      <c r="E25" s="21">
        <f t="shared" si="0"/>
        <v>2.5630074401461034</v>
      </c>
      <c r="F25" s="21" t="s">
        <v>63</v>
      </c>
      <c r="G25" s="16"/>
      <c r="H25" s="15"/>
    </row>
    <row r="26" spans="1:8" s="22" customFormat="1" x14ac:dyDescent="0.2">
      <c r="A26" s="18" t="s">
        <v>64</v>
      </c>
      <c r="B26" s="19" t="s">
        <v>65</v>
      </c>
      <c r="C26" s="20">
        <v>49500</v>
      </c>
      <c r="D26" s="21">
        <v>284.89724999999999</v>
      </c>
      <c r="E26" s="21">
        <f t="shared" si="0"/>
        <v>2.5437682769225241</v>
      </c>
      <c r="F26" s="21" t="s">
        <v>66</v>
      </c>
      <c r="G26" s="16"/>
      <c r="H26" s="23"/>
    </row>
    <row r="27" spans="1:8" s="22" customFormat="1" x14ac:dyDescent="0.2">
      <c r="A27" s="18" t="s">
        <v>67</v>
      </c>
      <c r="B27" s="19" t="s">
        <v>60</v>
      </c>
      <c r="C27" s="20">
        <v>15750</v>
      </c>
      <c r="D27" s="21">
        <v>271.443375</v>
      </c>
      <c r="E27" s="21">
        <f t="shared" si="0"/>
        <v>2.4236423703836545</v>
      </c>
      <c r="F27" s="21" t="s">
        <v>68</v>
      </c>
      <c r="G27" s="16"/>
      <c r="H27" s="16"/>
    </row>
    <row r="28" spans="1:8" s="22" customFormat="1" ht="13.5" customHeight="1" x14ac:dyDescent="0.2">
      <c r="A28" s="18" t="s">
        <v>69</v>
      </c>
      <c r="B28" s="19" t="s">
        <v>70</v>
      </c>
      <c r="C28" s="20">
        <v>12850</v>
      </c>
      <c r="D28" s="21">
        <v>266.68247500000001</v>
      </c>
      <c r="E28" s="21">
        <f t="shared" si="0"/>
        <v>2.3811336189316821</v>
      </c>
      <c r="F28" s="21" t="s">
        <v>71</v>
      </c>
      <c r="G28" s="16"/>
      <c r="H28" s="16"/>
    </row>
    <row r="29" spans="1:8" s="22" customFormat="1" x14ac:dyDescent="0.2">
      <c r="A29" s="18" t="s">
        <v>72</v>
      </c>
      <c r="B29" s="19" t="s">
        <v>73</v>
      </c>
      <c r="C29" s="20">
        <v>6850</v>
      </c>
      <c r="D29" s="21">
        <v>252.40537499999999</v>
      </c>
      <c r="E29" s="21">
        <f t="shared" si="0"/>
        <v>2.2536573654176499</v>
      </c>
      <c r="F29" s="21" t="s">
        <v>74</v>
      </c>
      <c r="G29" s="16"/>
      <c r="H29" s="15"/>
    </row>
    <row r="30" spans="1:8" s="22" customFormat="1" x14ac:dyDescent="0.2">
      <c r="A30" s="18" t="s">
        <v>75</v>
      </c>
      <c r="B30" s="19" t="s">
        <v>76</v>
      </c>
      <c r="C30" s="20">
        <v>106250</v>
      </c>
      <c r="D30" s="21">
        <v>244.05625000000001</v>
      </c>
      <c r="E30" s="21">
        <f t="shared" si="0"/>
        <v>2.1791103513097188</v>
      </c>
      <c r="F30" s="21" t="s">
        <v>77</v>
      </c>
      <c r="G30" s="16"/>
      <c r="H30" s="16"/>
    </row>
    <row r="31" spans="1:8" s="22" customFormat="1" x14ac:dyDescent="0.2">
      <c r="A31" s="18" t="s">
        <v>78</v>
      </c>
      <c r="B31" s="19" t="s">
        <v>79</v>
      </c>
      <c r="C31" s="20">
        <v>87000</v>
      </c>
      <c r="D31" s="21">
        <v>239.4675</v>
      </c>
      <c r="E31" s="21">
        <f t="shared" si="0"/>
        <v>2.1381386793096269</v>
      </c>
      <c r="F31" s="21" t="s">
        <v>80</v>
      </c>
      <c r="G31" s="16"/>
      <c r="H31" s="16"/>
    </row>
    <row r="32" spans="1:8" s="22" customFormat="1" x14ac:dyDescent="0.2">
      <c r="A32" s="18" t="s">
        <v>81</v>
      </c>
      <c r="B32" s="19" t="s">
        <v>35</v>
      </c>
      <c r="C32" s="20">
        <v>27250</v>
      </c>
      <c r="D32" s="21">
        <v>222.36</v>
      </c>
      <c r="E32" s="21">
        <f t="shared" si="0"/>
        <v>1.985390571711354</v>
      </c>
      <c r="F32" s="21" t="s">
        <v>82</v>
      </c>
      <c r="G32" s="16"/>
      <c r="H32" s="16"/>
    </row>
    <row r="33" spans="1:8" s="22" customFormat="1" x14ac:dyDescent="0.2">
      <c r="A33" s="18" t="s">
        <v>83</v>
      </c>
      <c r="B33" s="19" t="s">
        <v>35</v>
      </c>
      <c r="C33" s="20">
        <v>7600</v>
      </c>
      <c r="D33" s="21">
        <v>209.86259999999999</v>
      </c>
      <c r="E33" s="21">
        <f t="shared" si="0"/>
        <v>1.8738047643228599</v>
      </c>
      <c r="F33" s="21" t="s">
        <v>84</v>
      </c>
      <c r="G33" s="16"/>
      <c r="H33" s="15"/>
    </row>
    <row r="34" spans="1:8" s="22" customFormat="1" x14ac:dyDescent="0.2">
      <c r="A34" s="18" t="s">
        <v>85</v>
      </c>
      <c r="B34" s="19" t="s">
        <v>86</v>
      </c>
      <c r="C34" s="20">
        <v>15910</v>
      </c>
      <c r="D34" s="21">
        <v>206.94932499999999</v>
      </c>
      <c r="E34" s="21">
        <f t="shared" si="0"/>
        <v>1.8477929424223276</v>
      </c>
      <c r="F34" s="21" t="s">
        <v>87</v>
      </c>
      <c r="G34" s="16"/>
      <c r="H34" s="15"/>
    </row>
    <row r="35" spans="1:8" s="22" customFormat="1" x14ac:dyDescent="0.2">
      <c r="A35" s="18" t="s">
        <v>88</v>
      </c>
      <c r="B35" s="19" t="s">
        <v>79</v>
      </c>
      <c r="C35" s="20">
        <v>3250</v>
      </c>
      <c r="D35" s="21">
        <v>199.200625</v>
      </c>
      <c r="E35" s="21">
        <f t="shared" si="0"/>
        <v>1.7786069560802709</v>
      </c>
      <c r="F35" s="21" t="s">
        <v>89</v>
      </c>
      <c r="G35" s="16"/>
      <c r="H35" s="15"/>
    </row>
    <row r="36" spans="1:8" s="22" customFormat="1" x14ac:dyDescent="0.2">
      <c r="A36" s="18" t="s">
        <v>90</v>
      </c>
      <c r="B36" s="19" t="s">
        <v>22</v>
      </c>
      <c r="C36" s="20">
        <v>283000</v>
      </c>
      <c r="D36" s="21">
        <v>197.53399999999999</v>
      </c>
      <c r="E36" s="21">
        <f t="shared" si="0"/>
        <v>1.7637261251683332</v>
      </c>
      <c r="F36" s="21" t="s">
        <v>91</v>
      </c>
      <c r="G36" s="16"/>
      <c r="H36" s="16"/>
    </row>
    <row r="37" spans="1:8" s="22" customFormat="1" x14ac:dyDescent="0.2">
      <c r="A37" s="18" t="s">
        <v>92</v>
      </c>
      <c r="B37" s="19" t="s">
        <v>93</v>
      </c>
      <c r="C37" s="20">
        <v>44000</v>
      </c>
      <c r="D37" s="21">
        <v>196.81200000000001</v>
      </c>
      <c r="E37" s="21">
        <f t="shared" si="0"/>
        <v>1.7572795880538541</v>
      </c>
      <c r="F37" s="21" t="s">
        <v>94</v>
      </c>
      <c r="G37" s="16"/>
      <c r="H37" s="15"/>
    </row>
    <row r="38" spans="1:8" s="22" customFormat="1" x14ac:dyDescent="0.2">
      <c r="A38" s="18" t="s">
        <v>95</v>
      </c>
      <c r="B38" s="19" t="s">
        <v>96</v>
      </c>
      <c r="C38" s="20">
        <v>17850</v>
      </c>
      <c r="D38" s="21">
        <v>192.83355</v>
      </c>
      <c r="E38" s="21">
        <f t="shared" si="0"/>
        <v>1.7217571149470676</v>
      </c>
      <c r="F38" s="21" t="s">
        <v>97</v>
      </c>
      <c r="G38" s="16"/>
      <c r="H38" s="15"/>
    </row>
    <row r="39" spans="1:8" s="22" customFormat="1" x14ac:dyDescent="0.2">
      <c r="A39" s="18" t="s">
        <v>98</v>
      </c>
      <c r="B39" s="19" t="s">
        <v>93</v>
      </c>
      <c r="C39" s="20">
        <v>20000</v>
      </c>
      <c r="D39" s="21">
        <v>179.71</v>
      </c>
      <c r="E39" s="21">
        <f t="shared" si="0"/>
        <v>1.6045805884252897</v>
      </c>
      <c r="F39" s="21" t="s">
        <v>99</v>
      </c>
      <c r="G39" s="16"/>
      <c r="H39" s="16"/>
    </row>
    <row r="40" spans="1:8" s="22" customFormat="1" x14ac:dyDescent="0.2">
      <c r="A40" s="18" t="s">
        <v>100</v>
      </c>
      <c r="B40" s="19" t="s">
        <v>101</v>
      </c>
      <c r="C40" s="20">
        <v>6500</v>
      </c>
      <c r="D40" s="21">
        <v>167.3295</v>
      </c>
      <c r="E40" s="21">
        <f t="shared" si="0"/>
        <v>1.4940385486111485</v>
      </c>
      <c r="F40" s="21" t="s">
        <v>102</v>
      </c>
      <c r="G40" s="16"/>
      <c r="H40" s="16"/>
    </row>
    <row r="41" spans="1:8" s="22" customFormat="1" x14ac:dyDescent="0.2">
      <c r="A41" s="18" t="s">
        <v>103</v>
      </c>
      <c r="B41" s="19" t="s">
        <v>104</v>
      </c>
      <c r="C41" s="20">
        <v>77500</v>
      </c>
      <c r="D41" s="21">
        <v>166.81874999999999</v>
      </c>
      <c r="E41" s="21">
        <f t="shared" si="0"/>
        <v>1.4894782039695691</v>
      </c>
      <c r="F41" s="21" t="s">
        <v>105</v>
      </c>
      <c r="G41" s="16"/>
      <c r="H41" s="16"/>
    </row>
    <row r="42" spans="1:8" s="22" customFormat="1" x14ac:dyDescent="0.2">
      <c r="A42" s="18" t="s">
        <v>106</v>
      </c>
      <c r="B42" s="19" t="s">
        <v>35</v>
      </c>
      <c r="C42" s="20">
        <v>110000</v>
      </c>
      <c r="D42" s="21">
        <v>165.16499999999999</v>
      </c>
      <c r="E42" s="21">
        <f t="shared" si="0"/>
        <v>1.4747123303503586</v>
      </c>
      <c r="F42" s="21" t="s">
        <v>107</v>
      </c>
      <c r="G42" s="16"/>
      <c r="H42" s="23"/>
    </row>
    <row r="43" spans="1:8" s="22" customFormat="1" x14ac:dyDescent="0.2">
      <c r="A43" s="18" t="s">
        <v>108</v>
      </c>
      <c r="B43" s="19" t="s">
        <v>76</v>
      </c>
      <c r="C43" s="20">
        <v>12500</v>
      </c>
      <c r="D43" s="21">
        <v>159.76875000000001</v>
      </c>
      <c r="E43" s="21">
        <f t="shared" si="0"/>
        <v>1.4265307155248623</v>
      </c>
      <c r="F43" s="21" t="s">
        <v>109</v>
      </c>
      <c r="G43" s="16"/>
      <c r="H43" s="15"/>
    </row>
    <row r="44" spans="1:8" s="22" customFormat="1" x14ac:dyDescent="0.2">
      <c r="A44" s="18" t="s">
        <v>110</v>
      </c>
      <c r="B44" s="19" t="s">
        <v>101</v>
      </c>
      <c r="C44" s="20">
        <v>168000</v>
      </c>
      <c r="D44" s="21">
        <v>158.928</v>
      </c>
      <c r="E44" s="21">
        <f t="shared" si="0"/>
        <v>1.4190238927007648</v>
      </c>
      <c r="F44" s="21" t="s">
        <v>111</v>
      </c>
      <c r="G44" s="16"/>
      <c r="H44" s="16"/>
    </row>
    <row r="45" spans="1:8" s="22" customFormat="1" x14ac:dyDescent="0.2">
      <c r="A45" s="18" t="s">
        <v>112</v>
      </c>
      <c r="B45" s="19" t="s">
        <v>113</v>
      </c>
      <c r="C45" s="20">
        <v>4350</v>
      </c>
      <c r="D45" s="21">
        <v>138.11250000000001</v>
      </c>
      <c r="E45" s="21">
        <f t="shared" si="0"/>
        <v>1.2331680847971056</v>
      </c>
      <c r="F45" s="21" t="s">
        <v>114</v>
      </c>
      <c r="G45" s="16"/>
      <c r="H45" s="16"/>
    </row>
    <row r="46" spans="1:8" s="22" customFormat="1" x14ac:dyDescent="0.2">
      <c r="A46" s="17" t="s">
        <v>115</v>
      </c>
      <c r="B46" s="19"/>
      <c r="C46" s="20"/>
      <c r="D46" s="24">
        <f>IF(ISERROR(SUM(D6:D45)),0,SUM(D6:D45))</f>
        <v>10737.612012499996</v>
      </c>
      <c r="E46" s="24">
        <f>IF(ISERROR(SUM(E6:E45)),0,SUM(E6:E45))</f>
        <v>95.873150082353263</v>
      </c>
      <c r="F46" s="24"/>
      <c r="G46" s="16"/>
      <c r="H46" s="15"/>
    </row>
    <row r="47" spans="1:8" s="22" customFormat="1" x14ac:dyDescent="0.2">
      <c r="A47" s="17"/>
      <c r="B47" s="17"/>
      <c r="C47" s="25"/>
      <c r="D47" s="26"/>
      <c r="E47" s="26"/>
      <c r="F47" s="26"/>
      <c r="G47" s="16"/>
      <c r="H47" s="15"/>
    </row>
    <row r="48" spans="1:8" s="22" customFormat="1" x14ac:dyDescent="0.2">
      <c r="A48" s="17" t="s">
        <v>116</v>
      </c>
      <c r="B48" s="17"/>
      <c r="C48" s="25"/>
      <c r="D48" s="27" t="s">
        <v>117</v>
      </c>
      <c r="E48" s="27" t="s">
        <v>117</v>
      </c>
      <c r="F48" s="27"/>
      <c r="G48" s="16"/>
      <c r="H48" s="15"/>
    </row>
    <row r="49" spans="1:8" s="22" customFormat="1" x14ac:dyDescent="0.2">
      <c r="A49" s="17"/>
      <c r="B49" s="10"/>
      <c r="C49" s="25"/>
      <c r="D49" s="27"/>
      <c r="E49" s="27"/>
      <c r="F49" s="28"/>
      <c r="G49" s="16"/>
      <c r="H49" s="15"/>
    </row>
    <row r="50" spans="1:8" s="22" customFormat="1" x14ac:dyDescent="0.2">
      <c r="A50" s="17" t="s">
        <v>118</v>
      </c>
      <c r="B50" s="17"/>
      <c r="C50" s="25"/>
      <c r="D50" s="24">
        <f>IF(ISERROR(+D46),0,D46)+IF(ISERROR(+#REF!),0,#REF!)</f>
        <v>10737.612012499996</v>
      </c>
      <c r="E50" s="24">
        <f>IF(ISERROR(+E46),0,E46)+IF(ISERROR(+#REF!),0,#REF!)</f>
        <v>95.873150082353263</v>
      </c>
      <c r="F50" s="29"/>
      <c r="G50" s="16"/>
      <c r="H50" s="15"/>
    </row>
    <row r="51" spans="1:8" s="22" customFormat="1" x14ac:dyDescent="0.2">
      <c r="A51" s="17"/>
      <c r="B51" s="10"/>
      <c r="C51" s="25"/>
      <c r="D51" s="27"/>
      <c r="E51" s="27"/>
      <c r="F51" s="28"/>
      <c r="G51" s="16"/>
      <c r="H51" s="15"/>
    </row>
    <row r="52" spans="1:8" s="22" customFormat="1" x14ac:dyDescent="0.2">
      <c r="A52" s="17" t="s">
        <v>119</v>
      </c>
      <c r="B52" s="10"/>
      <c r="C52" s="25"/>
      <c r="D52" s="27"/>
      <c r="E52" s="27"/>
      <c r="F52" s="28"/>
      <c r="G52" s="16"/>
      <c r="H52" s="15"/>
    </row>
    <row r="53" spans="1:8" s="22" customFormat="1" x14ac:dyDescent="0.2">
      <c r="A53" s="17" t="s">
        <v>11</v>
      </c>
      <c r="B53" s="10"/>
      <c r="C53" s="25"/>
      <c r="D53" s="27" t="s">
        <v>117</v>
      </c>
      <c r="E53" s="27" t="s">
        <v>117</v>
      </c>
      <c r="F53" s="30"/>
      <c r="G53" s="16"/>
      <c r="H53" s="15"/>
    </row>
    <row r="54" spans="1:8" s="22" customFormat="1" x14ac:dyDescent="0.2">
      <c r="A54" s="17"/>
      <c r="B54" s="10"/>
      <c r="C54" s="31"/>
      <c r="D54" s="30"/>
      <c r="E54" s="30"/>
      <c r="F54" s="30"/>
      <c r="G54" s="16"/>
      <c r="H54" s="15"/>
    </row>
    <row r="55" spans="1:8" s="22" customFormat="1" x14ac:dyDescent="0.2">
      <c r="A55" s="17" t="s">
        <v>120</v>
      </c>
      <c r="B55" s="10"/>
      <c r="C55" s="31"/>
      <c r="D55" s="27" t="s">
        <v>117</v>
      </c>
      <c r="E55" s="27" t="s">
        <v>117</v>
      </c>
      <c r="F55" s="28"/>
      <c r="G55" s="16"/>
      <c r="H55" s="15"/>
    </row>
    <row r="56" spans="1:8" s="22" customFormat="1" x14ac:dyDescent="0.2">
      <c r="A56" s="17"/>
      <c r="B56" s="10"/>
      <c r="C56" s="31"/>
      <c r="D56" s="27"/>
      <c r="E56" s="27"/>
      <c r="F56" s="27"/>
      <c r="G56" s="16"/>
      <c r="H56" s="15"/>
    </row>
    <row r="57" spans="1:8" s="22" customFormat="1" x14ac:dyDescent="0.2">
      <c r="A57" s="17" t="s">
        <v>121</v>
      </c>
      <c r="B57" s="10"/>
      <c r="C57" s="31"/>
      <c r="D57" s="27"/>
      <c r="E57" s="27"/>
      <c r="F57" s="27"/>
      <c r="G57" s="16"/>
      <c r="H57" s="15"/>
    </row>
    <row r="58" spans="1:8" s="22" customFormat="1" x14ac:dyDescent="0.2">
      <c r="A58" s="17"/>
      <c r="B58" s="10"/>
      <c r="C58" s="31"/>
      <c r="D58" s="21"/>
      <c r="E58" s="21"/>
      <c r="F58" s="32"/>
      <c r="G58" s="16"/>
      <c r="H58" s="15"/>
    </row>
    <row r="59" spans="1:8" s="22" customFormat="1" x14ac:dyDescent="0.2">
      <c r="A59" s="17" t="s">
        <v>122</v>
      </c>
      <c r="B59" s="10"/>
      <c r="C59" s="31"/>
      <c r="D59" s="27" t="s">
        <v>117</v>
      </c>
      <c r="E59" s="27" t="s">
        <v>117</v>
      </c>
      <c r="F59" s="27"/>
      <c r="G59" s="16"/>
      <c r="H59" s="15"/>
    </row>
    <row r="60" spans="1:8" s="22" customFormat="1" x14ac:dyDescent="0.2">
      <c r="A60" s="17"/>
      <c r="B60" s="10"/>
      <c r="C60" s="31"/>
      <c r="D60" s="27"/>
      <c r="E60" s="27"/>
      <c r="F60" s="27"/>
      <c r="G60" s="16"/>
      <c r="H60" s="15"/>
    </row>
    <row r="61" spans="1:8" s="22" customFormat="1" x14ac:dyDescent="0.2">
      <c r="A61" s="17" t="s">
        <v>123</v>
      </c>
      <c r="B61" s="10"/>
      <c r="C61" s="31"/>
      <c r="D61" s="27" t="s">
        <v>117</v>
      </c>
      <c r="E61" s="27" t="s">
        <v>117</v>
      </c>
      <c r="F61" s="27"/>
      <c r="G61" s="16"/>
      <c r="H61" s="15"/>
    </row>
    <row r="62" spans="1:8" s="22" customFormat="1" x14ac:dyDescent="0.2">
      <c r="A62" s="17"/>
      <c r="B62" s="10"/>
      <c r="C62" s="31"/>
      <c r="D62" s="27"/>
      <c r="E62" s="27"/>
      <c r="F62" s="27"/>
      <c r="G62" s="16"/>
      <c r="H62" s="15"/>
    </row>
    <row r="63" spans="1:8" s="22" customFormat="1" x14ac:dyDescent="0.2">
      <c r="A63" s="17" t="s">
        <v>124</v>
      </c>
      <c r="B63" s="10"/>
      <c r="C63" s="31"/>
      <c r="D63" s="27"/>
      <c r="E63" s="27"/>
      <c r="F63" s="28"/>
      <c r="G63" s="16"/>
      <c r="H63" s="15"/>
    </row>
    <row r="64" spans="1:8" s="22" customFormat="1" x14ac:dyDescent="0.2">
      <c r="A64" s="17"/>
      <c r="B64" s="33"/>
      <c r="C64" s="34"/>
      <c r="D64" s="30"/>
      <c r="E64" s="30"/>
      <c r="F64" s="35"/>
      <c r="G64" s="16"/>
      <c r="H64" s="15"/>
    </row>
    <row r="65" spans="1:8" s="22" customFormat="1" x14ac:dyDescent="0.2">
      <c r="A65" s="18" t="s">
        <v>125</v>
      </c>
      <c r="B65" s="19"/>
      <c r="C65" s="20">
        <v>0</v>
      </c>
      <c r="D65" s="21">
        <v>360.06358280000001</v>
      </c>
      <c r="E65" s="21">
        <f>(+D65/$D$72*100)</f>
        <v>3.2149075486046521</v>
      </c>
      <c r="F65" s="21" t="s">
        <v>126</v>
      </c>
      <c r="G65" s="16">
        <v>6.5233999999999996</v>
      </c>
      <c r="H65" s="15"/>
    </row>
    <row r="66" spans="1:8" s="22" customFormat="1" x14ac:dyDescent="0.2">
      <c r="A66" s="17" t="s">
        <v>115</v>
      </c>
      <c r="B66" s="10"/>
      <c r="C66" s="31"/>
      <c r="D66" s="27">
        <f>IF(ISERROR(SUM(D65:D65)),0,SUM(D65:D65))</f>
        <v>360.06358280000001</v>
      </c>
      <c r="E66" s="27">
        <f>IF(ISERROR(SUM(E65:E65)),0,SUM(E65:E65))</f>
        <v>3.2149075486046521</v>
      </c>
      <c r="F66" s="21"/>
      <c r="G66" s="16"/>
      <c r="H66" s="15"/>
    </row>
    <row r="67" spans="1:8" s="22" customFormat="1" x14ac:dyDescent="0.2">
      <c r="A67" s="17"/>
      <c r="B67" s="10"/>
      <c r="C67" s="31"/>
      <c r="D67" s="27"/>
      <c r="E67" s="27"/>
      <c r="F67" s="28"/>
      <c r="G67" s="16"/>
      <c r="H67" s="15"/>
    </row>
    <row r="68" spans="1:8" s="22" customFormat="1" x14ac:dyDescent="0.2">
      <c r="A68" s="17" t="s">
        <v>118</v>
      </c>
      <c r="B68" s="10"/>
      <c r="C68" s="31" t="s">
        <v>127</v>
      </c>
      <c r="D68" s="27">
        <f>+IF(ISERROR(#REF!),0,#REF!)+IF(ISERROR(D66),0,D66)+IF(ISERROR(D50),0,D50)+IF(ISERROR(#REF!),0,#REF!)+IF(ISERROR(#REF!),0,#REF!)+IF(ISERROR(#REF!),0,#REF!)+IF(ISERROR(#REF!),0,#REF!)+IF(ISERROR(#REF!),0,#REF!)+IF(ISERROR(#REF!),0,#REF!)</f>
        <v>11097.675595299996</v>
      </c>
      <c r="E68" s="27">
        <f>+IF(ISERROR(#REF!),0,#REF!)+IF(ISERROR(E66),0,E66)+IF(ISERROR(E50),0,E50)+IF(ISERROR(#REF!),0,#REF!)+IF(ISERROR(#REF!),0,#REF!)+IF(ISERROR(#REF!),0,#REF!)+IF(ISERROR(#REF!),0,#REF!)+IF(ISERROR(#REF!),0,#REF!)+IF(ISERROR(#REF!),0,#REF!)</f>
        <v>99.08805763095792</v>
      </c>
      <c r="F68" s="27">
        <f>+IF(ISERROR(#REF!),0,#REF!)+IF(ISERROR(F66),0,F66)+IF(ISERROR(F50),0,F50)+IF(ISERROR(#REF!),0,#REF!)+IF(ISERROR(#REF!),0,#REF!)+IF(ISERROR(#REF!),0,#REF!)+IF(ISERROR(#REF!),0,#REF!)</f>
        <v>0</v>
      </c>
      <c r="G68" s="16"/>
      <c r="H68" s="15"/>
    </row>
    <row r="69" spans="1:8" s="22" customFormat="1" x14ac:dyDescent="0.2">
      <c r="A69" s="17"/>
      <c r="B69" s="10"/>
      <c r="C69" s="31"/>
      <c r="D69" s="27"/>
      <c r="E69" s="27"/>
      <c r="F69" s="36"/>
      <c r="H69" s="2"/>
    </row>
    <row r="70" spans="1:8" s="22" customFormat="1" x14ac:dyDescent="0.2">
      <c r="A70" s="17" t="s">
        <v>128</v>
      </c>
      <c r="B70" s="10"/>
      <c r="C70" s="31"/>
      <c r="D70" s="27">
        <f>+D72-D68</f>
        <v>102.13582560000395</v>
      </c>
      <c r="E70" s="27">
        <f>D70/$D$72*100</f>
        <v>0.91194236904210724</v>
      </c>
      <c r="F70" s="36"/>
      <c r="H70" s="2"/>
    </row>
    <row r="71" spans="1:8" s="22" customFormat="1" x14ac:dyDescent="0.2">
      <c r="A71" s="17"/>
      <c r="B71" s="10"/>
      <c r="C71" s="31"/>
      <c r="D71" s="30"/>
      <c r="E71" s="30"/>
      <c r="F71" s="36"/>
      <c r="H71" s="2"/>
    </row>
    <row r="72" spans="1:8" s="22" customFormat="1" x14ac:dyDescent="0.2">
      <c r="A72" s="17" t="s">
        <v>129</v>
      </c>
      <c r="B72" s="10"/>
      <c r="C72" s="31"/>
      <c r="D72" s="27">
        <v>11199.8114209</v>
      </c>
      <c r="E72" s="27">
        <f>+E68+E70</f>
        <v>100.00000000000003</v>
      </c>
      <c r="F72" s="36"/>
      <c r="H72" s="2"/>
    </row>
    <row r="73" spans="1:8" s="22" customFormat="1" x14ac:dyDescent="0.2">
      <c r="A73" s="37"/>
      <c r="B73" s="38"/>
      <c r="C73" s="39"/>
      <c r="D73" s="40"/>
      <c r="E73" s="40"/>
      <c r="F73" s="36"/>
      <c r="H73" s="2"/>
    </row>
    <row r="74" spans="1:8" s="22" customFormat="1" x14ac:dyDescent="0.2">
      <c r="A74" s="41"/>
      <c r="B74" s="38"/>
      <c r="C74" s="39"/>
      <c r="D74" s="40"/>
      <c r="E74" s="40"/>
      <c r="F74" s="42"/>
      <c r="H74" s="2"/>
    </row>
    <row r="75" spans="1:8" s="22" customFormat="1" ht="15" x14ac:dyDescent="0.25">
      <c r="A75" s="43" t="s">
        <v>130</v>
      </c>
      <c r="B75" s="43"/>
      <c r="C75" s="43"/>
      <c r="D75" s="43"/>
      <c r="E75" s="43"/>
      <c r="F75" s="43"/>
      <c r="G75" s="2"/>
      <c r="H75" s="2"/>
    </row>
    <row r="76" spans="1:8" s="22" customFormat="1" ht="36" customHeight="1" x14ac:dyDescent="0.2">
      <c r="A76" s="44" t="s">
        <v>131</v>
      </c>
      <c r="B76" s="44"/>
      <c r="C76" s="44"/>
      <c r="D76" s="44"/>
      <c r="E76" s="44"/>
      <c r="F76" s="44"/>
      <c r="G76" s="44"/>
      <c r="H76" s="44"/>
    </row>
    <row r="77" spans="1:8" s="22" customFormat="1" ht="15" x14ac:dyDescent="0.2">
      <c r="A77" s="45" t="s">
        <v>132</v>
      </c>
      <c r="B77" s="45"/>
      <c r="C77" s="45"/>
      <c r="D77" s="45"/>
      <c r="E77" s="45"/>
      <c r="F77" s="45"/>
      <c r="G77" s="2"/>
      <c r="H77" s="2"/>
    </row>
    <row r="78" spans="1:8" s="22" customFormat="1" ht="68.25" customHeight="1" x14ac:dyDescent="0.2">
      <c r="A78" s="46" t="s">
        <v>133</v>
      </c>
      <c r="B78" s="46"/>
      <c r="C78" s="46"/>
      <c r="D78" s="46"/>
      <c r="E78" s="46"/>
      <c r="F78" s="46"/>
      <c r="G78" s="46"/>
      <c r="H78" s="46"/>
    </row>
    <row r="79" spans="1:8" s="22" customFormat="1" x14ac:dyDescent="0.2">
      <c r="A79" s="41"/>
      <c r="B79" s="47"/>
      <c r="C79" s="48"/>
      <c r="D79" s="49"/>
      <c r="E79" s="36"/>
      <c r="F79" s="2"/>
      <c r="G79" s="2"/>
      <c r="H79" s="2"/>
    </row>
    <row r="80" spans="1:8" ht="15" x14ac:dyDescent="0.25">
      <c r="A80" s="50" t="s">
        <v>134</v>
      </c>
      <c r="B80" s="51"/>
      <c r="C80" s="51"/>
      <c r="D80" s="51"/>
    </row>
    <row r="81" spans="1:4" ht="15" x14ac:dyDescent="0.25">
      <c r="A81" s="52" t="s">
        <v>135</v>
      </c>
      <c r="B81" s="51"/>
    </row>
    <row r="82" spans="1:4" ht="15" x14ac:dyDescent="0.25">
      <c r="A82" s="54" t="s">
        <v>136</v>
      </c>
      <c r="B82" s="55"/>
      <c r="C82" s="55"/>
      <c r="D82" s="51"/>
    </row>
    <row r="83" spans="1:4" ht="15" x14ac:dyDescent="0.25">
      <c r="A83" s="54" t="s">
        <v>137</v>
      </c>
      <c r="B83" s="51"/>
      <c r="C83" s="51"/>
      <c r="D83" s="51"/>
    </row>
    <row r="84" spans="1:4" ht="15" x14ac:dyDescent="0.25">
      <c r="A84" s="54"/>
      <c r="B84" s="51"/>
      <c r="C84" s="51"/>
      <c r="D84" s="51"/>
    </row>
    <row r="85" spans="1:4" ht="15" x14ac:dyDescent="0.25">
      <c r="A85" s="56" t="s">
        <v>138</v>
      </c>
      <c r="B85" s="51"/>
      <c r="C85" s="57" t="s">
        <v>139</v>
      </c>
      <c r="D85" s="51"/>
    </row>
    <row r="86" spans="1:4" ht="15" x14ac:dyDescent="0.25">
      <c r="A86" s="54"/>
      <c r="B86" s="51"/>
      <c r="C86" s="51"/>
      <c r="D86" s="51"/>
    </row>
    <row r="87" spans="1:4" ht="15" x14ac:dyDescent="0.25">
      <c r="A87" s="54"/>
      <c r="B87" s="51"/>
      <c r="C87" s="51"/>
      <c r="D87" s="51"/>
    </row>
    <row r="88" spans="1:4" x14ac:dyDescent="0.2">
      <c r="A88" s="51"/>
      <c r="B88" s="51"/>
      <c r="C88" s="51"/>
      <c r="D88" s="51"/>
    </row>
    <row r="89" spans="1:4" x14ac:dyDescent="0.2">
      <c r="A89" s="51"/>
      <c r="B89" s="51"/>
      <c r="C89" s="51"/>
      <c r="D89" s="51"/>
    </row>
    <row r="90" spans="1:4" x14ac:dyDescent="0.2">
      <c r="A90" s="51"/>
      <c r="B90" s="51"/>
      <c r="C90" s="51"/>
      <c r="D90" s="51"/>
    </row>
    <row r="91" spans="1:4" x14ac:dyDescent="0.2">
      <c r="A91" s="51"/>
      <c r="B91" s="51"/>
      <c r="C91" s="51"/>
      <c r="D91" s="51"/>
    </row>
    <row r="92" spans="1:4" x14ac:dyDescent="0.2">
      <c r="A92" s="51"/>
      <c r="B92" s="51"/>
      <c r="C92" s="51"/>
      <c r="D92" s="51"/>
    </row>
    <row r="93" spans="1:4" x14ac:dyDescent="0.2">
      <c r="A93" s="51"/>
      <c r="B93" s="51"/>
      <c r="C93" s="51"/>
      <c r="D93" s="51"/>
    </row>
    <row r="94" spans="1:4" x14ac:dyDescent="0.2">
      <c r="A94" s="51"/>
      <c r="B94" s="51"/>
      <c r="C94" s="51"/>
      <c r="D94" s="51"/>
    </row>
    <row r="95" spans="1:4" x14ac:dyDescent="0.2">
      <c r="A95" s="51"/>
      <c r="B95" s="51"/>
      <c r="C95" s="51"/>
      <c r="D95" s="51"/>
    </row>
    <row r="96" spans="1:4" x14ac:dyDescent="0.2">
      <c r="A96" s="51"/>
      <c r="B96" s="51"/>
      <c r="C96" s="51"/>
      <c r="D96" s="51"/>
    </row>
    <row r="97" spans="1:4" x14ac:dyDescent="0.2">
      <c r="A97" s="51"/>
      <c r="B97" s="51"/>
      <c r="C97" s="51"/>
      <c r="D97" s="51"/>
    </row>
    <row r="98" spans="1:4" x14ac:dyDescent="0.2">
      <c r="A98" s="51"/>
      <c r="B98" s="51"/>
      <c r="C98" s="51"/>
      <c r="D98" s="51"/>
    </row>
    <row r="99" spans="1:4" x14ac:dyDescent="0.2">
      <c r="A99" s="51"/>
      <c r="B99" s="51"/>
      <c r="C99" s="51"/>
      <c r="D99" s="51"/>
    </row>
    <row r="100" spans="1:4" x14ac:dyDescent="0.2">
      <c r="A100" s="51"/>
      <c r="B100" s="51"/>
      <c r="C100" s="51"/>
      <c r="D100" s="51"/>
    </row>
    <row r="101" spans="1:4" x14ac:dyDescent="0.2">
      <c r="A101" s="51"/>
      <c r="B101" s="51"/>
      <c r="C101" s="51"/>
      <c r="D101" s="51"/>
    </row>
  </sheetData>
  <mergeCells count="6">
    <mergeCell ref="A1:H1"/>
    <mergeCell ref="A2:H2"/>
    <mergeCell ref="A75:F75"/>
    <mergeCell ref="A76:H76"/>
    <mergeCell ref="A77:F77"/>
    <mergeCell ref="A78:H7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MD</vt:lpstr>
      <vt:lpstr>MD!Print_Area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2023-03-06T08:17:03Z</dcterms:created>
  <dcterms:modified xsi:type="dcterms:W3CDTF">2023-03-06T08:20:19Z</dcterms:modified>
</cp:coreProperties>
</file>