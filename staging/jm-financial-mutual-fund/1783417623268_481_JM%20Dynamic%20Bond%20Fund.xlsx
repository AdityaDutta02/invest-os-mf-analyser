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October 2023\Monthly portfolio\Monthly Sent\"/>
    </mc:Choice>
  </mc:AlternateContent>
  <bookViews>
    <workbookView xWindow="0" yWindow="0" windowWidth="20490" windowHeight="7770"/>
  </bookViews>
  <sheets>
    <sheet name="JM Dynamic Bond Fund" sheetId="1" r:id="rId1"/>
  </sheets>
  <definedNames>
    <definedName name="_xlnm._FilterDatabase" localSheetId="0" hidden="1">'JM Dynamic Bond Fund'!$A$1:$H$118</definedName>
    <definedName name="AAAAA">#REF!</definedName>
    <definedName name="Afs">#REF!</definedName>
    <definedName name="_xlnm.Database">#REF!</definedName>
    <definedName name="EBLDB">#REF!</definedName>
    <definedName name="fl">#REF!</definedName>
    <definedName name="_xlnm.Print_Area" localSheetId="0">'JM Dynamic Bond Fund'!$A$1:$E$23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32" i="1" l="1"/>
  <c r="E31" i="1"/>
  <c r="E32" i="1" s="1"/>
  <c r="D28" i="1"/>
  <c r="E27" i="1"/>
  <c r="E28" i="1" s="1"/>
  <c r="D26" i="1"/>
  <c r="E25" i="1"/>
  <c r="E26" i="1" s="1"/>
  <c r="D21" i="1"/>
  <c r="D34" i="1" s="1"/>
  <c r="D36" i="1" s="1"/>
  <c r="E36" i="1" s="1"/>
  <c r="E20" i="1"/>
  <c r="E19" i="1"/>
  <c r="E18" i="1"/>
  <c r="E17" i="1"/>
  <c r="E21" i="1" l="1"/>
  <c r="E34" i="1" s="1"/>
  <c r="E38" i="1" s="1"/>
</calcChain>
</file>

<file path=xl/sharedStrings.xml><?xml version="1.0" encoding="utf-8"?>
<sst xmlns="http://schemas.openxmlformats.org/spreadsheetml/2006/main" count="88" uniqueCount="72">
  <si>
    <t>JM Financial Mutual Fund</t>
  </si>
  <si>
    <t xml:space="preserve">JM Dynamic Bond Fund (An open ended dynamic debt scheme investing across duration) A relatively high interest rate risk and moderate credit risk. </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</si>
  <si>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</si>
  <si>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</si>
  <si>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</si>
  <si>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</si>
  <si>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</si>
  <si>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</si>
  <si>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</si>
  <si>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</si>
  <si>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</si>
  <si>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</si>
  <si>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</si>
  <si>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</si>
  <si>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</si>
  <si>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</si>
  <si>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</si>
  <si>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</si>
  <si>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5.63% Government of India Securities 2026 12/04/2026</t>
  </si>
  <si>
    <t>Sovereign</t>
  </si>
  <si>
    <t>IN0020210012</t>
  </si>
  <si>
    <t>7.06% Government of India Securities 2028 10/04/2028</t>
  </si>
  <si>
    <t>IN0020230010</t>
  </si>
  <si>
    <t>7.38% Government of India Securities 2027 20/06/2027</t>
  </si>
  <si>
    <t>IN0020220037</t>
  </si>
  <si>
    <t>7.26% Government of India Securities 2033 06/02/2033</t>
  </si>
  <si>
    <t>IN0020220151</t>
  </si>
  <si>
    <t>Sub Total:</t>
  </si>
  <si>
    <t>MONEY MARKET INSTRUMENTS</t>
  </si>
  <si>
    <t>Treasury Bills</t>
  </si>
  <si>
    <t>182 Days Treasury-Bill 29/02/2024</t>
  </si>
  <si>
    <t>IN002023Y235</t>
  </si>
  <si>
    <t>TREPS-Triparty Repo</t>
  </si>
  <si>
    <t/>
  </si>
  <si>
    <t>Corporate Debt Market Development Fund - Class A2 Units</t>
  </si>
  <si>
    <t>INF0RQ622028</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</si>
  <si>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</si>
  <si>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</si>
  <si>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</si>
  <si>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</si>
  <si>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</si>
  <si>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</si>
  <si>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</si>
  <si>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</si>
  <si>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</si>
  <si>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Medium Term to Long Term. </t>
  </si>
  <si>
    <t>• Investment in Debt and Money Market securities across maturities.</t>
  </si>
  <si>
    <t>*Investors should consult their financial advisers if in doubt about whether the product is suitable for them.</t>
  </si>
  <si>
    <t xml:space="preserve">         Riskometer of the scheme </t>
  </si>
  <si>
    <t>CRISIL Dynamic Bond B-III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</si>
  <si>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</si>
  <si>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</si>
  <si>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</si>
  <si>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</si>
  <si>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</si>
  <si>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</si>
  <si>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</si>
  <si>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</si>
  <si>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</si>
  <si>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</si>
  <si>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</si>
  <si>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</si>
  <si>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 xml:space="preserve"> JM Dynamic Bond Fund</t>
  </si>
  <si>
    <t>Description (if any)</t>
  </si>
  <si>
    <t>Annualised Portfolio YTM* :</t>
  </si>
  <si>
    <t>Macaulay Duration</t>
  </si>
  <si>
    <t>Residual Maturity</t>
  </si>
  <si>
    <t xml:space="preserve">As on (Date) </t>
  </si>
  <si>
    <t>31.10.2023</t>
  </si>
  <si>
    <t xml:space="preserve">* in case of semi annual YTM,  it will be annualised </t>
  </si>
  <si>
    <t>Others (AIF Investment)</t>
  </si>
  <si>
    <t>Monthly Portfolio Statement for the period ended 31.10.2023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</si>
</sst>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0">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6" fillId="0" borderId="0"/>
    <xf numFmtId="0" fontId="1" fillId="0" borderId="0"/>
    <xf numFmtId="0" fontId="6" fillId="0" borderId="0"/>
    <xf numFmtId="164" fontId="1" fillId="0" borderId="0" applyFont="0" applyFill="0" applyBorder="0" applyAlignment="0" applyProtection="0"/>
    <xf numFmtId="0" fontId="6" fillId="0" borderId="0"/>
    <xf numFmtId="0" fontId="1" fillId="0" borderId="0"/>
  </cellStyleXfs>
  <cellXfs count="87">
    <xf numFmtId="0" fontId="0" fillId="0" borderId="0" xfId="0"/>
    <xf numFmtId="0" fontId="3" fillId="0" borderId="0" xfId="3" applyFont="1"/>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3" xfId="1" applyFont="1" applyFill="1" applyBorder="1"/>
    <xf numFmtId="164" fontId="5" fillId="0" borderId="4" xfId="1" applyFont="1" applyFill="1" applyBorder="1"/>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4" fontId="4" fillId="0" borderId="3" xfId="1" applyNumberFormat="1" applyFont="1" applyFill="1" applyBorder="1" applyAlignment="1">
      <alignment horizontal="right"/>
    </xf>
    <xf numFmtId="2" fontId="5" fillId="0" borderId="3" xfId="3" applyNumberFormat="1" applyFont="1" applyFill="1" applyBorder="1" applyAlignment="1">
      <alignment horizontal="right"/>
    </xf>
    <xf numFmtId="0" fontId="5" fillId="0" borderId="3" xfId="3" applyFont="1" applyFill="1" applyBorder="1" applyAlignment="1">
      <alignment horizontal="left" wrapText="1"/>
    </xf>
    <xf numFmtId="165" fontId="5" fillId="0" borderId="3" xfId="1" applyNumberFormat="1" applyFont="1" applyFill="1" applyBorder="1" applyAlignment="1">
      <alignment horizontal="right"/>
    </xf>
    <xf numFmtId="4" fontId="4" fillId="0" borderId="3" xfId="3" applyNumberFormat="1" applyFont="1" applyFill="1" applyBorder="1" applyAlignment="1">
      <alignment horizontal="right"/>
    </xf>
    <xf numFmtId="0" fontId="5" fillId="0" borderId="0" xfId="3" applyFont="1" applyFill="1" applyBorder="1" applyAlignment="1">
      <alignment horizontal="right"/>
    </xf>
    <xf numFmtId="0" fontId="5" fillId="0" borderId="0" xfId="3" applyFont="1" applyFill="1"/>
    <xf numFmtId="0" fontId="5" fillId="0" borderId="0" xfId="3" applyFont="1"/>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Alignment="1">
      <alignment wrapText="1"/>
    </xf>
    <xf numFmtId="0" fontId="5" fillId="0" borderId="0" xfId="3" applyFont="1" applyFill="1" applyAlignment="1">
      <alignment horizontal="left" wrapText="1"/>
    </xf>
    <xf numFmtId="165" fontId="5" fillId="0" borderId="0" xfId="7" applyNumberFormat="1" applyFont="1" applyFill="1"/>
    <xf numFmtId="164" fontId="5" fillId="0" borderId="0" xfId="7" applyFont="1" applyFill="1" applyAlignment="1">
      <alignment horizontal="right"/>
    </xf>
    <xf numFmtId="0" fontId="5" fillId="0" borderId="0" xfId="3" applyFont="1" applyFill="1" applyAlignment="1">
      <alignment horizontal="right"/>
    </xf>
    <xf numFmtId="164" fontId="5" fillId="0" borderId="0" xfId="1" applyFont="1" applyFill="1" applyBorder="1" applyAlignment="1">
      <alignment horizontal="right"/>
    </xf>
    <xf numFmtId="0" fontId="9" fillId="0" borderId="0" xfId="8" applyFont="1"/>
    <xf numFmtId="0" fontId="10" fillId="0" borderId="0" xfId="3" applyFont="1" applyFill="1" applyBorder="1" applyAlignment="1">
      <alignment horizontal="left" wrapText="1"/>
    </xf>
    <xf numFmtId="0" fontId="7" fillId="0" borderId="0" xfId="8" applyFont="1" applyBorder="1"/>
    <xf numFmtId="0" fontId="9" fillId="0" borderId="0" xfId="4" applyFont="1" applyAlignment="1">
      <alignment horizontal="center"/>
    </xf>
    <xf numFmtId="0" fontId="9" fillId="0" borderId="0" xfId="4" applyFont="1"/>
    <xf numFmtId="0" fontId="4" fillId="0" borderId="0" xfId="3" applyFont="1" applyFill="1" applyBorder="1" applyAlignment="1"/>
    <xf numFmtId="0" fontId="9" fillId="0" borderId="8" xfId="3" applyFont="1" applyBorder="1" applyAlignment="1">
      <alignment vertical="center" wrapText="1"/>
    </xf>
    <xf numFmtId="0" fontId="7" fillId="0" borderId="8" xfId="3" applyFont="1" applyBorder="1" applyAlignment="1">
      <alignment vertical="center" wrapText="1"/>
    </xf>
    <xf numFmtId="0" fontId="7" fillId="0" borderId="10" xfId="3" applyFont="1" applyBorder="1" applyAlignment="1">
      <alignment vertical="center" wrapText="1"/>
    </xf>
    <xf numFmtId="0" fontId="7" fillId="3" borderId="10" xfId="3" applyFont="1" applyFill="1" applyBorder="1" applyAlignment="1">
      <alignment horizontal="center" vertical="center" wrapText="1"/>
    </xf>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0" fontId="5" fillId="0" borderId="3" xfId="3" applyFont="1" applyBorder="1" applyAlignment="1">
      <alignment wrapText="1"/>
    </xf>
    <xf numFmtId="0" fontId="5" fillId="0" borderId="3" xfId="3" applyFont="1" applyBorder="1" applyAlignment="1">
      <alignment horizontal="center" vertical="center"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166" fontId="5" fillId="0" borderId="3" xfId="3" applyNumberFormat="1" applyFont="1" applyBorder="1" applyAlignment="1">
      <alignment horizontal="center"/>
    </xf>
    <xf numFmtId="0" fontId="5" fillId="0" borderId="3" xfId="3" applyNumberFormat="1" applyFont="1" applyBorder="1" applyAlignment="1">
      <alignment horizontal="center"/>
    </xf>
    <xf numFmtId="0" fontId="5" fillId="0" borderId="3" xfId="3" applyFont="1" applyFill="1" applyBorder="1" applyAlignment="1">
      <alignment horizontal="center" wrapText="1"/>
    </xf>
    <xf numFmtId="0" fontId="5" fillId="0" borderId="4" xfId="3" applyFont="1" applyBorder="1" applyAlignment="1">
      <alignment horizontal="left" wrapText="1"/>
    </xf>
    <xf numFmtId="0" fontId="5" fillId="0" borderId="11" xfId="3" applyFont="1" applyBorder="1" applyAlignment="1">
      <alignment horizontal="left"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4" fillId="0" borderId="3" xfId="3"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4" fillId="0" borderId="3" xfId="3" applyFont="1" applyBorder="1" applyAlignment="1">
      <alignment horizontal="center" vertical="top"/>
    </xf>
    <xf numFmtId="0" fontId="4" fillId="0" borderId="3" xfId="3" applyFont="1" applyBorder="1" applyAlignment="1">
      <alignment horizontal="center" vertical="top" wrapText="1"/>
    </xf>
    <xf numFmtId="0" fontId="4" fillId="0" borderId="3" xfId="0" applyFont="1" applyFill="1" applyBorder="1" applyAlignment="1">
      <alignment wrapText="1"/>
    </xf>
    <xf numFmtId="0" fontId="7" fillId="0" borderId="0" xfId="4" applyFont="1" applyBorder="1"/>
    <xf numFmtId="0" fontId="7" fillId="0" borderId="0" xfId="3" applyFont="1" applyBorder="1" applyAlignment="1">
      <alignment vertical="center" wrapText="1"/>
    </xf>
    <xf numFmtId="0" fontId="7" fillId="3" borderId="0" xfId="3" applyFont="1" applyFill="1" applyBorder="1" applyAlignment="1">
      <alignment horizontal="center" vertical="center" wrapText="1"/>
    </xf>
    <xf numFmtId="0" fontId="5" fillId="0" borderId="2" xfId="3" applyFont="1" applyBorder="1" applyAlignment="1">
      <alignment horizontal="center" wrapText="1"/>
    </xf>
    <xf numFmtId="0" fontId="5" fillId="0" borderId="11" xfId="3" applyFont="1" applyBorder="1" applyAlignment="1">
      <alignment horizontal="center" wrapText="1"/>
    </xf>
    <xf numFmtId="0" fontId="8" fillId="0" borderId="0" xfId="6" applyFont="1" applyBorder="1" applyAlignment="1">
      <alignment horizontal="left" vertical="top" wrapText="1"/>
    </xf>
    <xf numFmtId="0" fontId="4" fillId="0" borderId="0" xfId="3" applyFont="1" applyFill="1" applyBorder="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left" vertical="center" wrapText="1"/>
    </xf>
    <xf numFmtId="0" fontId="9" fillId="0" borderId="8" xfId="3" applyFont="1" applyBorder="1" applyAlignment="1">
      <alignment horizontal="left" vertical="center" wrapText="1"/>
    </xf>
    <xf numFmtId="0" fontId="9" fillId="0" borderId="9" xfId="3" applyFont="1" applyBorder="1" applyAlignment="1">
      <alignment horizontal="left" vertical="top" wrapText="1"/>
    </xf>
    <xf numFmtId="0" fontId="9" fillId="0" borderId="8" xfId="3" applyFont="1" applyBorder="1" applyAlignment="1">
      <alignment horizontal="left" vertical="top" wrapText="1"/>
    </xf>
    <xf numFmtId="0" fontId="7" fillId="0" borderId="0" xfId="6" applyFont="1" applyBorder="1" applyAlignment="1">
      <alignment horizontal="left" vertical="top" wrapText="1"/>
    </xf>
    <xf numFmtId="0" fontId="5" fillId="0" borderId="0" xfId="3" applyFont="1" applyAlignment="1">
      <alignment horizontal="left" vertical="top"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5" fillId="0" borderId="0" xfId="5" applyFont="1" applyAlignment="1">
      <alignment horizontal="left" vertical="top" wrapText="1"/>
    </xf>
    <xf numFmtId="0" fontId="2" fillId="2" borderId="2" xfId="3" applyFont="1" applyFill="1" applyBorder="1" applyAlignment="1">
      <alignment horizontal="center" vertical="center" wrapText="1"/>
    </xf>
  </cellXfs>
  <cellStyles count="10">
    <cellStyle name="Comma" xfId="1" builtinId="3"/>
    <cellStyle name="Comma 4 2" xfId="7"/>
    <cellStyle name="Normal" xfId="0" builtinId="0"/>
    <cellStyle name="Normal 2 2" xfId="3"/>
    <cellStyle name="Normal 2 2 2" xfId="9"/>
    <cellStyle name="Normal 2 3 2" xfId="5"/>
    <cellStyle name="Normal 4_FF" xfId="8"/>
    <cellStyle name="Normal 4_IF" xfId="4"/>
    <cellStyle name="Normal 4_LD" xfId="6"/>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790575</xdr:colOff>
      <xdr:row>50</xdr:row>
      <xdr:rowOff>66675</xdr:rowOff>
    </xdr:from>
    <xdr:to>
      <xdr:col>0</xdr:col>
      <xdr:colOff>2686050</xdr:colOff>
      <xdr:row>56</xdr:row>
      <xdr:rowOff>28575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 y="10382250"/>
          <a:ext cx="189547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352425</xdr:colOff>
      <xdr:row>50</xdr:row>
      <xdr:rowOff>95250</xdr:rowOff>
    </xdr:from>
    <xdr:to>
      <xdr:col>3</xdr:col>
      <xdr:colOff>361950</xdr:colOff>
      <xdr:row>56</xdr:row>
      <xdr:rowOff>38100</xdr:rowOff>
    </xdr:to>
    <xdr:pic>
      <xdr:nvPicPr>
        <xdr:cNvPr id="3" name="Picture 5"/>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581400" y="10229850"/>
          <a:ext cx="185737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18"/>
  <sheetViews>
    <sheetView tabSelected="1" zoomScaleNormal="100" workbookViewId="0">
      <selection sqref="A1:H1"/>
    </sheetView>
  </sheetViews>
  <sheetFormatPr defaultRowHeight="12.75" x14ac:dyDescent="0.2"/>
  <cols>
    <col min="1" max="1" width="48.42578125" style="59" customWidth="1"/>
    <col min="2" max="2" width="15.5703125" style="60" customWidth="1"/>
    <col min="3" max="3" width="12.140625" style="61" customWidth="1"/>
    <col min="4" max="4" width="12.5703125" style="1" customWidth="1"/>
    <col min="5" max="5" width="10.42578125" style="1" customWidth="1"/>
    <col min="6" max="6" width="12.5703125" style="1" customWidth="1"/>
    <col min="7" max="7" width="9.5703125" style="1" bestFit="1" customWidth="1"/>
    <col min="8" max="8" width="13.7109375" style="1" customWidth="1"/>
    <col min="9" max="16384" width="9.140625" style="1"/>
  </cols>
  <sheetData>
    <row r="1" spans="1:8" x14ac:dyDescent="0.2">
      <c r="A1" s="83" t="s">
        <v>0</v>
      </c>
      <c r="B1" s="83"/>
      <c r="C1" s="83"/>
      <c r="D1" s="83"/>
      <c r="E1" s="83"/>
      <c r="F1" s="83"/>
      <c r="G1" s="83"/>
      <c r="H1" s="83"/>
    </row>
    <row r="2" spans="1:8" ht="25.5" customHeight="1" x14ac:dyDescent="0.2">
      <c r="A2" s="84" t="s">
        <v>1</v>
      </c>
      <c r="B2" s="84"/>
      <c r="C2" s="84"/>
      <c r="D2" s="84"/>
      <c r="E2" s="84"/>
      <c r="F2" s="84"/>
      <c r="G2" s="84"/>
      <c r="H2" s="84"/>
    </row>
    <row r="3" spans="1:8" ht="12.75" customHeight="1" x14ac:dyDescent="0.2">
      <c r="A3" s="86" t="s">
        <v>71</v>
      </c>
      <c r="B3" s="86"/>
      <c r="C3" s="86"/>
      <c r="D3" s="86"/>
      <c r="E3" s="86"/>
      <c r="F3" s="86"/>
      <c r="G3" s="86"/>
      <c r="H3" s="86"/>
    </row>
    <row r="4" spans="1:8" s="2" customFormat="1" ht="25.5" x14ac:dyDescent="0.2">
      <c r="A4" s="62" t="s">
        <v>2</v>
      </c>
      <c r="B4" s="62" t="s">
        <v>3</v>
      </c>
      <c r="C4" s="63" t="s">
        <v>4</v>
      </c>
      <c r="D4" s="62" t="s">
        <v>5</v>
      </c>
      <c r="E4" s="62" t="s">
        <v>6</v>
      </c>
      <c r="F4" s="62" t="s">
        <v>7</v>
      </c>
      <c r="G4" s="64" t="s">
        <v>8</v>
      </c>
      <c r="H4" s="65" t="s">
        <v>9</v>
      </c>
    </row>
    <row r="5" spans="1:8" s="10" customFormat="1" ht="14.25" x14ac:dyDescent="0.3">
      <c r="A5" s="3" t="s">
        <v>10</v>
      </c>
      <c r="B5" s="4"/>
      <c r="C5" s="5"/>
      <c r="D5" s="6"/>
      <c r="E5" s="6"/>
      <c r="F5" s="7"/>
      <c r="G5" s="8"/>
      <c r="H5" s="9"/>
    </row>
    <row r="6" spans="1:8" s="10" customFormat="1" ht="14.25" x14ac:dyDescent="0.3">
      <c r="A6" s="3" t="s">
        <v>11</v>
      </c>
      <c r="B6" s="4"/>
      <c r="C6" s="5"/>
      <c r="D6" s="6" t="s">
        <v>12</v>
      </c>
      <c r="E6" s="6" t="s">
        <v>12</v>
      </c>
      <c r="F6" s="11"/>
      <c r="G6" s="8"/>
      <c r="H6" s="9"/>
    </row>
    <row r="7" spans="1:8" s="10" customFormat="1" ht="14.25" x14ac:dyDescent="0.3">
      <c r="A7" s="3"/>
      <c r="B7" s="4"/>
      <c r="C7" s="12"/>
      <c r="D7" s="11"/>
      <c r="E7" s="11"/>
      <c r="F7" s="11"/>
      <c r="G7" s="8"/>
      <c r="H7" s="9"/>
    </row>
    <row r="8" spans="1:8" s="10" customFormat="1" ht="15" customHeight="1" x14ac:dyDescent="0.3">
      <c r="A8" s="3" t="s">
        <v>13</v>
      </c>
      <c r="B8" s="4"/>
      <c r="C8" s="12"/>
      <c r="D8" s="6" t="s">
        <v>12</v>
      </c>
      <c r="E8" s="6" t="s">
        <v>12</v>
      </c>
      <c r="F8" s="7"/>
      <c r="G8" s="8"/>
      <c r="H8" s="9"/>
    </row>
    <row r="9" spans="1:8" s="10" customFormat="1" ht="14.25" x14ac:dyDescent="0.3">
      <c r="A9" s="3"/>
      <c r="B9" s="4"/>
      <c r="C9" s="12"/>
      <c r="D9" s="6"/>
      <c r="E9" s="6"/>
      <c r="F9" s="6"/>
      <c r="G9" s="8"/>
      <c r="H9" s="9"/>
    </row>
    <row r="10" spans="1:8" s="10" customFormat="1" ht="14.25" x14ac:dyDescent="0.3">
      <c r="A10" s="3" t="s">
        <v>14</v>
      </c>
      <c r="B10" s="4"/>
      <c r="C10" s="12"/>
      <c r="D10" s="6"/>
      <c r="E10" s="6"/>
      <c r="F10" s="6"/>
      <c r="G10" s="8"/>
      <c r="H10" s="9"/>
    </row>
    <row r="11" spans="1:8" s="10" customFormat="1" ht="14.25" x14ac:dyDescent="0.3">
      <c r="A11" s="3"/>
      <c r="B11" s="4"/>
      <c r="C11" s="12"/>
      <c r="D11" s="13"/>
      <c r="E11" s="13"/>
      <c r="F11" s="14"/>
      <c r="G11" s="8"/>
      <c r="H11" s="9"/>
    </row>
    <row r="12" spans="1:8" s="10" customFormat="1" ht="14.25" x14ac:dyDescent="0.3">
      <c r="A12" s="3" t="s">
        <v>15</v>
      </c>
      <c r="B12" s="4"/>
      <c r="C12" s="12"/>
      <c r="D12" s="6" t="s">
        <v>12</v>
      </c>
      <c r="E12" s="6" t="s">
        <v>12</v>
      </c>
      <c r="F12" s="6"/>
      <c r="G12" s="8"/>
      <c r="H12" s="9"/>
    </row>
    <row r="13" spans="1:8" s="10" customFormat="1" ht="14.25" x14ac:dyDescent="0.3">
      <c r="A13" s="3"/>
      <c r="B13" s="4"/>
      <c r="C13" s="12"/>
      <c r="D13" s="6"/>
      <c r="E13" s="6"/>
      <c r="F13" s="6"/>
      <c r="G13" s="8"/>
      <c r="H13" s="9"/>
    </row>
    <row r="14" spans="1:8" s="10" customFormat="1" ht="14.25" x14ac:dyDescent="0.3">
      <c r="A14" s="3" t="s">
        <v>16</v>
      </c>
      <c r="B14" s="4"/>
      <c r="C14" s="12"/>
      <c r="D14" s="6" t="s">
        <v>12</v>
      </c>
      <c r="E14" s="6" t="s">
        <v>12</v>
      </c>
      <c r="F14" s="6"/>
      <c r="G14" s="8"/>
      <c r="H14" s="9"/>
    </row>
    <row r="15" spans="1:8" s="10" customFormat="1" ht="14.25" x14ac:dyDescent="0.3">
      <c r="A15" s="3"/>
      <c r="B15" s="4"/>
      <c r="C15" s="12"/>
      <c r="D15" s="6"/>
      <c r="E15" s="6"/>
      <c r="F15" s="6"/>
      <c r="G15" s="8"/>
      <c r="H15" s="9"/>
    </row>
    <row r="16" spans="1:8" s="10" customFormat="1" ht="14.25" x14ac:dyDescent="0.3">
      <c r="A16" s="3" t="s">
        <v>17</v>
      </c>
      <c r="B16" s="4"/>
      <c r="C16" s="12"/>
      <c r="D16" s="6"/>
      <c r="E16" s="6"/>
      <c r="F16" s="6"/>
      <c r="G16" s="8"/>
      <c r="H16" s="9"/>
    </row>
    <row r="17" spans="1:8" s="10" customFormat="1" ht="14.25" x14ac:dyDescent="0.3">
      <c r="A17" s="15" t="s">
        <v>18</v>
      </c>
      <c r="B17" s="16" t="s">
        <v>19</v>
      </c>
      <c r="C17" s="17">
        <v>750000</v>
      </c>
      <c r="D17" s="13">
        <v>721.8</v>
      </c>
      <c r="E17" s="13">
        <f>(+D17/$D$38*100)</f>
        <v>16.806448325922823</v>
      </c>
      <c r="F17" s="13" t="s">
        <v>20</v>
      </c>
      <c r="G17" s="8">
        <v>7.3342000000000001</v>
      </c>
      <c r="H17" s="9"/>
    </row>
    <row r="18" spans="1:8" s="10" customFormat="1" ht="14.25" x14ac:dyDescent="0.3">
      <c r="A18" s="15" t="s">
        <v>21</v>
      </c>
      <c r="B18" s="16" t="s">
        <v>19</v>
      </c>
      <c r="C18" s="17">
        <v>400000</v>
      </c>
      <c r="D18" s="13">
        <v>395.68040000000002</v>
      </c>
      <c r="E18" s="13">
        <f>(+D18/$D$38*100)</f>
        <v>9.2130537492109621</v>
      </c>
      <c r="F18" s="13" t="s">
        <v>22</v>
      </c>
      <c r="G18" s="8">
        <v>7.3475999999999999</v>
      </c>
      <c r="H18" s="9"/>
    </row>
    <row r="19" spans="1:8" s="10" customFormat="1" ht="14.25" x14ac:dyDescent="0.3">
      <c r="A19" s="15" t="s">
        <v>23</v>
      </c>
      <c r="B19" s="16" t="s">
        <v>19</v>
      </c>
      <c r="C19" s="17">
        <v>100000</v>
      </c>
      <c r="D19" s="13">
        <v>100.09010000000001</v>
      </c>
      <c r="E19" s="13">
        <f>(+D19/$D$38*100)</f>
        <v>2.33050580990087</v>
      </c>
      <c r="F19" s="13" t="s">
        <v>24</v>
      </c>
      <c r="G19" s="8">
        <v>7.3471000000000002</v>
      </c>
      <c r="H19" s="9"/>
    </row>
    <row r="20" spans="1:8" s="10" customFormat="1" ht="14.25" x14ac:dyDescent="0.3">
      <c r="A20" s="15" t="s">
        <v>25</v>
      </c>
      <c r="B20" s="16" t="s">
        <v>19</v>
      </c>
      <c r="C20" s="17">
        <v>100000</v>
      </c>
      <c r="D20" s="13">
        <v>99.0976</v>
      </c>
      <c r="E20" s="13">
        <f>(+D20/$D$38*100)</f>
        <v>2.3073963613507473</v>
      </c>
      <c r="F20" s="13" t="s">
        <v>26</v>
      </c>
      <c r="G20" s="8">
        <v>7.3937999999999997</v>
      </c>
      <c r="H20" s="9"/>
    </row>
    <row r="21" spans="1:8" s="10" customFormat="1" ht="14.25" x14ac:dyDescent="0.3">
      <c r="A21" s="3" t="s">
        <v>27</v>
      </c>
      <c r="B21" s="4"/>
      <c r="C21" s="12"/>
      <c r="D21" s="6">
        <f>IF(ISERROR(SUM(D17:D20)),0,SUM(D17:D20))</f>
        <v>1316.6680999999999</v>
      </c>
      <c r="E21" s="6">
        <f>IF(ISERROR(SUM(E17:E20)),0,SUM(E17:E20))</f>
        <v>30.657404246385404</v>
      </c>
      <c r="F21" s="18"/>
      <c r="G21" s="8"/>
      <c r="H21" s="9"/>
    </row>
    <row r="22" spans="1:8" s="10" customFormat="1" ht="14.25" x14ac:dyDescent="0.3">
      <c r="A22" s="3"/>
      <c r="B22" s="4"/>
      <c r="C22" s="12"/>
      <c r="D22" s="6"/>
      <c r="E22" s="6"/>
      <c r="F22" s="6"/>
      <c r="G22" s="8"/>
      <c r="H22" s="9"/>
    </row>
    <row r="23" spans="1:8" s="10" customFormat="1" ht="14.25" x14ac:dyDescent="0.3">
      <c r="A23" s="3" t="s">
        <v>28</v>
      </c>
      <c r="B23" s="4"/>
      <c r="C23" s="12"/>
      <c r="D23" s="6"/>
      <c r="E23" s="6"/>
      <c r="F23" s="7"/>
      <c r="G23" s="8"/>
      <c r="H23" s="9"/>
    </row>
    <row r="24" spans="1:8" s="10" customFormat="1" ht="14.25" x14ac:dyDescent="0.3">
      <c r="A24" s="3" t="s">
        <v>29</v>
      </c>
      <c r="B24" s="16"/>
      <c r="C24" s="17"/>
      <c r="D24" s="13"/>
      <c r="E24" s="11"/>
      <c r="F24" s="19"/>
      <c r="G24" s="8"/>
      <c r="H24" s="9"/>
    </row>
    <row r="25" spans="1:8" s="10" customFormat="1" ht="14.25" x14ac:dyDescent="0.3">
      <c r="A25" s="15" t="s">
        <v>30</v>
      </c>
      <c r="B25" s="16" t="s">
        <v>19</v>
      </c>
      <c r="C25" s="17">
        <v>1000000</v>
      </c>
      <c r="D25" s="13">
        <v>977.50400000000002</v>
      </c>
      <c r="E25" s="13">
        <f>(+D25/$D$38*100)</f>
        <v>22.760280499283546</v>
      </c>
      <c r="F25" s="13" t="s">
        <v>31</v>
      </c>
      <c r="G25" s="8">
        <v>7</v>
      </c>
      <c r="H25" s="9"/>
    </row>
    <row r="26" spans="1:8" s="10" customFormat="1" ht="14.25" x14ac:dyDescent="0.3">
      <c r="A26" s="3" t="s">
        <v>27</v>
      </c>
      <c r="B26" s="20"/>
      <c r="C26" s="21"/>
      <c r="D26" s="6">
        <f>IF(ISERROR(SUM(D25:D25)),0,SUM(D25:D25))</f>
        <v>977.50400000000002</v>
      </c>
      <c r="E26" s="6">
        <f>IF(ISERROR(SUM(E25:E25)),0,SUM(E25:E25))</f>
        <v>22.760280499283546</v>
      </c>
      <c r="F26" s="22"/>
      <c r="G26" s="8"/>
      <c r="H26" s="9"/>
    </row>
    <row r="27" spans="1:8" s="10" customFormat="1" ht="14.25" x14ac:dyDescent="0.3">
      <c r="A27" s="15" t="s">
        <v>32</v>
      </c>
      <c r="B27" s="16"/>
      <c r="C27" s="17">
        <v>0</v>
      </c>
      <c r="D27" s="13">
        <v>1878.3100506999999</v>
      </c>
      <c r="E27" s="13">
        <f>(+D27/$D$38*100)</f>
        <v>43.734719876906382</v>
      </c>
      <c r="F27" s="13" t="s">
        <v>33</v>
      </c>
      <c r="G27" s="8">
        <v>6.7571000000000003</v>
      </c>
      <c r="H27" s="9"/>
    </row>
    <row r="28" spans="1:8" s="10" customFormat="1" ht="14.25" x14ac:dyDescent="0.3">
      <c r="A28" s="3" t="s">
        <v>27</v>
      </c>
      <c r="B28" s="4"/>
      <c r="C28" s="12"/>
      <c r="D28" s="6">
        <f>IF(ISERROR(SUM(D27:D27)),0,SUM(D27:D27))</f>
        <v>1878.3100506999999</v>
      </c>
      <c r="E28" s="6">
        <f>IF(ISERROR(SUM(E27:E27)),0,SUM(E27:E27))</f>
        <v>43.734719876906382</v>
      </c>
      <c r="F28" s="13"/>
      <c r="G28" s="8"/>
      <c r="H28" s="9"/>
    </row>
    <row r="29" spans="1:8" s="10" customFormat="1" ht="14.25" x14ac:dyDescent="0.3">
      <c r="A29" s="3"/>
      <c r="B29" s="4"/>
      <c r="C29" s="12"/>
      <c r="D29" s="6"/>
      <c r="E29" s="6"/>
      <c r="F29" s="13"/>
      <c r="G29" s="8"/>
      <c r="H29" s="9"/>
    </row>
    <row r="30" spans="1:8" s="10" customFormat="1" ht="14.25" x14ac:dyDescent="0.3">
      <c r="A30" s="66" t="s">
        <v>70</v>
      </c>
      <c r="B30" s="4"/>
      <c r="C30" s="12"/>
      <c r="D30" s="6"/>
      <c r="E30" s="6"/>
      <c r="F30" s="13"/>
      <c r="G30" s="8"/>
      <c r="H30" s="9"/>
    </row>
    <row r="31" spans="1:8" s="10" customFormat="1" ht="14.25" x14ac:dyDescent="0.3">
      <c r="A31" s="15" t="s">
        <v>34</v>
      </c>
      <c r="B31" s="16"/>
      <c r="C31" s="17">
        <v>110.895</v>
      </c>
      <c r="D31" s="13">
        <v>11.095233493290001</v>
      </c>
      <c r="E31" s="13">
        <f>(+D31/$D$38*100)</f>
        <v>0.25834229477559789</v>
      </c>
      <c r="F31" s="13" t="s">
        <v>35</v>
      </c>
      <c r="G31" s="8">
        <v>7.11</v>
      </c>
      <c r="H31" s="9"/>
    </row>
    <row r="32" spans="1:8" s="10" customFormat="1" ht="14.25" x14ac:dyDescent="0.3">
      <c r="A32" s="3" t="s">
        <v>27</v>
      </c>
      <c r="B32" s="4"/>
      <c r="C32" s="12"/>
      <c r="D32" s="6">
        <f>SUM(D31)</f>
        <v>11.095233493290001</v>
      </c>
      <c r="E32" s="6">
        <f>SUM(E31)</f>
        <v>0.25834229477559789</v>
      </c>
      <c r="F32" s="18"/>
      <c r="G32" s="8"/>
      <c r="H32" s="9"/>
    </row>
    <row r="33" spans="1:8" s="10" customFormat="1" ht="14.25" x14ac:dyDescent="0.3">
      <c r="A33" s="3"/>
      <c r="B33" s="4"/>
      <c r="C33" s="12"/>
      <c r="D33" s="6"/>
      <c r="E33" s="6"/>
      <c r="F33" s="7"/>
      <c r="G33" s="8"/>
      <c r="H33" s="9"/>
    </row>
    <row r="34" spans="1:8" s="10" customFormat="1" ht="14.25" x14ac:dyDescent="0.3">
      <c r="A34" s="3" t="s">
        <v>36</v>
      </c>
      <c r="B34" s="4"/>
      <c r="C34" s="12" t="s">
        <v>37</v>
      </c>
      <c r="D34" s="6">
        <f>+IF(ISERROR(#REF!),0,#REF!)+IF(ISERROR(D28),0,D28)+IF(ISERROR(#REF!),0,#REF!)+IF(ISERROR(#REF!),0,#REF!)+IF(ISERROR(D21),0,D21)+IF(ISERROR(D26),0,D26)+IF(ISERROR(D32),0,D32)+IF(ISERROR(#REF!),0,#REF!)+IF(ISERROR(#REF!),0,#REF!)</f>
        <v>4183.5773841932896</v>
      </c>
      <c r="E34" s="6">
        <f>+IF(ISERROR(#REF!),0,#REF!)+IF(ISERROR(E28),0,E28)+IF(ISERROR(#REF!),0,#REF!)+IF(ISERROR(#REF!),0,#REF!)+IF(ISERROR(E21),0,E21)+IF(ISERROR(E26),0,E26)+IF(ISERROR(E32),0,E32)+IF(ISERROR(#REF!),0,#REF!)+IF(ISERROR(#REF!),0,#REF!)</f>
        <v>97.41074691735092</v>
      </c>
      <c r="F34" s="6"/>
      <c r="G34" s="8"/>
      <c r="H34" s="9"/>
    </row>
    <row r="35" spans="1:8" s="10" customFormat="1" ht="14.25" x14ac:dyDescent="0.3">
      <c r="A35" s="3"/>
      <c r="B35" s="4"/>
      <c r="C35" s="12"/>
      <c r="D35" s="6"/>
      <c r="E35" s="6"/>
      <c r="F35" s="23"/>
      <c r="G35" s="24"/>
      <c r="H35" s="25"/>
    </row>
    <row r="36" spans="1:8" s="10" customFormat="1" ht="14.25" x14ac:dyDescent="0.3">
      <c r="A36" s="3" t="s">
        <v>38</v>
      </c>
      <c r="B36" s="4"/>
      <c r="C36" s="12"/>
      <c r="D36" s="6">
        <f>+D38-D34</f>
        <v>111.2027264067101</v>
      </c>
      <c r="E36" s="6">
        <f>D36/$D$38*100</f>
        <v>2.5892530826490812</v>
      </c>
      <c r="F36" s="23"/>
      <c r="G36" s="24"/>
      <c r="H36" s="25"/>
    </row>
    <row r="37" spans="1:8" s="10" customFormat="1" ht="14.25" x14ac:dyDescent="0.3">
      <c r="A37" s="3"/>
      <c r="B37" s="4"/>
      <c r="C37" s="12"/>
      <c r="D37" s="11"/>
      <c r="E37" s="11"/>
      <c r="F37" s="23"/>
      <c r="G37" s="24"/>
      <c r="H37" s="25"/>
    </row>
    <row r="38" spans="1:8" s="10" customFormat="1" ht="14.25" x14ac:dyDescent="0.3">
      <c r="A38" s="3" t="s">
        <v>39</v>
      </c>
      <c r="B38" s="4"/>
      <c r="C38" s="12"/>
      <c r="D38" s="6">
        <v>4294.7801105999997</v>
      </c>
      <c r="E38" s="6">
        <f>+E34+E36</f>
        <v>100</v>
      </c>
      <c r="F38" s="23"/>
      <c r="G38" s="24"/>
      <c r="H38" s="25"/>
    </row>
    <row r="39" spans="1:8" s="10" customFormat="1" ht="14.25" x14ac:dyDescent="0.3">
      <c r="A39" s="26"/>
      <c r="B39" s="27"/>
      <c r="C39" s="28"/>
      <c r="D39" s="29"/>
      <c r="E39" s="29"/>
      <c r="F39" s="23"/>
      <c r="G39" s="24"/>
      <c r="H39" s="25"/>
    </row>
    <row r="40" spans="1:8" s="10" customFormat="1" ht="13.5" x14ac:dyDescent="0.2">
      <c r="A40" s="85" t="s">
        <v>40</v>
      </c>
      <c r="B40" s="85"/>
      <c r="C40" s="85"/>
      <c r="D40" s="85"/>
      <c r="E40" s="85"/>
      <c r="F40" s="85"/>
      <c r="G40" s="85"/>
      <c r="H40" s="85"/>
    </row>
    <row r="41" spans="1:8" s="10" customFormat="1" ht="27" customHeight="1" x14ac:dyDescent="0.2">
      <c r="A41" s="85" t="s">
        <v>41</v>
      </c>
      <c r="B41" s="85"/>
      <c r="C41" s="85"/>
      <c r="D41" s="85"/>
      <c r="E41" s="85"/>
      <c r="F41" s="85"/>
      <c r="G41" s="85"/>
      <c r="H41" s="85"/>
    </row>
    <row r="42" spans="1:8" s="10" customFormat="1" ht="13.5" x14ac:dyDescent="0.2">
      <c r="A42" s="81" t="s">
        <v>42</v>
      </c>
      <c r="B42" s="82"/>
      <c r="C42" s="82"/>
      <c r="D42" s="82"/>
      <c r="E42" s="82"/>
      <c r="F42" s="82"/>
      <c r="G42" s="82"/>
      <c r="H42" s="82"/>
    </row>
    <row r="43" spans="1:8" s="10" customFormat="1" ht="66.75" customHeight="1" x14ac:dyDescent="0.2">
      <c r="A43" s="72" t="s">
        <v>43</v>
      </c>
      <c r="B43" s="72"/>
      <c r="C43" s="72"/>
      <c r="D43" s="72"/>
      <c r="E43" s="72"/>
      <c r="F43" s="72"/>
      <c r="G43" s="72"/>
      <c r="H43" s="72"/>
    </row>
    <row r="44" spans="1:8" s="10" customFormat="1" ht="14.25" x14ac:dyDescent="0.3">
      <c r="A44" s="30"/>
      <c r="B44" s="31"/>
      <c r="C44" s="32"/>
      <c r="D44" s="33"/>
      <c r="E44" s="34"/>
      <c r="F44" s="25"/>
      <c r="G44" s="35"/>
      <c r="H44" s="35"/>
    </row>
    <row r="45" spans="1:8" s="10" customFormat="1" ht="14.25" x14ac:dyDescent="0.3">
      <c r="A45" s="36" t="s">
        <v>44</v>
      </c>
      <c r="B45" s="37"/>
      <c r="C45" s="37"/>
      <c r="D45" s="37"/>
      <c r="E45" s="25"/>
      <c r="F45" s="25"/>
      <c r="G45" s="35"/>
      <c r="H45" s="35"/>
    </row>
    <row r="46" spans="1:8" ht="14.25" x14ac:dyDescent="0.3">
      <c r="A46" s="38" t="s">
        <v>45</v>
      </c>
      <c r="B46" s="37"/>
      <c r="C46" s="37"/>
      <c r="D46" s="37"/>
      <c r="E46" s="25"/>
      <c r="F46" s="25"/>
      <c r="G46" s="35"/>
      <c r="H46" s="35"/>
    </row>
    <row r="47" spans="1:8" ht="14.25" x14ac:dyDescent="0.3">
      <c r="A47" s="38" t="s">
        <v>46</v>
      </c>
      <c r="B47" s="37"/>
      <c r="C47" s="37"/>
      <c r="D47" s="37"/>
      <c r="E47" s="25"/>
      <c r="F47" s="25"/>
      <c r="G47" s="35"/>
      <c r="H47" s="35"/>
    </row>
    <row r="48" spans="1:8" ht="14.25" x14ac:dyDescent="0.3">
      <c r="A48" s="38" t="s">
        <v>47</v>
      </c>
      <c r="B48" s="37"/>
      <c r="C48" s="37"/>
      <c r="D48" s="37"/>
      <c r="E48" s="25"/>
      <c r="F48" s="25"/>
      <c r="G48" s="35"/>
      <c r="H48" s="35"/>
    </row>
    <row r="49" spans="1:8" ht="14.25" x14ac:dyDescent="0.3">
      <c r="A49" s="25"/>
      <c r="B49" s="25"/>
      <c r="C49" s="25"/>
      <c r="D49" s="25"/>
      <c r="E49" s="25"/>
      <c r="F49" s="25"/>
      <c r="G49" s="35"/>
      <c r="H49" s="35"/>
    </row>
    <row r="50" spans="1:8" ht="14.25" x14ac:dyDescent="0.3">
      <c r="A50" s="39" t="s">
        <v>48</v>
      </c>
      <c r="B50" s="73" t="s">
        <v>49</v>
      </c>
      <c r="C50" s="73"/>
      <c r="D50" s="73"/>
      <c r="E50" s="25"/>
      <c r="F50" s="25"/>
      <c r="G50" s="35"/>
      <c r="H50" s="35"/>
    </row>
    <row r="51" spans="1:8" ht="14.25" x14ac:dyDescent="0.3">
      <c r="A51" s="40"/>
      <c r="B51" s="37"/>
      <c r="C51" s="37"/>
      <c r="D51" s="41"/>
      <c r="E51" s="41"/>
      <c r="F51" s="41"/>
      <c r="G51" s="35"/>
      <c r="H51" s="35"/>
    </row>
    <row r="52" spans="1:8" ht="14.25" x14ac:dyDescent="0.3">
      <c r="A52" s="40"/>
      <c r="B52" s="37"/>
      <c r="C52" s="37"/>
      <c r="D52" s="41"/>
      <c r="E52" s="41"/>
      <c r="F52" s="41"/>
      <c r="G52" s="35"/>
      <c r="H52" s="35"/>
    </row>
    <row r="53" spans="1:8" ht="14.25" x14ac:dyDescent="0.3">
      <c r="A53" s="40"/>
      <c r="B53" s="37"/>
      <c r="C53" s="37"/>
      <c r="D53" s="41"/>
      <c r="E53" s="41"/>
      <c r="F53" s="41"/>
      <c r="G53" s="35"/>
      <c r="H53" s="35"/>
    </row>
    <row r="54" spans="1:8" ht="14.25" x14ac:dyDescent="0.3">
      <c r="A54" s="40"/>
      <c r="B54" s="37"/>
      <c r="C54" s="37"/>
      <c r="D54" s="41"/>
      <c r="E54" s="41"/>
      <c r="F54" s="41"/>
      <c r="G54" s="35"/>
      <c r="H54" s="35"/>
    </row>
    <row r="55" spans="1:8" ht="14.25" x14ac:dyDescent="0.3">
      <c r="A55" s="40"/>
      <c r="B55" s="37"/>
      <c r="C55" s="37"/>
      <c r="D55" s="41"/>
      <c r="E55" s="41"/>
      <c r="F55" s="41"/>
      <c r="G55" s="35"/>
      <c r="H55" s="35"/>
    </row>
    <row r="56" spans="1:8" ht="14.25" x14ac:dyDescent="0.3">
      <c r="A56" s="40"/>
      <c r="B56" s="37"/>
      <c r="C56" s="37"/>
      <c r="D56" s="41"/>
      <c r="E56" s="41"/>
      <c r="F56" s="41"/>
      <c r="G56" s="35"/>
      <c r="H56" s="35"/>
    </row>
    <row r="57" spans="1:8" ht="14.25" x14ac:dyDescent="0.3">
      <c r="A57" s="40"/>
      <c r="B57" s="37"/>
      <c r="C57" s="37"/>
      <c r="D57" s="41"/>
      <c r="E57" s="41"/>
      <c r="F57" s="41"/>
      <c r="G57" s="35"/>
      <c r="H57" s="35"/>
    </row>
    <row r="58" spans="1:8" ht="15" thickBot="1" x14ac:dyDescent="0.35">
      <c r="A58" s="40"/>
      <c r="B58" s="37"/>
      <c r="C58" s="37"/>
      <c r="D58" s="41"/>
      <c r="E58" s="41"/>
      <c r="F58" s="41"/>
      <c r="G58" s="35"/>
      <c r="H58" s="35"/>
    </row>
    <row r="59" spans="1:8" ht="15" thickBot="1" x14ac:dyDescent="0.35">
      <c r="A59" s="74" t="s">
        <v>50</v>
      </c>
      <c r="B59" s="75"/>
      <c r="C59" s="75"/>
      <c r="D59" s="76"/>
      <c r="E59" s="25"/>
      <c r="F59" s="25"/>
      <c r="G59" s="25"/>
      <c r="H59" s="25"/>
    </row>
    <row r="60" spans="1:8" ht="15" thickBot="1" x14ac:dyDescent="0.35">
      <c r="A60" s="42" t="s">
        <v>51</v>
      </c>
      <c r="B60" s="77" t="s">
        <v>52</v>
      </c>
      <c r="C60" s="79" t="s">
        <v>53</v>
      </c>
      <c r="D60" s="77" t="s">
        <v>54</v>
      </c>
      <c r="E60" s="25"/>
      <c r="F60" s="25"/>
      <c r="G60" s="25"/>
      <c r="H60" s="25"/>
    </row>
    <row r="61" spans="1:8" ht="15" thickBot="1" x14ac:dyDescent="0.35">
      <c r="A61" s="42" t="s">
        <v>55</v>
      </c>
      <c r="B61" s="78"/>
      <c r="C61" s="80"/>
      <c r="D61" s="78"/>
      <c r="E61" s="25"/>
      <c r="F61" s="25"/>
      <c r="G61" s="25"/>
      <c r="H61" s="25"/>
    </row>
    <row r="62" spans="1:8" ht="15" thickBot="1" x14ac:dyDescent="0.35">
      <c r="A62" s="43" t="s">
        <v>56</v>
      </c>
      <c r="B62" s="44"/>
      <c r="C62" s="44"/>
      <c r="D62" s="44"/>
      <c r="E62" s="25"/>
      <c r="F62" s="25"/>
      <c r="G62" s="25"/>
      <c r="H62" s="25"/>
    </row>
    <row r="63" spans="1:8" ht="15" thickBot="1" x14ac:dyDescent="0.35">
      <c r="A63" s="43" t="s">
        <v>57</v>
      </c>
      <c r="B63" s="44"/>
      <c r="C63" s="44"/>
      <c r="D63" s="44"/>
      <c r="E63" s="25"/>
      <c r="F63" s="25"/>
      <c r="G63" s="25"/>
      <c r="H63" s="25"/>
    </row>
    <row r="64" spans="1:8" ht="15" thickBot="1" x14ac:dyDescent="0.35">
      <c r="A64" s="43" t="s">
        <v>58</v>
      </c>
      <c r="B64" s="44"/>
      <c r="C64" s="45" t="s">
        <v>59</v>
      </c>
      <c r="D64" s="44"/>
      <c r="E64" s="25"/>
      <c r="F64" s="25"/>
      <c r="G64" s="25"/>
      <c r="H64" s="25"/>
    </row>
    <row r="65" spans="1:8" ht="14.25" x14ac:dyDescent="0.3">
      <c r="A65" s="67"/>
      <c r="B65" s="68"/>
      <c r="C65" s="69"/>
      <c r="D65" s="68"/>
      <c r="E65" s="25"/>
      <c r="F65" s="25"/>
      <c r="G65" s="25"/>
      <c r="H65" s="25"/>
    </row>
    <row r="66" spans="1:8" ht="14.25" x14ac:dyDescent="0.3">
      <c r="A66" s="46"/>
      <c r="B66" s="47"/>
      <c r="C66" s="48"/>
      <c r="D66" s="25"/>
      <c r="E66" s="25"/>
      <c r="F66" s="25"/>
      <c r="G66" s="25"/>
      <c r="H66" s="25"/>
    </row>
    <row r="67" spans="1:8" ht="14.25" x14ac:dyDescent="0.3">
      <c r="A67" s="70" t="s">
        <v>60</v>
      </c>
      <c r="B67" s="71"/>
      <c r="C67" s="48"/>
      <c r="D67" s="25"/>
      <c r="E67" s="25"/>
      <c r="F67" s="25"/>
      <c r="G67" s="25"/>
      <c r="H67" s="25"/>
    </row>
    <row r="68" spans="1:8" ht="27" x14ac:dyDescent="0.3">
      <c r="A68" s="49" t="s">
        <v>61</v>
      </c>
      <c r="B68" s="50" t="s">
        <v>62</v>
      </c>
      <c r="C68" s="48"/>
      <c r="D68" s="25"/>
      <c r="E68" s="25"/>
      <c r="F68" s="25"/>
      <c r="G68" s="25"/>
      <c r="H68" s="25"/>
    </row>
    <row r="69" spans="1:8" ht="14.25" x14ac:dyDescent="0.3">
      <c r="A69" s="49" t="s">
        <v>63</v>
      </c>
      <c r="B69" s="51"/>
      <c r="C69" s="48"/>
      <c r="D69" s="25"/>
      <c r="E69" s="25"/>
      <c r="F69" s="25"/>
      <c r="G69" s="25"/>
      <c r="H69" s="25"/>
    </row>
    <row r="70" spans="1:8" ht="14.25" x14ac:dyDescent="0.3">
      <c r="A70" s="49"/>
      <c r="B70" s="51"/>
      <c r="C70" s="48"/>
      <c r="D70" s="25"/>
      <c r="E70" s="25"/>
      <c r="F70" s="25"/>
      <c r="G70" s="25"/>
      <c r="H70" s="25"/>
    </row>
    <row r="71" spans="1:8" ht="14.25" x14ac:dyDescent="0.3">
      <c r="A71" s="49" t="s">
        <v>64</v>
      </c>
      <c r="B71" s="52">
        <v>7.0400000000000004E-2</v>
      </c>
      <c r="C71" s="48"/>
      <c r="D71" s="25"/>
      <c r="E71" s="25"/>
      <c r="F71" s="25"/>
      <c r="G71" s="25"/>
      <c r="H71" s="25"/>
    </row>
    <row r="72" spans="1:8" ht="14.25" x14ac:dyDescent="0.3">
      <c r="A72" s="49" t="s">
        <v>37</v>
      </c>
      <c r="B72" s="53"/>
      <c r="C72" s="48"/>
      <c r="D72" s="25"/>
      <c r="E72" s="25"/>
      <c r="F72" s="25"/>
      <c r="G72" s="25"/>
      <c r="H72" s="25"/>
    </row>
    <row r="73" spans="1:8" ht="14.25" x14ac:dyDescent="0.3">
      <c r="A73" s="49" t="s">
        <v>65</v>
      </c>
      <c r="B73" s="54">
        <v>1.0615000000000001</v>
      </c>
      <c r="C73" s="48"/>
      <c r="D73" s="25"/>
      <c r="E73" s="25"/>
      <c r="F73" s="25"/>
      <c r="G73" s="25"/>
      <c r="H73" s="25"/>
    </row>
    <row r="74" spans="1:8" ht="14.25" x14ac:dyDescent="0.3">
      <c r="A74" s="49" t="s">
        <v>66</v>
      </c>
      <c r="B74" s="55">
        <v>1.2056</v>
      </c>
      <c r="C74" s="48"/>
      <c r="D74" s="25"/>
      <c r="E74" s="25"/>
      <c r="F74" s="25"/>
      <c r="G74" s="25"/>
      <c r="H74" s="25"/>
    </row>
    <row r="75" spans="1:8" ht="14.25" x14ac:dyDescent="0.3">
      <c r="A75" s="49" t="s">
        <v>37</v>
      </c>
      <c r="B75" s="20"/>
      <c r="C75" s="48"/>
      <c r="D75" s="25"/>
      <c r="E75" s="25"/>
      <c r="F75" s="25"/>
      <c r="G75" s="25"/>
      <c r="H75" s="25"/>
    </row>
    <row r="76" spans="1:8" ht="14.25" x14ac:dyDescent="0.3">
      <c r="A76" s="49" t="s">
        <v>67</v>
      </c>
      <c r="B76" s="56" t="s">
        <v>68</v>
      </c>
      <c r="C76" s="48"/>
      <c r="D76" s="25"/>
      <c r="E76" s="25"/>
      <c r="F76" s="25"/>
      <c r="G76" s="25"/>
      <c r="H76" s="25"/>
    </row>
    <row r="77" spans="1:8" ht="14.25" x14ac:dyDescent="0.3">
      <c r="A77" s="57" t="s">
        <v>69</v>
      </c>
      <c r="B77" s="58"/>
      <c r="C77" s="48"/>
      <c r="D77" s="25"/>
      <c r="E77" s="25"/>
      <c r="F77" s="25"/>
      <c r="G77" s="25"/>
      <c r="H77" s="25"/>
    </row>
    <row r="78" spans="1:8" ht="14.25" x14ac:dyDescent="0.3">
      <c r="A78" s="46"/>
      <c r="B78" s="47"/>
      <c r="C78" s="48"/>
      <c r="D78" s="25"/>
      <c r="E78" s="25"/>
      <c r="F78" s="25"/>
      <c r="G78" s="25"/>
      <c r="H78" s="25"/>
    </row>
    <row r="79" spans="1:8" ht="14.25" x14ac:dyDescent="0.3">
      <c r="A79" s="46"/>
      <c r="B79" s="47"/>
      <c r="C79" s="48"/>
      <c r="D79" s="25"/>
      <c r="E79" s="25"/>
      <c r="F79" s="25"/>
      <c r="G79" s="25"/>
      <c r="H79" s="25"/>
    </row>
    <row r="80" spans="1:8" ht="14.25" x14ac:dyDescent="0.3">
      <c r="A80" s="46"/>
      <c r="B80" s="47"/>
      <c r="C80" s="48"/>
      <c r="D80" s="25"/>
      <c r="E80" s="25"/>
      <c r="F80" s="25"/>
      <c r="G80" s="25"/>
      <c r="H80" s="25"/>
    </row>
    <row r="81" spans="1:8" ht="14.25" x14ac:dyDescent="0.3">
      <c r="A81" s="46"/>
      <c r="B81" s="47"/>
      <c r="C81" s="48"/>
      <c r="D81" s="25"/>
      <c r="E81" s="25"/>
      <c r="F81" s="25"/>
      <c r="G81" s="25"/>
      <c r="H81" s="25"/>
    </row>
    <row r="82" spans="1:8" ht="14.25" x14ac:dyDescent="0.3">
      <c r="A82" s="46"/>
      <c r="B82" s="47"/>
      <c r="C82" s="48"/>
      <c r="D82" s="25"/>
      <c r="E82" s="25"/>
      <c r="F82" s="25"/>
      <c r="G82" s="25"/>
      <c r="H82" s="25"/>
    </row>
    <row r="83" spans="1:8" ht="14.25" x14ac:dyDescent="0.3">
      <c r="A83" s="46"/>
      <c r="B83" s="47"/>
      <c r="C83" s="48"/>
      <c r="D83" s="25"/>
      <c r="E83" s="25"/>
      <c r="F83" s="25"/>
      <c r="G83" s="25"/>
      <c r="H83" s="25"/>
    </row>
    <row r="84" spans="1:8" ht="14.25" x14ac:dyDescent="0.3">
      <c r="A84" s="46"/>
      <c r="B84" s="47"/>
      <c r="C84" s="48"/>
      <c r="D84" s="25"/>
      <c r="E84" s="25"/>
      <c r="F84" s="25"/>
      <c r="G84" s="25"/>
      <c r="H84" s="25"/>
    </row>
    <row r="85" spans="1:8" ht="14.25" x14ac:dyDescent="0.3">
      <c r="A85" s="46"/>
      <c r="B85" s="47"/>
      <c r="C85" s="48"/>
      <c r="D85" s="25"/>
      <c r="E85" s="25"/>
      <c r="F85" s="25"/>
      <c r="G85" s="25"/>
      <c r="H85" s="25"/>
    </row>
    <row r="86" spans="1:8" ht="14.25" x14ac:dyDescent="0.3">
      <c r="A86" s="46"/>
      <c r="B86" s="47"/>
      <c r="C86" s="48"/>
      <c r="D86" s="25"/>
      <c r="E86" s="25"/>
      <c r="F86" s="25"/>
      <c r="G86" s="25"/>
      <c r="H86" s="25"/>
    </row>
    <row r="87" spans="1:8" ht="14.25" x14ac:dyDescent="0.3">
      <c r="A87" s="46"/>
      <c r="B87" s="47"/>
      <c r="C87" s="48"/>
      <c r="D87" s="25"/>
      <c r="E87" s="25"/>
      <c r="F87" s="25"/>
      <c r="G87" s="25"/>
      <c r="H87" s="25"/>
    </row>
    <row r="88" spans="1:8" ht="14.25" x14ac:dyDescent="0.3">
      <c r="A88" s="46"/>
      <c r="B88" s="47"/>
      <c r="C88" s="48"/>
      <c r="D88" s="25"/>
      <c r="E88" s="25"/>
      <c r="F88" s="25"/>
      <c r="G88" s="25"/>
      <c r="H88" s="25"/>
    </row>
    <row r="89" spans="1:8" ht="14.25" x14ac:dyDescent="0.3">
      <c r="A89" s="46"/>
      <c r="B89" s="47"/>
      <c r="C89" s="48"/>
      <c r="D89" s="25"/>
      <c r="E89" s="25"/>
      <c r="F89" s="25"/>
      <c r="G89" s="25"/>
      <c r="H89" s="25"/>
    </row>
    <row r="90" spans="1:8" ht="14.25" x14ac:dyDescent="0.3">
      <c r="A90" s="46"/>
      <c r="B90" s="47"/>
      <c r="C90" s="48"/>
      <c r="D90" s="25"/>
      <c r="E90" s="25"/>
      <c r="F90" s="25"/>
      <c r="G90" s="25"/>
      <c r="H90" s="25"/>
    </row>
    <row r="91" spans="1:8" ht="14.25" x14ac:dyDescent="0.3">
      <c r="A91" s="46"/>
      <c r="B91" s="47"/>
      <c r="C91" s="48"/>
      <c r="D91" s="25"/>
      <c r="E91" s="25"/>
      <c r="F91" s="25"/>
      <c r="G91" s="25"/>
      <c r="H91" s="25"/>
    </row>
    <row r="92" spans="1:8" ht="14.25" x14ac:dyDescent="0.3">
      <c r="A92" s="46"/>
      <c r="B92" s="47"/>
      <c r="C92" s="48"/>
      <c r="D92" s="25"/>
      <c r="E92" s="25"/>
      <c r="F92" s="25"/>
      <c r="G92" s="25"/>
      <c r="H92" s="25"/>
    </row>
    <row r="93" spans="1:8" ht="14.25" x14ac:dyDescent="0.3">
      <c r="A93" s="46"/>
      <c r="B93" s="47"/>
      <c r="C93" s="48"/>
      <c r="D93" s="25"/>
      <c r="E93" s="25"/>
      <c r="F93" s="25"/>
      <c r="G93" s="25"/>
      <c r="H93" s="25"/>
    </row>
    <row r="94" spans="1:8" ht="14.25" x14ac:dyDescent="0.3">
      <c r="A94" s="46"/>
      <c r="B94" s="47"/>
      <c r="C94" s="48"/>
      <c r="D94" s="25"/>
      <c r="E94" s="25"/>
      <c r="F94" s="25"/>
      <c r="G94" s="25"/>
      <c r="H94" s="25"/>
    </row>
    <row r="95" spans="1:8" ht="14.25" x14ac:dyDescent="0.3">
      <c r="A95" s="46"/>
      <c r="B95" s="47"/>
      <c r="C95" s="48"/>
      <c r="D95" s="25"/>
      <c r="E95" s="25"/>
      <c r="F95" s="25"/>
      <c r="G95" s="25"/>
      <c r="H95" s="25"/>
    </row>
    <row r="96" spans="1:8" ht="14.25" x14ac:dyDescent="0.3">
      <c r="A96" s="46"/>
      <c r="B96" s="47"/>
      <c r="C96" s="48"/>
      <c r="D96" s="25"/>
      <c r="E96" s="25"/>
      <c r="F96" s="25"/>
      <c r="G96" s="25"/>
      <c r="H96" s="25"/>
    </row>
    <row r="97" spans="1:8" ht="14.25" x14ac:dyDescent="0.3">
      <c r="A97" s="46"/>
      <c r="B97" s="47"/>
      <c r="C97" s="48"/>
      <c r="D97" s="25"/>
      <c r="E97" s="25"/>
      <c r="F97" s="25"/>
      <c r="G97" s="25"/>
      <c r="H97" s="25"/>
    </row>
    <row r="98" spans="1:8" ht="14.25" x14ac:dyDescent="0.3">
      <c r="A98" s="46"/>
      <c r="B98" s="47"/>
      <c r="C98" s="48"/>
      <c r="D98" s="25"/>
      <c r="E98" s="25"/>
      <c r="F98" s="25"/>
      <c r="G98" s="25"/>
      <c r="H98" s="25"/>
    </row>
    <row r="99" spans="1:8" ht="14.25" x14ac:dyDescent="0.3">
      <c r="A99" s="46"/>
      <c r="B99" s="47"/>
      <c r="C99" s="48"/>
      <c r="D99" s="25"/>
      <c r="E99" s="25"/>
      <c r="F99" s="25"/>
      <c r="G99" s="25"/>
      <c r="H99" s="25"/>
    </row>
    <row r="100" spans="1:8" ht="14.25" x14ac:dyDescent="0.3">
      <c r="A100" s="46"/>
      <c r="B100" s="47"/>
      <c r="C100" s="48"/>
      <c r="D100" s="25"/>
      <c r="E100" s="25"/>
      <c r="F100" s="25"/>
      <c r="G100" s="25"/>
      <c r="H100" s="25"/>
    </row>
    <row r="101" spans="1:8" ht="14.25" x14ac:dyDescent="0.3">
      <c r="A101" s="46"/>
      <c r="B101" s="47"/>
      <c r="C101" s="48"/>
      <c r="D101" s="25"/>
      <c r="E101" s="25"/>
      <c r="F101" s="25"/>
      <c r="G101" s="25"/>
      <c r="H101" s="25"/>
    </row>
    <row r="102" spans="1:8" ht="14.25" x14ac:dyDescent="0.3">
      <c r="A102" s="46"/>
      <c r="B102" s="47"/>
      <c r="C102" s="48"/>
      <c r="D102" s="25"/>
      <c r="E102" s="25"/>
      <c r="F102" s="25"/>
      <c r="G102" s="25"/>
      <c r="H102" s="25"/>
    </row>
    <row r="103" spans="1:8" ht="14.25" x14ac:dyDescent="0.3">
      <c r="A103" s="46"/>
      <c r="B103" s="47"/>
      <c r="C103" s="48"/>
      <c r="D103" s="25"/>
      <c r="E103" s="25"/>
      <c r="F103" s="25"/>
      <c r="G103" s="25"/>
      <c r="H103" s="25"/>
    </row>
    <row r="104" spans="1:8" ht="14.25" x14ac:dyDescent="0.3">
      <c r="A104" s="46"/>
      <c r="B104" s="47"/>
      <c r="C104" s="48"/>
      <c r="D104" s="25"/>
      <c r="E104" s="25"/>
      <c r="F104" s="25"/>
      <c r="G104" s="25"/>
      <c r="H104" s="25"/>
    </row>
    <row r="105" spans="1:8" ht="14.25" x14ac:dyDescent="0.3">
      <c r="A105" s="46"/>
      <c r="B105" s="47"/>
      <c r="C105" s="48"/>
      <c r="D105" s="25"/>
      <c r="E105" s="25"/>
      <c r="F105" s="25"/>
      <c r="G105" s="25"/>
      <c r="H105" s="25"/>
    </row>
    <row r="106" spans="1:8" ht="14.25" x14ac:dyDescent="0.3">
      <c r="A106" s="46"/>
      <c r="B106" s="47"/>
      <c r="C106" s="48"/>
      <c r="D106" s="25"/>
      <c r="E106" s="25"/>
      <c r="F106" s="25"/>
      <c r="G106" s="25"/>
      <c r="H106" s="25"/>
    </row>
    <row r="107" spans="1:8" ht="14.25" x14ac:dyDescent="0.3">
      <c r="A107" s="46"/>
      <c r="B107" s="47"/>
      <c r="C107" s="48"/>
      <c r="D107" s="25"/>
      <c r="E107" s="25"/>
      <c r="F107" s="25"/>
      <c r="G107" s="25"/>
      <c r="H107" s="25"/>
    </row>
    <row r="108" spans="1:8" ht="14.25" x14ac:dyDescent="0.3">
      <c r="A108" s="46"/>
      <c r="B108" s="47"/>
      <c r="C108" s="48"/>
      <c r="D108" s="25"/>
      <c r="E108" s="25"/>
      <c r="F108" s="25"/>
      <c r="G108" s="25"/>
      <c r="H108" s="25"/>
    </row>
    <row r="109" spans="1:8" ht="14.25" x14ac:dyDescent="0.3">
      <c r="A109" s="46"/>
      <c r="B109" s="47"/>
      <c r="C109" s="48"/>
      <c r="D109" s="25"/>
      <c r="E109" s="25"/>
      <c r="F109" s="25"/>
      <c r="G109" s="25"/>
      <c r="H109" s="25"/>
    </row>
    <row r="110" spans="1:8" ht="14.25" x14ac:dyDescent="0.3">
      <c r="A110" s="46"/>
      <c r="B110" s="47"/>
      <c r="C110" s="48"/>
      <c r="D110" s="25"/>
      <c r="E110" s="25"/>
      <c r="F110" s="25"/>
      <c r="G110" s="25"/>
      <c r="H110" s="25"/>
    </row>
    <row r="111" spans="1:8" ht="14.25" x14ac:dyDescent="0.3">
      <c r="A111" s="46"/>
      <c r="B111" s="47"/>
      <c r="C111" s="48"/>
      <c r="D111" s="25"/>
      <c r="E111" s="25"/>
      <c r="F111" s="25"/>
      <c r="G111" s="25"/>
      <c r="H111" s="25"/>
    </row>
    <row r="112" spans="1:8" ht="14.25" x14ac:dyDescent="0.3">
      <c r="A112" s="46"/>
      <c r="B112" s="47"/>
      <c r="C112" s="48"/>
      <c r="D112" s="25"/>
      <c r="E112" s="25"/>
      <c r="F112" s="25"/>
      <c r="G112" s="25"/>
      <c r="H112" s="25"/>
    </row>
    <row r="113" spans="1:8" ht="14.25" x14ac:dyDescent="0.3">
      <c r="A113" s="46"/>
      <c r="B113" s="47"/>
      <c r="C113" s="48"/>
      <c r="D113" s="25"/>
      <c r="E113" s="25"/>
      <c r="F113" s="25"/>
      <c r="G113" s="25"/>
      <c r="H113" s="25"/>
    </row>
    <row r="114" spans="1:8" ht="14.25" x14ac:dyDescent="0.3">
      <c r="A114" s="46"/>
      <c r="B114" s="47"/>
      <c r="C114" s="48"/>
      <c r="D114" s="25"/>
      <c r="E114" s="25"/>
      <c r="F114" s="25"/>
      <c r="G114" s="25"/>
      <c r="H114" s="25"/>
    </row>
    <row r="115" spans="1:8" ht="14.25" x14ac:dyDescent="0.3">
      <c r="A115" s="46"/>
      <c r="B115" s="47"/>
      <c r="C115" s="48"/>
      <c r="D115" s="25"/>
      <c r="E115" s="25"/>
      <c r="F115" s="25"/>
      <c r="G115" s="25"/>
      <c r="H115" s="25"/>
    </row>
    <row r="116" spans="1:8" ht="14.25" x14ac:dyDescent="0.3">
      <c r="A116" s="46"/>
      <c r="B116" s="47"/>
      <c r="C116" s="48"/>
      <c r="D116" s="25"/>
      <c r="E116" s="25"/>
      <c r="F116" s="25"/>
      <c r="G116" s="25"/>
      <c r="H116" s="25"/>
    </row>
    <row r="117" spans="1:8" ht="14.25" x14ac:dyDescent="0.3">
      <c r="A117" s="46"/>
      <c r="B117" s="47"/>
      <c r="C117" s="48"/>
      <c r="D117" s="25"/>
      <c r="E117" s="25"/>
      <c r="F117" s="25"/>
      <c r="G117" s="25"/>
      <c r="H117" s="25"/>
    </row>
    <row r="118" spans="1:8" ht="14.25" x14ac:dyDescent="0.3">
      <c r="A118" s="46"/>
      <c r="B118" s="47"/>
      <c r="C118" s="48"/>
      <c r="D118" s="25"/>
      <c r="E118" s="25"/>
      <c r="F118" s="25"/>
      <c r="G118" s="25"/>
      <c r="H118" s="25"/>
    </row>
  </sheetData>
  <mergeCells count="13">
    <mergeCell ref="A42:H42"/>
    <mergeCell ref="A1:H1"/>
    <mergeCell ref="A2:H2"/>
    <mergeCell ref="A3:H3"/>
    <mergeCell ref="A40:H40"/>
    <mergeCell ref="A41:H41"/>
    <mergeCell ref="A67:B67"/>
    <mergeCell ref="A43:H43"/>
    <mergeCell ref="B50:D50"/>
    <mergeCell ref="A59:D59"/>
    <mergeCell ref="B60:B61"/>
    <mergeCell ref="C60:C61"/>
    <mergeCell ref="D60:D61"/>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Dynamic Bond Fund</vt:lpstr>
      <vt:lpstr>'JM Dynamic Bond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2023-11-02T13:48:33Z</dcterms:created>
  <dcterms:modified xsi:type="dcterms:W3CDTF">2023-11-03T11:41:52Z</dcterms:modified>
</cp:coreProperties>
</file>