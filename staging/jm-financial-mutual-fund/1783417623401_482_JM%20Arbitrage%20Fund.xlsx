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3\Monthly portfolio\Monthly Sent\"/>
    </mc:Choice>
  </mc:AlternateContent>
  <bookViews>
    <workbookView xWindow="0" yWindow="0" windowWidth="20490" windowHeight="7770"/>
  </bookViews>
  <sheets>
    <sheet name="JM Arbitrage Fund" sheetId="1" r:id="rId1"/>
  </sheets>
  <externalReferences>
    <externalReference r:id="rId2"/>
  </externalReferences>
  <definedNames>
    <definedName name="_xlnm._FilterDatabase" localSheetId="0" hidden="1">'JM Arbitrage Fund'!$A$1:$H$158</definedName>
    <definedName name="AAAAA">#REF!</definedName>
    <definedName name="Afs">#REF!</definedName>
    <definedName name="_xlnm.Database">#REF!</definedName>
    <definedName name="EBLDB">#REF!</definedName>
    <definedName name="fl">#REF!</definedName>
    <definedName name="_xlnm.Print_Area" localSheetId="0">'JM Arbitrage Fund'!$A$1:$E$73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92" i="1" l="1"/>
  <c r="E92" i="1" s="1"/>
  <c r="D87" i="1"/>
  <c r="E86" i="1"/>
  <c r="E87" i="1" s="1"/>
  <c r="D83" i="1"/>
  <c r="E82" i="1"/>
  <c r="E83" i="1" s="1"/>
  <c r="D81" i="1"/>
  <c r="E80" i="1"/>
  <c r="E79" i="1"/>
  <c r="E78" i="1"/>
  <c r="E77" i="1"/>
  <c r="E76" i="1"/>
  <c r="E75" i="1"/>
  <c r="E81" i="1" s="1"/>
  <c r="F65" i="1"/>
  <c r="D61" i="1"/>
  <c r="D65" i="1" s="1"/>
  <c r="E60" i="1"/>
  <c r="E61" i="1" s="1"/>
  <c r="E65" i="1" s="1"/>
  <c r="E59" i="1"/>
  <c r="D51" i="1"/>
  <c r="D55" i="1" s="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1" i="1" l="1"/>
  <c r="E55" i="1" s="1"/>
  <c r="D89" i="1"/>
  <c r="D94" i="1" s="1"/>
  <c r="E94" i="1" s="1"/>
  <c r="E89" i="1"/>
  <c r="E96" i="1" l="1"/>
</calcChain>
</file>

<file path=xl/sharedStrings.xml><?xml version="1.0" encoding="utf-8"?>
<sst xmlns="http://schemas.openxmlformats.org/spreadsheetml/2006/main" count="347" uniqueCount="243">
  <si>
    <t>JM Financial Mutual Fund</t>
  </si>
  <si>
    <t>JM Arbitrage Fund (An open ended scheme investing in arbitrage opportunities)</t>
  </si>
  <si>
    <t>Monthly Portfolio Statement for the period ended 31.10.2023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</si>
  <si>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</si>
  <si>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</si>
  <si>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</si>
  <si>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</si>
  <si>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</si>
  <si>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</si>
  <si>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</si>
  <si>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</si>
  <si>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</si>
  <si>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</si>
  <si>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</si>
  <si>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</si>
  <si>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</si>
  <si>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Vodafone Idea Ltd.</t>
  </si>
  <si>
    <t>Telecom - Services</t>
  </si>
  <si>
    <t>INE669E01016</t>
  </si>
  <si>
    <t>Reliance Industries Ltd.</t>
  </si>
  <si>
    <t>Petroleum Products</t>
  </si>
  <si>
    <t>INE002A01018</t>
  </si>
  <si>
    <t>LIC Housing Finance Ltd.</t>
  </si>
  <si>
    <t>Finance</t>
  </si>
  <si>
    <t>INE115A01026</t>
  </si>
  <si>
    <t>Bandhan Bank Ltd.</t>
  </si>
  <si>
    <t>INE545U01014</t>
  </si>
  <si>
    <t>Bank of Baroda</t>
  </si>
  <si>
    <t>INE028A01039</t>
  </si>
  <si>
    <t>The Indian Hotels Company Ltd.</t>
  </si>
  <si>
    <t>Leisure Services</t>
  </si>
  <si>
    <t>INE053A01029</t>
  </si>
  <si>
    <t>United Spirits Ltd.</t>
  </si>
  <si>
    <t>Beverages</t>
  </si>
  <si>
    <t>INE854D01024</t>
  </si>
  <si>
    <t>Zee Entertainment Enterprises Ltd.</t>
  </si>
  <si>
    <t>Entertainment</t>
  </si>
  <si>
    <t>INE256A01028</t>
  </si>
  <si>
    <t>Granules India Ltd.</t>
  </si>
  <si>
    <t>Pharmaceuticals &amp; Biotechnology</t>
  </si>
  <si>
    <t>INE101D01020</t>
  </si>
  <si>
    <t>Tata Power Company Ltd.</t>
  </si>
  <si>
    <t>Power</t>
  </si>
  <si>
    <t>INE245A01021</t>
  </si>
  <si>
    <t>NMDC Ltd.</t>
  </si>
  <si>
    <t>Minerals &amp; Mining</t>
  </si>
  <si>
    <t>INE584A01023</t>
  </si>
  <si>
    <t>Hindustan Petroleum Corporation Ltd.</t>
  </si>
  <si>
    <t>INE094A01015</t>
  </si>
  <si>
    <t>ACC Ltd.</t>
  </si>
  <si>
    <t>Cement &amp; Cement Products</t>
  </si>
  <si>
    <t>INE012A01025</t>
  </si>
  <si>
    <t>GAIL (India) Ltd.</t>
  </si>
  <si>
    <t>Gas</t>
  </si>
  <si>
    <t>INE129A01019</t>
  </si>
  <si>
    <t>Hindustan Copper Ltd.</t>
  </si>
  <si>
    <t>Non - Ferrous Metals</t>
  </si>
  <si>
    <t>INE531E01026</t>
  </si>
  <si>
    <t>Indus Towers Ltd.</t>
  </si>
  <si>
    <t>INE121J01017</t>
  </si>
  <si>
    <t>Bharat Petroleum Corporation Ltd.</t>
  </si>
  <si>
    <t>INE029A01011</t>
  </si>
  <si>
    <t>ICICI Bank Ltd.</t>
  </si>
  <si>
    <t>INE090A01021</t>
  </si>
  <si>
    <t>Dr. Reddy's Laboratories Ltd.</t>
  </si>
  <si>
    <t>INE089A01023</t>
  </si>
  <si>
    <t>Punjab National Bank</t>
  </si>
  <si>
    <t>INE160A01022</t>
  </si>
  <si>
    <t>Balrampur Chini Mills Ltd.</t>
  </si>
  <si>
    <t>Agricultural Food &amp; other Products</t>
  </si>
  <si>
    <t>INE119A01028</t>
  </si>
  <si>
    <t>Aditya Birla Capital Ltd.</t>
  </si>
  <si>
    <t>INE674K01013</t>
  </si>
  <si>
    <t>Canara Bank</t>
  </si>
  <si>
    <t>INE476A01014</t>
  </si>
  <si>
    <t>Mahindra &amp; Mahindra Ltd.</t>
  </si>
  <si>
    <t>Automobiles</t>
  </si>
  <si>
    <t>INE101A01026</t>
  </si>
  <si>
    <t>IDFC Ltd.</t>
  </si>
  <si>
    <t>INE043D01016</t>
  </si>
  <si>
    <t>City Union Bank Ltd.</t>
  </si>
  <si>
    <t>INE491A01021</t>
  </si>
  <si>
    <t>Biocon Ltd.</t>
  </si>
  <si>
    <t>INE376G01013</t>
  </si>
  <si>
    <t>Kotak Mahindra Bank Ltd.</t>
  </si>
  <si>
    <t>INE237A01028</t>
  </si>
  <si>
    <t>The Federal Bank  Ltd.</t>
  </si>
  <si>
    <t>INE171A01029</t>
  </si>
  <si>
    <t>National Aluminium Company Ltd.</t>
  </si>
  <si>
    <t>INE139A01034</t>
  </si>
  <si>
    <t>Cipla Ltd.</t>
  </si>
  <si>
    <t>INE059A01026</t>
  </si>
  <si>
    <t>Pidilite Industries Ltd.</t>
  </si>
  <si>
    <t>Chemicals &amp; Petrochemicals</t>
  </si>
  <si>
    <t>INE318A01026</t>
  </si>
  <si>
    <t>The India Cements Ltd.</t>
  </si>
  <si>
    <t>INE383A01012</t>
  </si>
  <si>
    <t>Torrent Pharmaceuticals Ltd.</t>
  </si>
  <si>
    <t>INE685A01028</t>
  </si>
  <si>
    <t>Indian Energy Exchange Ltd.</t>
  </si>
  <si>
    <t>Capital Markets</t>
  </si>
  <si>
    <t>INE022Q01020</t>
  </si>
  <si>
    <t>Aurobindo Pharma Ltd.</t>
  </si>
  <si>
    <t>INE406A01037</t>
  </si>
  <si>
    <t>Larsen &amp; Toubro Ltd.</t>
  </si>
  <si>
    <t>Construction</t>
  </si>
  <si>
    <t>INE018A01030</t>
  </si>
  <si>
    <t>Exide Industries Ltd.</t>
  </si>
  <si>
    <t>Auto Components</t>
  </si>
  <si>
    <t>INE302A01020</t>
  </si>
  <si>
    <t>Asian Paints Ltd.</t>
  </si>
  <si>
    <t>Consumer Durables</t>
  </si>
  <si>
    <t>INE021A01026</t>
  </si>
  <si>
    <t>Can Fin Homes Ltd.</t>
  </si>
  <si>
    <t>INE477A01020</t>
  </si>
  <si>
    <t>Titan Company Ltd.</t>
  </si>
  <si>
    <t>INE280A01028</t>
  </si>
  <si>
    <t>Gujarat Narmada Valley Fertilizers &amp; Chemicals Ltd</t>
  </si>
  <si>
    <t>INE113A01013</t>
  </si>
  <si>
    <t>AXIS Bank Ltd.</t>
  </si>
  <si>
    <t>INE238A01034</t>
  </si>
  <si>
    <t>Sub Total:</t>
  </si>
  <si>
    <t>b) Unlisted</t>
  </si>
  <si>
    <t>NIL</t>
  </si>
  <si>
    <t>Total:</t>
  </si>
  <si>
    <t>DEBT INSTRUMENTS</t>
  </si>
  <si>
    <t>Muthoot Finance Ltd.**</t>
  </si>
  <si>
    <t>CRISIL AA+</t>
  </si>
  <si>
    <t>INE414G07FF7</t>
  </si>
  <si>
    <t>Shriram Finance Ltd**</t>
  </si>
  <si>
    <t>CARE AA+</t>
  </si>
  <si>
    <t>INE721A07QS8</t>
  </si>
  <si>
    <t>b) Privately Placed / Unlisted</t>
  </si>
  <si>
    <t>TERM DEPOSITS</t>
  </si>
  <si>
    <t>Deposits (Maturity not exceeding 91 days)</t>
  </si>
  <si>
    <t>Deposits (Placed as F &amp; O margin)</t>
  </si>
  <si>
    <t>MONEY MARKET INSTRUMENTS</t>
  </si>
  <si>
    <t>Treasury Bills</t>
  </si>
  <si>
    <t>91 Days Treasury-Bill 02/11/2023</t>
  </si>
  <si>
    <t>Sovereign</t>
  </si>
  <si>
    <t>IN002023X187</t>
  </si>
  <si>
    <t>182 Days Treasury-Bill 21/12/2023</t>
  </si>
  <si>
    <t>IN002023Y128</t>
  </si>
  <si>
    <t>182 Days Treasury-Bill 11/01/2024</t>
  </si>
  <si>
    <t>IN002023Y151</t>
  </si>
  <si>
    <t>182 Days Treasury-Bill 07/12/2023</t>
  </si>
  <si>
    <t>IN002023Y102</t>
  </si>
  <si>
    <t>364 Days Treasury-Bill 26/01/2024</t>
  </si>
  <si>
    <t>IN002022Z432</t>
  </si>
  <si>
    <t>182 Days Treasury-Bill 29/02/2024</t>
  </si>
  <si>
    <t>IN002023Y235</t>
  </si>
  <si>
    <t>TREPS-Triparty Repo</t>
  </si>
  <si>
    <t/>
  </si>
  <si>
    <t>Mutual Fund Units</t>
  </si>
  <si>
    <t>JM Liquid Fund - Direct Growth</t>
  </si>
  <si>
    <t>NA</t>
  </si>
  <si>
    <t>INF192K01CM6</t>
  </si>
  <si>
    <t xml:space="preserve"> </t>
  </si>
  <si>
    <t>Others</t>
  </si>
  <si>
    <t>Cash Margin - Derivatives</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</si>
  <si>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</si>
  <si>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</si>
  <si>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</si>
  <si>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</si>
  <si>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</si>
  <si>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</si>
  <si>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</si>
  <si>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October 31, 2023:</t>
  </si>
  <si>
    <t>Underlying</t>
  </si>
  <si>
    <t>Long / Short</t>
  </si>
  <si>
    <t>Futures price when purchased (Rs.)</t>
  </si>
  <si>
    <t>Current  price of the Contract (Rs.)</t>
  </si>
  <si>
    <t>Total Margin maintained in   (Rs. In Lakhs)</t>
  </si>
  <si>
    <t>Aditya Birla Capital Ltd.Nov-2023</t>
  </si>
  <si>
    <t>Short</t>
  </si>
  <si>
    <t>ACC Ltd.Nov-2023</t>
  </si>
  <si>
    <t>Asian Paints Ltd.Nov-2023</t>
  </si>
  <si>
    <t>Aurobindo Pharma Ltd.Nov-2023</t>
  </si>
  <si>
    <t>AXIS Bank Ltd.Nov-2023</t>
  </si>
  <si>
    <t>Balrampur Chini Mills Ltd.Dec-2023</t>
  </si>
  <si>
    <t>Balrampur Chini Mills Ltd.Nov-2023</t>
  </si>
  <si>
    <t>Bandhan Bank Ltd.Dec-2023</t>
  </si>
  <si>
    <t>Bandhan Bank Ltd.Nov-2023</t>
  </si>
  <si>
    <t>Bank of BarodaDec-2023</t>
  </si>
  <si>
    <t>Bank of BarodaNov-2023</t>
  </si>
  <si>
    <t>Biocon Ltd.Dec-2023</t>
  </si>
  <si>
    <t>Bharat Petroleum Corporation Ltd.Nov-2023</t>
  </si>
  <si>
    <t>Canara BankNov-2023</t>
  </si>
  <si>
    <t>Can Fin Homes Ltd.Nov-2023</t>
  </si>
  <si>
    <t>Cipla Ltd.Nov-2023</t>
  </si>
  <si>
    <t>City Union Bank Ltd.Dec-2023</t>
  </si>
  <si>
    <t>City Union Bank Ltd.Nov-2023</t>
  </si>
  <si>
    <t>Dr. Reddy's Laboratories Ltd.Dec-2023</t>
  </si>
  <si>
    <t>Exide Industries Ltd.Nov-2023</t>
  </si>
  <si>
    <t>The Federal Bank  Ltd.Nov-2023</t>
  </si>
  <si>
    <t>GAIL (India) Ltd.Nov-2023</t>
  </si>
  <si>
    <t>Gujarat Narmada Valley Fertilizers &amp; Chemicals LtdNov-2023</t>
  </si>
  <si>
    <t>Granules India Ltd.Dec-2023</t>
  </si>
  <si>
    <t>Granules India Ltd.Nov-2023</t>
  </si>
  <si>
    <t>HDFC Bank Ltd.Nov-2023</t>
  </si>
  <si>
    <t>Hindustan Copper Ltd.Nov-2023</t>
  </si>
  <si>
    <t>Hindustan Petroleum Corporation Ltd.Nov-2023</t>
  </si>
  <si>
    <t>ICICI Bank Ltd.Dec-2023</t>
  </si>
  <si>
    <t>ICICI Bank Ltd.Nov-2023</t>
  </si>
  <si>
    <t>Vodafone Idea Ltd.Dec-2023</t>
  </si>
  <si>
    <t>IDFC Ltd.Dec-2023</t>
  </si>
  <si>
    <t>Indian Energy Exchange Ltd.Dec-2023</t>
  </si>
  <si>
    <t>The Indian Hotels Company Ltd.Dec-2023</t>
  </si>
  <si>
    <t>The India Cements Ltd.Nov-2023</t>
  </si>
  <si>
    <t>Indus Towers Ltd.Nov-2023</t>
  </si>
  <si>
    <t>Kotak Mahindra Bank Ltd.Nov-2023</t>
  </si>
  <si>
    <t>LIC Housing Finance Ltd.Dec-2023</t>
  </si>
  <si>
    <t>LIC Housing Finance Ltd.Nov-2023</t>
  </si>
  <si>
    <t>Larsen &amp; Toubro Ltd.Dec-2023</t>
  </si>
  <si>
    <t>Mahindra &amp; Mahindra Ltd.Nov-2023</t>
  </si>
  <si>
    <t>United Spirits Ltd.Nov-2023</t>
  </si>
  <si>
    <t>National Aluminium Company Ltd.Nov-2023</t>
  </si>
  <si>
    <t>NMDC Ltd.Dec-2023</t>
  </si>
  <si>
    <t>Pidilite Industries Ltd.Nov-2023</t>
  </si>
  <si>
    <t>Punjab National BankNov-2023</t>
  </si>
  <si>
    <t>Reliance Industries Ltd.Dec-2023</t>
  </si>
  <si>
    <t>Reliance Industries Ltd.Nov-2023</t>
  </si>
  <si>
    <t>Tata Power Company Ltd.Nov-2023</t>
  </si>
  <si>
    <t>Titan Company Ltd.Nov-2023</t>
  </si>
  <si>
    <t>Torrent Pharmaceuticals Ltd.Nov-2023</t>
  </si>
  <si>
    <t>Zee Entertainment Enterprises Ltd.Nov-2023</t>
  </si>
  <si>
    <t>Total outstanding exposure in derivative instruments at the end of the period - Short -(Rs in Lakhs) : (7,870.09)</t>
  </si>
  <si>
    <t>Total 66.25% of existing assets hedged through futures as on 31/10/2023</t>
  </si>
  <si>
    <t>For the period ended October 31, 2023,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</si>
  <si>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</si>
  <si>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</si>
  <si>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</si>
  <si>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</si>
  <si>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</si>
  <si>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31/10/2023</t>
  </si>
  <si>
    <t>For the period ended October 31, 2023,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</si>
  <si>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</si>
  <si>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</si>
  <si>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</si>
  <si>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</si>
  <si>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</si>
  <si>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</si>
  <si>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Benchmark of the scheme - Nifty 50 Arbitrage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</si>
</sst>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5">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indexed="23"/>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6" fillId="0" borderId="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cellStyleXfs>
  <cellXfs count="96">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xf>
    <xf numFmtId="0" fontId="4" fillId="0" borderId="3" xfId="2" applyFont="1" applyBorder="1" applyAlignment="1">
      <alignment horizontal="center" vertical="top" wrapText="1"/>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2" fontId="5" fillId="0" borderId="3" xfId="2" applyNumberFormat="1" applyFont="1" applyFill="1" applyBorder="1" applyAlignment="1">
      <alignment horizontal="right"/>
    </xf>
    <xf numFmtId="0" fontId="5" fillId="0" borderId="3" xfId="2" applyFont="1" applyFill="1" applyBorder="1" applyAlignment="1">
      <alignment horizontal="left" wrapText="1"/>
    </xf>
    <xf numFmtId="165" fontId="5" fillId="0" borderId="3" xfId="1" applyNumberFormat="1" applyFont="1" applyFill="1" applyBorder="1" applyAlignment="1">
      <alignment horizontal="right"/>
    </xf>
    <xf numFmtId="4" fontId="4" fillId="0" borderId="3" xfId="2" applyNumberFormat="1" applyFont="1" applyFill="1" applyBorder="1" applyAlignment="1">
      <alignment horizontal="right"/>
    </xf>
    <xf numFmtId="4" fontId="4" fillId="0" borderId="3" xfId="1" applyNumberFormat="1" applyFont="1" applyFill="1" applyBorder="1" applyAlignment="1">
      <alignment horizontal="right"/>
    </xf>
    <xf numFmtId="164" fontId="4" fillId="0" borderId="0" xfId="1" applyFont="1" applyFill="1" applyBorder="1" applyAlignment="1">
      <alignment horizontal="right"/>
    </xf>
    <xf numFmtId="166" fontId="5" fillId="0" borderId="0" xfId="2" applyNumberFormat="1" applyFont="1" applyFill="1" applyBorder="1"/>
    <xf numFmtId="0" fontId="5" fillId="0" borderId="0" xfId="2" applyFont="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5"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0" fontId="5" fillId="0" borderId="0" xfId="2" applyFont="1" applyFill="1" applyAlignment="1">
      <alignment horizontal="right"/>
    </xf>
    <xf numFmtId="0" fontId="7" fillId="0" borderId="0" xfId="3" applyFont="1" applyBorder="1"/>
    <xf numFmtId="0" fontId="5" fillId="0" borderId="0" xfId="2"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4" applyFont="1" applyAlignment="1">
      <alignment horizontal="left" vertical="top" wrapText="1"/>
    </xf>
    <xf numFmtId="0" fontId="5" fillId="0" borderId="0" xfId="2" applyFont="1" applyAlignment="1">
      <alignment horizontal="left" vertical="top" wrapText="1"/>
    </xf>
    <xf numFmtId="0" fontId="7" fillId="0" borderId="0" xfId="5" applyFont="1" applyBorder="1" applyAlignment="1">
      <alignment horizontal="left" vertical="top" wrapText="1"/>
    </xf>
    <xf numFmtId="0" fontId="8" fillId="0" borderId="0" xfId="5" applyFont="1" applyBorder="1" applyAlignment="1">
      <alignment horizontal="left" vertical="top" wrapText="1"/>
    </xf>
    <xf numFmtId="0" fontId="4" fillId="0" borderId="0" xfId="4" applyFont="1" applyFill="1" applyAlignment="1"/>
    <xf numFmtId="0" fontId="4" fillId="3" borderId="3" xfId="4" applyFont="1" applyFill="1" applyBorder="1" applyAlignment="1">
      <alignment horizontal="center" vertical="top" wrapText="1"/>
    </xf>
    <xf numFmtId="0" fontId="4" fillId="3" borderId="3" xfId="2" applyFont="1" applyFill="1" applyBorder="1" applyAlignment="1">
      <alignment horizontal="center" vertical="top" wrapText="1"/>
    </xf>
    <xf numFmtId="165" fontId="4" fillId="3" borderId="3" xfId="6" applyNumberFormat="1" applyFont="1" applyFill="1" applyBorder="1" applyAlignment="1">
      <alignment horizontal="center" vertical="top"/>
    </xf>
    <xf numFmtId="4" fontId="5" fillId="0" borderId="3" xfId="2" applyNumberFormat="1" applyFont="1" applyBorder="1" applyAlignment="1">
      <alignment wrapText="1"/>
    </xf>
    <xf numFmtId="4" fontId="5" fillId="0" borderId="3" xfId="2" applyNumberFormat="1" applyFont="1" applyBorder="1" applyAlignment="1">
      <alignment horizontal="left" wrapText="1"/>
    </xf>
    <xf numFmtId="4" fontId="5" fillId="0" borderId="3" xfId="1" applyNumberFormat="1" applyFont="1" applyBorder="1"/>
    <xf numFmtId="4" fontId="5" fillId="0" borderId="3" xfId="2" applyNumberFormat="1" applyFont="1" applyBorder="1"/>
    <xf numFmtId="4" fontId="5" fillId="0" borderId="3" xfId="1" applyNumberFormat="1" applyFont="1" applyFill="1" applyBorder="1"/>
    <xf numFmtId="0" fontId="5" fillId="0" borderId="0" xfId="4" applyFont="1" applyFill="1" applyBorder="1" applyAlignment="1"/>
    <xf numFmtId="0" fontId="5" fillId="0" borderId="0" xfId="2" applyFont="1" applyAlignment="1">
      <alignment horizontal="left" wrapText="1"/>
    </xf>
    <xf numFmtId="165" fontId="5" fillId="0" borderId="0" xfId="7" applyNumberFormat="1" applyFont="1"/>
    <xf numFmtId="0" fontId="5" fillId="0" borderId="0" xfId="2" applyFont="1" applyFill="1" applyAlignment="1">
      <alignment wrapText="1"/>
    </xf>
    <xf numFmtId="165" fontId="5" fillId="0" borderId="0" xfId="7" applyNumberFormat="1" applyFont="1" applyFill="1"/>
    <xf numFmtId="0" fontId="4" fillId="0" borderId="0" xfId="2" applyFont="1" applyFill="1" applyBorder="1" applyAlignment="1">
      <alignment horizontal="left"/>
    </xf>
    <xf numFmtId="164" fontId="5" fillId="0" borderId="0" xfId="2" applyNumberFormat="1" applyFont="1"/>
    <xf numFmtId="0" fontId="4" fillId="4" borderId="4" xfId="2" applyFont="1" applyFill="1" applyBorder="1" applyAlignment="1">
      <alignment horizontal="left" vertical="top" wrapText="1"/>
    </xf>
    <xf numFmtId="0" fontId="4" fillId="4" borderId="2" xfId="2" applyFont="1" applyFill="1" applyBorder="1" applyAlignment="1">
      <alignment horizontal="left" vertical="top" wrapText="1"/>
    </xf>
    <xf numFmtId="0" fontId="4" fillId="4" borderId="5" xfId="2" applyFont="1" applyFill="1" applyBorder="1" applyAlignment="1">
      <alignment horizontal="left" vertical="top" wrapText="1"/>
    </xf>
    <xf numFmtId="0" fontId="5" fillId="0" borderId="3" xfId="2" applyFont="1" applyFill="1" applyBorder="1" applyAlignment="1">
      <alignment horizontal="left"/>
    </xf>
    <xf numFmtId="165" fontId="5" fillId="0" borderId="3" xfId="1" applyNumberFormat="1" applyFont="1" applyBorder="1"/>
    <xf numFmtId="4" fontId="3" fillId="0" borderId="0" xfId="2" applyNumberFormat="1" applyFont="1"/>
    <xf numFmtId="164" fontId="5" fillId="0" borderId="3" xfId="1" applyFont="1" applyBorder="1"/>
    <xf numFmtId="0" fontId="4" fillId="0" borderId="0" xfId="2" applyFont="1"/>
    <xf numFmtId="0" fontId="1" fillId="0" borderId="2" xfId="2" applyBorder="1" applyAlignment="1">
      <alignment horizontal="left" vertical="top" wrapText="1"/>
    </xf>
    <xf numFmtId="0" fontId="1" fillId="0" borderId="5" xfId="2" applyBorder="1" applyAlignment="1">
      <alignment horizontal="left" vertical="top" wrapText="1"/>
    </xf>
    <xf numFmtId="0" fontId="5" fillId="0" borderId="4" xfId="2" applyFont="1" applyFill="1" applyBorder="1" applyAlignment="1">
      <alignment horizontal="left"/>
    </xf>
    <xf numFmtId="0" fontId="5" fillId="0" borderId="3" xfId="2" applyFont="1" applyBorder="1" applyAlignment="1">
      <alignment horizontal="center" vertical="top"/>
    </xf>
    <xf numFmtId="4" fontId="5" fillId="0" borderId="3" xfId="2" applyNumberFormat="1" applyFont="1" applyBorder="1" applyAlignment="1">
      <alignment horizontal="center" vertical="top"/>
    </xf>
    <xf numFmtId="0" fontId="5" fillId="0" borderId="0" xfId="2" applyFont="1" applyAlignment="1">
      <alignment wrapText="1"/>
    </xf>
    <xf numFmtId="165" fontId="5" fillId="0" borderId="0" xfId="1" applyNumberFormat="1" applyFont="1"/>
    <xf numFmtId="0" fontId="9" fillId="0" borderId="0" xfId="8" applyFont="1"/>
    <xf numFmtId="0" fontId="10" fillId="0" borderId="0" xfId="2" applyFont="1" applyFill="1" applyBorder="1" applyAlignment="1">
      <alignment horizontal="left" wrapText="1"/>
    </xf>
    <xf numFmtId="0" fontId="7" fillId="0" borderId="0" xfId="8" applyFont="1" applyBorder="1"/>
    <xf numFmtId="0" fontId="9" fillId="0" borderId="0" xfId="3" applyFont="1" applyAlignment="1">
      <alignment horizontal="center"/>
    </xf>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8" fillId="0" borderId="0" xfId="5" applyFont="1" applyBorder="1" applyAlignment="1">
      <alignment horizontal="left" vertical="top" wrapText="1"/>
    </xf>
    <xf numFmtId="0" fontId="5" fillId="0" borderId="0" xfId="2" applyFont="1" applyAlignment="1">
      <alignment horizontal="left" vertical="top" wrapText="1"/>
    </xf>
  </cellXfs>
  <cellStyles count="9">
    <cellStyle name="Comma" xfId="1" builtinId="3"/>
    <cellStyle name="Comma 2" xfId="6"/>
    <cellStyle name="Comma 4" xfId="7"/>
    <cellStyle name="Normal" xfId="0" builtinId="0"/>
    <cellStyle name="Normal 2 2" xfId="2"/>
    <cellStyle name="Normal 2 3 2" xfId="4"/>
    <cellStyle name="Normal 4_AA" xfId="8"/>
    <cellStyle name="Normal 4_IF" xfId="3"/>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466725</xdr:colOff>
      <xdr:row>183</xdr:row>
      <xdr:rowOff>57150</xdr:rowOff>
    </xdr:from>
    <xdr:to>
      <xdr:col>0</xdr:col>
      <xdr:colOff>2495550</xdr:colOff>
      <xdr:row>189</xdr:row>
      <xdr:rowOff>152400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6725" y="34775775"/>
          <a:ext cx="2028825"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219075</xdr:colOff>
      <xdr:row>183</xdr:row>
      <xdr:rowOff>57150</xdr:rowOff>
    </xdr:from>
    <xdr:to>
      <xdr:col>2</xdr:col>
      <xdr:colOff>323850</xdr:colOff>
      <xdr:row>189</xdr:row>
      <xdr:rowOff>142875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09900" y="34775775"/>
          <a:ext cx="2085975" cy="117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October%202023/Monthly%20portfolio/Template%20Portfolio%20Disclosure%20-31.10%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Value Fund"/>
      <sheetName val="JM Focused Fund"/>
      <sheetName val="JM Arbitrage Fund"/>
      <sheetName val="JM Equity Hybrid Fund"/>
      <sheetName val="JM Large Cap Fund"/>
      <sheetName val="JM Flexicap Fund"/>
      <sheetName val="JM Tax Gain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1.10.2023"/>
      <sheetName val="GHS 3110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91"/>
  <sheetViews>
    <sheetView tabSelected="1" topLeftCell="A66" zoomScaleNormal="85" workbookViewId="0">
      <selection activeCell="B86" sqref="B86"/>
    </sheetView>
  </sheetViews>
  <sheetFormatPr defaultRowHeight="12.75" x14ac:dyDescent="0.2"/>
  <cols>
    <col min="1" max="1" width="41.85546875" style="91" customWidth="1"/>
    <col min="2" max="2" width="29.7109375" style="92" customWidth="1"/>
    <col min="3" max="3" width="11" style="93" customWidth="1"/>
    <col min="4" max="4" width="12.42578125" style="2" customWidth="1"/>
    <col min="5" max="5" width="9.140625" style="2"/>
    <col min="6" max="6" width="13.5703125" style="2" bestFit="1" customWidth="1"/>
    <col min="7" max="7" width="10.28515625" style="2" customWidth="1"/>
    <col min="8" max="8" width="12.285156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ht="12.75" customHeight="1" x14ac:dyDescent="0.2">
      <c r="A3" s="3" t="s">
        <v>2</v>
      </c>
      <c r="B3" s="3"/>
      <c r="C3" s="3"/>
      <c r="D3" s="3"/>
      <c r="E3" s="3"/>
      <c r="F3" s="3"/>
      <c r="G3" s="3"/>
      <c r="H3" s="3"/>
    </row>
    <row r="4" spans="1:8" s="8" customFormat="1" ht="25.5" x14ac:dyDescent="0.2">
      <c r="A4" s="4" t="s">
        <v>3</v>
      </c>
      <c r="B4" s="4" t="s">
        <v>4</v>
      </c>
      <c r="C4" s="5" t="s">
        <v>5</v>
      </c>
      <c r="D4" s="4" t="s">
        <v>6</v>
      </c>
      <c r="E4" s="4" t="s">
        <v>7</v>
      </c>
      <c r="F4" s="4" t="s">
        <v>8</v>
      </c>
      <c r="G4" s="6" t="s">
        <v>9</v>
      </c>
      <c r="H4" s="7" t="s">
        <v>10</v>
      </c>
    </row>
    <row r="5" spans="1:8" ht="14.25" x14ac:dyDescent="0.3">
      <c r="A5" s="9" t="s">
        <v>11</v>
      </c>
      <c r="B5" s="10"/>
      <c r="C5" s="11"/>
      <c r="D5" s="12"/>
      <c r="E5" s="12"/>
      <c r="F5" s="13"/>
      <c r="G5" s="14"/>
      <c r="H5" s="15"/>
    </row>
    <row r="6" spans="1:8" ht="14.25" x14ac:dyDescent="0.3">
      <c r="A6" s="16" t="s">
        <v>12</v>
      </c>
      <c r="B6" s="10"/>
      <c r="C6" s="11"/>
      <c r="D6" s="12"/>
      <c r="E6" s="12"/>
      <c r="F6" s="13"/>
      <c r="G6" s="14"/>
      <c r="H6" s="15"/>
    </row>
    <row r="7" spans="1:8" s="21" customFormat="1" ht="14.25" x14ac:dyDescent="0.3">
      <c r="A7" s="17" t="s">
        <v>13</v>
      </c>
      <c r="B7" s="18" t="s">
        <v>14</v>
      </c>
      <c r="C7" s="19">
        <v>72050</v>
      </c>
      <c r="D7" s="20">
        <v>1063.81825</v>
      </c>
      <c r="E7" s="20">
        <f t="shared" ref="E7:E50" si="0">(+D7/$D$96*100)</f>
        <v>8.9551074735596714</v>
      </c>
      <c r="F7" s="20" t="s">
        <v>15</v>
      </c>
      <c r="G7" s="15"/>
      <c r="H7" s="15"/>
    </row>
    <row r="8" spans="1:8" s="21" customFormat="1" ht="14.25" x14ac:dyDescent="0.3">
      <c r="A8" s="17" t="s">
        <v>16</v>
      </c>
      <c r="B8" s="18" t="s">
        <v>17</v>
      </c>
      <c r="C8" s="19">
        <v>8160000</v>
      </c>
      <c r="D8" s="20">
        <v>966.96</v>
      </c>
      <c r="E8" s="20">
        <f t="shared" si="0"/>
        <v>8.1397651550283712</v>
      </c>
      <c r="F8" s="20" t="s">
        <v>18</v>
      </c>
      <c r="G8" s="15"/>
      <c r="H8" s="15"/>
    </row>
    <row r="9" spans="1:8" s="21" customFormat="1" ht="14.25" x14ac:dyDescent="0.3">
      <c r="A9" s="17" t="s">
        <v>19</v>
      </c>
      <c r="B9" s="18" t="s">
        <v>20</v>
      </c>
      <c r="C9" s="19">
        <v>33750</v>
      </c>
      <c r="D9" s="20">
        <v>772.16624999999999</v>
      </c>
      <c r="E9" s="20">
        <f t="shared" si="0"/>
        <v>6.5000123434670778</v>
      </c>
      <c r="F9" s="20" t="s">
        <v>21</v>
      </c>
      <c r="G9" s="15"/>
      <c r="H9" s="14"/>
    </row>
    <row r="10" spans="1:8" s="21" customFormat="1" ht="14.25" x14ac:dyDescent="0.3">
      <c r="A10" s="17" t="s">
        <v>22</v>
      </c>
      <c r="B10" s="18" t="s">
        <v>23</v>
      </c>
      <c r="C10" s="19">
        <v>142000</v>
      </c>
      <c r="D10" s="20">
        <v>652.06399999999996</v>
      </c>
      <c r="E10" s="20">
        <f t="shared" si="0"/>
        <v>5.4890045359150523</v>
      </c>
      <c r="F10" s="20" t="s">
        <v>24</v>
      </c>
      <c r="G10" s="15"/>
      <c r="H10" s="22"/>
    </row>
    <row r="11" spans="1:8" s="21" customFormat="1" ht="14.25" x14ac:dyDescent="0.3">
      <c r="A11" s="17" t="s">
        <v>25</v>
      </c>
      <c r="B11" s="18" t="s">
        <v>14</v>
      </c>
      <c r="C11" s="19">
        <v>182500</v>
      </c>
      <c r="D11" s="20">
        <v>390.82375000000002</v>
      </c>
      <c r="E11" s="20">
        <f t="shared" si="0"/>
        <v>3.2899122424997094</v>
      </c>
      <c r="F11" s="20" t="s">
        <v>26</v>
      </c>
      <c r="G11" s="15"/>
      <c r="H11" s="15"/>
    </row>
    <row r="12" spans="1:8" s="21" customFormat="1" ht="14.25" x14ac:dyDescent="0.3">
      <c r="A12" s="17" t="s">
        <v>27</v>
      </c>
      <c r="B12" s="18" t="s">
        <v>14</v>
      </c>
      <c r="C12" s="19">
        <v>181350</v>
      </c>
      <c r="D12" s="20">
        <v>355.80869999999999</v>
      </c>
      <c r="E12" s="20">
        <f t="shared" si="0"/>
        <v>2.9951593221187465</v>
      </c>
      <c r="F12" s="20" t="s">
        <v>28</v>
      </c>
      <c r="G12" s="15"/>
      <c r="H12" s="15"/>
    </row>
    <row r="13" spans="1:8" s="21" customFormat="1" ht="14.25" x14ac:dyDescent="0.3">
      <c r="A13" s="17" t="s">
        <v>29</v>
      </c>
      <c r="B13" s="18" t="s">
        <v>30</v>
      </c>
      <c r="C13" s="19">
        <v>76000</v>
      </c>
      <c r="D13" s="20">
        <v>291.38400000000001</v>
      </c>
      <c r="E13" s="20">
        <f t="shared" si="0"/>
        <v>2.4528391349515877</v>
      </c>
      <c r="F13" s="20" t="s">
        <v>31</v>
      </c>
      <c r="G13" s="15"/>
      <c r="H13" s="15"/>
    </row>
    <row r="14" spans="1:8" s="21" customFormat="1" ht="14.25" x14ac:dyDescent="0.3">
      <c r="A14" s="17" t="s">
        <v>32</v>
      </c>
      <c r="B14" s="18" t="s">
        <v>33</v>
      </c>
      <c r="C14" s="19">
        <v>25200</v>
      </c>
      <c r="D14" s="20">
        <v>260.11439999999999</v>
      </c>
      <c r="E14" s="20">
        <f t="shared" si="0"/>
        <v>2.1896150093500366</v>
      </c>
      <c r="F14" s="20" t="s">
        <v>34</v>
      </c>
      <c r="G14" s="15"/>
      <c r="H14" s="14"/>
    </row>
    <row r="15" spans="1:8" s="21" customFormat="1" ht="14.25" x14ac:dyDescent="0.3">
      <c r="A15" s="17" t="s">
        <v>35</v>
      </c>
      <c r="B15" s="18" t="s">
        <v>36</v>
      </c>
      <c r="C15" s="19">
        <v>87000</v>
      </c>
      <c r="D15" s="20">
        <v>225.50399999999999</v>
      </c>
      <c r="E15" s="20">
        <f t="shared" si="0"/>
        <v>1.8982683890952239</v>
      </c>
      <c r="F15" s="20" t="s">
        <v>37</v>
      </c>
      <c r="G15" s="15"/>
      <c r="H15" s="14"/>
    </row>
    <row r="16" spans="1:8" s="21" customFormat="1" ht="14.25" x14ac:dyDescent="0.3">
      <c r="A16" s="17" t="s">
        <v>38</v>
      </c>
      <c r="B16" s="18" t="s">
        <v>39</v>
      </c>
      <c r="C16" s="19">
        <v>68000</v>
      </c>
      <c r="D16" s="20">
        <v>221.61199999999999</v>
      </c>
      <c r="E16" s="20">
        <f t="shared" si="0"/>
        <v>1.865505952196727</v>
      </c>
      <c r="F16" s="20" t="s">
        <v>40</v>
      </c>
      <c r="G16" s="15"/>
      <c r="H16" s="15"/>
    </row>
    <row r="17" spans="1:8" s="21" customFormat="1" ht="14.25" x14ac:dyDescent="0.3">
      <c r="A17" s="17" t="s">
        <v>41</v>
      </c>
      <c r="B17" s="18" t="s">
        <v>42</v>
      </c>
      <c r="C17" s="19">
        <v>87750</v>
      </c>
      <c r="D17" s="20">
        <v>210.02962500000001</v>
      </c>
      <c r="E17" s="20">
        <f t="shared" si="0"/>
        <v>1.7680067666694337</v>
      </c>
      <c r="F17" s="20" t="s">
        <v>43</v>
      </c>
      <c r="G17" s="15"/>
      <c r="H17" s="14"/>
    </row>
    <row r="18" spans="1:8" s="21" customFormat="1" ht="14.25" x14ac:dyDescent="0.3">
      <c r="A18" s="17" t="s">
        <v>44</v>
      </c>
      <c r="B18" s="18" t="s">
        <v>45</v>
      </c>
      <c r="C18" s="19">
        <v>135000</v>
      </c>
      <c r="D18" s="20">
        <v>208.17</v>
      </c>
      <c r="E18" s="20">
        <f t="shared" si="0"/>
        <v>1.7523526436690824</v>
      </c>
      <c r="F18" s="20" t="s">
        <v>46</v>
      </c>
      <c r="G18" s="15"/>
      <c r="H18" s="14"/>
    </row>
    <row r="19" spans="1:8" s="21" customFormat="1" ht="14.25" x14ac:dyDescent="0.3">
      <c r="A19" s="17" t="s">
        <v>47</v>
      </c>
      <c r="B19" s="18" t="s">
        <v>20</v>
      </c>
      <c r="C19" s="19">
        <v>81000</v>
      </c>
      <c r="D19" s="20">
        <v>200.637</v>
      </c>
      <c r="E19" s="20">
        <f t="shared" si="0"/>
        <v>1.6889406608437032</v>
      </c>
      <c r="F19" s="20" t="s">
        <v>48</v>
      </c>
      <c r="G19" s="15"/>
      <c r="H19" s="15"/>
    </row>
    <row r="20" spans="1:8" s="21" customFormat="1" ht="14.25" x14ac:dyDescent="0.3">
      <c r="A20" s="17" t="s">
        <v>49</v>
      </c>
      <c r="B20" s="18" t="s">
        <v>50</v>
      </c>
      <c r="C20" s="19">
        <v>10500</v>
      </c>
      <c r="D20" s="20">
        <v>198.261</v>
      </c>
      <c r="E20" s="20">
        <f t="shared" si="0"/>
        <v>1.6689397486980637</v>
      </c>
      <c r="F20" s="20" t="s">
        <v>51</v>
      </c>
      <c r="G20" s="15"/>
      <c r="H20" s="15"/>
    </row>
    <row r="21" spans="1:8" s="21" customFormat="1" ht="14.25" x14ac:dyDescent="0.3">
      <c r="A21" s="17" t="s">
        <v>52</v>
      </c>
      <c r="B21" s="18" t="s">
        <v>53</v>
      </c>
      <c r="C21" s="19">
        <v>146400</v>
      </c>
      <c r="D21" s="20">
        <v>174.94800000000001</v>
      </c>
      <c r="E21" s="20">
        <f t="shared" si="0"/>
        <v>1.4726934251074537</v>
      </c>
      <c r="F21" s="20" t="s">
        <v>54</v>
      </c>
      <c r="G21" s="15"/>
      <c r="H21" s="15"/>
    </row>
    <row r="22" spans="1:8" s="21" customFormat="1" ht="14.25" x14ac:dyDescent="0.3">
      <c r="A22" s="17" t="s">
        <v>55</v>
      </c>
      <c r="B22" s="18" t="s">
        <v>56</v>
      </c>
      <c r="C22" s="19">
        <v>121900</v>
      </c>
      <c r="D22" s="20">
        <v>174.5608</v>
      </c>
      <c r="E22" s="20">
        <f t="shared" si="0"/>
        <v>1.4694340172022384</v>
      </c>
      <c r="F22" s="20" t="s">
        <v>57</v>
      </c>
      <c r="G22" s="15"/>
      <c r="H22" s="15"/>
    </row>
    <row r="23" spans="1:8" s="21" customFormat="1" ht="14.25" x14ac:dyDescent="0.3">
      <c r="A23" s="17" t="s">
        <v>58</v>
      </c>
      <c r="B23" s="18" t="s">
        <v>17</v>
      </c>
      <c r="C23" s="19">
        <v>85000</v>
      </c>
      <c r="D23" s="20">
        <v>146.54</v>
      </c>
      <c r="E23" s="20">
        <f t="shared" si="0"/>
        <v>1.2335579401607693</v>
      </c>
      <c r="F23" s="20" t="s">
        <v>59</v>
      </c>
      <c r="G23" s="15"/>
      <c r="H23" s="15"/>
    </row>
    <row r="24" spans="1:8" s="21" customFormat="1" ht="14.25" x14ac:dyDescent="0.3">
      <c r="A24" s="17" t="s">
        <v>60</v>
      </c>
      <c r="B24" s="18" t="s">
        <v>20</v>
      </c>
      <c r="C24" s="19">
        <v>41400</v>
      </c>
      <c r="D24" s="20">
        <v>144.58949999999999</v>
      </c>
      <c r="E24" s="20">
        <f t="shared" si="0"/>
        <v>1.2171388411960935</v>
      </c>
      <c r="F24" s="20" t="s">
        <v>61</v>
      </c>
      <c r="G24" s="15"/>
      <c r="H24" s="15"/>
    </row>
    <row r="25" spans="1:8" s="21" customFormat="1" ht="14.25" x14ac:dyDescent="0.3">
      <c r="A25" s="17" t="s">
        <v>62</v>
      </c>
      <c r="B25" s="18" t="s">
        <v>14</v>
      </c>
      <c r="C25" s="19">
        <v>12600</v>
      </c>
      <c r="D25" s="20">
        <v>115.33410000000001</v>
      </c>
      <c r="E25" s="20">
        <f t="shared" si="0"/>
        <v>0.97087003429982377</v>
      </c>
      <c r="F25" s="20" t="s">
        <v>63</v>
      </c>
      <c r="G25" s="15"/>
      <c r="H25" s="15"/>
    </row>
    <row r="26" spans="1:8" s="21" customFormat="1" ht="14.25" x14ac:dyDescent="0.3">
      <c r="A26" s="17" t="s">
        <v>64</v>
      </c>
      <c r="B26" s="18" t="s">
        <v>39</v>
      </c>
      <c r="C26" s="19">
        <v>1875</v>
      </c>
      <c r="D26" s="20">
        <v>100.64156250000001</v>
      </c>
      <c r="E26" s="20">
        <f t="shared" si="0"/>
        <v>0.84718983575857321</v>
      </c>
      <c r="F26" s="20" t="s">
        <v>65</v>
      </c>
      <c r="G26" s="15"/>
      <c r="H26" s="15"/>
    </row>
    <row r="27" spans="1:8" s="21" customFormat="1" ht="14.25" x14ac:dyDescent="0.3">
      <c r="A27" s="17" t="s">
        <v>66</v>
      </c>
      <c r="B27" s="18" t="s">
        <v>14</v>
      </c>
      <c r="C27" s="19">
        <v>128000</v>
      </c>
      <c r="D27" s="20">
        <v>93.44</v>
      </c>
      <c r="E27" s="20">
        <f t="shared" si="0"/>
        <v>0.78656785811807206</v>
      </c>
      <c r="F27" s="20" t="s">
        <v>67</v>
      </c>
      <c r="G27" s="15"/>
      <c r="H27" s="14"/>
    </row>
    <row r="28" spans="1:8" s="21" customFormat="1" ht="14.25" x14ac:dyDescent="0.3">
      <c r="A28" s="17" t="s">
        <v>68</v>
      </c>
      <c r="B28" s="18" t="s">
        <v>69</v>
      </c>
      <c r="C28" s="19">
        <v>16000</v>
      </c>
      <c r="D28" s="20">
        <v>66.103999999999999</v>
      </c>
      <c r="E28" s="20">
        <f t="shared" si="0"/>
        <v>0.55645635373541347</v>
      </c>
      <c r="F28" s="20" t="s">
        <v>70</v>
      </c>
      <c r="G28" s="15"/>
      <c r="H28" s="15"/>
    </row>
    <row r="29" spans="1:8" s="21" customFormat="1" ht="14.25" x14ac:dyDescent="0.3">
      <c r="A29" s="17" t="s">
        <v>71</v>
      </c>
      <c r="B29" s="18" t="s">
        <v>23</v>
      </c>
      <c r="C29" s="19">
        <v>37800</v>
      </c>
      <c r="D29" s="20">
        <v>65.186099999999996</v>
      </c>
      <c r="E29" s="20">
        <f t="shared" si="0"/>
        <v>0.54872957037746628</v>
      </c>
      <c r="F29" s="20" t="s">
        <v>72</v>
      </c>
      <c r="G29" s="15"/>
      <c r="H29" s="15"/>
    </row>
    <row r="30" spans="1:8" s="21" customFormat="1" ht="14.25" x14ac:dyDescent="0.3">
      <c r="A30" s="17" t="s">
        <v>73</v>
      </c>
      <c r="B30" s="18" t="s">
        <v>14</v>
      </c>
      <c r="C30" s="19">
        <v>16200</v>
      </c>
      <c r="D30" s="20">
        <v>62.264699999999998</v>
      </c>
      <c r="E30" s="20">
        <f t="shared" si="0"/>
        <v>0.52413753976203248</v>
      </c>
      <c r="F30" s="20" t="s">
        <v>74</v>
      </c>
      <c r="G30" s="15"/>
      <c r="H30" s="15"/>
    </row>
    <row r="31" spans="1:8" s="21" customFormat="1" ht="14.25" x14ac:dyDescent="0.3">
      <c r="A31" s="17" t="s">
        <v>75</v>
      </c>
      <c r="B31" s="18" t="s">
        <v>76</v>
      </c>
      <c r="C31" s="19">
        <v>4200</v>
      </c>
      <c r="D31" s="20">
        <v>61.261200000000002</v>
      </c>
      <c r="E31" s="20">
        <f t="shared" si="0"/>
        <v>0.51569018482173412</v>
      </c>
      <c r="F31" s="20" t="s">
        <v>77</v>
      </c>
      <c r="G31" s="15"/>
      <c r="H31" s="22"/>
    </row>
    <row r="32" spans="1:8" s="21" customFormat="1" ht="14.25" x14ac:dyDescent="0.3">
      <c r="A32" s="17" t="s">
        <v>78</v>
      </c>
      <c r="B32" s="18" t="s">
        <v>23</v>
      </c>
      <c r="C32" s="19">
        <v>50000</v>
      </c>
      <c r="D32" s="20">
        <v>57.25</v>
      </c>
      <c r="E32" s="20">
        <f t="shared" si="0"/>
        <v>0.48192433515902855</v>
      </c>
      <c r="F32" s="20" t="s">
        <v>79</v>
      </c>
      <c r="G32" s="15"/>
      <c r="H32" s="15"/>
    </row>
    <row r="33" spans="1:8" s="21" customFormat="1" ht="14.25" x14ac:dyDescent="0.3">
      <c r="A33" s="17" t="s">
        <v>80</v>
      </c>
      <c r="B33" s="18" t="s">
        <v>14</v>
      </c>
      <c r="C33" s="19">
        <v>40000</v>
      </c>
      <c r="D33" s="20">
        <v>55.24</v>
      </c>
      <c r="E33" s="20">
        <f t="shared" si="0"/>
        <v>0.46500437160148006</v>
      </c>
      <c r="F33" s="20" t="s">
        <v>81</v>
      </c>
      <c r="G33" s="15"/>
      <c r="H33" s="15"/>
    </row>
    <row r="34" spans="1:8" s="21" customFormat="1" ht="14.25" x14ac:dyDescent="0.3">
      <c r="A34" s="17" t="s">
        <v>82</v>
      </c>
      <c r="B34" s="18" t="s">
        <v>39</v>
      </c>
      <c r="C34" s="19">
        <v>22500</v>
      </c>
      <c r="D34" s="20">
        <v>49.421250000000001</v>
      </c>
      <c r="E34" s="20">
        <f t="shared" si="0"/>
        <v>0.41602276068084088</v>
      </c>
      <c r="F34" s="20" t="s">
        <v>83</v>
      </c>
      <c r="G34" s="15"/>
      <c r="H34" s="15"/>
    </row>
    <row r="35" spans="1:8" s="21" customFormat="1" ht="14.25" x14ac:dyDescent="0.3">
      <c r="A35" s="17" t="s">
        <v>84</v>
      </c>
      <c r="B35" s="18" t="s">
        <v>14</v>
      </c>
      <c r="C35" s="19">
        <v>2800</v>
      </c>
      <c r="D35" s="20">
        <v>48.703200000000002</v>
      </c>
      <c r="E35" s="20">
        <f t="shared" si="0"/>
        <v>0.40997829310248385</v>
      </c>
      <c r="F35" s="20" t="s">
        <v>85</v>
      </c>
      <c r="G35" s="15"/>
      <c r="H35" s="22"/>
    </row>
    <row r="36" spans="1:8" s="21" customFormat="1" ht="14.25" x14ac:dyDescent="0.3">
      <c r="A36" s="17" t="s">
        <v>86</v>
      </c>
      <c r="B36" s="18" t="s">
        <v>14</v>
      </c>
      <c r="C36" s="19">
        <v>30000</v>
      </c>
      <c r="D36" s="20">
        <v>42.195</v>
      </c>
      <c r="E36" s="20">
        <f t="shared" si="0"/>
        <v>0.35519296632375913</v>
      </c>
      <c r="F36" s="20" t="s">
        <v>87</v>
      </c>
      <c r="G36" s="15"/>
      <c r="H36" s="15"/>
    </row>
    <row r="37" spans="1:8" s="21" customFormat="1" ht="14.25" x14ac:dyDescent="0.3">
      <c r="A37" s="17" t="s">
        <v>88</v>
      </c>
      <c r="B37" s="18" t="s">
        <v>56</v>
      </c>
      <c r="C37" s="19">
        <v>45000</v>
      </c>
      <c r="D37" s="20">
        <v>41.512500000000003</v>
      </c>
      <c r="E37" s="20">
        <f t="shared" si="0"/>
        <v>0.34944775481727813</v>
      </c>
      <c r="F37" s="20" t="s">
        <v>89</v>
      </c>
      <c r="G37" s="15"/>
      <c r="H37" s="14"/>
    </row>
    <row r="38" spans="1:8" s="21" customFormat="1" ht="14.25" x14ac:dyDescent="0.3">
      <c r="A38" s="17" t="s">
        <v>90</v>
      </c>
      <c r="B38" s="18" t="s">
        <v>39</v>
      </c>
      <c r="C38" s="19">
        <v>3250</v>
      </c>
      <c r="D38" s="20">
        <v>39</v>
      </c>
      <c r="E38" s="20">
        <f t="shared" si="0"/>
        <v>0.32829780037034256</v>
      </c>
      <c r="F38" s="20" t="s">
        <v>91</v>
      </c>
      <c r="G38" s="15"/>
      <c r="H38" s="15"/>
    </row>
    <row r="39" spans="1:8" s="21" customFormat="1" ht="14.25" x14ac:dyDescent="0.3">
      <c r="A39" s="17" t="s">
        <v>92</v>
      </c>
      <c r="B39" s="18" t="s">
        <v>93</v>
      </c>
      <c r="C39" s="19">
        <v>1250</v>
      </c>
      <c r="D39" s="20">
        <v>30.725000000000001</v>
      </c>
      <c r="E39" s="20">
        <f t="shared" si="0"/>
        <v>0.25863974144560964</v>
      </c>
      <c r="F39" s="20" t="s">
        <v>94</v>
      </c>
      <c r="G39" s="15"/>
      <c r="H39" s="14"/>
    </row>
    <row r="40" spans="1:8" s="21" customFormat="1" ht="14.25" x14ac:dyDescent="0.3">
      <c r="A40" s="17" t="s">
        <v>95</v>
      </c>
      <c r="B40" s="18" t="s">
        <v>50</v>
      </c>
      <c r="C40" s="19">
        <v>14500</v>
      </c>
      <c r="D40" s="20">
        <v>30.341249999999999</v>
      </c>
      <c r="E40" s="20">
        <f t="shared" si="0"/>
        <v>0.25540937526888863</v>
      </c>
      <c r="F40" s="20" t="s">
        <v>96</v>
      </c>
      <c r="G40" s="15"/>
      <c r="H40" s="15"/>
    </row>
    <row r="41" spans="1:8" s="21" customFormat="1" ht="14.25" x14ac:dyDescent="0.3">
      <c r="A41" s="17" t="s">
        <v>97</v>
      </c>
      <c r="B41" s="18" t="s">
        <v>39</v>
      </c>
      <c r="C41" s="19">
        <v>1500</v>
      </c>
      <c r="D41" s="20">
        <v>28.86375</v>
      </c>
      <c r="E41" s="20">
        <f t="shared" si="0"/>
        <v>0.24297193937024295</v>
      </c>
      <c r="F41" s="20" t="s">
        <v>98</v>
      </c>
      <c r="G41" s="15"/>
      <c r="H41" s="14"/>
    </row>
    <row r="42" spans="1:8" s="21" customFormat="1" ht="14.25" x14ac:dyDescent="0.3">
      <c r="A42" s="17" t="s">
        <v>99</v>
      </c>
      <c r="B42" s="18" t="s">
        <v>100</v>
      </c>
      <c r="C42" s="19">
        <v>22500</v>
      </c>
      <c r="D42" s="20">
        <v>28.31625</v>
      </c>
      <c r="E42" s="20">
        <f t="shared" si="0"/>
        <v>0.2383631433265824</v>
      </c>
      <c r="F42" s="20" t="s">
        <v>101</v>
      </c>
      <c r="G42" s="15"/>
      <c r="H42" s="15"/>
    </row>
    <row r="43" spans="1:8" s="21" customFormat="1" ht="14.25" x14ac:dyDescent="0.3">
      <c r="A43" s="17" t="s">
        <v>102</v>
      </c>
      <c r="B43" s="18" t="s">
        <v>39</v>
      </c>
      <c r="C43" s="19">
        <v>3300</v>
      </c>
      <c r="D43" s="20">
        <v>28.0335</v>
      </c>
      <c r="E43" s="20">
        <f t="shared" si="0"/>
        <v>0.23598298427389741</v>
      </c>
      <c r="F43" s="20" t="s">
        <v>103</v>
      </c>
      <c r="G43" s="15"/>
      <c r="H43" s="15"/>
    </row>
    <row r="44" spans="1:8" s="21" customFormat="1" ht="14.25" x14ac:dyDescent="0.3">
      <c r="A44" s="17" t="s">
        <v>104</v>
      </c>
      <c r="B44" s="18" t="s">
        <v>105</v>
      </c>
      <c r="C44" s="19">
        <v>900</v>
      </c>
      <c r="D44" s="20">
        <v>26.361450000000001</v>
      </c>
      <c r="E44" s="20">
        <f t="shared" si="0"/>
        <v>0.22190784742494277</v>
      </c>
      <c r="F44" s="20" t="s">
        <v>106</v>
      </c>
      <c r="G44" s="15"/>
      <c r="H44" s="22"/>
    </row>
    <row r="45" spans="1:8" s="21" customFormat="1" ht="14.25" x14ac:dyDescent="0.3">
      <c r="A45" s="17" t="s">
        <v>107</v>
      </c>
      <c r="B45" s="18" t="s">
        <v>108</v>
      </c>
      <c r="C45" s="19">
        <v>7200</v>
      </c>
      <c r="D45" s="20">
        <v>18.3888</v>
      </c>
      <c r="E45" s="20">
        <f t="shared" si="0"/>
        <v>0.15479493824231169</v>
      </c>
      <c r="F45" s="20" t="s">
        <v>109</v>
      </c>
      <c r="G45" s="15"/>
      <c r="H45" s="15"/>
    </row>
    <row r="46" spans="1:8" s="21" customFormat="1" ht="14.25" x14ac:dyDescent="0.3">
      <c r="A46" s="17" t="s">
        <v>110</v>
      </c>
      <c r="B46" s="18" t="s">
        <v>111</v>
      </c>
      <c r="C46" s="19">
        <v>600</v>
      </c>
      <c r="D46" s="20">
        <v>17.9742</v>
      </c>
      <c r="E46" s="20">
        <f t="shared" si="0"/>
        <v>0.15130488008760543</v>
      </c>
      <c r="F46" s="20" t="s">
        <v>112</v>
      </c>
      <c r="G46" s="15"/>
      <c r="H46" s="15"/>
    </row>
    <row r="47" spans="1:8" s="21" customFormat="1" ht="14.25" x14ac:dyDescent="0.3">
      <c r="A47" s="17" t="s">
        <v>113</v>
      </c>
      <c r="B47" s="18" t="s">
        <v>23</v>
      </c>
      <c r="C47" s="19">
        <v>1950</v>
      </c>
      <c r="D47" s="20">
        <v>14.887275000000001</v>
      </c>
      <c r="E47" s="20">
        <f t="shared" si="0"/>
        <v>0.12531947784636902</v>
      </c>
      <c r="F47" s="20" t="s">
        <v>114</v>
      </c>
      <c r="G47" s="15"/>
      <c r="H47" s="15"/>
    </row>
    <row r="48" spans="1:8" s="21" customFormat="1" ht="14.25" x14ac:dyDescent="0.3">
      <c r="A48" s="17" t="s">
        <v>115</v>
      </c>
      <c r="B48" s="18" t="s">
        <v>111</v>
      </c>
      <c r="C48" s="19">
        <v>375</v>
      </c>
      <c r="D48" s="20">
        <v>11.961187499999999</v>
      </c>
      <c r="E48" s="20">
        <f t="shared" si="0"/>
        <v>0.10068798836069838</v>
      </c>
      <c r="F48" s="20" t="s">
        <v>116</v>
      </c>
      <c r="G48" s="15"/>
      <c r="H48" s="14"/>
    </row>
    <row r="49" spans="1:8" s="21" customFormat="1" ht="14.25" x14ac:dyDescent="0.3">
      <c r="A49" s="17" t="s">
        <v>117</v>
      </c>
      <c r="B49" s="18" t="s">
        <v>93</v>
      </c>
      <c r="C49" s="19">
        <v>1300</v>
      </c>
      <c r="D49" s="20">
        <v>8.9888499999999993</v>
      </c>
      <c r="E49" s="20">
        <f t="shared" si="0"/>
        <v>7.566717135535779E-2</v>
      </c>
      <c r="F49" s="20" t="s">
        <v>118</v>
      </c>
      <c r="G49" s="15"/>
      <c r="H49" s="15"/>
    </row>
    <row r="50" spans="1:8" s="21" customFormat="1" ht="14.25" x14ac:dyDescent="0.3">
      <c r="A50" s="17" t="s">
        <v>119</v>
      </c>
      <c r="B50" s="18" t="s">
        <v>14</v>
      </c>
      <c r="C50" s="19">
        <v>625</v>
      </c>
      <c r="D50" s="20">
        <v>6.1365625000000001</v>
      </c>
      <c r="E50" s="20">
        <f t="shared" si="0"/>
        <v>5.1656922322695649E-2</v>
      </c>
      <c r="F50" s="20" t="s">
        <v>120</v>
      </c>
      <c r="G50" s="15"/>
      <c r="H50" s="15"/>
    </row>
    <row r="51" spans="1:8" s="21" customFormat="1" ht="14.25" x14ac:dyDescent="0.3">
      <c r="A51" s="16" t="s">
        <v>121</v>
      </c>
      <c r="B51" s="18"/>
      <c r="C51" s="19"/>
      <c r="D51" s="23">
        <f>IF(ISERROR(SUM(D7:D50)),0,SUM(D7:D50))</f>
        <v>7806.5229625000002</v>
      </c>
      <c r="E51" s="23">
        <f>IF(ISERROR(SUM(E7:E50)),0,SUM(E7:E50))</f>
        <v>65.714469669982606</v>
      </c>
      <c r="F51" s="23"/>
      <c r="G51" s="15"/>
      <c r="H51" s="14"/>
    </row>
    <row r="52" spans="1:8" s="21" customFormat="1" ht="14.25" x14ac:dyDescent="0.3">
      <c r="A52" s="16"/>
      <c r="B52" s="16"/>
      <c r="C52" s="24"/>
      <c r="D52" s="25"/>
      <c r="E52" s="25"/>
      <c r="F52" s="25"/>
      <c r="G52" s="15"/>
      <c r="H52" s="14"/>
    </row>
    <row r="53" spans="1:8" s="21" customFormat="1" ht="14.25" x14ac:dyDescent="0.3">
      <c r="A53" s="16" t="s">
        <v>122</v>
      </c>
      <c r="B53" s="16"/>
      <c r="C53" s="24"/>
      <c r="D53" s="26" t="s">
        <v>123</v>
      </c>
      <c r="E53" s="26" t="s">
        <v>123</v>
      </c>
      <c r="F53" s="26"/>
      <c r="G53" s="15"/>
      <c r="H53" s="14"/>
    </row>
    <row r="54" spans="1:8" s="21" customFormat="1" ht="14.25" x14ac:dyDescent="0.3">
      <c r="A54" s="16"/>
      <c r="B54" s="9"/>
      <c r="C54" s="24"/>
      <c r="D54" s="26"/>
      <c r="E54" s="26"/>
      <c r="F54" s="27"/>
      <c r="G54" s="15"/>
      <c r="H54" s="14"/>
    </row>
    <row r="55" spans="1:8" s="21" customFormat="1" ht="14.25" x14ac:dyDescent="0.3">
      <c r="A55" s="16" t="s">
        <v>124</v>
      </c>
      <c r="B55" s="16"/>
      <c r="C55" s="24"/>
      <c r="D55" s="23">
        <f>IF(ISERROR(+D51),0,D51)+IF(ISERROR(+#REF!),0,#REF!)</f>
        <v>7806.5229625000002</v>
      </c>
      <c r="E55" s="23">
        <f>IF(ISERROR(+E51),0,E51)+IF(ISERROR(+#REF!),0,#REF!)</f>
        <v>65.714469669982606</v>
      </c>
      <c r="F55" s="28"/>
      <c r="G55" s="15"/>
      <c r="H55" s="14"/>
    </row>
    <row r="56" spans="1:8" s="21" customFormat="1" ht="14.25" x14ac:dyDescent="0.3">
      <c r="A56" s="16"/>
      <c r="B56" s="9"/>
      <c r="C56" s="24"/>
      <c r="D56" s="26"/>
      <c r="E56" s="26"/>
      <c r="F56" s="27"/>
      <c r="G56" s="15"/>
      <c r="H56" s="14"/>
    </row>
    <row r="57" spans="1:8" s="21" customFormat="1" ht="14.25" x14ac:dyDescent="0.3">
      <c r="A57" s="16" t="s">
        <v>125</v>
      </c>
      <c r="B57" s="9"/>
      <c r="C57" s="24"/>
      <c r="D57" s="26"/>
      <c r="E57" s="26"/>
      <c r="F57" s="27"/>
      <c r="G57" s="15"/>
      <c r="H57" s="14"/>
    </row>
    <row r="58" spans="1:8" s="21" customFormat="1" ht="14.25" x14ac:dyDescent="0.3">
      <c r="A58" s="16" t="s">
        <v>12</v>
      </c>
      <c r="B58" s="9"/>
      <c r="C58" s="24"/>
      <c r="D58" s="29"/>
      <c r="E58" s="29"/>
      <c r="F58" s="29"/>
      <c r="G58" s="15"/>
      <c r="H58" s="14"/>
    </row>
    <row r="59" spans="1:8" s="21" customFormat="1" ht="14.25" x14ac:dyDescent="0.3">
      <c r="A59" s="17" t="s">
        <v>126</v>
      </c>
      <c r="B59" s="18" t="s">
        <v>127</v>
      </c>
      <c r="C59" s="19">
        <v>50000</v>
      </c>
      <c r="D59" s="20">
        <v>499.589</v>
      </c>
      <c r="E59" s="20">
        <f>(+D59/$D$96*100)</f>
        <v>4.2054864048517713</v>
      </c>
      <c r="F59" s="20" t="s">
        <v>128</v>
      </c>
      <c r="G59" s="15">
        <v>8.0952000000000002</v>
      </c>
      <c r="H59" s="14"/>
    </row>
    <row r="60" spans="1:8" s="21" customFormat="1" ht="14.25" x14ac:dyDescent="0.3">
      <c r="A60" s="17" t="s">
        <v>129</v>
      </c>
      <c r="B60" s="18" t="s">
        <v>130</v>
      </c>
      <c r="C60" s="19">
        <v>50</v>
      </c>
      <c r="D60" s="20">
        <v>497.03899999999999</v>
      </c>
      <c r="E60" s="20">
        <f>(+D60/$D$96*100)</f>
        <v>4.1840207794429407</v>
      </c>
      <c r="F60" s="20" t="s">
        <v>131</v>
      </c>
      <c r="G60" s="15">
        <v>8.5650999999999993</v>
      </c>
      <c r="H60" s="14"/>
    </row>
    <row r="61" spans="1:8" s="21" customFormat="1" ht="14.25" x14ac:dyDescent="0.3">
      <c r="A61" s="16" t="s">
        <v>121</v>
      </c>
      <c r="B61" s="9"/>
      <c r="C61" s="30"/>
      <c r="D61" s="26">
        <f>IF(ISERROR(SUM(D59:D60)),0,SUM(D59:D60))</f>
        <v>996.62799999999993</v>
      </c>
      <c r="E61" s="26">
        <f>IF(ISERROR(SUM(E59:E60)),0,SUM(E59:E60))</f>
        <v>8.3895071842947111</v>
      </c>
      <c r="F61" s="26"/>
      <c r="G61" s="15"/>
      <c r="H61" s="14"/>
    </row>
    <row r="62" spans="1:8" s="21" customFormat="1" ht="14.25" x14ac:dyDescent="0.3">
      <c r="A62" s="16"/>
      <c r="B62" s="9"/>
      <c r="C62" s="30"/>
      <c r="D62" s="29"/>
      <c r="E62" s="29"/>
      <c r="F62" s="29"/>
      <c r="G62" s="15"/>
      <c r="H62" s="14"/>
    </row>
    <row r="63" spans="1:8" s="21" customFormat="1" ht="14.25" x14ac:dyDescent="0.3">
      <c r="A63" s="16" t="s">
        <v>132</v>
      </c>
      <c r="B63" s="9"/>
      <c r="C63" s="30"/>
      <c r="D63" s="26" t="s">
        <v>123</v>
      </c>
      <c r="E63" s="26" t="s">
        <v>123</v>
      </c>
      <c r="F63" s="27"/>
      <c r="G63" s="15"/>
      <c r="H63" s="14"/>
    </row>
    <row r="64" spans="1:8" s="21" customFormat="1" ht="14.25" x14ac:dyDescent="0.3">
      <c r="A64" s="16"/>
      <c r="B64" s="9"/>
      <c r="C64" s="30"/>
      <c r="D64" s="29"/>
      <c r="E64" s="29"/>
      <c r="F64" s="29"/>
      <c r="G64" s="15"/>
      <c r="H64" s="14"/>
    </row>
    <row r="65" spans="1:8" s="21" customFormat="1" ht="14.25" x14ac:dyDescent="0.3">
      <c r="A65" s="16" t="s">
        <v>124</v>
      </c>
      <c r="B65" s="9"/>
      <c r="C65" s="30"/>
      <c r="D65" s="26">
        <f>IF(ISERROR(+D61),0,D61)+IF(ISERROR(+#REF!),0,#REF!)+IF(ISERROR(+#REF!),0,#REF!)</f>
        <v>996.62799999999993</v>
      </c>
      <c r="E65" s="26">
        <f>IF(ISERROR(+E61),0,E61)+IF(ISERROR(+#REF!),0,#REF!)+IF(ISERROR(+#REF!),0,#REF!)</f>
        <v>8.3895071842947111</v>
      </c>
      <c r="F65" s="26">
        <f>IF(ISERROR(+F61),0,F61)+IF(ISERROR(+#REF!),0,#REF!)+IF(ISERROR(+#REF!),0,#REF!)</f>
        <v>0</v>
      </c>
      <c r="G65" s="15"/>
      <c r="H65" s="14"/>
    </row>
    <row r="66" spans="1:8" s="21" customFormat="1" ht="14.25" x14ac:dyDescent="0.3">
      <c r="A66" s="16"/>
      <c r="B66" s="9"/>
      <c r="C66" s="30"/>
      <c r="D66" s="26"/>
      <c r="E66" s="26"/>
      <c r="F66" s="26"/>
      <c r="G66" s="15"/>
      <c r="H66" s="14"/>
    </row>
    <row r="67" spans="1:8" s="21" customFormat="1" ht="14.25" x14ac:dyDescent="0.3">
      <c r="A67" s="16" t="s">
        <v>133</v>
      </c>
      <c r="B67" s="9"/>
      <c r="C67" s="30"/>
      <c r="D67" s="26"/>
      <c r="E67" s="26"/>
      <c r="F67" s="26"/>
      <c r="G67" s="15"/>
      <c r="H67" s="14"/>
    </row>
    <row r="68" spans="1:8" s="21" customFormat="1" ht="14.25" x14ac:dyDescent="0.3">
      <c r="A68" s="16"/>
      <c r="B68" s="9"/>
      <c r="C68" s="30"/>
      <c r="D68" s="20"/>
      <c r="E68" s="20"/>
      <c r="F68" s="31"/>
      <c r="G68" s="15"/>
      <c r="H68" s="14"/>
    </row>
    <row r="69" spans="1:8" s="21" customFormat="1" ht="14.25" x14ac:dyDescent="0.3">
      <c r="A69" s="16" t="s">
        <v>134</v>
      </c>
      <c r="B69" s="9"/>
      <c r="C69" s="30"/>
      <c r="D69" s="26" t="s">
        <v>123</v>
      </c>
      <c r="E69" s="26" t="s">
        <v>123</v>
      </c>
      <c r="F69" s="26"/>
      <c r="G69" s="15"/>
      <c r="H69" s="14"/>
    </row>
    <row r="70" spans="1:8" s="21" customFormat="1" ht="14.25" x14ac:dyDescent="0.3">
      <c r="A70" s="16"/>
      <c r="B70" s="9"/>
      <c r="C70" s="30"/>
      <c r="D70" s="26"/>
      <c r="E70" s="26"/>
      <c r="F70" s="26"/>
      <c r="G70" s="15"/>
      <c r="H70" s="14"/>
    </row>
    <row r="71" spans="1:8" s="21" customFormat="1" ht="14.25" x14ac:dyDescent="0.3">
      <c r="A71" s="16" t="s">
        <v>135</v>
      </c>
      <c r="B71" s="9"/>
      <c r="C71" s="30"/>
      <c r="D71" s="26" t="s">
        <v>123</v>
      </c>
      <c r="E71" s="26" t="s">
        <v>123</v>
      </c>
      <c r="F71" s="26"/>
      <c r="G71" s="15"/>
      <c r="H71" s="14"/>
    </row>
    <row r="72" spans="1:8" s="21" customFormat="1" ht="14.25" x14ac:dyDescent="0.3">
      <c r="A72" s="16"/>
      <c r="B72" s="9"/>
      <c r="C72" s="30"/>
      <c r="D72" s="26"/>
      <c r="E72" s="26"/>
      <c r="F72" s="26"/>
      <c r="G72" s="15"/>
      <c r="H72" s="14"/>
    </row>
    <row r="73" spans="1:8" s="21" customFormat="1" ht="14.25" x14ac:dyDescent="0.3">
      <c r="A73" s="16" t="s">
        <v>136</v>
      </c>
      <c r="B73" s="9"/>
      <c r="C73" s="30"/>
      <c r="D73" s="26"/>
      <c r="E73" s="26"/>
      <c r="F73" s="27"/>
      <c r="G73" s="15"/>
      <c r="H73" s="14"/>
    </row>
    <row r="74" spans="1:8" s="21" customFormat="1" ht="14.25" x14ac:dyDescent="0.3">
      <c r="A74" s="16" t="s">
        <v>137</v>
      </c>
      <c r="B74" s="18"/>
      <c r="C74" s="19"/>
      <c r="D74" s="20"/>
      <c r="E74" s="29"/>
      <c r="F74" s="32"/>
      <c r="G74" s="15"/>
      <c r="H74" s="14"/>
    </row>
    <row r="75" spans="1:8" s="21" customFormat="1" ht="14.25" x14ac:dyDescent="0.3">
      <c r="A75" s="17" t="s">
        <v>138</v>
      </c>
      <c r="B75" s="18" t="s">
        <v>139</v>
      </c>
      <c r="C75" s="19">
        <v>500000</v>
      </c>
      <c r="D75" s="20">
        <v>499.90699999999998</v>
      </c>
      <c r="E75" s="20">
        <f t="shared" ref="E75:E80" si="1">(+D75/$D$96*100)</f>
        <v>4.2081632946086369</v>
      </c>
      <c r="F75" s="20" t="s">
        <v>140</v>
      </c>
      <c r="G75" s="15">
        <v>6.7903000000000002</v>
      </c>
      <c r="H75" s="14"/>
    </row>
    <row r="76" spans="1:8" s="21" customFormat="1" ht="14.25" x14ac:dyDescent="0.3">
      <c r="A76" s="17" t="s">
        <v>141</v>
      </c>
      <c r="B76" s="18" t="s">
        <v>139</v>
      </c>
      <c r="C76" s="19">
        <v>500000</v>
      </c>
      <c r="D76" s="20">
        <v>495.35199999999998</v>
      </c>
      <c r="E76" s="20">
        <f t="shared" si="1"/>
        <v>4.1698197951038445</v>
      </c>
      <c r="F76" s="20" t="s">
        <v>142</v>
      </c>
      <c r="G76" s="15">
        <v>6.8498000000000001</v>
      </c>
      <c r="H76" s="14"/>
    </row>
    <row r="77" spans="1:8" s="21" customFormat="1" ht="14.25" x14ac:dyDescent="0.3">
      <c r="A77" s="17" t="s">
        <v>143</v>
      </c>
      <c r="B77" s="18" t="s">
        <v>139</v>
      </c>
      <c r="C77" s="19">
        <v>200000</v>
      </c>
      <c r="D77" s="20">
        <v>197.3588</v>
      </c>
      <c r="E77" s="20">
        <f t="shared" si="1"/>
        <v>1.6613451262494965</v>
      </c>
      <c r="F77" s="20" t="s">
        <v>144</v>
      </c>
      <c r="G77" s="15">
        <v>6.8799000000000001</v>
      </c>
      <c r="H77" s="14"/>
    </row>
    <row r="78" spans="1:8" s="21" customFormat="1" ht="14.25" x14ac:dyDescent="0.3">
      <c r="A78" s="17" t="s">
        <v>145</v>
      </c>
      <c r="B78" s="18" t="s">
        <v>139</v>
      </c>
      <c r="C78" s="19">
        <v>100000</v>
      </c>
      <c r="D78" s="20">
        <v>99.3309</v>
      </c>
      <c r="E78" s="20">
        <f t="shared" si="1"/>
        <v>0.83615681996939639</v>
      </c>
      <c r="F78" s="20" t="s">
        <v>146</v>
      </c>
      <c r="G78" s="15">
        <v>6.8296000000000001</v>
      </c>
      <c r="H78" s="14"/>
    </row>
    <row r="79" spans="1:8" s="21" customFormat="1" ht="14.25" x14ac:dyDescent="0.3">
      <c r="A79" s="17" t="s">
        <v>147</v>
      </c>
      <c r="B79" s="18" t="s">
        <v>139</v>
      </c>
      <c r="C79" s="19">
        <v>100000</v>
      </c>
      <c r="D79" s="20">
        <v>98.409400000000005</v>
      </c>
      <c r="E79" s="20">
        <f t="shared" si="1"/>
        <v>0.82839973219910756</v>
      </c>
      <c r="F79" s="20" t="s">
        <v>148</v>
      </c>
      <c r="G79" s="15">
        <v>6.8598999999999997</v>
      </c>
      <c r="H79" s="14"/>
    </row>
    <row r="80" spans="1:8" s="21" customFormat="1" ht="14.25" x14ac:dyDescent="0.3">
      <c r="A80" s="17" t="s">
        <v>149</v>
      </c>
      <c r="B80" s="18" t="s">
        <v>139</v>
      </c>
      <c r="C80" s="19">
        <v>100000</v>
      </c>
      <c r="D80" s="20">
        <v>97.750399999999999</v>
      </c>
      <c r="E80" s="20">
        <f t="shared" si="1"/>
        <v>0.82285234116208028</v>
      </c>
      <c r="F80" s="20" t="s">
        <v>150</v>
      </c>
      <c r="G80" s="15">
        <v>7</v>
      </c>
      <c r="H80" s="14"/>
    </row>
    <row r="81" spans="1:8" s="21" customFormat="1" ht="14.25" x14ac:dyDescent="0.3">
      <c r="A81" s="16" t="s">
        <v>121</v>
      </c>
      <c r="B81" s="33"/>
      <c r="C81" s="34"/>
      <c r="D81" s="26">
        <f>IF(ISERROR(SUM(D75:D80)),0,SUM(D75:D80))</f>
        <v>1488.1084999999998</v>
      </c>
      <c r="E81" s="26">
        <f>IF(ISERROR(SUM(E75:E80)),0,SUM(E75:E80))</f>
        <v>12.526737109292563</v>
      </c>
      <c r="F81" s="35"/>
      <c r="G81" s="15"/>
      <c r="H81" s="14"/>
    </row>
    <row r="82" spans="1:8" s="21" customFormat="1" ht="14.25" x14ac:dyDescent="0.3">
      <c r="A82" s="17" t="s">
        <v>151</v>
      </c>
      <c r="B82" s="18"/>
      <c r="C82" s="19">
        <v>0</v>
      </c>
      <c r="D82" s="20">
        <v>251.78276940000001</v>
      </c>
      <c r="E82" s="20">
        <f>(+D82/$D$96*100)</f>
        <v>2.1194802401326465</v>
      </c>
      <c r="F82" s="20" t="s">
        <v>152</v>
      </c>
      <c r="G82" s="15">
        <v>6.7571000000000003</v>
      </c>
      <c r="H82" s="14"/>
    </row>
    <row r="83" spans="1:8" s="21" customFormat="1" ht="14.25" x14ac:dyDescent="0.3">
      <c r="A83" s="16" t="s">
        <v>121</v>
      </c>
      <c r="B83" s="9"/>
      <c r="C83" s="30"/>
      <c r="D83" s="26">
        <f>IF(ISERROR(SUM(D82:D82)),0,SUM(D82:D82))</f>
        <v>251.78276940000001</v>
      </c>
      <c r="E83" s="26">
        <f>IF(ISERROR(SUM(E82:E82)),0,SUM(E82:E82))</f>
        <v>2.1194802401326465</v>
      </c>
      <c r="F83" s="20"/>
      <c r="G83" s="15"/>
      <c r="H83" s="14"/>
    </row>
    <row r="84" spans="1:8" s="21" customFormat="1" ht="14.25" x14ac:dyDescent="0.3">
      <c r="A84" s="16"/>
      <c r="B84" s="9"/>
      <c r="C84" s="30"/>
      <c r="D84" s="26"/>
      <c r="E84" s="26"/>
      <c r="F84" s="20"/>
      <c r="G84" s="15"/>
      <c r="H84" s="14"/>
    </row>
    <row r="85" spans="1:8" s="21" customFormat="1" ht="14.25" x14ac:dyDescent="0.3">
      <c r="A85" s="16" t="s">
        <v>153</v>
      </c>
      <c r="B85" s="9"/>
      <c r="C85" s="30"/>
      <c r="D85" s="26"/>
      <c r="E85" s="26"/>
      <c r="F85" s="26"/>
      <c r="G85" s="15"/>
      <c r="H85" s="14"/>
    </row>
    <row r="86" spans="1:8" s="21" customFormat="1" ht="14.25" x14ac:dyDescent="0.3">
      <c r="A86" s="17" t="s">
        <v>154</v>
      </c>
      <c r="B86" s="18" t="s">
        <v>155</v>
      </c>
      <c r="C86" s="19">
        <v>2016629.652</v>
      </c>
      <c r="D86" s="20">
        <v>1291.7581734775561</v>
      </c>
      <c r="E86" s="20">
        <f>(+D86/$D$96*100)</f>
        <v>10.873881204181874</v>
      </c>
      <c r="F86" s="20" t="s">
        <v>156</v>
      </c>
      <c r="G86" s="15"/>
      <c r="H86" s="14"/>
    </row>
    <row r="87" spans="1:8" s="21" customFormat="1" ht="14.25" x14ac:dyDescent="0.3">
      <c r="A87" s="16" t="s">
        <v>121</v>
      </c>
      <c r="B87" s="9"/>
      <c r="C87" s="30"/>
      <c r="D87" s="26">
        <f>IF(ISERROR(SUM(D86:D86)),0,SUM(D86:D86))</f>
        <v>1291.7581734775561</v>
      </c>
      <c r="E87" s="26">
        <f>IF(ISERROR(SUM(E86:E86)),0,SUM(E86:E86))</f>
        <v>10.873881204181874</v>
      </c>
      <c r="F87" s="36"/>
      <c r="G87" s="15"/>
      <c r="H87" s="14"/>
    </row>
    <row r="88" spans="1:8" s="21" customFormat="1" ht="14.25" x14ac:dyDescent="0.3">
      <c r="A88" s="16"/>
      <c r="B88" s="9"/>
      <c r="C88" s="30"/>
      <c r="D88" s="26"/>
      <c r="E88" s="26"/>
      <c r="F88" s="27"/>
      <c r="G88" s="15"/>
      <c r="H88" s="14"/>
    </row>
    <row r="89" spans="1:8" s="21" customFormat="1" ht="14.25" x14ac:dyDescent="0.3">
      <c r="A89" s="16" t="s">
        <v>124</v>
      </c>
      <c r="B89" s="9"/>
      <c r="C89" s="30" t="s">
        <v>157</v>
      </c>
      <c r="D89" s="26">
        <f>+IF(ISERROR(D65),0,D65)+IF(ISERROR(D83),0,D83)+IF(ISERROR(D55),0,D55)+IF(ISERROR(#REF!),0,#REF!)+IF(ISERROR(#REF!),0,#REF!)+IF(ISERROR(D81),0,D81)+IF(ISERROR(D87),0,D87)+IF(ISERROR(#REF!),0,#REF!)+IF(ISERROR(#REF!),0,#REF!)</f>
        <v>11834.800405377557</v>
      </c>
      <c r="E89" s="26">
        <f>+IF(ISERROR(E65),0,E65)+IF(ISERROR(E83),0,E83)+IF(ISERROR(E55),0,E55)+IF(ISERROR(#REF!),0,#REF!)+IF(ISERROR(#REF!),0,#REF!)+IF(ISERROR(E81),0,E81)+IF(ISERROR(E87),0,E87)+IF(ISERROR(#REF!),0,#REF!)+IF(ISERROR(#REF!),0,#REF!)</f>
        <v>99.624075407884405</v>
      </c>
      <c r="F89" s="26"/>
      <c r="G89" s="15"/>
      <c r="H89" s="14"/>
    </row>
    <row r="90" spans="1:8" s="21" customFormat="1" ht="14.25" x14ac:dyDescent="0.3">
      <c r="A90" s="16"/>
      <c r="B90" s="9"/>
      <c r="C90" s="30"/>
      <c r="D90" s="26"/>
      <c r="E90" s="26"/>
      <c r="F90" s="37"/>
      <c r="G90" s="38"/>
      <c r="H90" s="39"/>
    </row>
    <row r="91" spans="1:8" s="21" customFormat="1" ht="14.25" x14ac:dyDescent="0.3">
      <c r="A91" s="16" t="s">
        <v>158</v>
      </c>
      <c r="B91" s="9"/>
      <c r="C91" s="30"/>
      <c r="D91" s="26"/>
      <c r="E91" s="26"/>
      <c r="F91" s="37"/>
      <c r="G91" s="38"/>
      <c r="H91" s="39"/>
    </row>
    <row r="92" spans="1:8" s="21" customFormat="1" ht="14.25" x14ac:dyDescent="0.3">
      <c r="A92" s="18" t="s">
        <v>159</v>
      </c>
      <c r="B92" s="9"/>
      <c r="C92" s="30"/>
      <c r="D92" s="26">
        <f>10000000/100000</f>
        <v>100</v>
      </c>
      <c r="E92" s="26">
        <f>D92/$D$96*100</f>
        <v>0.84178923171882714</v>
      </c>
      <c r="F92" s="40"/>
      <c r="G92" s="41"/>
      <c r="H92" s="42"/>
    </row>
    <row r="93" spans="1:8" s="21" customFormat="1" ht="14.25" x14ac:dyDescent="0.3">
      <c r="A93" s="18"/>
      <c r="B93" s="9"/>
      <c r="C93" s="30"/>
      <c r="D93" s="26"/>
      <c r="E93" s="26"/>
      <c r="F93" s="40"/>
      <c r="G93" s="41"/>
      <c r="H93" s="42"/>
    </row>
    <row r="94" spans="1:8" s="21" customFormat="1" ht="14.25" x14ac:dyDescent="0.3">
      <c r="A94" s="16" t="s">
        <v>160</v>
      </c>
      <c r="B94" s="9"/>
      <c r="C94" s="30"/>
      <c r="D94" s="26">
        <f>+D96-D89-D92</f>
        <v>-55.342195177760004</v>
      </c>
      <c r="E94" s="26">
        <f>D94/$D$96*100</f>
        <v>-0.46586463960319968</v>
      </c>
      <c r="F94" s="40"/>
      <c r="G94" s="41"/>
      <c r="H94" s="42"/>
    </row>
    <row r="95" spans="1:8" s="21" customFormat="1" ht="14.25" x14ac:dyDescent="0.3">
      <c r="A95" s="16"/>
      <c r="B95" s="9"/>
      <c r="C95" s="30"/>
      <c r="D95" s="29"/>
      <c r="E95" s="29"/>
      <c r="F95" s="40"/>
      <c r="G95" s="41"/>
      <c r="H95" s="42"/>
    </row>
    <row r="96" spans="1:8" s="21" customFormat="1" ht="14.25" x14ac:dyDescent="0.3">
      <c r="A96" s="16" t="s">
        <v>161</v>
      </c>
      <c r="B96" s="9"/>
      <c r="C96" s="30"/>
      <c r="D96" s="26">
        <v>11879.458210199797</v>
      </c>
      <c r="E96" s="26">
        <f>+E89+E94+E92</f>
        <v>100.00000000000003</v>
      </c>
      <c r="F96" s="40"/>
      <c r="G96" s="41"/>
      <c r="H96" s="42"/>
    </row>
    <row r="97" spans="1:8" s="21" customFormat="1" ht="14.25" x14ac:dyDescent="0.3">
      <c r="A97" s="43"/>
      <c r="B97" s="44"/>
      <c r="C97" s="45"/>
      <c r="D97" s="37"/>
      <c r="E97" s="37"/>
      <c r="F97" s="46"/>
      <c r="G97" s="41"/>
      <c r="H97" s="42"/>
    </row>
    <row r="98" spans="1:8" s="21" customFormat="1" ht="14.25" x14ac:dyDescent="0.3">
      <c r="A98" s="43" t="s">
        <v>162</v>
      </c>
      <c r="B98" s="44"/>
      <c r="C98" s="45"/>
      <c r="D98" s="37"/>
      <c r="E98" s="37"/>
      <c r="F98" s="46"/>
      <c r="G98" s="41"/>
      <c r="H98" s="42"/>
    </row>
    <row r="99" spans="1:8" s="21" customFormat="1" ht="14.25" x14ac:dyDescent="0.3">
      <c r="A99" s="47"/>
      <c r="B99" s="48"/>
      <c r="C99" s="49"/>
      <c r="D99" s="50"/>
      <c r="E99" s="50"/>
      <c r="F99" s="46"/>
      <c r="G99" s="41"/>
      <c r="H99" s="42"/>
    </row>
    <row r="100" spans="1:8" s="21" customFormat="1" ht="13.5" x14ac:dyDescent="0.2">
      <c r="A100" s="51" t="s">
        <v>163</v>
      </c>
      <c r="B100" s="51"/>
      <c r="C100" s="51"/>
      <c r="D100" s="51"/>
      <c r="E100" s="51"/>
      <c r="F100" s="51"/>
      <c r="G100" s="51"/>
      <c r="H100" s="51"/>
    </row>
    <row r="101" spans="1:8" s="21" customFormat="1" ht="27" customHeight="1" x14ac:dyDescent="0.2">
      <c r="A101" s="51" t="s">
        <v>164</v>
      </c>
      <c r="B101" s="51"/>
      <c r="C101" s="51"/>
      <c r="D101" s="51"/>
      <c r="E101" s="51"/>
      <c r="F101" s="51"/>
      <c r="G101" s="51"/>
      <c r="H101" s="52"/>
    </row>
    <row r="102" spans="1:8" s="21" customFormat="1" ht="13.5" x14ac:dyDescent="0.2">
      <c r="A102" s="53" t="s">
        <v>165</v>
      </c>
      <c r="B102" s="53"/>
      <c r="C102" s="53"/>
      <c r="D102" s="53"/>
      <c r="E102" s="53"/>
      <c r="F102" s="53"/>
      <c r="G102" s="53"/>
      <c r="H102" s="52"/>
    </row>
    <row r="103" spans="1:8" ht="60.75" customHeight="1" x14ac:dyDescent="0.2">
      <c r="A103" s="54" t="s">
        <v>166</v>
      </c>
      <c r="B103" s="54"/>
      <c r="C103" s="54"/>
      <c r="D103" s="54"/>
      <c r="E103" s="54"/>
      <c r="F103" s="54"/>
      <c r="G103" s="54"/>
      <c r="H103" s="52"/>
    </row>
    <row r="104" spans="1:8" ht="18" customHeight="1" x14ac:dyDescent="0.2">
      <c r="A104" s="94"/>
      <c r="B104" s="94"/>
      <c r="C104" s="94"/>
      <c r="D104" s="94"/>
      <c r="E104" s="94"/>
      <c r="F104" s="94"/>
      <c r="G104" s="94"/>
      <c r="H104" s="95"/>
    </row>
    <row r="105" spans="1:8" ht="14.25" x14ac:dyDescent="0.3">
      <c r="A105" s="55" t="s">
        <v>167</v>
      </c>
      <c r="B105" s="48"/>
      <c r="C105" s="49"/>
      <c r="D105" s="50"/>
      <c r="E105" s="50"/>
      <c r="F105" s="46"/>
      <c r="G105" s="42"/>
      <c r="H105" s="42"/>
    </row>
    <row r="106" spans="1:8" ht="63.75" x14ac:dyDescent="0.3">
      <c r="A106" s="56" t="s">
        <v>168</v>
      </c>
      <c r="B106" s="57" t="s">
        <v>169</v>
      </c>
      <c r="C106" s="58" t="s">
        <v>5</v>
      </c>
      <c r="D106" s="56" t="s">
        <v>170</v>
      </c>
      <c r="E106" s="56" t="s">
        <v>171</v>
      </c>
      <c r="F106" s="56" t="s">
        <v>172</v>
      </c>
      <c r="G106" s="42"/>
      <c r="H106" s="42"/>
    </row>
    <row r="107" spans="1:8" ht="14.25" x14ac:dyDescent="0.3">
      <c r="A107" s="59" t="s">
        <v>173</v>
      </c>
      <c r="B107" s="60" t="s">
        <v>174</v>
      </c>
      <c r="C107" s="61">
        <v>37800</v>
      </c>
      <c r="D107" s="62">
        <v>172.86420000000001</v>
      </c>
      <c r="E107" s="63">
        <v>173.65</v>
      </c>
      <c r="F107" s="62">
        <v>13.752773999999999</v>
      </c>
      <c r="G107" s="42"/>
      <c r="H107" s="42"/>
    </row>
    <row r="108" spans="1:8" ht="14.25" x14ac:dyDescent="0.3">
      <c r="A108" s="59" t="s">
        <v>175</v>
      </c>
      <c r="B108" s="60" t="s">
        <v>174</v>
      </c>
      <c r="C108" s="61">
        <v>10500</v>
      </c>
      <c r="D108" s="62">
        <v>1925.0442857099999</v>
      </c>
      <c r="E108" s="63">
        <v>1896.75</v>
      </c>
      <c r="F108" s="62">
        <v>37.555638799999997</v>
      </c>
      <c r="G108" s="42"/>
      <c r="H108" s="42"/>
    </row>
    <row r="109" spans="1:8" ht="14.25" x14ac:dyDescent="0.3">
      <c r="A109" s="59" t="s">
        <v>176</v>
      </c>
      <c r="B109" s="60" t="s">
        <v>174</v>
      </c>
      <c r="C109" s="61">
        <v>600</v>
      </c>
      <c r="D109" s="62">
        <v>2969.75</v>
      </c>
      <c r="E109" s="63">
        <v>3008.8</v>
      </c>
      <c r="F109" s="62">
        <v>3.1924995000000003</v>
      </c>
      <c r="G109" s="42"/>
      <c r="H109" s="42"/>
    </row>
    <row r="110" spans="1:8" ht="14.25" x14ac:dyDescent="0.3">
      <c r="A110" s="59" t="s">
        <v>177</v>
      </c>
      <c r="B110" s="60" t="s">
        <v>174</v>
      </c>
      <c r="C110" s="61">
        <v>3300</v>
      </c>
      <c r="D110" s="62">
        <v>866.73329999999999</v>
      </c>
      <c r="E110" s="63">
        <v>852.75</v>
      </c>
      <c r="F110" s="62">
        <v>5.5212300000000001</v>
      </c>
      <c r="G110" s="42"/>
      <c r="H110" s="42"/>
    </row>
    <row r="111" spans="1:8" ht="14.25" x14ac:dyDescent="0.3">
      <c r="A111" s="59" t="s">
        <v>178</v>
      </c>
      <c r="B111" s="60" t="s">
        <v>174</v>
      </c>
      <c r="C111" s="61">
        <v>625</v>
      </c>
      <c r="D111" s="62">
        <v>965.01869999999997</v>
      </c>
      <c r="E111" s="63">
        <v>985.2</v>
      </c>
      <c r="F111" s="62">
        <v>1.0889724999999999</v>
      </c>
      <c r="G111" s="42"/>
      <c r="H111" s="42"/>
    </row>
    <row r="112" spans="1:8" ht="14.25" x14ac:dyDescent="0.3">
      <c r="A112" s="59" t="s">
        <v>179</v>
      </c>
      <c r="B112" s="60" t="s">
        <v>174</v>
      </c>
      <c r="C112" s="61">
        <v>4800</v>
      </c>
      <c r="D112" s="62">
        <v>410.35</v>
      </c>
      <c r="E112" s="63">
        <v>418.05</v>
      </c>
      <c r="F112" s="62">
        <v>4.5063084</v>
      </c>
      <c r="G112" s="42"/>
      <c r="H112" s="42"/>
    </row>
    <row r="113" spans="1:8" ht="14.25" x14ac:dyDescent="0.3">
      <c r="A113" s="59" t="s">
        <v>180</v>
      </c>
      <c r="B113" s="60" t="s">
        <v>174</v>
      </c>
      <c r="C113" s="61">
        <v>11200</v>
      </c>
      <c r="D113" s="62">
        <v>416.59284286000002</v>
      </c>
      <c r="E113" s="63">
        <v>415.25</v>
      </c>
      <c r="F113" s="62">
        <v>10.514719599999999</v>
      </c>
      <c r="G113" s="42"/>
      <c r="H113" s="42"/>
    </row>
    <row r="114" spans="1:8" ht="14.25" x14ac:dyDescent="0.3">
      <c r="A114" s="59" t="s">
        <v>181</v>
      </c>
      <c r="B114" s="60" t="s">
        <v>174</v>
      </c>
      <c r="C114" s="61">
        <v>42500</v>
      </c>
      <c r="D114" s="62">
        <v>215.07050000000001</v>
      </c>
      <c r="E114" s="63">
        <v>216.65</v>
      </c>
      <c r="F114" s="62">
        <v>19.950288869863012</v>
      </c>
      <c r="G114" s="42"/>
      <c r="H114" s="42"/>
    </row>
    <row r="115" spans="1:8" ht="14.25" x14ac:dyDescent="0.3">
      <c r="A115" s="59" t="s">
        <v>182</v>
      </c>
      <c r="B115" s="60" t="s">
        <v>174</v>
      </c>
      <c r="C115" s="61">
        <v>140000</v>
      </c>
      <c r="D115" s="62">
        <v>221.26783392999999</v>
      </c>
      <c r="E115" s="63">
        <v>215.3</v>
      </c>
      <c r="F115" s="62">
        <v>65.718598630136981</v>
      </c>
      <c r="G115" s="42"/>
      <c r="H115" s="42"/>
    </row>
    <row r="116" spans="1:8" ht="14.25" x14ac:dyDescent="0.3">
      <c r="A116" s="59" t="s">
        <v>183</v>
      </c>
      <c r="B116" s="60" t="s">
        <v>174</v>
      </c>
      <c r="C116" s="61">
        <v>157950</v>
      </c>
      <c r="D116" s="62">
        <v>192.80550002999999</v>
      </c>
      <c r="E116" s="63">
        <v>198.7</v>
      </c>
      <c r="F116" s="62">
        <v>67.988189090322578</v>
      </c>
      <c r="G116" s="42"/>
      <c r="H116" s="42"/>
    </row>
    <row r="117" spans="1:8" ht="14.25" x14ac:dyDescent="0.3">
      <c r="A117" s="59" t="s">
        <v>184</v>
      </c>
      <c r="B117" s="60" t="s">
        <v>174</v>
      </c>
      <c r="C117" s="61">
        <v>23400</v>
      </c>
      <c r="D117" s="62">
        <v>195.53749999999999</v>
      </c>
      <c r="E117" s="63">
        <v>197.4</v>
      </c>
      <c r="F117" s="62">
        <v>10.072324309677418</v>
      </c>
      <c r="G117" s="42"/>
      <c r="H117" s="42"/>
    </row>
    <row r="118" spans="1:8" ht="14.25" x14ac:dyDescent="0.3">
      <c r="A118" s="59" t="s">
        <v>185</v>
      </c>
      <c r="B118" s="60" t="s">
        <v>174</v>
      </c>
      <c r="C118" s="61">
        <v>22500</v>
      </c>
      <c r="D118" s="62">
        <v>227.88329999999999</v>
      </c>
      <c r="E118" s="63">
        <v>222.3</v>
      </c>
      <c r="F118" s="62">
        <v>9.6264000000000003</v>
      </c>
      <c r="G118" s="42"/>
      <c r="H118" s="42"/>
    </row>
    <row r="119" spans="1:8" ht="14.25" x14ac:dyDescent="0.3">
      <c r="A119" s="59" t="s">
        <v>186</v>
      </c>
      <c r="B119" s="60" t="s">
        <v>174</v>
      </c>
      <c r="C119" s="61">
        <v>41400</v>
      </c>
      <c r="D119" s="62">
        <v>341.42173912999999</v>
      </c>
      <c r="E119" s="63">
        <v>351.6</v>
      </c>
      <c r="F119" s="62">
        <v>25.683628500000001</v>
      </c>
      <c r="G119" s="42"/>
      <c r="H119" s="42"/>
    </row>
    <row r="120" spans="1:8" ht="14.25" x14ac:dyDescent="0.3">
      <c r="A120" s="59" t="s">
        <v>187</v>
      </c>
      <c r="B120" s="60" t="s">
        <v>174</v>
      </c>
      <c r="C120" s="61">
        <v>16200</v>
      </c>
      <c r="D120" s="62">
        <v>384.7833</v>
      </c>
      <c r="E120" s="63">
        <v>386.7</v>
      </c>
      <c r="F120" s="62">
        <v>14.9716553</v>
      </c>
      <c r="G120" s="42"/>
      <c r="H120" s="42"/>
    </row>
    <row r="121" spans="1:8" ht="14.25" x14ac:dyDescent="0.3">
      <c r="A121" s="59" t="s">
        <v>188</v>
      </c>
      <c r="B121" s="60" t="s">
        <v>174</v>
      </c>
      <c r="C121" s="61">
        <v>1950</v>
      </c>
      <c r="D121" s="62">
        <v>728.2</v>
      </c>
      <c r="E121" s="63">
        <v>768.85</v>
      </c>
      <c r="F121" s="62">
        <v>3.315785</v>
      </c>
      <c r="G121" s="42"/>
      <c r="H121" s="42"/>
    </row>
    <row r="122" spans="1:8" ht="14.25" x14ac:dyDescent="0.3">
      <c r="A122" s="59" t="s">
        <v>189</v>
      </c>
      <c r="B122" s="60" t="s">
        <v>174</v>
      </c>
      <c r="C122" s="61">
        <v>3250</v>
      </c>
      <c r="D122" s="62">
        <v>1188.2</v>
      </c>
      <c r="E122" s="63">
        <v>1205.1500000000001</v>
      </c>
      <c r="F122" s="62">
        <v>6.9262424999999999</v>
      </c>
      <c r="G122" s="42"/>
      <c r="H122" s="42"/>
    </row>
    <row r="123" spans="1:8" ht="14.25" x14ac:dyDescent="0.3">
      <c r="A123" s="59" t="s">
        <v>190</v>
      </c>
      <c r="B123" s="60" t="s">
        <v>174</v>
      </c>
      <c r="C123" s="61">
        <v>10000</v>
      </c>
      <c r="D123" s="62">
        <v>131.4</v>
      </c>
      <c r="E123" s="63">
        <v>140.05000000000001</v>
      </c>
      <c r="F123" s="62">
        <v>3.0911437500000001</v>
      </c>
      <c r="G123" s="42"/>
      <c r="H123" s="42"/>
    </row>
    <row r="124" spans="1:8" ht="14.25" x14ac:dyDescent="0.3">
      <c r="A124" s="59" t="s">
        <v>191</v>
      </c>
      <c r="B124" s="60" t="s">
        <v>174</v>
      </c>
      <c r="C124" s="61">
        <v>30000</v>
      </c>
      <c r="D124" s="62">
        <v>133.4333</v>
      </c>
      <c r="E124" s="63">
        <v>139.1</v>
      </c>
      <c r="F124" s="62">
        <v>9.2734312499999998</v>
      </c>
      <c r="G124" s="42"/>
      <c r="H124" s="42"/>
    </row>
    <row r="125" spans="1:8" ht="14.25" x14ac:dyDescent="0.3">
      <c r="A125" s="59" t="s">
        <v>192</v>
      </c>
      <c r="B125" s="60" t="s">
        <v>174</v>
      </c>
      <c r="C125" s="61">
        <v>1875</v>
      </c>
      <c r="D125" s="62">
        <v>5459.3233013299996</v>
      </c>
      <c r="E125" s="63">
        <v>5435.2</v>
      </c>
      <c r="F125" s="62">
        <v>17.981334399999998</v>
      </c>
      <c r="G125" s="42"/>
      <c r="H125" s="42"/>
    </row>
    <row r="126" spans="1:8" ht="14.25" x14ac:dyDescent="0.3">
      <c r="A126" s="59" t="s">
        <v>193</v>
      </c>
      <c r="B126" s="60" t="s">
        <v>174</v>
      </c>
      <c r="C126" s="61">
        <v>7200</v>
      </c>
      <c r="D126" s="62">
        <v>252.15</v>
      </c>
      <c r="E126" s="63">
        <v>257.10000000000002</v>
      </c>
      <c r="F126" s="62">
        <v>3.2669100000000002</v>
      </c>
      <c r="G126" s="42"/>
      <c r="H126" s="42"/>
    </row>
    <row r="127" spans="1:8" ht="14.25" x14ac:dyDescent="0.3">
      <c r="A127" s="59" t="s">
        <v>194</v>
      </c>
      <c r="B127" s="60" t="s">
        <v>174</v>
      </c>
      <c r="C127" s="61">
        <v>30000</v>
      </c>
      <c r="D127" s="62">
        <v>143.7833</v>
      </c>
      <c r="E127" s="63">
        <v>141.1</v>
      </c>
      <c r="F127" s="62">
        <v>7.9184999999999999</v>
      </c>
      <c r="G127" s="42"/>
      <c r="H127" s="42"/>
    </row>
    <row r="128" spans="1:8" ht="14.25" x14ac:dyDescent="0.3">
      <c r="A128" s="59" t="s">
        <v>195</v>
      </c>
      <c r="B128" s="60" t="s">
        <v>174</v>
      </c>
      <c r="C128" s="61">
        <v>146400</v>
      </c>
      <c r="D128" s="62">
        <v>122.6468</v>
      </c>
      <c r="E128" s="63">
        <v>120.1</v>
      </c>
      <c r="F128" s="62">
        <v>31.073766000000003</v>
      </c>
      <c r="G128" s="42"/>
      <c r="H128" s="42"/>
    </row>
    <row r="129" spans="1:8" ht="27" x14ac:dyDescent="0.3">
      <c r="A129" s="59" t="s">
        <v>196</v>
      </c>
      <c r="B129" s="60" t="s">
        <v>174</v>
      </c>
      <c r="C129" s="61">
        <v>1300</v>
      </c>
      <c r="D129" s="62">
        <v>671.5</v>
      </c>
      <c r="E129" s="63">
        <v>695.5</v>
      </c>
      <c r="F129" s="62">
        <v>2.7855684999999997</v>
      </c>
      <c r="G129" s="42"/>
      <c r="H129" s="42"/>
    </row>
    <row r="130" spans="1:8" ht="14.25" x14ac:dyDescent="0.3">
      <c r="A130" s="59" t="s">
        <v>197</v>
      </c>
      <c r="B130" s="60" t="s">
        <v>174</v>
      </c>
      <c r="C130" s="61">
        <v>10000</v>
      </c>
      <c r="D130" s="62">
        <v>328.49</v>
      </c>
      <c r="E130" s="63">
        <v>329.4</v>
      </c>
      <c r="F130" s="62">
        <v>6.6481845588235293</v>
      </c>
      <c r="G130" s="42"/>
      <c r="H130" s="42"/>
    </row>
    <row r="131" spans="1:8" ht="14.25" x14ac:dyDescent="0.3">
      <c r="A131" s="59" t="s">
        <v>198</v>
      </c>
      <c r="B131" s="60" t="s">
        <v>174</v>
      </c>
      <c r="C131" s="61">
        <v>58000</v>
      </c>
      <c r="D131" s="62">
        <v>328.53448276</v>
      </c>
      <c r="E131" s="63">
        <v>327.35000000000002</v>
      </c>
      <c r="F131" s="62">
        <v>38.559470441176472</v>
      </c>
      <c r="G131" s="42"/>
      <c r="H131" s="42"/>
    </row>
    <row r="132" spans="1:8" ht="14.25" x14ac:dyDescent="0.3">
      <c r="A132" s="59" t="s">
        <v>199</v>
      </c>
      <c r="B132" s="60" t="s">
        <v>174</v>
      </c>
      <c r="C132" s="61">
        <v>72050</v>
      </c>
      <c r="D132" s="62">
        <v>1501.2251618299999</v>
      </c>
      <c r="E132" s="63">
        <v>1484.65</v>
      </c>
      <c r="F132" s="62">
        <v>188.88303780000001</v>
      </c>
      <c r="G132" s="42"/>
      <c r="H132" s="42"/>
    </row>
    <row r="133" spans="1:8" ht="14.25" x14ac:dyDescent="0.3">
      <c r="A133" s="59" t="s">
        <v>200</v>
      </c>
      <c r="B133" s="60" t="s">
        <v>174</v>
      </c>
      <c r="C133" s="61">
        <v>121900</v>
      </c>
      <c r="D133" s="62">
        <v>145.55654347999999</v>
      </c>
      <c r="E133" s="63">
        <v>143.80000000000001</v>
      </c>
      <c r="F133" s="62">
        <v>46.516430499999998</v>
      </c>
      <c r="G133" s="42"/>
      <c r="H133" s="42"/>
    </row>
    <row r="134" spans="1:8" ht="14.25" x14ac:dyDescent="0.3">
      <c r="A134" s="59" t="s">
        <v>201</v>
      </c>
      <c r="B134" s="60" t="s">
        <v>174</v>
      </c>
      <c r="C134" s="61">
        <v>81000</v>
      </c>
      <c r="D134" s="62">
        <v>248.7867</v>
      </c>
      <c r="E134" s="62">
        <v>249.45</v>
      </c>
      <c r="F134" s="62">
        <v>39.336030000000001</v>
      </c>
      <c r="G134" s="42"/>
      <c r="H134" s="42"/>
    </row>
    <row r="135" spans="1:8" ht="14.25" x14ac:dyDescent="0.3">
      <c r="A135" s="59" t="s">
        <v>202</v>
      </c>
      <c r="B135" s="60" t="s">
        <v>174</v>
      </c>
      <c r="C135" s="61">
        <v>9100</v>
      </c>
      <c r="D135" s="62">
        <v>925.68846154000005</v>
      </c>
      <c r="E135" s="62">
        <v>926.7</v>
      </c>
      <c r="F135" s="62">
        <v>14.857251499999999</v>
      </c>
      <c r="G135" s="42"/>
      <c r="H135" s="42"/>
    </row>
    <row r="136" spans="1:8" ht="14.25" x14ac:dyDescent="0.3">
      <c r="A136" s="59" t="s">
        <v>203</v>
      </c>
      <c r="B136" s="60" t="s">
        <v>174</v>
      </c>
      <c r="C136" s="61">
        <v>3500</v>
      </c>
      <c r="D136" s="62">
        <v>947.88</v>
      </c>
      <c r="E136" s="62">
        <v>921.35</v>
      </c>
      <c r="F136" s="62">
        <v>5.7143274999999996</v>
      </c>
      <c r="G136" s="42"/>
      <c r="H136" s="42"/>
    </row>
    <row r="137" spans="1:8" ht="14.25" x14ac:dyDescent="0.3">
      <c r="A137" s="59" t="s">
        <v>204</v>
      </c>
      <c r="B137" s="60" t="s">
        <v>174</v>
      </c>
      <c r="C137" s="61">
        <v>8160000</v>
      </c>
      <c r="D137" s="62">
        <v>11.28383627</v>
      </c>
      <c r="E137" s="62">
        <v>12.05</v>
      </c>
      <c r="F137" s="62">
        <v>322.46280000000002</v>
      </c>
      <c r="G137" s="42"/>
      <c r="H137" s="42"/>
    </row>
    <row r="138" spans="1:8" ht="14.25" x14ac:dyDescent="0.3">
      <c r="A138" s="59" t="s">
        <v>205</v>
      </c>
      <c r="B138" s="60" t="s">
        <v>174</v>
      </c>
      <c r="C138" s="61">
        <v>50000</v>
      </c>
      <c r="D138" s="62">
        <v>119.84</v>
      </c>
      <c r="E138" s="62">
        <v>115.55</v>
      </c>
      <c r="F138" s="62">
        <v>12.411250000000001</v>
      </c>
      <c r="G138" s="42"/>
      <c r="H138" s="42"/>
    </row>
    <row r="139" spans="1:8" ht="14.25" x14ac:dyDescent="0.3">
      <c r="A139" s="59" t="s">
        <v>206</v>
      </c>
      <c r="B139" s="60" t="s">
        <v>174</v>
      </c>
      <c r="C139" s="61">
        <v>22500</v>
      </c>
      <c r="D139" s="62">
        <v>125.2666</v>
      </c>
      <c r="E139" s="62">
        <v>127.1</v>
      </c>
      <c r="F139" s="62">
        <v>6.1774874999999998</v>
      </c>
      <c r="G139" s="42"/>
      <c r="H139" s="42"/>
    </row>
    <row r="140" spans="1:8" ht="14.25" x14ac:dyDescent="0.3">
      <c r="A140" s="59" t="s">
        <v>207</v>
      </c>
      <c r="B140" s="60" t="s">
        <v>174</v>
      </c>
      <c r="C140" s="61">
        <v>76000</v>
      </c>
      <c r="D140" s="62">
        <v>380.95260000000002</v>
      </c>
      <c r="E140" s="62">
        <v>387.7</v>
      </c>
      <c r="F140" s="62">
        <v>56.982709999999997</v>
      </c>
      <c r="G140" s="42"/>
      <c r="H140" s="42"/>
    </row>
    <row r="141" spans="1:8" ht="14.25" x14ac:dyDescent="0.3">
      <c r="A141" s="59" t="s">
        <v>208</v>
      </c>
      <c r="B141" s="60" t="s">
        <v>174</v>
      </c>
      <c r="C141" s="61">
        <v>14500</v>
      </c>
      <c r="D141" s="62">
        <v>217.82</v>
      </c>
      <c r="E141" s="62">
        <v>210.65</v>
      </c>
      <c r="F141" s="62">
        <v>7.9378799999999998</v>
      </c>
      <c r="G141" s="42"/>
      <c r="H141" s="42"/>
    </row>
    <row r="142" spans="1:8" ht="14.25" x14ac:dyDescent="0.3">
      <c r="A142" s="59" t="s">
        <v>209</v>
      </c>
      <c r="B142" s="60" t="s">
        <v>174</v>
      </c>
      <c r="C142" s="61">
        <v>85000</v>
      </c>
      <c r="D142" s="62">
        <v>179.61802</v>
      </c>
      <c r="E142" s="62">
        <v>173.5</v>
      </c>
      <c r="F142" s="62">
        <v>34.242674999999998</v>
      </c>
      <c r="G142" s="42"/>
      <c r="H142" s="42"/>
    </row>
    <row r="143" spans="1:8" ht="14.25" x14ac:dyDescent="0.3">
      <c r="A143" s="59" t="s">
        <v>210</v>
      </c>
      <c r="B143" s="60" t="s">
        <v>174</v>
      </c>
      <c r="C143" s="61">
        <v>2800</v>
      </c>
      <c r="D143" s="62">
        <v>1762.05</v>
      </c>
      <c r="E143" s="62">
        <v>1745.55</v>
      </c>
      <c r="F143" s="62">
        <v>8.6440760000000001</v>
      </c>
      <c r="G143" s="42"/>
      <c r="H143" s="42"/>
    </row>
    <row r="144" spans="1:8" ht="14.25" x14ac:dyDescent="0.3">
      <c r="A144" s="59" t="s">
        <v>211</v>
      </c>
      <c r="B144" s="60" t="s">
        <v>174</v>
      </c>
      <c r="C144" s="61">
        <v>28000</v>
      </c>
      <c r="D144" s="62">
        <v>441.36068570999998</v>
      </c>
      <c r="E144" s="62">
        <v>464.25</v>
      </c>
      <c r="F144" s="62">
        <v>25.739112394366199</v>
      </c>
      <c r="G144" s="42"/>
      <c r="H144" s="42"/>
    </row>
    <row r="145" spans="1:8" ht="14.25" x14ac:dyDescent="0.3">
      <c r="A145" s="59" t="s">
        <v>212</v>
      </c>
      <c r="B145" s="60" t="s">
        <v>174</v>
      </c>
      <c r="C145" s="61">
        <v>114000</v>
      </c>
      <c r="D145" s="62">
        <v>454.81755263000002</v>
      </c>
      <c r="E145" s="62">
        <v>461.65</v>
      </c>
      <c r="F145" s="62">
        <v>104.79495760563381</v>
      </c>
      <c r="G145" s="42"/>
      <c r="H145" s="42"/>
    </row>
    <row r="146" spans="1:8" ht="14.25" x14ac:dyDescent="0.3">
      <c r="A146" s="59" t="s">
        <v>213</v>
      </c>
      <c r="B146" s="60" t="s">
        <v>174</v>
      </c>
      <c r="C146" s="61">
        <v>900</v>
      </c>
      <c r="D146" s="62">
        <v>2911.15</v>
      </c>
      <c r="E146" s="62">
        <v>2960.15</v>
      </c>
      <c r="F146" s="62">
        <v>4.7074499999999997</v>
      </c>
      <c r="G146" s="42"/>
      <c r="H146" s="42"/>
    </row>
    <row r="147" spans="1:8" ht="14.25" x14ac:dyDescent="0.3">
      <c r="A147" s="59" t="s">
        <v>214</v>
      </c>
      <c r="B147" s="60" t="s">
        <v>174</v>
      </c>
      <c r="C147" s="61">
        <v>4200</v>
      </c>
      <c r="D147" s="62">
        <v>1520.4583</v>
      </c>
      <c r="E147" s="62">
        <v>1468.1</v>
      </c>
      <c r="F147" s="62">
        <v>10.8855705</v>
      </c>
      <c r="G147" s="42"/>
      <c r="H147" s="42"/>
    </row>
    <row r="148" spans="1:8" ht="14.25" x14ac:dyDescent="0.3">
      <c r="A148" s="59" t="s">
        <v>215</v>
      </c>
      <c r="B148" s="60" t="s">
        <v>174</v>
      </c>
      <c r="C148" s="61">
        <v>25200</v>
      </c>
      <c r="D148" s="62">
        <v>1028.4569333300001</v>
      </c>
      <c r="E148" s="62">
        <v>1033.8</v>
      </c>
      <c r="F148" s="62">
        <v>46.170305999999997</v>
      </c>
      <c r="G148" s="42"/>
      <c r="H148" s="42"/>
    </row>
    <row r="149" spans="1:8" ht="14.25" x14ac:dyDescent="0.3">
      <c r="A149" s="59" t="s">
        <v>216</v>
      </c>
      <c r="B149" s="60" t="s">
        <v>174</v>
      </c>
      <c r="C149" s="61">
        <v>45000</v>
      </c>
      <c r="D149" s="62">
        <v>91.669534780000006</v>
      </c>
      <c r="E149" s="62">
        <v>92.9</v>
      </c>
      <c r="F149" s="62">
        <v>9.4543874999999993</v>
      </c>
      <c r="G149" s="42"/>
      <c r="H149" s="42"/>
    </row>
    <row r="150" spans="1:8" ht="14.25" x14ac:dyDescent="0.3">
      <c r="A150" s="59" t="s">
        <v>217</v>
      </c>
      <c r="B150" s="60" t="s">
        <v>174</v>
      </c>
      <c r="C150" s="61">
        <v>135000</v>
      </c>
      <c r="D150" s="62">
        <v>152.245</v>
      </c>
      <c r="E150" s="62">
        <v>156.15</v>
      </c>
      <c r="F150" s="62">
        <v>45.534487499999997</v>
      </c>
      <c r="G150" s="42"/>
      <c r="H150" s="42"/>
    </row>
    <row r="151" spans="1:8" ht="14.25" x14ac:dyDescent="0.3">
      <c r="A151" s="59" t="s">
        <v>218</v>
      </c>
      <c r="B151" s="60" t="s">
        <v>174</v>
      </c>
      <c r="C151" s="61">
        <v>1250</v>
      </c>
      <c r="D151" s="62">
        <v>2327.06</v>
      </c>
      <c r="E151" s="62">
        <v>2472.4</v>
      </c>
      <c r="F151" s="62">
        <v>5.4575937999999997</v>
      </c>
      <c r="G151" s="42"/>
      <c r="H151" s="42"/>
    </row>
    <row r="152" spans="1:8" ht="14.25" x14ac:dyDescent="0.3">
      <c r="A152" s="59" t="s">
        <v>219</v>
      </c>
      <c r="B152" s="60" t="s">
        <v>174</v>
      </c>
      <c r="C152" s="61">
        <v>128000</v>
      </c>
      <c r="D152" s="62">
        <v>75.3</v>
      </c>
      <c r="E152" s="62">
        <v>73.349999999999994</v>
      </c>
      <c r="F152" s="62">
        <v>23.940480000000001</v>
      </c>
      <c r="G152" s="42"/>
      <c r="H152" s="42"/>
    </row>
    <row r="153" spans="1:8" ht="14.25" x14ac:dyDescent="0.3">
      <c r="A153" s="59" t="s">
        <v>220</v>
      </c>
      <c r="B153" s="60" t="s">
        <v>174</v>
      </c>
      <c r="C153" s="61">
        <v>8750</v>
      </c>
      <c r="D153" s="62">
        <v>2349.1556399999999</v>
      </c>
      <c r="E153" s="62">
        <v>2316.85</v>
      </c>
      <c r="F153" s="62">
        <v>35.610782407407406</v>
      </c>
      <c r="G153" s="42"/>
      <c r="H153" s="42"/>
    </row>
    <row r="154" spans="1:8" ht="14.25" x14ac:dyDescent="0.3">
      <c r="A154" s="59" t="s">
        <v>221</v>
      </c>
      <c r="B154" s="60" t="s">
        <v>174</v>
      </c>
      <c r="C154" s="61">
        <v>25000</v>
      </c>
      <c r="D154" s="62">
        <v>2274.53253679</v>
      </c>
      <c r="E154" s="62">
        <v>2302.6</v>
      </c>
      <c r="F154" s="62">
        <v>101.7450925925926</v>
      </c>
      <c r="G154" s="42"/>
      <c r="H154" s="42"/>
    </row>
    <row r="155" spans="1:8" ht="14.25" x14ac:dyDescent="0.3">
      <c r="A155" s="59" t="s">
        <v>222</v>
      </c>
      <c r="B155" s="60" t="s">
        <v>174</v>
      </c>
      <c r="C155" s="61">
        <v>87750</v>
      </c>
      <c r="D155" s="62">
        <v>239.67884615</v>
      </c>
      <c r="E155" s="62">
        <v>240.5</v>
      </c>
      <c r="F155" s="62">
        <v>40.845869999999998</v>
      </c>
      <c r="G155" s="42"/>
      <c r="H155" s="42"/>
    </row>
    <row r="156" spans="1:8" ht="14.25" x14ac:dyDescent="0.3">
      <c r="A156" s="59" t="s">
        <v>223</v>
      </c>
      <c r="B156" s="60" t="s">
        <v>174</v>
      </c>
      <c r="C156" s="61">
        <v>375</v>
      </c>
      <c r="D156" s="62">
        <v>3141.65</v>
      </c>
      <c r="E156" s="62">
        <v>3204.05</v>
      </c>
      <c r="F156" s="62">
        <v>2.1244858999999998</v>
      </c>
      <c r="G156" s="42"/>
      <c r="H156" s="42"/>
    </row>
    <row r="157" spans="1:8" ht="14.25" x14ac:dyDescent="0.3">
      <c r="A157" s="59" t="s">
        <v>224</v>
      </c>
      <c r="B157" s="60" t="s">
        <v>174</v>
      </c>
      <c r="C157" s="61">
        <v>1500</v>
      </c>
      <c r="D157" s="62">
        <v>1899.1</v>
      </c>
      <c r="E157" s="62">
        <v>1937</v>
      </c>
      <c r="F157" s="62">
        <v>5.1295500000000001</v>
      </c>
      <c r="G157" s="42"/>
      <c r="H157" s="42"/>
    </row>
    <row r="158" spans="1:8" ht="14.25" x14ac:dyDescent="0.3">
      <c r="A158" s="59" t="s">
        <v>225</v>
      </c>
      <c r="B158" s="60" t="s">
        <v>174</v>
      </c>
      <c r="C158" s="61">
        <v>87000</v>
      </c>
      <c r="D158" s="62">
        <v>245.70519999999999</v>
      </c>
      <c r="E158" s="62">
        <v>260.35000000000002</v>
      </c>
      <c r="F158" s="62">
        <v>64.069627499999996</v>
      </c>
      <c r="G158" s="42"/>
      <c r="H158" s="42"/>
    </row>
    <row r="160" spans="1:8" ht="14.25" x14ac:dyDescent="0.3">
      <c r="A160" s="64" t="s">
        <v>226</v>
      </c>
      <c r="B160" s="65"/>
      <c r="C160" s="66"/>
      <c r="D160" s="42"/>
    </row>
    <row r="161" spans="1:7" ht="14.25" x14ac:dyDescent="0.3">
      <c r="A161" s="67"/>
      <c r="B161" s="48"/>
      <c r="C161" s="68"/>
      <c r="D161" s="42"/>
    </row>
    <row r="162" spans="1:7" ht="14.25" x14ac:dyDescent="0.3">
      <c r="A162" s="69" t="s">
        <v>227</v>
      </c>
      <c r="B162" s="69"/>
      <c r="C162" s="69"/>
      <c r="D162" s="70"/>
    </row>
    <row r="163" spans="1:7" x14ac:dyDescent="0.2">
      <c r="A163" s="71" t="s">
        <v>228</v>
      </c>
      <c r="B163" s="72"/>
      <c r="C163" s="72"/>
      <c r="D163" s="73"/>
    </row>
    <row r="164" spans="1:7" ht="14.25" x14ac:dyDescent="0.3">
      <c r="A164" s="74" t="s">
        <v>229</v>
      </c>
      <c r="B164" s="74"/>
      <c r="C164" s="74"/>
      <c r="D164" s="75">
        <v>1363</v>
      </c>
      <c r="G164" s="76"/>
    </row>
    <row r="165" spans="1:7" ht="14.25" x14ac:dyDescent="0.3">
      <c r="A165" s="74" t="s">
        <v>230</v>
      </c>
      <c r="B165" s="74"/>
      <c r="C165" s="74"/>
      <c r="D165" s="75">
        <v>1328</v>
      </c>
      <c r="G165" s="76"/>
    </row>
    <row r="166" spans="1:7" ht="14.25" x14ac:dyDescent="0.3">
      <c r="A166" s="74" t="s">
        <v>231</v>
      </c>
      <c r="B166" s="74"/>
      <c r="C166" s="74"/>
      <c r="D166" s="62">
        <v>9946.2289535500004</v>
      </c>
    </row>
    <row r="167" spans="1:7" ht="14.25" x14ac:dyDescent="0.3">
      <c r="A167" s="74" t="s">
        <v>232</v>
      </c>
      <c r="B167" s="74"/>
      <c r="C167" s="74"/>
      <c r="D167" s="62">
        <v>9901.9558462000005</v>
      </c>
    </row>
    <row r="168" spans="1:7" ht="14.25" x14ac:dyDescent="0.3">
      <c r="A168" s="74" t="s">
        <v>233</v>
      </c>
      <c r="B168" s="74"/>
      <c r="C168" s="74"/>
      <c r="D168" s="77">
        <v>335.05</v>
      </c>
    </row>
    <row r="169" spans="1:7" ht="14.25" x14ac:dyDescent="0.3">
      <c r="A169" s="67"/>
      <c r="B169" s="48"/>
      <c r="C169" s="42"/>
      <c r="D169" s="42"/>
    </row>
    <row r="170" spans="1:7" ht="14.25" x14ac:dyDescent="0.3">
      <c r="A170" s="78" t="s">
        <v>234</v>
      </c>
      <c r="B170" s="78"/>
      <c r="C170" s="78"/>
      <c r="D170" s="42"/>
    </row>
    <row r="171" spans="1:7" x14ac:dyDescent="0.2">
      <c r="A171" s="71" t="s">
        <v>235</v>
      </c>
      <c r="B171" s="79"/>
      <c r="C171" s="79"/>
      <c r="D171" s="80"/>
    </row>
    <row r="172" spans="1:7" ht="14.25" x14ac:dyDescent="0.3">
      <c r="A172" s="74" t="s">
        <v>229</v>
      </c>
      <c r="B172" s="74"/>
      <c r="C172" s="81"/>
      <c r="D172" s="82" t="s">
        <v>236</v>
      </c>
    </row>
    <row r="173" spans="1:7" ht="14.25" x14ac:dyDescent="0.3">
      <c r="A173" s="74" t="s">
        <v>230</v>
      </c>
      <c r="B173" s="74"/>
      <c r="C173" s="81"/>
      <c r="D173" s="82" t="s">
        <v>236</v>
      </c>
    </row>
    <row r="174" spans="1:7" ht="14.25" x14ac:dyDescent="0.3">
      <c r="A174" s="74" t="s">
        <v>231</v>
      </c>
      <c r="B174" s="74"/>
      <c r="C174" s="81"/>
      <c r="D174" s="83" t="s">
        <v>236</v>
      </c>
    </row>
    <row r="175" spans="1:7" ht="14.25" x14ac:dyDescent="0.3">
      <c r="A175" s="74" t="s">
        <v>232</v>
      </c>
      <c r="B175" s="74"/>
      <c r="C175" s="81"/>
      <c r="D175" s="83" t="s">
        <v>236</v>
      </c>
    </row>
    <row r="176" spans="1:7" ht="14.25" x14ac:dyDescent="0.3">
      <c r="A176" s="74" t="s">
        <v>233</v>
      </c>
      <c r="B176" s="74"/>
      <c r="C176" s="81"/>
      <c r="D176" s="83" t="s">
        <v>236</v>
      </c>
    </row>
    <row r="177" spans="1:4" ht="14.25" x14ac:dyDescent="0.3">
      <c r="A177" s="84"/>
      <c r="B177" s="65"/>
      <c r="C177" s="85"/>
      <c r="D177" s="42"/>
    </row>
    <row r="178" spans="1:4" ht="14.25" x14ac:dyDescent="0.3">
      <c r="A178" s="86" t="s">
        <v>237</v>
      </c>
      <c r="B178" s="87"/>
      <c r="C178" s="87"/>
      <c r="D178" s="42"/>
    </row>
    <row r="179" spans="1:4" ht="14.25" x14ac:dyDescent="0.3">
      <c r="A179" s="88" t="s">
        <v>238</v>
      </c>
      <c r="B179" s="87"/>
      <c r="C179" s="87"/>
      <c r="D179" s="42"/>
    </row>
    <row r="180" spans="1:4" ht="14.25" x14ac:dyDescent="0.3">
      <c r="A180" s="88" t="s">
        <v>239</v>
      </c>
      <c r="B180" s="88"/>
      <c r="C180" s="88"/>
      <c r="D180" s="42"/>
    </row>
    <row r="181" spans="1:4" ht="14.25" x14ac:dyDescent="0.3">
      <c r="A181" s="88" t="s">
        <v>240</v>
      </c>
      <c r="B181" s="88"/>
      <c r="C181" s="88"/>
      <c r="D181" s="42"/>
    </row>
    <row r="182" spans="1:4" ht="14.25" x14ac:dyDescent="0.3">
      <c r="A182" s="88"/>
      <c r="B182" s="87"/>
      <c r="C182" s="87"/>
      <c r="D182" s="42"/>
    </row>
    <row r="183" spans="1:4" ht="14.25" x14ac:dyDescent="0.3">
      <c r="A183" s="89" t="s">
        <v>241</v>
      </c>
      <c r="B183" s="90" t="s">
        <v>242</v>
      </c>
      <c r="C183" s="90"/>
      <c r="D183" s="42"/>
    </row>
    <row r="184" spans="1:4" ht="14.25" x14ac:dyDescent="0.3">
      <c r="A184" s="87"/>
      <c r="B184" s="87"/>
      <c r="C184" s="87"/>
      <c r="D184" s="42"/>
    </row>
    <row r="185" spans="1:4" ht="14.25" x14ac:dyDescent="0.3">
      <c r="A185" s="87"/>
      <c r="B185" s="87"/>
      <c r="C185" s="87"/>
      <c r="D185" s="42"/>
    </row>
    <row r="186" spans="1:4" ht="14.25" x14ac:dyDescent="0.3">
      <c r="A186" s="87"/>
      <c r="B186" s="87"/>
      <c r="C186" s="87"/>
      <c r="D186" s="42"/>
    </row>
    <row r="187" spans="1:4" ht="14.25" x14ac:dyDescent="0.3">
      <c r="A187" s="87"/>
      <c r="B187" s="87"/>
      <c r="C187" s="87"/>
      <c r="D187" s="42"/>
    </row>
    <row r="188" spans="1:4" ht="14.25" x14ac:dyDescent="0.3">
      <c r="A188" s="87"/>
      <c r="B188" s="87"/>
      <c r="C188" s="87"/>
      <c r="D188" s="42"/>
    </row>
    <row r="189" spans="1:4" ht="14.25" x14ac:dyDescent="0.3">
      <c r="A189" s="87"/>
      <c r="B189" s="87"/>
      <c r="C189" s="87"/>
      <c r="D189" s="42"/>
    </row>
    <row r="190" spans="1:4" ht="14.25" x14ac:dyDescent="0.3">
      <c r="A190" s="87"/>
      <c r="B190" s="87"/>
      <c r="C190" s="87"/>
      <c r="D190" s="42"/>
    </row>
    <row r="191" spans="1:4" ht="14.25" x14ac:dyDescent="0.3">
      <c r="A191" s="84"/>
      <c r="B191" s="65"/>
      <c r="C191" s="85"/>
      <c r="D191" s="42"/>
    </row>
  </sheetData>
  <mergeCells count="20">
    <mergeCell ref="A175:C175"/>
    <mergeCell ref="A176:C176"/>
    <mergeCell ref="A167:C167"/>
    <mergeCell ref="A168:C168"/>
    <mergeCell ref="A171:D171"/>
    <mergeCell ref="A172:C172"/>
    <mergeCell ref="A173:C173"/>
    <mergeCell ref="A174:C174"/>
    <mergeCell ref="A103:H103"/>
    <mergeCell ref="A162:C162"/>
    <mergeCell ref="A163:D163"/>
    <mergeCell ref="A164:C164"/>
    <mergeCell ref="A165:C165"/>
    <mergeCell ref="A166:C166"/>
    <mergeCell ref="A1:H1"/>
    <mergeCell ref="A2:H2"/>
    <mergeCell ref="A3:H3"/>
    <mergeCell ref="A100:H100"/>
    <mergeCell ref="A101:H101"/>
    <mergeCell ref="A102:H10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2023-11-03T08:07:29Z</dcterms:created>
  <dcterms:modified xsi:type="dcterms:W3CDTF">2023-11-03T08:37:15Z</dcterms:modified>
</cp:coreProperties>
</file>