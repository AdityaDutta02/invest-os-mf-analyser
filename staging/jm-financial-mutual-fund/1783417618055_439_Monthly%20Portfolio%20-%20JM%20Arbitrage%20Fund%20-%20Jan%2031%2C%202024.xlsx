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64011"/>
  <mc:AlternateContent xmlns:mc="http://schemas.openxmlformats.org/markup-compatibility/2006">
    <mc:Choice Requires="x15">
      <x15ac:absPath xmlns:x15ac="http://schemas.microsoft.com/office/spreadsheetml/2010/11/ac" url="G:\p\NAV All Files 2006-2007\Monthly Portfolio\January 2024\Monthly\Monthly for sent\"/>
    </mc:Choice>
  </mc:AlternateContent>
  <bookViews>
    <workbookView xWindow="0" yWindow="0" windowWidth="20580" windowHeight="9336"/>
  </bookViews>
  <sheets>
    <sheet name="JM Arbitrage Fund" sheetId="1" r:id="rId1"/>
  </sheets>
  <definedNames>
    <definedName name="_xlnm._FilterDatabase" localSheetId="0" hidden="1">'JM Arbitrage Fund'!$A$1:$H$218</definedName>
    <definedName name="AAAAA">#REF!</definedName>
    <definedName name="Afs">#REF!</definedName>
    <definedName name="_xlnm.Database">#REF!</definedName>
    <definedName name="EBLDB">#REF!</definedName>
    <definedName name="fl">#REF!</definedName>
    <definedName name="_xlnm.Print_Area" localSheetId="0">'JM Arbitrage Fund'!$A$1:$E$64</definedName>
  </definedNames>
  <calcPr calcId="162913"/>
</workbook>
</file>

<file path=xl/calcChain.xml><?xml version="1.0" encoding="utf-8"?>
<calcChain xmlns="http://schemas.openxmlformats.org/spreadsheetml/2006/main">
  <c r="D82" i="1" l="1"/>
  <c r="E81" i="1"/>
  <c r="E82" i="1"/>
  <c r="D79" i="1"/>
  <c r="E78" i="1"/>
  <c r="E79" i="1" s="1"/>
  <c r="D77" i="1"/>
  <c r="E76" i="1"/>
  <c r="E75" i="1"/>
  <c r="E74" i="1"/>
  <c r="E73" i="1"/>
  <c r="E72" i="1"/>
  <c r="E71" i="1"/>
  <c r="E70" i="1"/>
  <c r="E69" i="1"/>
  <c r="E68" i="1"/>
  <c r="E67" i="1"/>
  <c r="E77" i="1" s="1"/>
  <c r="E66" i="1"/>
  <c r="D47" i="1"/>
  <c r="D51" i="1" s="1"/>
  <c r="D84" i="1" s="1"/>
  <c r="D86" i="1" s="1"/>
  <c r="E86" i="1" s="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47" i="1"/>
  <c r="E51" i="1" s="1"/>
  <c r="E84" i="1" l="1"/>
  <c r="E88" i="1" s="1"/>
</calcChain>
</file>

<file path=xl/sharedStrings.xml><?xml version="1.0" encoding="utf-8"?>
<sst xmlns="http://schemas.openxmlformats.org/spreadsheetml/2006/main" count="322" uniqueCount="224">
  <si>
    <t>JM Financial Mutual Fund</t>
  </si>
  <si>
    <t>JM Arbitrage Fund (An open ended scheme investing in arbitrage opportunities)</t>
  </si>
  <si>
    <t>Monthly Portfolio Statement for the period ended 31.01.2024</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</si>
  <si>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</si>
  <si>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</si>
  <si>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</si>
  <si>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</si>
  <si>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</si>
  <si>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</si>
  <si>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</si>
  <si>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</si>
  <si>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</si>
  <si>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</si>
  <si>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</si>
  <si>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</si>
  <si>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</si>
  <si>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Larsen &amp; Toubro Ltd.</t>
  </si>
  <si>
    <t>Construction</t>
  </si>
  <si>
    <t>INE018A01030</t>
  </si>
  <si>
    <t>Bandhan Bank Ltd.</t>
  </si>
  <si>
    <t>INE545U01014</t>
  </si>
  <si>
    <t>Vodafone Idea Ltd.</t>
  </si>
  <si>
    <t>Telecom - Services</t>
  </si>
  <si>
    <t>INE669E01016</t>
  </si>
  <si>
    <t>AXIS Bank Ltd.</t>
  </si>
  <si>
    <t>INE238A01034</t>
  </si>
  <si>
    <t>The Indian Hotels Company Ltd.</t>
  </si>
  <si>
    <t>Leisure Services</t>
  </si>
  <si>
    <t>INE053A01029</t>
  </si>
  <si>
    <t>Bank of Baroda</t>
  </si>
  <si>
    <t>INE028A01039</t>
  </si>
  <si>
    <t>Reliance Industries Ltd.</t>
  </si>
  <si>
    <t>Petroleum Products</t>
  </si>
  <si>
    <t>INE002A01018</t>
  </si>
  <si>
    <t>State Bank of India</t>
  </si>
  <si>
    <t>INE062A01020</t>
  </si>
  <si>
    <t>Granules India Ltd.</t>
  </si>
  <si>
    <t>Pharmaceuticals &amp; Biotechnology</t>
  </si>
  <si>
    <t>INE101D01020</t>
  </si>
  <si>
    <t>Asian Paints Ltd.</t>
  </si>
  <si>
    <t>Consumer Durables</t>
  </si>
  <si>
    <t>INE021A01026</t>
  </si>
  <si>
    <t>Bharat Petroleum Corporation Ltd.</t>
  </si>
  <si>
    <t>INE029A01011</t>
  </si>
  <si>
    <t>Hindustan Copper Ltd.</t>
  </si>
  <si>
    <t>Non - Ferrous Metals</t>
  </si>
  <si>
    <t>INE531E01026</t>
  </si>
  <si>
    <t>Escorts Kubota Ltd.</t>
  </si>
  <si>
    <t>Agricultural, Commercial &amp; Construction Vehicles</t>
  </si>
  <si>
    <t>INE042A01014</t>
  </si>
  <si>
    <t>Aditya Birla Fashion and Retail Ltd.</t>
  </si>
  <si>
    <t>Retailing</t>
  </si>
  <si>
    <t>INE647O01011</t>
  </si>
  <si>
    <t>Tata Communications Ltd.</t>
  </si>
  <si>
    <t>INE151A01013</t>
  </si>
  <si>
    <t>LIC Housing Finance Ltd.</t>
  </si>
  <si>
    <t>Finance</t>
  </si>
  <si>
    <t>INE115A01026</t>
  </si>
  <si>
    <t>Petronet LNG Ltd.</t>
  </si>
  <si>
    <t>Gas</t>
  </si>
  <si>
    <t>INE347G01014</t>
  </si>
  <si>
    <t>Indus Towers Ltd.</t>
  </si>
  <si>
    <t>INE121J01017</t>
  </si>
  <si>
    <t>ACC Ltd.</t>
  </si>
  <si>
    <t>Cement &amp; Cement Products</t>
  </si>
  <si>
    <t>INE012A01025</t>
  </si>
  <si>
    <t>United Spirits Ltd.</t>
  </si>
  <si>
    <t>Beverages</t>
  </si>
  <si>
    <t>INE854D01024</t>
  </si>
  <si>
    <t>TVS Motor Company Ltd.</t>
  </si>
  <si>
    <t>Automobiles</t>
  </si>
  <si>
    <t>INE494B01023</t>
  </si>
  <si>
    <t>Canara Bank</t>
  </si>
  <si>
    <t>INE476A01014</t>
  </si>
  <si>
    <t>Bajaj Finance Ltd.</t>
  </si>
  <si>
    <t>INE296A01024</t>
  </si>
  <si>
    <t>Tata Steel Ltd.</t>
  </si>
  <si>
    <t>Ferrous Metals</t>
  </si>
  <si>
    <t>INE081A01020</t>
  </si>
  <si>
    <t>Lupin Ltd.</t>
  </si>
  <si>
    <t>INE326A01037</t>
  </si>
  <si>
    <t>National Aluminium Company Ltd.</t>
  </si>
  <si>
    <t>INE139A01034</t>
  </si>
  <si>
    <t>ABB India Ltd.</t>
  </si>
  <si>
    <t>Electrical Equipment</t>
  </si>
  <si>
    <t>INE117A01022</t>
  </si>
  <si>
    <t>Info Edge (India) Ltd.</t>
  </si>
  <si>
    <t>INE663F01024</t>
  </si>
  <si>
    <t>The Federal Bank  Ltd.</t>
  </si>
  <si>
    <t>INE171A01029</t>
  </si>
  <si>
    <t>Hindalco Industries Ltd.</t>
  </si>
  <si>
    <t>INE038A01020</t>
  </si>
  <si>
    <t>City Union Bank Ltd.</t>
  </si>
  <si>
    <t>INE491A01021</t>
  </si>
  <si>
    <t>Kotak Mahindra Bank Ltd.</t>
  </si>
  <si>
    <t>INE237A01028</t>
  </si>
  <si>
    <t>Punjab National Bank</t>
  </si>
  <si>
    <t>INE160A01022</t>
  </si>
  <si>
    <t>Cipla Ltd.</t>
  </si>
  <si>
    <t>INE059A01026</t>
  </si>
  <si>
    <t>IndusInd Bank Ltd.</t>
  </si>
  <si>
    <t>INE095A01012</t>
  </si>
  <si>
    <t>Dr. Reddy's Laboratories Ltd.</t>
  </si>
  <si>
    <t>INE089A01023</t>
  </si>
  <si>
    <t>The India Cements Ltd.</t>
  </si>
  <si>
    <t>INE383A01012</t>
  </si>
  <si>
    <t>Marico Ltd.</t>
  </si>
  <si>
    <t>Agricultural Food &amp; other Products</t>
  </si>
  <si>
    <t>INE196A01026</t>
  </si>
  <si>
    <t>Crompton Greaves Consumer Electricals Ltd.</t>
  </si>
  <si>
    <t>INE299U01018</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</si>
  <si>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</si>
  <si>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</si>
  <si>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</si>
  <si>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</si>
  <si>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</si>
  <si>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</si>
  <si>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</si>
  <si>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</si>
  <si>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</si>
  <si>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</si>
  <si>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Treasury Bills</t>
  </si>
  <si>
    <t>182 Days Treasury-Bill 07/03/2024</t>
  </si>
  <si>
    <t>Sovereign</t>
  </si>
  <si>
    <t>IN002023Y243</t>
  </si>
  <si>
    <t>91 Days Treasury-Bill 08/02/2024</t>
  </si>
  <si>
    <t>IN002023X336</t>
  </si>
  <si>
    <t>91 Days Treasury-Bill 15/02/2024</t>
  </si>
  <si>
    <t>IN002023X344</t>
  </si>
  <si>
    <t>182 Days Treasury-Bill 22/02/2024</t>
  </si>
  <si>
    <t>IN002023Y227</t>
  </si>
  <si>
    <t>182 Days Treasury-Bill 04/07/2024</t>
  </si>
  <si>
    <t>IN002023Y417</t>
  </si>
  <si>
    <t>364 Days Treasury-Bill 29/02/2024</t>
  </si>
  <si>
    <t>IN002022Z481</t>
  </si>
  <si>
    <t>91 Days Treasury-Bill 14/03/2024</t>
  </si>
  <si>
    <t>IN002023X385</t>
  </si>
  <si>
    <t>182 Days Treasury-Bill 21/03/2024</t>
  </si>
  <si>
    <t>IN002023Y268</t>
  </si>
  <si>
    <t>182 Days Treasury-Bill 30/05/2024</t>
  </si>
  <si>
    <t>IN002023Y367</t>
  </si>
  <si>
    <t>182 Days Treasury-Bill 13/06/2024</t>
  </si>
  <si>
    <t>IN002023Y383</t>
  </si>
  <si>
    <t>182 Days Treasury-Bill 29/02/2024</t>
  </si>
  <si>
    <t>IN002023Y235</t>
  </si>
  <si>
    <t>TREPS-Triparty Repo</t>
  </si>
  <si>
    <t/>
  </si>
  <si>
    <t>Mutual Fund Units</t>
  </si>
  <si>
    <t>JM Liquid Fund - Direct Growth</t>
  </si>
  <si>
    <t>INF192K01CM6</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</si>
  <si>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</si>
  <si>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</si>
  <si>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</si>
  <si>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</si>
  <si>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</si>
  <si>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</si>
  <si>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</si>
  <si>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Hedging Positions through futures as on January 31, 2024:</t>
  </si>
  <si>
    <t>Underlying</t>
  </si>
  <si>
    <t>Long / Short</t>
  </si>
  <si>
    <t>Futures price when purchased (Rs.)</t>
  </si>
  <si>
    <t>Current  price of the Contract (Rs.)</t>
  </si>
  <si>
    <t>Total Margin maintained in   (Rs. In Lakhs)</t>
  </si>
  <si>
    <t>Short</t>
  </si>
  <si>
    <t>For the period ended January 31, 2024, following are the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</si>
  <si>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</si>
  <si>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</si>
  <si>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</si>
  <si>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</si>
  <si>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</si>
  <si>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31/01/2024</t>
  </si>
  <si>
    <t>For the period ended January 31, 2024, following are the non-hedging transactions through futures which have been squared off / expired :</t>
  </si>
  <si>
    <t>-</t>
  </si>
  <si>
    <t>This Product is suitable for investors who are seeking*</t>
  </si>
  <si>
    <t>• Regular Income over Medium Term</t>
  </si>
  <si>
    <t>• Income through arbitrage by investment predominantly in Equity Stocks and taking offsetting positions in Equity Futures and Options.</t>
  </si>
  <si>
    <t>*Investors should consult their financial advisers if in doubt about whether the product is suitable for them.</t>
  </si>
  <si>
    <t xml:space="preserve">         Riskometer of the scheme </t>
  </si>
  <si>
    <t>Benchmark of the scheme - Nifty 50 Arbitrage Index</t>
  </si>
  <si>
    <t>ABB India Ltd.Feb-2024</t>
  </si>
  <si>
    <t>Aditya Birla Fashion and Retail Ltd.Feb-2024</t>
  </si>
  <si>
    <t>ACC Ltd.Feb-2024</t>
  </si>
  <si>
    <t>Asian Paints Ltd.Feb-2024</t>
  </si>
  <si>
    <t>Asian Paints Ltd.Mar-2024</t>
  </si>
  <si>
    <t>AXIS Bank Ltd.Feb-2024</t>
  </si>
  <si>
    <t>Bajaj Finance Ltd.Mar-2024</t>
  </si>
  <si>
    <t>Bandhan Bank Ltd.Feb-2024</t>
  </si>
  <si>
    <t>Bank of BarodaFeb-2024</t>
  </si>
  <si>
    <t>Bank of BarodaMar-2024</t>
  </si>
  <si>
    <t>Bharat Petroleum Corporation Ltd.Feb-2024</t>
  </si>
  <si>
    <t>Canara BankFeb-2024</t>
  </si>
  <si>
    <t>Cipla Ltd.Feb-2024</t>
  </si>
  <si>
    <t>Crompton Greaves Consumer Electricals Ltd.Feb-2024</t>
  </si>
  <si>
    <t>City Union Bank Ltd.Feb-2024</t>
  </si>
  <si>
    <t>Dr. Reddy's Laboratories Ltd.Feb-2024</t>
  </si>
  <si>
    <t>Escorts Kubota Ltd.Feb-2024</t>
  </si>
  <si>
    <t>The Federal Bank  Ltd.Feb-2024</t>
  </si>
  <si>
    <t>Granules India Ltd.Feb-2024</t>
  </si>
  <si>
    <t>HDFC Bank Ltd.Feb-2024</t>
  </si>
  <si>
    <t>HDFC Bank Ltd.Mar-2024</t>
  </si>
  <si>
    <t>Hindalco Industries Ltd.Feb-2024</t>
  </si>
  <si>
    <t>Hindustan Copper Ltd.Feb-2024</t>
  </si>
  <si>
    <t>Vodafone Idea Ltd.Feb-2024</t>
  </si>
  <si>
    <t>The Indian Hotels Company Ltd.Feb-2024</t>
  </si>
  <si>
    <t>The India Cements Ltd.Feb-2024</t>
  </si>
  <si>
    <t>IndusInd Bank Ltd.Feb-2024</t>
  </si>
  <si>
    <t>Indus Towers Ltd.Feb-2024</t>
  </si>
  <si>
    <t>Kotak Mahindra Bank Ltd.Feb-2024</t>
  </si>
  <si>
    <t>LIC Housing Finance Ltd.Feb-2024</t>
  </si>
  <si>
    <t>Larsen &amp; Toubro Ltd.Feb-2024</t>
  </si>
  <si>
    <t>Lupin Ltd.Feb-2024</t>
  </si>
  <si>
    <t>Marico Ltd.Feb-2024</t>
  </si>
  <si>
    <t>United Spirits Ltd.Feb-2024</t>
  </si>
  <si>
    <t>National Aluminium Company Ltd.Feb-2024</t>
  </si>
  <si>
    <t>Info Edge (India) Ltd.Feb-2024</t>
  </si>
  <si>
    <t>Petronet LNG Ltd.Feb-2024</t>
  </si>
  <si>
    <t>Punjab National BankFeb-2024</t>
  </si>
  <si>
    <t>Reliance Industries Ltd.Feb-2024</t>
  </si>
  <si>
    <t>State Bank of IndiaFeb-2024</t>
  </si>
  <si>
    <t>Tata Communications Ltd.Feb-2024</t>
  </si>
  <si>
    <t>Tata Steel Ltd.Feb-2024</t>
  </si>
  <si>
    <t>TVS Motor Company Ltd.Feb-2024</t>
  </si>
  <si>
    <t>Total outstanding exposure in derivative instruments at the end of the period - Short -(Rs in Lakhs) : (7,339.27)</t>
  </si>
  <si>
    <t>Total 71.45% of existing assets hedged through futures as on 31/01/2024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</si>
</sst>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8"/>
      <name val="Arial"/>
    </font>
  </fonts>
  <fills count="5">
    <fill>
      <patternFill patternType="none"/>
    </fill>
    <fill>
      <patternFill patternType="gray125"/>
    </fill>
    <fill>
      <patternFill patternType="solid">
        <fgColor indexed="22"/>
        <bgColor indexed="64"/>
      </patternFill>
    </fill>
    <fill>
      <patternFill patternType="solid">
        <fgColor indexed="23"/>
        <bgColor indexed="64"/>
      </patternFill>
    </fill>
    <fill>
      <patternFill patternType="solid">
        <fgColor indexed="8"/>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9">
    <xf numFmtId="0" fontId="0" fillId="0" borderId="0"/>
    <xf numFmtId="164" fontId="1" fillId="0" borderId="0" applyFont="0" applyFill="0" applyBorder="0" applyAlignment="0" applyProtection="0"/>
    <xf numFmtId="164" fontId="6"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cellStyleXfs>
  <cellXfs count="95">
    <xf numFmtId="0" fontId="0" fillId="0" borderId="0" xfId="0"/>
    <xf numFmtId="0" fontId="3" fillId="0" borderId="0" xfId="0" applyFont="1"/>
    <xf numFmtId="0" fontId="3" fillId="0" borderId="0" xfId="0" applyFont="1" applyAlignment="1">
      <alignment horizontal="center"/>
    </xf>
    <xf numFmtId="0" fontId="4" fillId="0" borderId="1" xfId="0" applyFont="1" applyFill="1" applyBorder="1" applyAlignment="1">
      <alignment horizontal="left" wrapText="1"/>
    </xf>
    <xf numFmtId="0" fontId="5" fillId="0" borderId="1" xfId="0" applyFont="1" applyFill="1" applyBorder="1" applyAlignment="1">
      <alignment horizontal="center" wrapText="1"/>
    </xf>
    <xf numFmtId="165" fontId="5" fillId="0" borderId="1" xfId="1" applyNumberFormat="1" applyFont="1" applyFill="1" applyBorder="1" applyAlignment="1">
      <alignment horizontal="center"/>
    </xf>
    <xf numFmtId="0" fontId="4" fillId="0" borderId="1" xfId="0" applyFont="1" applyFill="1" applyBorder="1" applyAlignment="1">
      <alignment horizontal="center" wrapText="1"/>
    </xf>
    <xf numFmtId="0" fontId="5" fillId="0" borderId="1" xfId="0" applyFont="1" applyFill="1" applyBorder="1" applyAlignment="1">
      <alignment horizontal="center"/>
    </xf>
    <xf numFmtId="0" fontId="5" fillId="0" borderId="1" xfId="0" applyFont="1" applyBorder="1"/>
    <xf numFmtId="166" fontId="5" fillId="0" borderId="1" xfId="0" applyNumberFormat="1" applyFont="1" applyFill="1" applyBorder="1"/>
    <xf numFmtId="0" fontId="4" fillId="0" borderId="1" xfId="0" applyFont="1" applyFill="1" applyBorder="1" applyAlignment="1">
      <alignment wrapText="1"/>
    </xf>
    <xf numFmtId="4" fontId="5" fillId="0" borderId="1" xfId="0" applyNumberFormat="1" applyFont="1" applyFill="1" applyBorder="1" applyAlignment="1">
      <alignment wrapText="1"/>
    </xf>
    <xf numFmtId="0" fontId="5" fillId="0" borderId="1" xfId="0" applyFont="1" applyFill="1" applyBorder="1" applyAlignment="1">
      <alignment wrapText="1"/>
    </xf>
    <xf numFmtId="165" fontId="5" fillId="0" borderId="1" xfId="1" applyNumberFormat="1" applyFont="1" applyFill="1" applyBorder="1"/>
    <xf numFmtId="164" fontId="5" fillId="0" borderId="1" xfId="1" applyFont="1" applyFill="1" applyBorder="1"/>
    <xf numFmtId="0" fontId="3" fillId="0" borderId="0" xfId="0" applyFont="1" applyFill="1"/>
    <xf numFmtId="0" fontId="5" fillId="0" borderId="1" xfId="0" applyFont="1" applyFill="1" applyBorder="1"/>
    <xf numFmtId="164" fontId="4" fillId="0" borderId="1" xfId="1" applyFont="1" applyFill="1" applyBorder="1"/>
    <xf numFmtId="165" fontId="4" fillId="0" borderId="1" xfId="1" applyNumberFormat="1" applyFont="1" applyFill="1" applyBorder="1"/>
    <xf numFmtId="164" fontId="5" fillId="0" borderId="1" xfId="1" applyFont="1" applyFill="1" applyBorder="1" applyAlignment="1">
      <alignment horizontal="center"/>
    </xf>
    <xf numFmtId="164" fontId="4" fillId="0" borderId="1" xfId="1" applyFont="1" applyFill="1" applyBorder="1" applyAlignment="1">
      <alignment horizontal="right"/>
    </xf>
    <xf numFmtId="0" fontId="5" fillId="0" borderId="1" xfId="0" applyFont="1" applyFill="1" applyBorder="1" applyAlignment="1">
      <alignment horizontal="right"/>
    </xf>
    <xf numFmtId="4" fontId="4" fillId="0" borderId="1" xfId="1" applyNumberFormat="1" applyFont="1" applyFill="1" applyBorder="1"/>
    <xf numFmtId="164" fontId="5" fillId="0" borderId="1" xfId="1" applyFont="1" applyFill="1" applyBorder="1" applyAlignment="1">
      <alignment horizontal="right"/>
    </xf>
    <xf numFmtId="165" fontId="4" fillId="0" borderId="1" xfId="1" applyNumberFormat="1" applyFont="1" applyFill="1" applyBorder="1" applyAlignment="1">
      <alignment horizontal="right"/>
    </xf>
    <xf numFmtId="164" fontId="5" fillId="0" borderId="2" xfId="1" applyFont="1" applyFill="1" applyBorder="1"/>
    <xf numFmtId="2" fontId="5" fillId="0" borderId="1" xfId="0" applyNumberFormat="1" applyFont="1" applyFill="1" applyBorder="1" applyAlignment="1">
      <alignment horizontal="right"/>
    </xf>
    <xf numFmtId="0" fontId="5" fillId="0" borderId="1" xfId="0" applyFont="1" applyFill="1" applyBorder="1" applyAlignment="1">
      <alignment horizontal="left" wrapText="1"/>
    </xf>
    <xf numFmtId="165" fontId="5" fillId="0" borderId="1" xfId="1" applyNumberFormat="1" applyFont="1" applyFill="1" applyBorder="1" applyAlignment="1">
      <alignment horizontal="right"/>
    </xf>
    <xf numFmtId="4" fontId="4" fillId="0" borderId="1" xfId="0" applyNumberFormat="1" applyFont="1" applyFill="1" applyBorder="1" applyAlignment="1">
      <alignment horizontal="right"/>
    </xf>
    <xf numFmtId="4" fontId="4" fillId="0" borderId="1" xfId="1" applyNumberFormat="1" applyFont="1" applyFill="1" applyBorder="1" applyAlignment="1">
      <alignment horizontal="right"/>
    </xf>
    <xf numFmtId="0" fontId="5" fillId="0" borderId="0" xfId="0" applyFont="1" applyFill="1" applyBorder="1" applyAlignment="1">
      <alignment horizontal="right"/>
    </xf>
    <xf numFmtId="0" fontId="5" fillId="0" borderId="0" xfId="0" applyFont="1" applyFill="1"/>
    <xf numFmtId="0" fontId="5" fillId="0" borderId="0" xfId="0" applyFont="1"/>
    <xf numFmtId="4" fontId="5" fillId="0" borderId="0" xfId="0" applyNumberFormat="1"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4" applyFont="1" applyFill="1" applyAlignment="1">
      <alignment horizontal="right"/>
    </xf>
    <xf numFmtId="0" fontId="5" fillId="0" borderId="0" xfId="4" applyFont="1"/>
    <xf numFmtId="0" fontId="5" fillId="0" borderId="0" xfId="4" applyFont="1" applyFill="1" applyAlignment="1">
      <alignment horizontal="left" wrapText="1"/>
    </xf>
    <xf numFmtId="165" fontId="5" fillId="0" borderId="0" xfId="1" applyNumberFormat="1" applyFont="1" applyFill="1"/>
    <xf numFmtId="164" fontId="5" fillId="0" borderId="0" xfId="1" applyFont="1" applyFill="1" applyAlignment="1">
      <alignment horizontal="right"/>
    </xf>
    <xf numFmtId="0" fontId="5" fillId="0" borderId="0" xfId="5" applyFont="1" applyFill="1" applyBorder="1" applyAlignment="1"/>
    <xf numFmtId="0" fontId="4" fillId="0" borderId="0" xfId="5" applyFont="1" applyFill="1" applyAlignment="1"/>
    <xf numFmtId="0" fontId="4" fillId="2" borderId="1" xfId="5" applyFont="1" applyFill="1" applyBorder="1" applyAlignment="1">
      <alignment horizontal="left" vertical="top" wrapText="1"/>
    </xf>
    <xf numFmtId="0" fontId="4" fillId="2" borderId="1" xfId="4" applyFont="1" applyFill="1" applyBorder="1" applyAlignment="1">
      <alignment horizontal="left" vertical="top" wrapText="1"/>
    </xf>
    <xf numFmtId="165" fontId="4" fillId="2" borderId="1" xfId="2" applyNumberFormat="1" applyFont="1" applyFill="1" applyBorder="1" applyAlignment="1">
      <alignment horizontal="left" vertical="top"/>
    </xf>
    <xf numFmtId="4" fontId="5" fillId="0" borderId="1" xfId="4" applyNumberFormat="1" applyFont="1" applyBorder="1" applyAlignment="1">
      <alignment wrapText="1"/>
    </xf>
    <xf numFmtId="4" fontId="5" fillId="0" borderId="1" xfId="4" applyNumberFormat="1" applyFont="1" applyBorder="1" applyAlignment="1">
      <alignment horizontal="left" wrapText="1"/>
    </xf>
    <xf numFmtId="3" fontId="5" fillId="0" borderId="1" xfId="1" applyNumberFormat="1" applyFont="1" applyBorder="1"/>
    <xf numFmtId="4" fontId="5" fillId="0" borderId="1" xfId="4" applyNumberFormat="1" applyFont="1" applyBorder="1"/>
    <xf numFmtId="4" fontId="5" fillId="0" borderId="1" xfId="1" applyNumberFormat="1" applyFont="1" applyFill="1" applyBorder="1"/>
    <xf numFmtId="0" fontId="5" fillId="0" borderId="0" xfId="4" applyFont="1" applyAlignment="1">
      <alignment wrapText="1"/>
    </xf>
    <xf numFmtId="0" fontId="5" fillId="0" borderId="0" xfId="4" applyFont="1" applyAlignment="1">
      <alignment horizontal="left" wrapText="1"/>
    </xf>
    <xf numFmtId="165" fontId="5" fillId="0" borderId="0" xfId="1" applyNumberFormat="1" applyFont="1"/>
    <xf numFmtId="165" fontId="5" fillId="0" borderId="0" xfId="3" applyNumberFormat="1" applyFont="1"/>
    <xf numFmtId="0" fontId="3" fillId="0" borderId="0" xfId="4" applyFont="1"/>
    <xf numFmtId="0" fontId="5" fillId="0" borderId="0" xfId="4" applyFont="1" applyFill="1" applyAlignment="1">
      <alignment wrapText="1"/>
    </xf>
    <xf numFmtId="165" fontId="5" fillId="0" borderId="0" xfId="3" applyNumberFormat="1" applyFont="1" applyFill="1"/>
    <xf numFmtId="164" fontId="5" fillId="0" borderId="0" xfId="4" applyNumberFormat="1" applyFont="1"/>
    <xf numFmtId="165" fontId="5" fillId="0" borderId="1" xfId="1" applyNumberFormat="1" applyFont="1" applyBorder="1"/>
    <xf numFmtId="164" fontId="5" fillId="0" borderId="1" xfId="1" applyNumberFormat="1" applyFont="1" applyBorder="1"/>
    <xf numFmtId="4" fontId="3" fillId="0" borderId="0" xfId="4" applyNumberFormat="1" applyFont="1"/>
    <xf numFmtId="164" fontId="5" fillId="0" borderId="1" xfId="1" applyFont="1" applyBorder="1"/>
    <xf numFmtId="0" fontId="4" fillId="0" borderId="0" xfId="4" applyFont="1"/>
    <xf numFmtId="0" fontId="5" fillId="0" borderId="1" xfId="4" applyFont="1" applyBorder="1" applyAlignment="1">
      <alignment horizontal="center" vertical="top"/>
    </xf>
    <xf numFmtId="4" fontId="5" fillId="0" borderId="1" xfId="4" applyNumberFormat="1" applyFont="1" applyBorder="1" applyAlignment="1">
      <alignment horizontal="center" vertical="top"/>
    </xf>
    <xf numFmtId="0" fontId="9" fillId="0" borderId="0" xfId="6" applyFont="1"/>
    <xf numFmtId="0" fontId="10" fillId="0" borderId="0" xfId="4"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4" fillId="0" borderId="0" xfId="4" applyFont="1" applyFill="1" applyBorder="1" applyAlignment="1">
      <alignment horizontal="left"/>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4" fillId="0" borderId="1" xfId="0" applyFont="1" applyFill="1" applyBorder="1" applyAlignment="1">
      <alignment horizontal="center" vertical="top" wrapText="1"/>
    </xf>
    <xf numFmtId="165" fontId="4" fillId="0" borderId="1" xfId="1" applyNumberFormat="1" applyFont="1" applyFill="1" applyBorder="1" applyAlignment="1">
      <alignment horizontal="center" vertical="top"/>
    </xf>
    <xf numFmtId="0" fontId="4" fillId="0" borderId="5" xfId="4" applyFont="1" applyFill="1" applyBorder="1" applyAlignment="1">
      <alignment horizontal="left"/>
    </xf>
    <xf numFmtId="0" fontId="4" fillId="3" borderId="2" xfId="4" applyFont="1" applyFill="1" applyBorder="1" applyAlignment="1">
      <alignment horizontal="left" vertical="top" wrapText="1"/>
    </xf>
    <xf numFmtId="0" fontId="4" fillId="3" borderId="3" xfId="4" applyFont="1" applyFill="1" applyBorder="1" applyAlignment="1">
      <alignment horizontal="left" vertical="top" wrapText="1"/>
    </xf>
    <xf numFmtId="0" fontId="4" fillId="3" borderId="4" xfId="4" applyFont="1" applyFill="1" applyBorder="1" applyAlignment="1">
      <alignment horizontal="left" vertical="top" wrapText="1"/>
    </xf>
    <xf numFmtId="0" fontId="5" fillId="0" borderId="1" xfId="4" applyFont="1" applyFill="1" applyBorder="1" applyAlignment="1">
      <alignment horizontal="left"/>
    </xf>
    <xf numFmtId="0" fontId="5" fillId="0" borderId="2" xfId="4" applyFont="1" applyFill="1" applyBorder="1" applyAlignment="1">
      <alignment horizontal="left"/>
    </xf>
    <xf numFmtId="0" fontId="1" fillId="0" borderId="3" xfId="4" applyBorder="1" applyAlignment="1">
      <alignment horizontal="left" vertical="top" wrapText="1"/>
    </xf>
    <xf numFmtId="0" fontId="1" fillId="0" borderId="4" xfId="4" applyBorder="1" applyAlignment="1">
      <alignment horizontal="left" vertical="top" wrapText="1"/>
    </xf>
    <xf numFmtId="0" fontId="5" fillId="0" borderId="3" xfId="4" applyFont="1" applyFill="1" applyBorder="1" applyAlignment="1">
      <alignment horizontal="left"/>
    </xf>
    <xf numFmtId="0" fontId="5" fillId="0" borderId="4" xfId="4" applyFont="1" applyFill="1" applyBorder="1" applyAlignment="1">
      <alignment horizontal="left"/>
    </xf>
    <xf numFmtId="0" fontId="2" fillId="4" borderId="5" xfId="4" applyFont="1" applyFill="1" applyBorder="1" applyAlignment="1">
      <alignment horizontal="center" vertical="center"/>
    </xf>
    <xf numFmtId="0" fontId="2" fillId="4" borderId="3" xfId="4" applyFont="1" applyFill="1" applyBorder="1" applyAlignment="1">
      <alignment horizontal="center" vertical="center" wrapText="1"/>
    </xf>
    <xf numFmtId="0" fontId="5" fillId="0" borderId="0" xfId="5" applyFont="1" applyAlignment="1">
      <alignment horizontal="left" vertical="top" wrapText="1"/>
    </xf>
    <xf numFmtId="0" fontId="5" fillId="0" borderId="0" xfId="4" applyFont="1" applyAlignment="1">
      <alignment horizontal="left" vertical="top" wrapText="1"/>
    </xf>
    <xf numFmtId="0" fontId="7" fillId="0" borderId="0" xfId="8" applyFont="1" applyBorder="1" applyAlignment="1">
      <alignment horizontal="left" vertical="top" wrapText="1"/>
    </xf>
    <xf numFmtId="0" fontId="8" fillId="0" borderId="0" xfId="8" applyFont="1" applyBorder="1" applyAlignment="1">
      <alignment horizontal="left" vertical="top" wrapText="1"/>
    </xf>
  </cellXfs>
  <cellStyles count="9">
    <cellStyle name="Comma" xfId="1" builtinId="3"/>
    <cellStyle name="Comma 2" xfId="2"/>
    <cellStyle name="Comma 4" xfId="3"/>
    <cellStyle name="Normal" xfId="0" builtinId="0"/>
    <cellStyle name="Normal 2 2 2" xfId="4"/>
    <cellStyle name="Normal 2 3 2" xfId="5"/>
    <cellStyle name="Normal 4_AA" xfId="6"/>
    <cellStyle name="Normal 4_IF" xfId="7"/>
    <cellStyle name="Normal 4_LD"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504825</xdr:colOff>
      <xdr:row>163</xdr:row>
      <xdr:rowOff>104775</xdr:rowOff>
    </xdr:from>
    <xdr:to>
      <xdr:col>0</xdr:col>
      <xdr:colOff>2695575</xdr:colOff>
      <xdr:row>170</xdr:row>
      <xdr:rowOff>47625</xdr:rowOff>
    </xdr:to>
    <xdr:pic>
      <xdr:nvPicPr>
        <xdr:cNvPr id="1025"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504825" y="31013400"/>
          <a:ext cx="2190750" cy="1209675"/>
        </a:xfrm>
        <a:prstGeom prst="rect">
          <a:avLst/>
        </a:prstGeom>
        <a:noFill/>
        <a:ln w="9525">
          <a:noFill/>
          <a:miter lim="800000"/>
          <a:headEnd/>
          <a:tailEnd/>
        </a:ln>
      </xdr:spPr>
    </xdr:pic>
    <xdr:clientData/>
  </xdr:twoCellAnchor>
  <xdr:twoCellAnchor editAs="oneCell">
    <xdr:from>
      <xdr:col>1</xdr:col>
      <xdr:colOff>323850</xdr:colOff>
      <xdr:row>163</xdr:row>
      <xdr:rowOff>133350</xdr:rowOff>
    </xdr:from>
    <xdr:to>
      <xdr:col>1</xdr:col>
      <xdr:colOff>2466975</xdr:colOff>
      <xdr:row>170</xdr:row>
      <xdr:rowOff>57150</xdr:rowOff>
    </xdr:to>
    <xdr:pic>
      <xdr:nvPicPr>
        <xdr:cNvPr id="1026"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3028950" y="31041975"/>
          <a:ext cx="2143125" cy="11906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70"/>
  <sheetViews>
    <sheetView tabSelected="1" zoomScaleNormal="85" workbookViewId="0">
      <selection sqref="A1:H1"/>
    </sheetView>
  </sheetViews>
  <sheetFormatPr defaultColWidth="9.109375" defaultRowHeight="13.2" x14ac:dyDescent="0.25"/>
  <cols>
    <col min="1" max="1" width="40.5546875" style="74" customWidth="1"/>
    <col min="2" max="2" width="39.5546875" style="75" customWidth="1"/>
    <col min="3" max="3" width="13.44140625" style="76" customWidth="1"/>
    <col min="4" max="4" width="13" style="1" customWidth="1"/>
    <col min="5" max="5" width="10.33203125" style="1" customWidth="1"/>
    <col min="6" max="6" width="14.44140625" style="1" customWidth="1"/>
    <col min="7" max="7" width="9.5546875" style="1" bestFit="1" customWidth="1"/>
    <col min="8" max="8" width="13.109375" style="1" bestFit="1" customWidth="1"/>
    <col min="9" max="16384" width="9.109375" style="1"/>
  </cols>
  <sheetData>
    <row r="1" spans="1:8" x14ac:dyDescent="0.25">
      <c r="A1" s="89" t="s">
        <v>0</v>
      </c>
      <c r="B1" s="89"/>
      <c r="C1" s="89"/>
      <c r="D1" s="89"/>
      <c r="E1" s="89"/>
      <c r="F1" s="89"/>
      <c r="G1" s="89"/>
      <c r="H1" s="89"/>
    </row>
    <row r="2" spans="1:8" x14ac:dyDescent="0.25">
      <c r="A2" s="89" t="s">
        <v>1</v>
      </c>
      <c r="B2" s="89"/>
      <c r="C2" s="89"/>
      <c r="D2" s="89"/>
      <c r="E2" s="89"/>
      <c r="F2" s="89"/>
      <c r="G2" s="89"/>
      <c r="H2" s="89"/>
    </row>
    <row r="3" spans="1:8" x14ac:dyDescent="0.25">
      <c r="A3" s="90" t="s">
        <v>2</v>
      </c>
      <c r="B3" s="90"/>
      <c r="C3" s="90"/>
      <c r="D3" s="90"/>
      <c r="E3" s="90"/>
      <c r="F3" s="90"/>
      <c r="G3" s="90"/>
      <c r="H3" s="90"/>
    </row>
    <row r="4" spans="1:8" s="2" customFormat="1" ht="20.399999999999999" x14ac:dyDescent="0.25">
      <c r="A4" s="77" t="s">
        <v>3</v>
      </c>
      <c r="B4" s="77" t="s">
        <v>4</v>
      </c>
      <c r="C4" s="78" t="s">
        <v>5</v>
      </c>
      <c r="D4" s="77" t="s">
        <v>6</v>
      </c>
      <c r="E4" s="77" t="s">
        <v>7</v>
      </c>
      <c r="F4" s="77" t="s">
        <v>8</v>
      </c>
      <c r="G4" s="77" t="s">
        <v>9</v>
      </c>
      <c r="H4" s="77" t="s">
        <v>10</v>
      </c>
    </row>
    <row r="5" spans="1:8" x14ac:dyDescent="0.25">
      <c r="A5" s="3" t="s">
        <v>11</v>
      </c>
      <c r="B5" s="4"/>
      <c r="C5" s="5"/>
      <c r="D5" s="6"/>
      <c r="E5" s="6"/>
      <c r="F5" s="7"/>
      <c r="G5" s="8"/>
      <c r="H5" s="9"/>
    </row>
    <row r="6" spans="1:8" x14ac:dyDescent="0.25">
      <c r="A6" s="10" t="s">
        <v>12</v>
      </c>
      <c r="B6" s="4"/>
      <c r="C6" s="5"/>
      <c r="D6" s="6"/>
      <c r="E6" s="6"/>
      <c r="F6" s="7"/>
      <c r="G6" s="8"/>
      <c r="H6" s="9"/>
    </row>
    <row r="7" spans="1:8" s="15" customFormat="1" x14ac:dyDescent="0.25">
      <c r="A7" s="11" t="s">
        <v>13</v>
      </c>
      <c r="B7" s="12" t="s">
        <v>14</v>
      </c>
      <c r="C7" s="13">
        <v>47850</v>
      </c>
      <c r="D7" s="14">
        <v>699.83017500000005</v>
      </c>
      <c r="E7" s="14">
        <f t="shared" ref="E7:E46" si="0">(+D7/$D$88*100)</f>
        <v>6.8135333103771334</v>
      </c>
      <c r="F7" s="14" t="s">
        <v>15</v>
      </c>
      <c r="G7" s="9"/>
      <c r="H7" s="9"/>
    </row>
    <row r="8" spans="1:8" s="15" customFormat="1" x14ac:dyDescent="0.25">
      <c r="A8" s="11" t="s">
        <v>16</v>
      </c>
      <c r="B8" s="12" t="s">
        <v>17</v>
      </c>
      <c r="C8" s="13">
        <v>17100</v>
      </c>
      <c r="D8" s="14">
        <v>595.03724999999997</v>
      </c>
      <c r="E8" s="14">
        <f t="shared" si="0"/>
        <v>5.7932713801461988</v>
      </c>
      <c r="F8" s="14" t="s">
        <v>18</v>
      </c>
      <c r="G8" s="9"/>
      <c r="H8" s="16"/>
    </row>
    <row r="9" spans="1:8" s="15" customFormat="1" x14ac:dyDescent="0.25">
      <c r="A9" s="11" t="s">
        <v>19</v>
      </c>
      <c r="B9" s="12" t="s">
        <v>14</v>
      </c>
      <c r="C9" s="13">
        <v>227500</v>
      </c>
      <c r="D9" s="14">
        <v>520.97500000000002</v>
      </c>
      <c r="E9" s="14">
        <f t="shared" si="0"/>
        <v>5.0722027188577954</v>
      </c>
      <c r="F9" s="14" t="s">
        <v>20</v>
      </c>
      <c r="G9" s="9"/>
      <c r="H9" s="9"/>
    </row>
    <row r="10" spans="1:8" s="15" customFormat="1" x14ac:dyDescent="0.25">
      <c r="A10" s="11" t="s">
        <v>21</v>
      </c>
      <c r="B10" s="12" t="s">
        <v>22</v>
      </c>
      <c r="C10" s="13">
        <v>3120000</v>
      </c>
      <c r="D10" s="14">
        <v>447.72</v>
      </c>
      <c r="E10" s="14">
        <f t="shared" si="0"/>
        <v>4.3589934282585769</v>
      </c>
      <c r="F10" s="14" t="s">
        <v>23</v>
      </c>
      <c r="G10" s="9"/>
      <c r="H10" s="9"/>
    </row>
    <row r="11" spans="1:8" s="15" customFormat="1" x14ac:dyDescent="0.25">
      <c r="A11" s="11" t="s">
        <v>24</v>
      </c>
      <c r="B11" s="12" t="s">
        <v>14</v>
      </c>
      <c r="C11" s="13">
        <v>39375</v>
      </c>
      <c r="D11" s="14">
        <v>420.42656249999999</v>
      </c>
      <c r="E11" s="14">
        <f t="shared" si="0"/>
        <v>4.0932650384232199</v>
      </c>
      <c r="F11" s="14" t="s">
        <v>25</v>
      </c>
      <c r="G11" s="9"/>
      <c r="H11" s="9"/>
    </row>
    <row r="12" spans="1:8" s="15" customFormat="1" x14ac:dyDescent="0.25">
      <c r="A12" s="11" t="s">
        <v>26</v>
      </c>
      <c r="B12" s="12" t="s">
        <v>27</v>
      </c>
      <c r="C12" s="13">
        <v>80000</v>
      </c>
      <c r="D12" s="14">
        <v>394.12</v>
      </c>
      <c r="E12" s="14">
        <f t="shared" si="0"/>
        <v>3.8371448448701653</v>
      </c>
      <c r="F12" s="14" t="s">
        <v>28</v>
      </c>
      <c r="G12" s="9"/>
      <c r="H12" s="9"/>
    </row>
    <row r="13" spans="1:8" s="15" customFormat="1" x14ac:dyDescent="0.25">
      <c r="A13" s="11" t="s">
        <v>29</v>
      </c>
      <c r="B13" s="12" t="s">
        <v>14</v>
      </c>
      <c r="C13" s="13">
        <v>143325</v>
      </c>
      <c r="D13" s="14">
        <v>354.87270000000001</v>
      </c>
      <c r="E13" s="14">
        <f t="shared" si="0"/>
        <v>3.4550338764593445</v>
      </c>
      <c r="F13" s="14" t="s">
        <v>30</v>
      </c>
      <c r="G13" s="9"/>
      <c r="H13" s="9"/>
    </row>
    <row r="14" spans="1:8" s="15" customFormat="1" x14ac:dyDescent="0.25">
      <c r="A14" s="11" t="s">
        <v>31</v>
      </c>
      <c r="B14" s="12" t="s">
        <v>32</v>
      </c>
      <c r="C14" s="13">
        <v>11000</v>
      </c>
      <c r="D14" s="14">
        <v>313.85750000000002</v>
      </c>
      <c r="E14" s="14">
        <f t="shared" si="0"/>
        <v>3.0557106671796355</v>
      </c>
      <c r="F14" s="14" t="s">
        <v>33</v>
      </c>
      <c r="G14" s="9"/>
      <c r="H14" s="8"/>
    </row>
    <row r="15" spans="1:8" s="15" customFormat="1" x14ac:dyDescent="0.25">
      <c r="A15" s="11" t="s">
        <v>34</v>
      </c>
      <c r="B15" s="12" t="s">
        <v>14</v>
      </c>
      <c r="C15" s="13">
        <v>45000</v>
      </c>
      <c r="D15" s="14">
        <v>288.22500000000002</v>
      </c>
      <c r="E15" s="14">
        <f t="shared" si="0"/>
        <v>2.8061531333418843</v>
      </c>
      <c r="F15" s="14" t="s">
        <v>35</v>
      </c>
      <c r="G15" s="9"/>
      <c r="H15" s="8"/>
    </row>
    <row r="16" spans="1:8" s="15" customFormat="1" x14ac:dyDescent="0.25">
      <c r="A16" s="11" t="s">
        <v>36</v>
      </c>
      <c r="B16" s="12" t="s">
        <v>37</v>
      </c>
      <c r="C16" s="13">
        <v>68000</v>
      </c>
      <c r="D16" s="14">
        <v>282.67599999999999</v>
      </c>
      <c r="E16" s="14">
        <f t="shared" si="0"/>
        <v>2.7521281745877371</v>
      </c>
      <c r="F16" s="14" t="s">
        <v>38</v>
      </c>
      <c r="G16" s="9"/>
      <c r="H16" s="9"/>
    </row>
    <row r="17" spans="1:8" s="15" customFormat="1" x14ac:dyDescent="0.25">
      <c r="A17" s="11" t="s">
        <v>39</v>
      </c>
      <c r="B17" s="12" t="s">
        <v>40</v>
      </c>
      <c r="C17" s="13">
        <v>8600</v>
      </c>
      <c r="D17" s="14">
        <v>254.3751</v>
      </c>
      <c r="E17" s="14">
        <f t="shared" si="0"/>
        <v>2.4765911489605519</v>
      </c>
      <c r="F17" s="14" t="s">
        <v>41</v>
      </c>
      <c r="G17" s="9"/>
      <c r="H17" s="9"/>
    </row>
    <row r="18" spans="1:8" s="15" customFormat="1" x14ac:dyDescent="0.25">
      <c r="A18" s="11" t="s">
        <v>42</v>
      </c>
      <c r="B18" s="12" t="s">
        <v>32</v>
      </c>
      <c r="C18" s="13">
        <v>50400</v>
      </c>
      <c r="D18" s="14">
        <v>253.18440000000001</v>
      </c>
      <c r="E18" s="14">
        <f t="shared" si="0"/>
        <v>2.4649985163441235</v>
      </c>
      <c r="F18" s="14" t="s">
        <v>43</v>
      </c>
      <c r="G18" s="9"/>
      <c r="H18" s="9"/>
    </row>
    <row r="19" spans="1:8" s="15" customFormat="1" x14ac:dyDescent="0.25">
      <c r="A19" s="11" t="s">
        <v>44</v>
      </c>
      <c r="B19" s="12" t="s">
        <v>45</v>
      </c>
      <c r="C19" s="13">
        <v>68900</v>
      </c>
      <c r="D19" s="14">
        <v>199.15545</v>
      </c>
      <c r="E19" s="14">
        <f t="shared" si="0"/>
        <v>1.9389736838914491</v>
      </c>
      <c r="F19" s="14" t="s">
        <v>46</v>
      </c>
      <c r="G19" s="9"/>
      <c r="H19" s="9"/>
    </row>
    <row r="20" spans="1:8" s="15" customFormat="1" x14ac:dyDescent="0.25">
      <c r="A20" s="11" t="s">
        <v>47</v>
      </c>
      <c r="B20" s="12" t="s">
        <v>48</v>
      </c>
      <c r="C20" s="13">
        <v>6600</v>
      </c>
      <c r="D20" s="14">
        <v>196.89449999999999</v>
      </c>
      <c r="E20" s="14">
        <f t="shared" si="0"/>
        <v>1.9169611175740606</v>
      </c>
      <c r="F20" s="14" t="s">
        <v>49</v>
      </c>
      <c r="G20" s="9"/>
      <c r="H20" s="9"/>
    </row>
    <row r="21" spans="1:8" s="15" customFormat="1" x14ac:dyDescent="0.25">
      <c r="A21" s="11" t="s">
        <v>50</v>
      </c>
      <c r="B21" s="12" t="s">
        <v>51</v>
      </c>
      <c r="C21" s="13">
        <v>72800</v>
      </c>
      <c r="D21" s="14">
        <v>177.59559999999999</v>
      </c>
      <c r="E21" s="14">
        <f t="shared" si="0"/>
        <v>1.7290673932092355</v>
      </c>
      <c r="F21" s="14" t="s">
        <v>52</v>
      </c>
      <c r="G21" s="9"/>
      <c r="H21" s="9"/>
    </row>
    <row r="22" spans="1:8" s="15" customFormat="1" x14ac:dyDescent="0.25">
      <c r="A22" s="11" t="s">
        <v>53</v>
      </c>
      <c r="B22" s="12" t="s">
        <v>22</v>
      </c>
      <c r="C22" s="13">
        <v>10000</v>
      </c>
      <c r="D22" s="14">
        <v>173.70500000000001</v>
      </c>
      <c r="E22" s="14">
        <f t="shared" si="0"/>
        <v>1.6911885854008224</v>
      </c>
      <c r="F22" s="14" t="s">
        <v>54</v>
      </c>
      <c r="G22" s="9"/>
      <c r="H22" s="8"/>
    </row>
    <row r="23" spans="1:8" s="15" customFormat="1" x14ac:dyDescent="0.25">
      <c r="A23" s="11" t="s">
        <v>55</v>
      </c>
      <c r="B23" s="12" t="s">
        <v>56</v>
      </c>
      <c r="C23" s="13">
        <v>22000</v>
      </c>
      <c r="D23" s="14">
        <v>137.63200000000001</v>
      </c>
      <c r="E23" s="14">
        <f t="shared" si="0"/>
        <v>1.3399825415842144</v>
      </c>
      <c r="F23" s="14" t="s">
        <v>57</v>
      </c>
      <c r="G23" s="9"/>
      <c r="H23" s="16"/>
    </row>
    <row r="24" spans="1:8" s="15" customFormat="1" x14ac:dyDescent="0.25">
      <c r="A24" s="11" t="s">
        <v>58</v>
      </c>
      <c r="B24" s="12" t="s">
        <v>59</v>
      </c>
      <c r="C24" s="13">
        <v>48000</v>
      </c>
      <c r="D24" s="14">
        <v>129.16800000000001</v>
      </c>
      <c r="E24" s="14">
        <f t="shared" si="0"/>
        <v>1.2575771981178057</v>
      </c>
      <c r="F24" s="14" t="s">
        <v>60</v>
      </c>
      <c r="G24" s="9"/>
      <c r="H24" s="8"/>
    </row>
    <row r="25" spans="1:8" s="15" customFormat="1" x14ac:dyDescent="0.25">
      <c r="A25" s="11" t="s">
        <v>61</v>
      </c>
      <c r="B25" s="12" t="s">
        <v>22</v>
      </c>
      <c r="C25" s="13">
        <v>57800</v>
      </c>
      <c r="D25" s="14">
        <v>128.28710000000001</v>
      </c>
      <c r="E25" s="14">
        <f t="shared" si="0"/>
        <v>1.2490007724255137</v>
      </c>
      <c r="F25" s="14" t="s">
        <v>62</v>
      </c>
      <c r="G25" s="9"/>
      <c r="H25" s="9"/>
    </row>
    <row r="26" spans="1:8" s="15" customFormat="1" x14ac:dyDescent="0.25">
      <c r="A26" s="11" t="s">
        <v>63</v>
      </c>
      <c r="B26" s="12" t="s">
        <v>64</v>
      </c>
      <c r="C26" s="13">
        <v>4500</v>
      </c>
      <c r="D26" s="14">
        <v>114.4935</v>
      </c>
      <c r="E26" s="14">
        <f t="shared" si="0"/>
        <v>1.1147065444436777</v>
      </c>
      <c r="F26" s="14" t="s">
        <v>65</v>
      </c>
      <c r="G26" s="9"/>
      <c r="H26" s="9"/>
    </row>
    <row r="27" spans="1:8" s="15" customFormat="1" x14ac:dyDescent="0.25">
      <c r="A27" s="11" t="s">
        <v>66</v>
      </c>
      <c r="B27" s="12" t="s">
        <v>67</v>
      </c>
      <c r="C27" s="13">
        <v>10500</v>
      </c>
      <c r="D27" s="14">
        <v>114.42375</v>
      </c>
      <c r="E27" s="14">
        <f t="shared" si="0"/>
        <v>1.1140274597666004</v>
      </c>
      <c r="F27" s="14" t="s">
        <v>68</v>
      </c>
      <c r="G27" s="9"/>
      <c r="H27" s="16"/>
    </row>
    <row r="28" spans="1:8" s="15" customFormat="1" x14ac:dyDescent="0.25">
      <c r="A28" s="11" t="s">
        <v>69</v>
      </c>
      <c r="B28" s="12" t="s">
        <v>70</v>
      </c>
      <c r="C28" s="13">
        <v>5250</v>
      </c>
      <c r="D28" s="14">
        <v>105.070875</v>
      </c>
      <c r="E28" s="14">
        <f t="shared" si="0"/>
        <v>1.0229680461591584</v>
      </c>
      <c r="F28" s="14" t="s">
        <v>71</v>
      </c>
      <c r="G28" s="9"/>
      <c r="H28" s="8"/>
    </row>
    <row r="29" spans="1:8" s="15" customFormat="1" x14ac:dyDescent="0.25">
      <c r="A29" s="11" t="s">
        <v>72</v>
      </c>
      <c r="B29" s="12" t="s">
        <v>14</v>
      </c>
      <c r="C29" s="13">
        <v>21600</v>
      </c>
      <c r="D29" s="14">
        <v>104.11199999999999</v>
      </c>
      <c r="E29" s="14">
        <f t="shared" si="0"/>
        <v>1.0136324573457896</v>
      </c>
      <c r="F29" s="14" t="s">
        <v>73</v>
      </c>
      <c r="G29" s="9"/>
      <c r="H29" s="9"/>
    </row>
    <row r="30" spans="1:8" s="15" customFormat="1" x14ac:dyDescent="0.25">
      <c r="A30" s="11" t="s">
        <v>74</v>
      </c>
      <c r="B30" s="12" t="s">
        <v>56</v>
      </c>
      <c r="C30" s="13">
        <v>1500</v>
      </c>
      <c r="D30" s="14">
        <v>102.9435</v>
      </c>
      <c r="E30" s="14">
        <f t="shared" si="0"/>
        <v>1.0022559635083017</v>
      </c>
      <c r="F30" s="14" t="s">
        <v>75</v>
      </c>
      <c r="G30" s="9"/>
      <c r="H30" s="9"/>
    </row>
    <row r="31" spans="1:8" s="15" customFormat="1" x14ac:dyDescent="0.25">
      <c r="A31" s="11" t="s">
        <v>76</v>
      </c>
      <c r="B31" s="12" t="s">
        <v>77</v>
      </c>
      <c r="C31" s="13">
        <v>71500</v>
      </c>
      <c r="D31" s="14">
        <v>97.204250000000002</v>
      </c>
      <c r="E31" s="14">
        <f t="shared" si="0"/>
        <v>0.94637873436255648</v>
      </c>
      <c r="F31" s="14" t="s">
        <v>78</v>
      </c>
      <c r="G31" s="9"/>
      <c r="H31" s="8"/>
    </row>
    <row r="32" spans="1:8" s="15" customFormat="1" x14ac:dyDescent="0.25">
      <c r="A32" s="11" t="s">
        <v>79</v>
      </c>
      <c r="B32" s="12" t="s">
        <v>37</v>
      </c>
      <c r="C32" s="13">
        <v>5950</v>
      </c>
      <c r="D32" s="14">
        <v>89.568325000000002</v>
      </c>
      <c r="E32" s="14">
        <f t="shared" si="0"/>
        <v>0.87203551339035212</v>
      </c>
      <c r="F32" s="14" t="s">
        <v>80</v>
      </c>
      <c r="G32" s="9"/>
      <c r="H32" s="16"/>
    </row>
    <row r="33" spans="1:8" s="15" customFormat="1" x14ac:dyDescent="0.25">
      <c r="A33" s="11" t="s">
        <v>81</v>
      </c>
      <c r="B33" s="12" t="s">
        <v>45</v>
      </c>
      <c r="C33" s="13">
        <v>60000</v>
      </c>
      <c r="D33" s="14">
        <v>89.31</v>
      </c>
      <c r="E33" s="14">
        <f t="shared" si="0"/>
        <v>0.86952046608990785</v>
      </c>
      <c r="F33" s="14" t="s">
        <v>82</v>
      </c>
      <c r="G33" s="9"/>
      <c r="H33" s="8"/>
    </row>
    <row r="34" spans="1:8" s="15" customFormat="1" x14ac:dyDescent="0.25">
      <c r="A34" s="11" t="s">
        <v>83</v>
      </c>
      <c r="B34" s="12" t="s">
        <v>84</v>
      </c>
      <c r="C34" s="13">
        <v>1750</v>
      </c>
      <c r="D34" s="14">
        <v>81.753</v>
      </c>
      <c r="E34" s="14">
        <f t="shared" si="0"/>
        <v>0.79594565742076173</v>
      </c>
      <c r="F34" s="14" t="s">
        <v>85</v>
      </c>
      <c r="G34" s="9"/>
      <c r="H34" s="9"/>
    </row>
    <row r="35" spans="1:8" s="15" customFormat="1" x14ac:dyDescent="0.25">
      <c r="A35" s="11" t="s">
        <v>86</v>
      </c>
      <c r="B35" s="12" t="s">
        <v>51</v>
      </c>
      <c r="C35" s="13">
        <v>1500</v>
      </c>
      <c r="D35" s="14">
        <v>75.47475</v>
      </c>
      <c r="E35" s="14">
        <f t="shared" si="0"/>
        <v>0.73482073449803231</v>
      </c>
      <c r="F35" s="14" t="s">
        <v>87</v>
      </c>
      <c r="G35" s="9"/>
      <c r="H35" s="8"/>
    </row>
    <row r="36" spans="1:8" s="15" customFormat="1" x14ac:dyDescent="0.25">
      <c r="A36" s="11" t="s">
        <v>88</v>
      </c>
      <c r="B36" s="12" t="s">
        <v>14</v>
      </c>
      <c r="C36" s="13">
        <v>45000</v>
      </c>
      <c r="D36" s="14">
        <v>66.284999999999997</v>
      </c>
      <c r="E36" s="14">
        <f t="shared" si="0"/>
        <v>0.64534950279665815</v>
      </c>
      <c r="F36" s="14" t="s">
        <v>89</v>
      </c>
      <c r="G36" s="9"/>
      <c r="H36" s="9"/>
    </row>
    <row r="37" spans="1:8" s="15" customFormat="1" x14ac:dyDescent="0.25">
      <c r="A37" s="11" t="s">
        <v>90</v>
      </c>
      <c r="B37" s="12" t="s">
        <v>45</v>
      </c>
      <c r="C37" s="13">
        <v>9800</v>
      </c>
      <c r="D37" s="14">
        <v>56.776299999999999</v>
      </c>
      <c r="E37" s="14">
        <f t="shared" si="0"/>
        <v>0.55277297994469188</v>
      </c>
      <c r="F37" s="14" t="s">
        <v>91</v>
      </c>
      <c r="G37" s="9"/>
      <c r="H37" s="9"/>
    </row>
    <row r="38" spans="1:8" s="15" customFormat="1" x14ac:dyDescent="0.25">
      <c r="A38" s="11" t="s">
        <v>92</v>
      </c>
      <c r="B38" s="12" t="s">
        <v>14</v>
      </c>
      <c r="C38" s="13">
        <v>35000</v>
      </c>
      <c r="D38" s="14">
        <v>50.715000000000003</v>
      </c>
      <c r="E38" s="14">
        <f t="shared" si="0"/>
        <v>0.49376027810715123</v>
      </c>
      <c r="F38" s="14" t="s">
        <v>93</v>
      </c>
      <c r="G38" s="9"/>
      <c r="H38" s="9"/>
    </row>
    <row r="39" spans="1:8" s="15" customFormat="1" x14ac:dyDescent="0.25">
      <c r="A39" s="11" t="s">
        <v>94</v>
      </c>
      <c r="B39" s="12" t="s">
        <v>14</v>
      </c>
      <c r="C39" s="13">
        <v>2400</v>
      </c>
      <c r="D39" s="14">
        <v>43.805999999999997</v>
      </c>
      <c r="E39" s="14">
        <f t="shared" si="0"/>
        <v>0.42649438514762622</v>
      </c>
      <c r="F39" s="14" t="s">
        <v>95</v>
      </c>
      <c r="G39" s="9"/>
      <c r="H39" s="9"/>
    </row>
    <row r="40" spans="1:8" s="15" customFormat="1" x14ac:dyDescent="0.25">
      <c r="A40" s="11" t="s">
        <v>96</v>
      </c>
      <c r="B40" s="12" t="s">
        <v>14</v>
      </c>
      <c r="C40" s="13">
        <v>32000</v>
      </c>
      <c r="D40" s="14">
        <v>36.607999999999997</v>
      </c>
      <c r="E40" s="14">
        <f t="shared" si="0"/>
        <v>0.35641479366945855</v>
      </c>
      <c r="F40" s="14" t="s">
        <v>97</v>
      </c>
      <c r="G40" s="9"/>
      <c r="H40" s="8"/>
    </row>
    <row r="41" spans="1:8" s="15" customFormat="1" x14ac:dyDescent="0.25">
      <c r="A41" s="11" t="s">
        <v>98</v>
      </c>
      <c r="B41" s="12" t="s">
        <v>37</v>
      </c>
      <c r="C41" s="13">
        <v>1950</v>
      </c>
      <c r="D41" s="14">
        <v>26.3445</v>
      </c>
      <c r="E41" s="14">
        <f t="shared" si="0"/>
        <v>0.25648955233350773</v>
      </c>
      <c r="F41" s="14" t="s">
        <v>99</v>
      </c>
      <c r="G41" s="9"/>
      <c r="H41" s="9"/>
    </row>
    <row r="42" spans="1:8" s="15" customFormat="1" x14ac:dyDescent="0.25">
      <c r="A42" s="11" t="s">
        <v>100</v>
      </c>
      <c r="B42" s="12" t="s">
        <v>14</v>
      </c>
      <c r="C42" s="13">
        <v>1500</v>
      </c>
      <c r="D42" s="14">
        <v>23.010750000000002</v>
      </c>
      <c r="E42" s="14">
        <f t="shared" si="0"/>
        <v>0.2240322255635242</v>
      </c>
      <c r="F42" s="14" t="s">
        <v>101</v>
      </c>
      <c r="G42" s="9"/>
      <c r="H42" s="9"/>
    </row>
    <row r="43" spans="1:8" s="15" customFormat="1" x14ac:dyDescent="0.25">
      <c r="A43" s="11" t="s">
        <v>102</v>
      </c>
      <c r="B43" s="12" t="s">
        <v>37</v>
      </c>
      <c r="C43" s="13">
        <v>375</v>
      </c>
      <c r="D43" s="14">
        <v>22.9543125</v>
      </c>
      <c r="E43" s="14">
        <f t="shared" si="0"/>
        <v>0.22348275113395363</v>
      </c>
      <c r="F43" s="14" t="s">
        <v>103</v>
      </c>
      <c r="G43" s="9"/>
      <c r="H43" s="9"/>
    </row>
    <row r="44" spans="1:8" s="15" customFormat="1" x14ac:dyDescent="0.25">
      <c r="A44" s="11" t="s">
        <v>104</v>
      </c>
      <c r="B44" s="12" t="s">
        <v>64</v>
      </c>
      <c r="C44" s="13">
        <v>2900</v>
      </c>
      <c r="D44" s="14">
        <v>7.5805999999999996</v>
      </c>
      <c r="E44" s="14">
        <f t="shared" si="0"/>
        <v>7.3804577821533476E-2</v>
      </c>
      <c r="F44" s="14" t="s">
        <v>105</v>
      </c>
      <c r="G44" s="9"/>
      <c r="H44" s="9"/>
    </row>
    <row r="45" spans="1:8" s="15" customFormat="1" x14ac:dyDescent="0.25">
      <c r="A45" s="11" t="s">
        <v>106</v>
      </c>
      <c r="B45" s="12" t="s">
        <v>107</v>
      </c>
      <c r="C45" s="13">
        <v>1200</v>
      </c>
      <c r="D45" s="14">
        <v>6.3342000000000001</v>
      </c>
      <c r="E45" s="14">
        <f t="shared" si="0"/>
        <v>6.1669651061546239E-2</v>
      </c>
      <c r="F45" s="14" t="s">
        <v>108</v>
      </c>
      <c r="G45" s="9"/>
      <c r="H45" s="16"/>
    </row>
    <row r="46" spans="1:8" s="15" customFormat="1" x14ac:dyDescent="0.25">
      <c r="A46" s="11" t="s">
        <v>109</v>
      </c>
      <c r="B46" s="12" t="s">
        <v>40</v>
      </c>
      <c r="C46" s="13">
        <v>1800</v>
      </c>
      <c r="D46" s="14">
        <v>5.4531000000000001</v>
      </c>
      <c r="E46" s="14">
        <f t="shared" si="0"/>
        <v>5.309127817304754E-2</v>
      </c>
      <c r="F46" s="14" t="s">
        <v>110</v>
      </c>
      <c r="G46" s="9"/>
      <c r="H46" s="9"/>
    </row>
    <row r="47" spans="1:8" s="15" customFormat="1" x14ac:dyDescent="0.25">
      <c r="A47" s="10" t="s">
        <v>111</v>
      </c>
      <c r="B47" s="12"/>
      <c r="C47" s="13"/>
      <c r="D47" s="17">
        <f>IF(ISERROR(SUM(D7:D46)),0,SUM(D7:D46))</f>
        <v>7287.9590500000004</v>
      </c>
      <c r="E47" s="17">
        <f>IF(ISERROR(SUM(E7:E46)),0,SUM(E7:E46))</f>
        <v>70.95543108274731</v>
      </c>
      <c r="F47" s="17"/>
      <c r="G47" s="9"/>
      <c r="H47" s="8"/>
    </row>
    <row r="48" spans="1:8" s="15" customFormat="1" x14ac:dyDescent="0.25">
      <c r="A48" s="10"/>
      <c r="B48" s="10"/>
      <c r="C48" s="18"/>
      <c r="D48" s="19"/>
      <c r="E48" s="19"/>
      <c r="F48" s="19"/>
      <c r="G48" s="9"/>
      <c r="H48" s="8"/>
    </row>
    <row r="49" spans="1:8" s="15" customFormat="1" x14ac:dyDescent="0.25">
      <c r="A49" s="10" t="s">
        <v>112</v>
      </c>
      <c r="B49" s="10"/>
      <c r="C49" s="18"/>
      <c r="D49" s="20" t="s">
        <v>113</v>
      </c>
      <c r="E49" s="20" t="s">
        <v>113</v>
      </c>
      <c r="F49" s="20"/>
      <c r="G49" s="9"/>
      <c r="H49" s="8"/>
    </row>
    <row r="50" spans="1:8" s="15" customFormat="1" x14ac:dyDescent="0.25">
      <c r="A50" s="10"/>
      <c r="B50" s="3"/>
      <c r="C50" s="18"/>
      <c r="D50" s="20"/>
      <c r="E50" s="20"/>
      <c r="F50" s="21"/>
      <c r="G50" s="9"/>
      <c r="H50" s="8"/>
    </row>
    <row r="51" spans="1:8" s="15" customFormat="1" x14ac:dyDescent="0.25">
      <c r="A51" s="10" t="s">
        <v>114</v>
      </c>
      <c r="B51" s="10"/>
      <c r="C51" s="18"/>
      <c r="D51" s="17">
        <f>IF(ISERROR(+D47),0,D47)+IF(ISERROR(+#REF!),0,#REF!)</f>
        <v>7287.9590500000004</v>
      </c>
      <c r="E51" s="17">
        <f>IF(ISERROR(+E47),0,E47)+IF(ISERROR(+#REF!),0,#REF!)</f>
        <v>70.95543108274731</v>
      </c>
      <c r="F51" s="22"/>
      <c r="G51" s="9"/>
      <c r="H51" s="8"/>
    </row>
    <row r="52" spans="1:8" s="15" customFormat="1" x14ac:dyDescent="0.25">
      <c r="A52" s="10"/>
      <c r="B52" s="3"/>
      <c r="C52" s="18"/>
      <c r="D52" s="20"/>
      <c r="E52" s="20"/>
      <c r="F52" s="21"/>
      <c r="G52" s="9"/>
      <c r="H52" s="8"/>
    </row>
    <row r="53" spans="1:8" s="15" customFormat="1" x14ac:dyDescent="0.25">
      <c r="A53" s="10" t="s">
        <v>115</v>
      </c>
      <c r="B53" s="3"/>
      <c r="C53" s="18"/>
      <c r="D53" s="20"/>
      <c r="E53" s="20"/>
      <c r="F53" s="21"/>
      <c r="G53" s="9"/>
      <c r="H53" s="8"/>
    </row>
    <row r="54" spans="1:8" s="15" customFormat="1" x14ac:dyDescent="0.25">
      <c r="A54" s="10" t="s">
        <v>12</v>
      </c>
      <c r="B54" s="3"/>
      <c r="C54" s="18"/>
      <c r="D54" s="20" t="s">
        <v>113</v>
      </c>
      <c r="E54" s="20" t="s">
        <v>113</v>
      </c>
      <c r="F54" s="23"/>
      <c r="G54" s="9"/>
      <c r="H54" s="8"/>
    </row>
    <row r="55" spans="1:8" s="15" customFormat="1" x14ac:dyDescent="0.25">
      <c r="A55" s="10"/>
      <c r="B55" s="3"/>
      <c r="C55" s="24"/>
      <c r="D55" s="23"/>
      <c r="E55" s="23"/>
      <c r="F55" s="23"/>
      <c r="G55" s="9"/>
      <c r="H55" s="8"/>
    </row>
    <row r="56" spans="1:8" s="15" customFormat="1" x14ac:dyDescent="0.25">
      <c r="A56" s="10" t="s">
        <v>116</v>
      </c>
      <c r="B56" s="3"/>
      <c r="C56" s="24"/>
      <c r="D56" s="20" t="s">
        <v>113</v>
      </c>
      <c r="E56" s="20" t="s">
        <v>113</v>
      </c>
      <c r="F56" s="21"/>
      <c r="G56" s="9"/>
      <c r="H56" s="8"/>
    </row>
    <row r="57" spans="1:8" s="15" customFormat="1" x14ac:dyDescent="0.25">
      <c r="A57" s="10"/>
      <c r="B57" s="3"/>
      <c r="C57" s="24"/>
      <c r="D57" s="20"/>
      <c r="E57" s="20"/>
      <c r="F57" s="20"/>
      <c r="G57" s="9"/>
      <c r="H57" s="8"/>
    </row>
    <row r="58" spans="1:8" s="15" customFormat="1" x14ac:dyDescent="0.25">
      <c r="A58" s="10" t="s">
        <v>117</v>
      </c>
      <c r="B58" s="3"/>
      <c r="C58" s="24"/>
      <c r="D58" s="20"/>
      <c r="E58" s="20"/>
      <c r="F58" s="20"/>
      <c r="G58" s="9"/>
      <c r="H58" s="8"/>
    </row>
    <row r="59" spans="1:8" s="15" customFormat="1" x14ac:dyDescent="0.25">
      <c r="A59" s="10"/>
      <c r="B59" s="3"/>
      <c r="C59" s="24"/>
      <c r="D59" s="14"/>
      <c r="E59" s="14"/>
      <c r="F59" s="25"/>
      <c r="G59" s="9"/>
      <c r="H59" s="8"/>
    </row>
    <row r="60" spans="1:8" s="15" customFormat="1" x14ac:dyDescent="0.25">
      <c r="A60" s="10" t="s">
        <v>118</v>
      </c>
      <c r="B60" s="3"/>
      <c r="C60" s="24"/>
      <c r="D60" s="20" t="s">
        <v>113</v>
      </c>
      <c r="E60" s="20" t="s">
        <v>113</v>
      </c>
      <c r="F60" s="20"/>
      <c r="G60" s="9"/>
      <c r="H60" s="8"/>
    </row>
    <row r="61" spans="1:8" s="15" customFormat="1" x14ac:dyDescent="0.25">
      <c r="A61" s="10"/>
      <c r="B61" s="3"/>
      <c r="C61" s="24"/>
      <c r="D61" s="20"/>
      <c r="E61" s="20"/>
      <c r="F61" s="20"/>
      <c r="G61" s="9"/>
      <c r="H61" s="8"/>
    </row>
    <row r="62" spans="1:8" s="15" customFormat="1" x14ac:dyDescent="0.25">
      <c r="A62" s="10" t="s">
        <v>119</v>
      </c>
      <c r="B62" s="3"/>
      <c r="C62" s="24"/>
      <c r="D62" s="20" t="s">
        <v>113</v>
      </c>
      <c r="E62" s="20" t="s">
        <v>113</v>
      </c>
      <c r="F62" s="20"/>
      <c r="G62" s="9"/>
      <c r="H62" s="8"/>
    </row>
    <row r="63" spans="1:8" s="15" customFormat="1" x14ac:dyDescent="0.25">
      <c r="A63" s="10"/>
      <c r="B63" s="3"/>
      <c r="C63" s="24"/>
      <c r="D63" s="20"/>
      <c r="E63" s="20"/>
      <c r="F63" s="20"/>
      <c r="G63" s="9"/>
      <c r="H63" s="8"/>
    </row>
    <row r="64" spans="1:8" s="15" customFormat="1" x14ac:dyDescent="0.25">
      <c r="A64" s="10" t="s">
        <v>120</v>
      </c>
      <c r="B64" s="3"/>
      <c r="C64" s="24"/>
      <c r="D64" s="20"/>
      <c r="E64" s="20"/>
      <c r="F64" s="21"/>
      <c r="G64" s="9"/>
      <c r="H64" s="8"/>
    </row>
    <row r="65" spans="1:8" s="15" customFormat="1" x14ac:dyDescent="0.25">
      <c r="A65" s="10" t="s">
        <v>121</v>
      </c>
      <c r="B65" s="12"/>
      <c r="C65" s="13"/>
      <c r="D65" s="14"/>
      <c r="E65" s="23"/>
      <c r="F65" s="26"/>
      <c r="G65" s="9"/>
      <c r="H65" s="8"/>
    </row>
    <row r="66" spans="1:8" s="15" customFormat="1" x14ac:dyDescent="0.25">
      <c r="A66" s="11" t="s">
        <v>122</v>
      </c>
      <c r="B66" s="12" t="s">
        <v>123</v>
      </c>
      <c r="C66" s="13">
        <v>210000</v>
      </c>
      <c r="D66" s="14">
        <v>208.63751999999999</v>
      </c>
      <c r="E66" s="14">
        <f t="shared" ref="E66:E76" si="1">(+D66/$D$88*100)</f>
        <v>2.0312909375684969</v>
      </c>
      <c r="F66" s="14" t="s">
        <v>124</v>
      </c>
      <c r="G66" s="9">
        <v>6.8102</v>
      </c>
      <c r="H66" s="8"/>
    </row>
    <row r="67" spans="1:8" s="15" customFormat="1" x14ac:dyDescent="0.25">
      <c r="A67" s="11" t="s">
        <v>125</v>
      </c>
      <c r="B67" s="12" t="s">
        <v>123</v>
      </c>
      <c r="C67" s="13">
        <v>200000</v>
      </c>
      <c r="D67" s="14">
        <v>199.7396</v>
      </c>
      <c r="E67" s="14">
        <f t="shared" si="1"/>
        <v>1.9446609572120899</v>
      </c>
      <c r="F67" s="14" t="s">
        <v>126</v>
      </c>
      <c r="G67" s="9">
        <v>6.7979000000000003</v>
      </c>
      <c r="H67" s="8"/>
    </row>
    <row r="68" spans="1:8" s="15" customFormat="1" x14ac:dyDescent="0.25">
      <c r="A68" s="11" t="s">
        <v>127</v>
      </c>
      <c r="B68" s="12" t="s">
        <v>123</v>
      </c>
      <c r="C68" s="13">
        <v>200000</v>
      </c>
      <c r="D68" s="14">
        <v>199.48060000000001</v>
      </c>
      <c r="E68" s="14">
        <f t="shared" si="1"/>
        <v>1.9421393381244483</v>
      </c>
      <c r="F68" s="14" t="s">
        <v>128</v>
      </c>
      <c r="G68" s="9">
        <v>6.7896999999999998</v>
      </c>
      <c r="H68" s="8"/>
    </row>
    <row r="69" spans="1:8" s="15" customFormat="1" x14ac:dyDescent="0.25">
      <c r="A69" s="11" t="s">
        <v>129</v>
      </c>
      <c r="B69" s="12" t="s">
        <v>123</v>
      </c>
      <c r="C69" s="13">
        <v>200000</v>
      </c>
      <c r="D69" s="14">
        <v>199.21940000000001</v>
      </c>
      <c r="E69" s="14">
        <f t="shared" si="1"/>
        <v>1.9395962998785332</v>
      </c>
      <c r="F69" s="14" t="s">
        <v>130</v>
      </c>
      <c r="G69" s="9">
        <v>6.8103999999999996</v>
      </c>
      <c r="H69" s="8"/>
    </row>
    <row r="70" spans="1:8" s="15" customFormat="1" x14ac:dyDescent="0.25">
      <c r="A70" s="11" t="s">
        <v>131</v>
      </c>
      <c r="B70" s="12" t="s">
        <v>123</v>
      </c>
      <c r="C70" s="13">
        <v>205000</v>
      </c>
      <c r="D70" s="14">
        <v>199.00497999999999</v>
      </c>
      <c r="E70" s="14">
        <f t="shared" si="1"/>
        <v>1.9375087108253586</v>
      </c>
      <c r="F70" s="14" t="s">
        <v>132</v>
      </c>
      <c r="G70" s="9">
        <v>7.14</v>
      </c>
      <c r="H70" s="8"/>
    </row>
    <row r="71" spans="1:8" s="15" customFormat="1" x14ac:dyDescent="0.25">
      <c r="A71" s="11" t="s">
        <v>133</v>
      </c>
      <c r="B71" s="12" t="s">
        <v>123</v>
      </c>
      <c r="C71" s="13">
        <v>200000</v>
      </c>
      <c r="D71" s="14">
        <v>198.96440000000001</v>
      </c>
      <c r="E71" s="14">
        <f t="shared" si="1"/>
        <v>1.9371136247150249</v>
      </c>
      <c r="F71" s="14" t="s">
        <v>134</v>
      </c>
      <c r="G71" s="9">
        <v>6.7850000000000001</v>
      </c>
      <c r="H71" s="8"/>
    </row>
    <row r="72" spans="1:8" s="15" customFormat="1" x14ac:dyDescent="0.25">
      <c r="A72" s="11" t="s">
        <v>135</v>
      </c>
      <c r="B72" s="12" t="s">
        <v>123</v>
      </c>
      <c r="C72" s="13">
        <v>200000</v>
      </c>
      <c r="D72" s="14">
        <v>198.43899999999999</v>
      </c>
      <c r="E72" s="14">
        <f t="shared" si="1"/>
        <v>1.931998340280094</v>
      </c>
      <c r="F72" s="14" t="s">
        <v>136</v>
      </c>
      <c r="G72" s="9">
        <v>6.8362999999999996</v>
      </c>
      <c r="H72" s="8"/>
    </row>
    <row r="73" spans="1:8" s="15" customFormat="1" x14ac:dyDescent="0.25">
      <c r="A73" s="11" t="s">
        <v>137</v>
      </c>
      <c r="B73" s="12" t="s">
        <v>123</v>
      </c>
      <c r="C73" s="13">
        <v>200000</v>
      </c>
      <c r="D73" s="14">
        <v>198.17859999999999</v>
      </c>
      <c r="E73" s="14">
        <f t="shared" si="1"/>
        <v>1.9294630908190058</v>
      </c>
      <c r="F73" s="14" t="s">
        <v>138</v>
      </c>
      <c r="G73" s="9">
        <v>6.8464999999999998</v>
      </c>
      <c r="H73" s="8"/>
    </row>
    <row r="74" spans="1:8" s="15" customFormat="1" x14ac:dyDescent="0.25">
      <c r="A74" s="11" t="s">
        <v>139</v>
      </c>
      <c r="B74" s="12" t="s">
        <v>123</v>
      </c>
      <c r="C74" s="13">
        <v>200000</v>
      </c>
      <c r="D74" s="14">
        <v>195.51779999999999</v>
      </c>
      <c r="E74" s="14">
        <f t="shared" si="1"/>
        <v>1.9035575924854258</v>
      </c>
      <c r="F74" s="14" t="s">
        <v>140</v>
      </c>
      <c r="G74" s="9">
        <v>7.0315000000000003</v>
      </c>
      <c r="H74" s="8"/>
    </row>
    <row r="75" spans="1:8" s="15" customFormat="1" x14ac:dyDescent="0.25">
      <c r="A75" s="11" t="s">
        <v>141</v>
      </c>
      <c r="B75" s="12" t="s">
        <v>123</v>
      </c>
      <c r="C75" s="13">
        <v>200000</v>
      </c>
      <c r="D75" s="14">
        <v>194.9494</v>
      </c>
      <c r="E75" s="14">
        <f t="shared" si="1"/>
        <v>1.8980236608660606</v>
      </c>
      <c r="F75" s="14" t="s">
        <v>142</v>
      </c>
      <c r="G75" s="9">
        <v>7.1098999999999997</v>
      </c>
      <c r="H75" s="8"/>
    </row>
    <row r="76" spans="1:8" s="15" customFormat="1" x14ac:dyDescent="0.25">
      <c r="A76" s="11" t="s">
        <v>143</v>
      </c>
      <c r="B76" s="12" t="s">
        <v>123</v>
      </c>
      <c r="C76" s="13">
        <v>100000</v>
      </c>
      <c r="D76" s="14">
        <v>99.482200000000006</v>
      </c>
      <c r="E76" s="14">
        <f t="shared" si="1"/>
        <v>0.96855681235751245</v>
      </c>
      <c r="F76" s="14" t="s">
        <v>144</v>
      </c>
      <c r="G76" s="9">
        <v>6.7850000000000001</v>
      </c>
      <c r="H76" s="8"/>
    </row>
    <row r="77" spans="1:8" s="15" customFormat="1" x14ac:dyDescent="0.25">
      <c r="A77" s="10" t="s">
        <v>111</v>
      </c>
      <c r="B77" s="27"/>
      <c r="C77" s="28"/>
      <c r="D77" s="20">
        <f>IF(ISERROR(SUM(D66:D76)),0,SUM(D66:D76))</f>
        <v>2091.6134999999999</v>
      </c>
      <c r="E77" s="20">
        <f>IF(ISERROR(SUM(E66:E76)),0,SUM(E66:E76))</f>
        <v>20.363909365132049</v>
      </c>
      <c r="F77" s="29"/>
      <c r="G77" s="9"/>
      <c r="H77" s="8"/>
    </row>
    <row r="78" spans="1:8" s="15" customFormat="1" x14ac:dyDescent="0.25">
      <c r="A78" s="11" t="s">
        <v>145</v>
      </c>
      <c r="B78" s="12"/>
      <c r="C78" s="13">
        <v>0</v>
      </c>
      <c r="D78" s="14">
        <v>618.68843340000001</v>
      </c>
      <c r="E78" s="14">
        <f>(+D78/$D$88*100)</f>
        <v>6.0235388531452569</v>
      </c>
      <c r="F78" s="14" t="s">
        <v>146</v>
      </c>
      <c r="G78" s="9">
        <v>6.6959999999999997</v>
      </c>
      <c r="H78" s="8"/>
    </row>
    <row r="79" spans="1:8" s="15" customFormat="1" x14ac:dyDescent="0.25">
      <c r="A79" s="10" t="s">
        <v>111</v>
      </c>
      <c r="B79" s="3"/>
      <c r="C79" s="24"/>
      <c r="D79" s="20">
        <f>IF(ISERROR(SUM(D78:D78)),0,SUM(D78:D78))</f>
        <v>618.68843340000001</v>
      </c>
      <c r="E79" s="20">
        <f>IF(ISERROR(SUM(E78:E78)),0,SUM(E78:E78))</f>
        <v>6.0235388531452569</v>
      </c>
      <c r="F79" s="14"/>
      <c r="G79" s="9"/>
      <c r="H79" s="8"/>
    </row>
    <row r="80" spans="1:8" s="15" customFormat="1" x14ac:dyDescent="0.25">
      <c r="A80" s="10" t="s">
        <v>147</v>
      </c>
      <c r="B80" s="3"/>
      <c r="C80" s="24"/>
      <c r="D80" s="20"/>
      <c r="E80" s="20"/>
      <c r="F80" s="20"/>
      <c r="G80" s="9"/>
      <c r="H80" s="8"/>
    </row>
    <row r="81" spans="1:8" s="15" customFormat="1" x14ac:dyDescent="0.25">
      <c r="A81" s="11" t="s">
        <v>148</v>
      </c>
      <c r="B81" s="12"/>
      <c r="C81" s="13">
        <v>321762.06900000002</v>
      </c>
      <c r="D81" s="14">
        <v>209.83134158110801</v>
      </c>
      <c r="E81" s="14">
        <f>(+D81/$D$88*100)</f>
        <v>2.0429139618393872</v>
      </c>
      <c r="F81" s="14" t="s">
        <v>149</v>
      </c>
      <c r="G81" s="9"/>
      <c r="H81" s="8"/>
    </row>
    <row r="82" spans="1:8" s="15" customFormat="1" x14ac:dyDescent="0.25">
      <c r="A82" s="10" t="s">
        <v>111</v>
      </c>
      <c r="B82" s="3"/>
      <c r="C82" s="24"/>
      <c r="D82" s="20">
        <f>IF(ISERROR(SUM(D81:D81)),0,SUM(D81:D81))</f>
        <v>209.83134158110801</v>
      </c>
      <c r="E82" s="20">
        <f>IF(ISERROR(SUM(E81:E81)),0,SUM(E81:E81))</f>
        <v>2.0429139618393872</v>
      </c>
      <c r="F82" s="30"/>
      <c r="G82" s="9"/>
      <c r="H82" s="8"/>
    </row>
    <row r="83" spans="1:8" s="15" customFormat="1" x14ac:dyDescent="0.25">
      <c r="A83" s="10"/>
      <c r="B83" s="3"/>
      <c r="C83" s="24"/>
      <c r="D83" s="20"/>
      <c r="E83" s="20"/>
      <c r="F83" s="21"/>
      <c r="G83" s="9"/>
      <c r="H83" s="8"/>
    </row>
    <row r="84" spans="1:8" s="15" customFormat="1" x14ac:dyDescent="0.25">
      <c r="A84" s="10" t="s">
        <v>114</v>
      </c>
      <c r="B84" s="3"/>
      <c r="C84" s="24" t="s">
        <v>150</v>
      </c>
      <c r="D84" s="20">
        <f>+IF(ISERROR(#REF!),0,#REF!)+IF(ISERROR(D79),0,D79)+IF(ISERROR(D51),0,D51)+IF(ISERROR(#REF!),0,#REF!)+IF(ISERROR(#REF!),0,#REF!)+IF(ISERROR(D77),0,D77)+IF(ISERROR(D82),0,D82)+IF(ISERROR(#REF!),0,#REF!)+IF(ISERROR(#REF!),0,#REF!)+IF(ISERROR(#REF!),0,#REF!)+IF(ISERROR(#REF!),0,#REF!)</f>
        <v>10208.092324981108</v>
      </c>
      <c r="E84" s="20">
        <f>+IF(ISERROR(#REF!),0,#REF!)+IF(ISERROR(E79),0,E79)+IF(ISERROR(E51),0,E51)+IF(ISERROR(#REF!),0,#REF!)+IF(ISERROR(#REF!),0,#REF!)+IF(ISERROR(E77),0,E77)+IF(ISERROR(E82),0,E82)+IF(ISERROR(#REF!),0,#REF!)+IF(ISERROR(#REF!),0,#REF!)+IF(ISERROR(#REF!),0,#REF!)+IF(ISERROR(#REF!),0,#REF!)</f>
        <v>99.385793262863999</v>
      </c>
      <c r="F84" s="20"/>
      <c r="G84" s="9"/>
      <c r="H84" s="8"/>
    </row>
    <row r="85" spans="1:8" s="15" customFormat="1" x14ac:dyDescent="0.25">
      <c r="A85" s="10"/>
      <c r="B85" s="3"/>
      <c r="C85" s="24"/>
      <c r="D85" s="20"/>
      <c r="E85" s="20"/>
      <c r="F85" s="31"/>
      <c r="G85" s="32"/>
      <c r="H85" s="33"/>
    </row>
    <row r="86" spans="1:8" s="15" customFormat="1" x14ac:dyDescent="0.25">
      <c r="A86" s="10" t="s">
        <v>151</v>
      </c>
      <c r="B86" s="3"/>
      <c r="C86" s="24"/>
      <c r="D86" s="20">
        <f>+D88-D84</f>
        <v>63.086270919291564</v>
      </c>
      <c r="E86" s="20">
        <f>D86/$D$88*100</f>
        <v>0.61420673713600493</v>
      </c>
      <c r="F86" s="31"/>
      <c r="G86" s="32"/>
      <c r="H86" s="33"/>
    </row>
    <row r="87" spans="1:8" s="15" customFormat="1" x14ac:dyDescent="0.25">
      <c r="A87" s="10"/>
      <c r="B87" s="3"/>
      <c r="C87" s="24"/>
      <c r="D87" s="23"/>
      <c r="E87" s="23"/>
      <c r="F87" s="31"/>
      <c r="G87" s="32"/>
      <c r="H87" s="33"/>
    </row>
    <row r="88" spans="1:8" s="15" customFormat="1" x14ac:dyDescent="0.25">
      <c r="A88" s="10" t="s">
        <v>152</v>
      </c>
      <c r="B88" s="3"/>
      <c r="C88" s="24"/>
      <c r="D88" s="20">
        <v>10271.178595900399</v>
      </c>
      <c r="E88" s="20">
        <f>+E84+E86</f>
        <v>100</v>
      </c>
      <c r="F88" s="31"/>
      <c r="G88" s="32"/>
      <c r="H88" s="34"/>
    </row>
    <row r="89" spans="1:8" s="15" customFormat="1" x14ac:dyDescent="0.25">
      <c r="A89" s="35"/>
      <c r="B89" s="36"/>
      <c r="C89" s="37"/>
      <c r="D89" s="38"/>
      <c r="E89" s="38"/>
      <c r="F89" s="31"/>
      <c r="G89" s="32"/>
      <c r="H89" s="33"/>
    </row>
    <row r="90" spans="1:8" s="15" customFormat="1" x14ac:dyDescent="0.25">
      <c r="A90" s="91" t="s">
        <v>153</v>
      </c>
      <c r="B90" s="91"/>
      <c r="C90" s="91"/>
      <c r="D90" s="91"/>
      <c r="E90" s="91"/>
      <c r="F90" s="91"/>
      <c r="G90" s="91"/>
      <c r="H90" s="91"/>
    </row>
    <row r="91" spans="1:8" s="15" customFormat="1" ht="24" customHeight="1" x14ac:dyDescent="0.25">
      <c r="A91" s="91" t="s">
        <v>154</v>
      </c>
      <c r="B91" s="91"/>
      <c r="C91" s="91"/>
      <c r="D91" s="91"/>
      <c r="E91" s="91"/>
      <c r="F91" s="91"/>
      <c r="G91" s="91"/>
      <c r="H91" s="92"/>
    </row>
    <row r="92" spans="1:8" x14ac:dyDescent="0.25">
      <c r="A92" s="93" t="s">
        <v>155</v>
      </c>
      <c r="B92" s="93"/>
      <c r="C92" s="93"/>
      <c r="D92" s="93"/>
      <c r="E92" s="93"/>
      <c r="F92" s="93"/>
      <c r="G92" s="93"/>
      <c r="H92" s="92"/>
    </row>
    <row r="93" spans="1:8" ht="60.75" customHeight="1" x14ac:dyDescent="0.25">
      <c r="A93" s="94" t="s">
        <v>156</v>
      </c>
      <c r="B93" s="94"/>
      <c r="C93" s="94"/>
      <c r="D93" s="94"/>
      <c r="E93" s="94"/>
      <c r="F93" s="94"/>
      <c r="G93" s="94"/>
      <c r="H93" s="92"/>
    </row>
    <row r="94" spans="1:8" x14ac:dyDescent="0.25">
      <c r="A94" s="45" t="s">
        <v>157</v>
      </c>
      <c r="B94" s="41"/>
      <c r="C94" s="42"/>
      <c r="D94" s="43"/>
      <c r="E94" s="43"/>
      <c r="F94" s="39"/>
      <c r="G94" s="33"/>
      <c r="H94" s="33"/>
    </row>
    <row r="95" spans="1:8" ht="40.799999999999997" x14ac:dyDescent="0.25">
      <c r="A95" s="46" t="s">
        <v>158</v>
      </c>
      <c r="B95" s="47" t="s">
        <v>159</v>
      </c>
      <c r="C95" s="48" t="s">
        <v>5</v>
      </c>
      <c r="D95" s="46" t="s">
        <v>160</v>
      </c>
      <c r="E95" s="46" t="s">
        <v>161</v>
      </c>
      <c r="F95" s="46" t="s">
        <v>162</v>
      </c>
      <c r="G95" s="33"/>
      <c r="H95" s="33"/>
    </row>
    <row r="96" spans="1:8" x14ac:dyDescent="0.25">
      <c r="A96" s="49" t="s">
        <v>179</v>
      </c>
      <c r="B96" s="50" t="s">
        <v>163</v>
      </c>
      <c r="C96" s="51">
        <v>1750</v>
      </c>
      <c r="D96" s="52">
        <v>4835.36430286</v>
      </c>
      <c r="E96" s="53">
        <v>4704.8</v>
      </c>
      <c r="F96" s="52">
        <v>15.351699999999999</v>
      </c>
      <c r="G96" s="33"/>
      <c r="H96" s="33"/>
    </row>
    <row r="97" spans="1:8" x14ac:dyDescent="0.25">
      <c r="A97" s="49" t="s">
        <v>180</v>
      </c>
      <c r="B97" s="50" t="s">
        <v>163</v>
      </c>
      <c r="C97" s="51">
        <v>72800</v>
      </c>
      <c r="D97" s="52">
        <v>238.89998571000001</v>
      </c>
      <c r="E97" s="53">
        <v>245.75</v>
      </c>
      <c r="F97" s="52">
        <v>37.362780000000001</v>
      </c>
      <c r="G97" s="33"/>
      <c r="H97" s="33"/>
    </row>
    <row r="98" spans="1:8" x14ac:dyDescent="0.25">
      <c r="A98" s="49" t="s">
        <v>181</v>
      </c>
      <c r="B98" s="50" t="s">
        <v>163</v>
      </c>
      <c r="C98" s="51">
        <v>4500</v>
      </c>
      <c r="D98" s="52">
        <v>2266.5533</v>
      </c>
      <c r="E98" s="53">
        <v>2562.1</v>
      </c>
      <c r="F98" s="52">
        <v>23.162568799999999</v>
      </c>
      <c r="G98" s="33"/>
      <c r="H98" s="33"/>
    </row>
    <row r="99" spans="1:8" x14ac:dyDescent="0.25">
      <c r="A99" s="49" t="s">
        <v>182</v>
      </c>
      <c r="B99" s="50" t="s">
        <v>163</v>
      </c>
      <c r="C99" s="51">
        <v>7800</v>
      </c>
      <c r="D99" s="52">
        <v>3047.0654153800001</v>
      </c>
      <c r="E99" s="53">
        <v>2979.8</v>
      </c>
      <c r="F99" s="52">
        <v>41.015997069767444</v>
      </c>
      <c r="G99" s="33"/>
      <c r="H99" s="33"/>
    </row>
    <row r="100" spans="1:8" x14ac:dyDescent="0.25">
      <c r="A100" s="49" t="s">
        <v>183</v>
      </c>
      <c r="B100" s="50" t="s">
        <v>163</v>
      </c>
      <c r="C100" s="51">
        <v>800</v>
      </c>
      <c r="D100" s="52">
        <v>3340.875</v>
      </c>
      <c r="E100" s="53">
        <v>3000.3</v>
      </c>
      <c r="F100" s="52">
        <v>4.206768930232557</v>
      </c>
      <c r="G100" s="33"/>
      <c r="H100" s="33"/>
    </row>
    <row r="101" spans="1:8" x14ac:dyDescent="0.25">
      <c r="A101" s="49" t="s">
        <v>184</v>
      </c>
      <c r="B101" s="50" t="s">
        <v>163</v>
      </c>
      <c r="C101" s="51">
        <v>39375</v>
      </c>
      <c r="D101" s="52">
        <v>1078.87933638</v>
      </c>
      <c r="E101" s="53">
        <v>1075.0999999999999</v>
      </c>
      <c r="F101" s="52">
        <v>74.658248400000005</v>
      </c>
      <c r="G101" s="33"/>
      <c r="H101" s="33"/>
    </row>
    <row r="102" spans="1:8" x14ac:dyDescent="0.25">
      <c r="A102" s="49" t="s">
        <v>185</v>
      </c>
      <c r="B102" s="50" t="s">
        <v>163</v>
      </c>
      <c r="C102" s="51">
        <v>1500</v>
      </c>
      <c r="D102" s="52">
        <v>7178.3208000000004</v>
      </c>
      <c r="E102" s="53">
        <v>6962.1</v>
      </c>
      <c r="F102" s="52">
        <v>18.41808</v>
      </c>
      <c r="G102" s="33"/>
      <c r="H102" s="33"/>
    </row>
    <row r="103" spans="1:8" x14ac:dyDescent="0.25">
      <c r="A103" s="49" t="s">
        <v>186</v>
      </c>
      <c r="B103" s="50" t="s">
        <v>163</v>
      </c>
      <c r="C103" s="51">
        <v>227500</v>
      </c>
      <c r="D103" s="52">
        <v>228.97633407000001</v>
      </c>
      <c r="E103" s="53">
        <v>230.1</v>
      </c>
      <c r="F103" s="52">
        <v>120.36484689999999</v>
      </c>
      <c r="G103" s="33"/>
      <c r="H103" s="33"/>
    </row>
    <row r="104" spans="1:8" x14ac:dyDescent="0.25">
      <c r="A104" s="49" t="s">
        <v>187</v>
      </c>
      <c r="B104" s="50" t="s">
        <v>163</v>
      </c>
      <c r="C104" s="51">
        <v>108225</v>
      </c>
      <c r="D104" s="52">
        <v>232.89723243</v>
      </c>
      <c r="E104" s="53">
        <v>249.65</v>
      </c>
      <c r="F104" s="52">
        <v>56.791676116326535</v>
      </c>
      <c r="G104" s="33"/>
      <c r="H104" s="33"/>
    </row>
    <row r="105" spans="1:8" x14ac:dyDescent="0.25">
      <c r="A105" s="49" t="s">
        <v>188</v>
      </c>
      <c r="B105" s="50" t="s">
        <v>163</v>
      </c>
      <c r="C105" s="51">
        <v>35100</v>
      </c>
      <c r="D105" s="52">
        <v>229.20419999999999</v>
      </c>
      <c r="E105" s="53">
        <v>251.35</v>
      </c>
      <c r="F105" s="52">
        <v>18.418921983673471</v>
      </c>
      <c r="G105" s="33"/>
      <c r="H105" s="33"/>
    </row>
    <row r="106" spans="1:8" x14ac:dyDescent="0.25">
      <c r="A106" s="49" t="s">
        <v>189</v>
      </c>
      <c r="B106" s="50" t="s">
        <v>163</v>
      </c>
      <c r="C106" s="51">
        <v>50400</v>
      </c>
      <c r="D106" s="52">
        <v>470.71249999999998</v>
      </c>
      <c r="E106" s="53">
        <v>504.7</v>
      </c>
      <c r="F106" s="52">
        <v>44.948988</v>
      </c>
      <c r="G106" s="33"/>
      <c r="H106" s="33"/>
    </row>
    <row r="107" spans="1:8" x14ac:dyDescent="0.25">
      <c r="A107" s="49" t="s">
        <v>190</v>
      </c>
      <c r="B107" s="50" t="s">
        <v>163</v>
      </c>
      <c r="C107" s="51">
        <v>21600</v>
      </c>
      <c r="D107" s="52">
        <v>461.05</v>
      </c>
      <c r="E107" s="53">
        <v>484.6</v>
      </c>
      <c r="F107" s="52">
        <v>21.878532000000003</v>
      </c>
      <c r="G107" s="33"/>
      <c r="H107" s="33"/>
    </row>
    <row r="108" spans="1:8" x14ac:dyDescent="0.25">
      <c r="A108" s="49" t="s">
        <v>191</v>
      </c>
      <c r="B108" s="50" t="s">
        <v>163</v>
      </c>
      <c r="C108" s="51">
        <v>1950</v>
      </c>
      <c r="D108" s="52">
        <v>1423.75</v>
      </c>
      <c r="E108" s="53">
        <v>1356.4</v>
      </c>
      <c r="F108" s="52">
        <v>4.6766459999999999</v>
      </c>
      <c r="G108" s="33"/>
      <c r="H108" s="33"/>
    </row>
    <row r="109" spans="1:8" x14ac:dyDescent="0.25">
      <c r="A109" s="49" t="s">
        <v>192</v>
      </c>
      <c r="B109" s="50" t="s">
        <v>163</v>
      </c>
      <c r="C109" s="51">
        <v>1800</v>
      </c>
      <c r="D109" s="52">
        <v>303.8</v>
      </c>
      <c r="E109" s="53">
        <v>305.14999999999998</v>
      </c>
      <c r="F109" s="52">
        <v>0.97879499999999997</v>
      </c>
      <c r="G109" s="33"/>
      <c r="H109" s="33"/>
    </row>
    <row r="110" spans="1:8" x14ac:dyDescent="0.25">
      <c r="A110" s="49" t="s">
        <v>193</v>
      </c>
      <c r="B110" s="50" t="s">
        <v>163</v>
      </c>
      <c r="C110" s="51">
        <v>35000</v>
      </c>
      <c r="D110" s="52">
        <v>140.85</v>
      </c>
      <c r="E110" s="53">
        <v>145.5</v>
      </c>
      <c r="F110" s="52">
        <v>10.6967</v>
      </c>
      <c r="G110" s="33"/>
      <c r="H110" s="33"/>
    </row>
    <row r="111" spans="1:8" x14ac:dyDescent="0.25">
      <c r="A111" s="49" t="s">
        <v>194</v>
      </c>
      <c r="B111" s="50" t="s">
        <v>163</v>
      </c>
      <c r="C111" s="51">
        <v>375</v>
      </c>
      <c r="D111" s="52">
        <v>5869.63328</v>
      </c>
      <c r="E111" s="53">
        <v>6147.95</v>
      </c>
      <c r="F111" s="52">
        <v>4.0739530999999998</v>
      </c>
      <c r="G111" s="33"/>
      <c r="H111" s="33"/>
    </row>
    <row r="112" spans="1:8" x14ac:dyDescent="0.25">
      <c r="A112" s="49" t="s">
        <v>195</v>
      </c>
      <c r="B112" s="50" t="s">
        <v>163</v>
      </c>
      <c r="C112" s="51">
        <v>6600</v>
      </c>
      <c r="D112" s="52">
        <v>2900.5353697</v>
      </c>
      <c r="E112" s="53">
        <v>3004.3</v>
      </c>
      <c r="F112" s="52">
        <v>37.195339500000003</v>
      </c>
      <c r="G112" s="33"/>
      <c r="H112" s="33"/>
    </row>
    <row r="113" spans="1:8" x14ac:dyDescent="0.25">
      <c r="A113" s="49" t="s">
        <v>196</v>
      </c>
      <c r="B113" s="50" t="s">
        <v>163</v>
      </c>
      <c r="C113" s="51">
        <v>45000</v>
      </c>
      <c r="D113" s="52">
        <v>145.37777778</v>
      </c>
      <c r="E113" s="53">
        <v>148.15</v>
      </c>
      <c r="F113" s="52">
        <v>11.943</v>
      </c>
      <c r="G113" s="33"/>
      <c r="H113" s="33"/>
    </row>
    <row r="114" spans="1:8" x14ac:dyDescent="0.25">
      <c r="A114" s="49" t="s">
        <v>197</v>
      </c>
      <c r="B114" s="50" t="s">
        <v>163</v>
      </c>
      <c r="C114" s="51">
        <v>68000</v>
      </c>
      <c r="D114" s="52">
        <v>424.93819999999999</v>
      </c>
      <c r="E114" s="53">
        <v>418.1</v>
      </c>
      <c r="F114" s="52">
        <v>57.205680000000001</v>
      </c>
      <c r="G114" s="33"/>
      <c r="H114" s="33"/>
    </row>
    <row r="115" spans="1:8" x14ac:dyDescent="0.25">
      <c r="A115" s="49" t="s">
        <v>198</v>
      </c>
      <c r="B115" s="50" t="s">
        <v>163</v>
      </c>
      <c r="C115" s="51">
        <v>24200</v>
      </c>
      <c r="D115" s="52">
        <v>1453.6863247900001</v>
      </c>
      <c r="E115" s="53">
        <v>1472.3</v>
      </c>
      <c r="F115" s="52">
        <v>63.042769103448279</v>
      </c>
      <c r="G115" s="33"/>
      <c r="H115" s="33"/>
    </row>
    <row r="116" spans="1:8" x14ac:dyDescent="0.25">
      <c r="A116" s="49" t="s">
        <v>199</v>
      </c>
      <c r="B116" s="50" t="s">
        <v>163</v>
      </c>
      <c r="C116" s="51">
        <v>23650</v>
      </c>
      <c r="D116" s="52">
        <v>1626.2197281199999</v>
      </c>
      <c r="E116" s="53">
        <v>1483.25</v>
      </c>
      <c r="F116" s="52">
        <v>61.609978896551731</v>
      </c>
      <c r="G116" s="33"/>
      <c r="H116" s="33"/>
    </row>
    <row r="117" spans="1:8" x14ac:dyDescent="0.25">
      <c r="A117" s="49" t="s">
        <v>200</v>
      </c>
      <c r="B117" s="50" t="s">
        <v>163</v>
      </c>
      <c r="C117" s="51">
        <v>9800</v>
      </c>
      <c r="D117" s="52">
        <v>572.29999999999995</v>
      </c>
      <c r="E117" s="53">
        <v>582.1</v>
      </c>
      <c r="F117" s="52">
        <v>11.415481000000002</v>
      </c>
      <c r="G117" s="33"/>
      <c r="H117" s="33"/>
    </row>
    <row r="118" spans="1:8" x14ac:dyDescent="0.25">
      <c r="A118" s="49" t="s">
        <v>201</v>
      </c>
      <c r="B118" s="50" t="s">
        <v>163</v>
      </c>
      <c r="C118" s="51">
        <v>68900</v>
      </c>
      <c r="D118" s="52">
        <v>270.80768461999997</v>
      </c>
      <c r="E118" s="53">
        <v>291.25</v>
      </c>
      <c r="F118" s="52">
        <v>67.602526900000001</v>
      </c>
      <c r="G118" s="33"/>
      <c r="H118" s="33"/>
    </row>
    <row r="119" spans="1:8" x14ac:dyDescent="0.25">
      <c r="A119" s="49" t="s">
        <v>202</v>
      </c>
      <c r="B119" s="50" t="s">
        <v>163</v>
      </c>
      <c r="C119" s="51">
        <v>3120000</v>
      </c>
      <c r="D119" s="52">
        <v>14.784599999999999</v>
      </c>
      <c r="E119" s="53">
        <v>14.5</v>
      </c>
      <c r="F119" s="52">
        <v>150.50880000000001</v>
      </c>
      <c r="G119" s="33"/>
      <c r="H119" s="33"/>
    </row>
    <row r="120" spans="1:8" x14ac:dyDescent="0.25">
      <c r="A120" s="49" t="s">
        <v>203</v>
      </c>
      <c r="B120" s="50" t="s">
        <v>163</v>
      </c>
      <c r="C120" s="51">
        <v>80000</v>
      </c>
      <c r="D120" s="52">
        <v>477.94871000000001</v>
      </c>
      <c r="E120" s="53">
        <v>495.9</v>
      </c>
      <c r="F120" s="52">
        <v>74.034999999999997</v>
      </c>
      <c r="G120" s="33"/>
      <c r="H120" s="33"/>
    </row>
    <row r="121" spans="1:8" x14ac:dyDescent="0.25">
      <c r="A121" s="49" t="s">
        <v>204</v>
      </c>
      <c r="B121" s="50" t="s">
        <v>163</v>
      </c>
      <c r="C121" s="51">
        <v>2900</v>
      </c>
      <c r="D121" s="52">
        <v>250.1</v>
      </c>
      <c r="E121" s="53">
        <v>263.3</v>
      </c>
      <c r="F121" s="52">
        <v>2.1064403999999999</v>
      </c>
      <c r="G121" s="33"/>
      <c r="H121" s="33"/>
    </row>
    <row r="122" spans="1:8" x14ac:dyDescent="0.25">
      <c r="A122" s="49" t="s">
        <v>205</v>
      </c>
      <c r="B122" s="50" t="s">
        <v>163</v>
      </c>
      <c r="C122" s="51">
        <v>1500</v>
      </c>
      <c r="D122" s="52">
        <v>1553.2665999999999</v>
      </c>
      <c r="E122" s="53">
        <v>1546.3</v>
      </c>
      <c r="F122" s="52">
        <v>4.4250749999999996</v>
      </c>
      <c r="G122" s="33"/>
      <c r="H122" s="33"/>
    </row>
    <row r="123" spans="1:8" x14ac:dyDescent="0.25">
      <c r="A123" s="49" t="s">
        <v>206</v>
      </c>
      <c r="B123" s="50" t="s">
        <v>163</v>
      </c>
      <c r="C123" s="51">
        <v>57800</v>
      </c>
      <c r="D123" s="52">
        <v>224.10294705999999</v>
      </c>
      <c r="E123" s="53">
        <v>223.8</v>
      </c>
      <c r="F123" s="52">
        <v>30.872280499999999</v>
      </c>
      <c r="G123" s="33"/>
      <c r="H123" s="33"/>
    </row>
    <row r="124" spans="1:8" x14ac:dyDescent="0.25">
      <c r="A124" s="49" t="s">
        <v>207</v>
      </c>
      <c r="B124" s="50" t="s">
        <v>163</v>
      </c>
      <c r="C124" s="51">
        <v>2400</v>
      </c>
      <c r="D124" s="52">
        <v>1827.75</v>
      </c>
      <c r="E124" s="53">
        <v>1834.15</v>
      </c>
      <c r="F124" s="52">
        <v>7.7771999999999997</v>
      </c>
      <c r="G124" s="33"/>
      <c r="H124" s="33"/>
    </row>
    <row r="125" spans="1:8" x14ac:dyDescent="0.25">
      <c r="A125" s="49" t="s">
        <v>208</v>
      </c>
      <c r="B125" s="50" t="s">
        <v>163</v>
      </c>
      <c r="C125" s="51">
        <v>22000</v>
      </c>
      <c r="D125" s="52">
        <v>580.78176364000001</v>
      </c>
      <c r="E125" s="53">
        <v>628.95000000000005</v>
      </c>
      <c r="F125" s="52">
        <v>27.133534999999998</v>
      </c>
      <c r="G125" s="33"/>
      <c r="H125" s="33"/>
    </row>
    <row r="126" spans="1:8" x14ac:dyDescent="0.25">
      <c r="A126" s="49" t="s">
        <v>209</v>
      </c>
      <c r="B126" s="50" t="s">
        <v>163</v>
      </c>
      <c r="C126" s="51">
        <v>17100</v>
      </c>
      <c r="D126" s="52">
        <v>3631.8570491199998</v>
      </c>
      <c r="E126" s="53">
        <v>3495.55</v>
      </c>
      <c r="F126" s="52">
        <v>105.644655</v>
      </c>
      <c r="G126" s="33"/>
      <c r="H126" s="33"/>
    </row>
    <row r="127" spans="1:8" x14ac:dyDescent="0.25">
      <c r="A127" s="49" t="s">
        <v>210</v>
      </c>
      <c r="B127" s="50" t="s">
        <v>163</v>
      </c>
      <c r="C127" s="51">
        <v>5950</v>
      </c>
      <c r="D127" s="52">
        <v>1438.4213999999999</v>
      </c>
      <c r="E127" s="53">
        <v>1511.55</v>
      </c>
      <c r="F127" s="52">
        <v>15.894844900000001</v>
      </c>
      <c r="G127" s="33"/>
      <c r="H127" s="33"/>
    </row>
    <row r="128" spans="1:8" x14ac:dyDescent="0.25">
      <c r="A128" s="49" t="s">
        <v>211</v>
      </c>
      <c r="B128" s="50" t="s">
        <v>163</v>
      </c>
      <c r="C128" s="51">
        <v>1200</v>
      </c>
      <c r="D128" s="52">
        <v>532.79999999999995</v>
      </c>
      <c r="E128" s="53">
        <v>530.6</v>
      </c>
      <c r="F128" s="52">
        <v>1.124946</v>
      </c>
      <c r="G128" s="33"/>
      <c r="H128" s="33"/>
    </row>
    <row r="129" spans="1:8" x14ac:dyDescent="0.25">
      <c r="A129" s="49" t="s">
        <v>212</v>
      </c>
      <c r="B129" s="50" t="s">
        <v>163</v>
      </c>
      <c r="C129" s="51">
        <v>10500</v>
      </c>
      <c r="D129" s="52">
        <v>1126.22</v>
      </c>
      <c r="E129" s="53">
        <v>1095.5999999999999</v>
      </c>
      <c r="F129" s="52">
        <v>20.312670000000001</v>
      </c>
      <c r="G129" s="33"/>
      <c r="H129" s="33"/>
    </row>
    <row r="130" spans="1:8" x14ac:dyDescent="0.25">
      <c r="A130" s="49" t="s">
        <v>213</v>
      </c>
      <c r="B130" s="50" t="s">
        <v>163</v>
      </c>
      <c r="C130" s="51">
        <v>60000</v>
      </c>
      <c r="D130" s="52">
        <v>142.375</v>
      </c>
      <c r="E130" s="53">
        <v>150.25</v>
      </c>
      <c r="F130" s="52">
        <v>27.190874999999998</v>
      </c>
      <c r="G130" s="33"/>
      <c r="H130" s="33"/>
    </row>
    <row r="131" spans="1:8" x14ac:dyDescent="0.25">
      <c r="A131" s="49" t="s">
        <v>214</v>
      </c>
      <c r="B131" s="50" t="s">
        <v>163</v>
      </c>
      <c r="C131" s="51">
        <v>1500</v>
      </c>
      <c r="D131" s="52">
        <v>4987.7849999999999</v>
      </c>
      <c r="E131" s="53">
        <v>5067.7</v>
      </c>
      <c r="F131" s="52">
        <v>15.433308799999999</v>
      </c>
      <c r="G131" s="33"/>
      <c r="H131" s="33"/>
    </row>
    <row r="132" spans="1:8" x14ac:dyDescent="0.25">
      <c r="A132" s="49" t="s">
        <v>215</v>
      </c>
      <c r="B132" s="50" t="s">
        <v>163</v>
      </c>
      <c r="C132" s="51">
        <v>48000</v>
      </c>
      <c r="D132" s="52">
        <v>258.53125</v>
      </c>
      <c r="E132" s="53">
        <v>270.35000000000002</v>
      </c>
      <c r="F132" s="52">
        <v>22.923120000000001</v>
      </c>
      <c r="G132" s="33"/>
      <c r="H132" s="33"/>
    </row>
    <row r="133" spans="1:8" x14ac:dyDescent="0.25">
      <c r="A133" s="49" t="s">
        <v>216</v>
      </c>
      <c r="B133" s="50" t="s">
        <v>163</v>
      </c>
      <c r="C133" s="51">
        <v>32000</v>
      </c>
      <c r="D133" s="52">
        <v>101.875</v>
      </c>
      <c r="E133" s="53">
        <v>114.95</v>
      </c>
      <c r="F133" s="52">
        <v>8.5770400000000002</v>
      </c>
      <c r="G133" s="33"/>
      <c r="H133" s="33"/>
    </row>
    <row r="134" spans="1:8" x14ac:dyDescent="0.25">
      <c r="A134" s="49" t="s">
        <v>217</v>
      </c>
      <c r="B134" s="50" t="s">
        <v>163</v>
      </c>
      <c r="C134" s="51">
        <v>11000</v>
      </c>
      <c r="D134" s="52">
        <v>2689.2193000000002</v>
      </c>
      <c r="E134" s="53">
        <v>2872.55</v>
      </c>
      <c r="F134" s="52">
        <v>55.729849999999999</v>
      </c>
      <c r="G134" s="33"/>
      <c r="H134" s="33"/>
    </row>
    <row r="135" spans="1:8" x14ac:dyDescent="0.25">
      <c r="A135" s="49" t="s">
        <v>218</v>
      </c>
      <c r="B135" s="50" t="s">
        <v>163</v>
      </c>
      <c r="C135" s="51">
        <v>45000</v>
      </c>
      <c r="D135" s="52">
        <v>621.58668333000003</v>
      </c>
      <c r="E135" s="53">
        <v>645.65</v>
      </c>
      <c r="F135" s="52">
        <v>51.207637499999997</v>
      </c>
      <c r="G135" s="33"/>
      <c r="H135" s="33"/>
    </row>
    <row r="136" spans="1:8" x14ac:dyDescent="0.25">
      <c r="A136" s="49" t="s">
        <v>219</v>
      </c>
      <c r="B136" s="50" t="s">
        <v>163</v>
      </c>
      <c r="C136" s="51">
        <v>10000</v>
      </c>
      <c r="D136" s="52">
        <v>1735.9725000000001</v>
      </c>
      <c r="E136" s="53">
        <v>1744.35</v>
      </c>
      <c r="F136" s="52">
        <v>34.112499999999997</v>
      </c>
      <c r="G136" s="33"/>
      <c r="H136" s="33"/>
    </row>
    <row r="137" spans="1:8" x14ac:dyDescent="0.25">
      <c r="A137" s="49" t="s">
        <v>220</v>
      </c>
      <c r="B137" s="50" t="s">
        <v>163</v>
      </c>
      <c r="C137" s="51">
        <v>71500</v>
      </c>
      <c r="D137" s="52">
        <v>135.5</v>
      </c>
      <c r="E137" s="53">
        <v>136.55000000000001</v>
      </c>
      <c r="F137" s="52">
        <v>17.97081</v>
      </c>
      <c r="G137" s="33"/>
      <c r="H137" s="33"/>
    </row>
    <row r="138" spans="1:8" x14ac:dyDescent="0.25">
      <c r="A138" s="49" t="s">
        <v>221</v>
      </c>
      <c r="B138" s="50" t="s">
        <v>163</v>
      </c>
      <c r="C138" s="51">
        <v>5250</v>
      </c>
      <c r="D138" s="52">
        <v>1980.2</v>
      </c>
      <c r="E138" s="53">
        <v>2010.65</v>
      </c>
      <c r="F138" s="52">
        <v>18.651556899999999</v>
      </c>
      <c r="G138" s="33"/>
      <c r="H138" s="33"/>
    </row>
    <row r="139" spans="1:8" x14ac:dyDescent="0.25">
      <c r="A139" s="54"/>
      <c r="B139" s="55"/>
      <c r="C139" s="56"/>
      <c r="D139" s="40"/>
      <c r="E139" s="40"/>
      <c r="F139" s="40"/>
      <c r="G139" s="33"/>
      <c r="H139" s="33"/>
    </row>
    <row r="140" spans="1:8" x14ac:dyDescent="0.25">
      <c r="A140" s="44" t="s">
        <v>222</v>
      </c>
      <c r="B140" s="55"/>
      <c r="C140" s="57"/>
      <c r="D140" s="40"/>
      <c r="E140" s="58"/>
      <c r="F140" s="58"/>
      <c r="G140" s="33"/>
      <c r="H140" s="33"/>
    </row>
    <row r="141" spans="1:8" x14ac:dyDescent="0.25">
      <c r="A141" s="59"/>
      <c r="B141" s="41"/>
      <c r="C141" s="60"/>
      <c r="D141" s="40"/>
      <c r="E141" s="58"/>
      <c r="F141" s="58"/>
      <c r="G141" s="33"/>
      <c r="H141" s="33"/>
    </row>
    <row r="142" spans="1:8" x14ac:dyDescent="0.25">
      <c r="A142" s="79" t="s">
        <v>223</v>
      </c>
      <c r="B142" s="79"/>
      <c r="C142" s="79"/>
      <c r="D142" s="61"/>
      <c r="E142" s="58"/>
      <c r="F142" s="58"/>
      <c r="G142" s="33"/>
      <c r="H142" s="33"/>
    </row>
    <row r="143" spans="1:8" x14ac:dyDescent="0.25">
      <c r="A143" s="80" t="s">
        <v>164</v>
      </c>
      <c r="B143" s="81"/>
      <c r="C143" s="81"/>
      <c r="D143" s="82"/>
      <c r="E143" s="58"/>
      <c r="F143" s="58"/>
      <c r="G143" s="33"/>
      <c r="H143" s="33"/>
    </row>
    <row r="144" spans="1:8" x14ac:dyDescent="0.25">
      <c r="A144" s="84" t="s">
        <v>165</v>
      </c>
      <c r="B144" s="87"/>
      <c r="C144" s="88"/>
      <c r="D144" s="62">
        <v>1168</v>
      </c>
      <c r="E144" s="58"/>
      <c r="F144" s="58"/>
      <c r="G144" s="33"/>
      <c r="H144" s="34"/>
    </row>
    <row r="145" spans="1:8" x14ac:dyDescent="0.25">
      <c r="A145" s="84" t="s">
        <v>166</v>
      </c>
      <c r="B145" s="87"/>
      <c r="C145" s="88"/>
      <c r="D145" s="62">
        <v>1277</v>
      </c>
      <c r="E145" s="58"/>
      <c r="F145" s="58"/>
      <c r="G145" s="33"/>
      <c r="H145" s="33"/>
    </row>
    <row r="146" spans="1:8" x14ac:dyDescent="0.25">
      <c r="A146" s="84" t="s">
        <v>167</v>
      </c>
      <c r="B146" s="87"/>
      <c r="C146" s="88"/>
      <c r="D146" s="63">
        <v>9368.1835467000001</v>
      </c>
      <c r="E146" s="64"/>
      <c r="F146" s="58"/>
      <c r="G146" s="33"/>
      <c r="H146" s="33"/>
    </row>
    <row r="147" spans="1:8" x14ac:dyDescent="0.25">
      <c r="A147" s="83" t="s">
        <v>168</v>
      </c>
      <c r="B147" s="83"/>
      <c r="C147" s="83"/>
      <c r="D147" s="63">
        <v>9826.3804070000006</v>
      </c>
      <c r="E147" s="58"/>
      <c r="F147" s="58"/>
      <c r="G147" s="33"/>
      <c r="H147" s="33"/>
    </row>
    <row r="148" spans="1:8" x14ac:dyDescent="0.25">
      <c r="A148" s="83" t="s">
        <v>169</v>
      </c>
      <c r="B148" s="83"/>
      <c r="C148" s="83"/>
      <c r="D148" s="65">
        <v>-426.7005739999999</v>
      </c>
      <c r="E148" s="58"/>
      <c r="F148" s="58"/>
      <c r="G148" s="33"/>
      <c r="H148" s="33"/>
    </row>
    <row r="149" spans="1:8" x14ac:dyDescent="0.25">
      <c r="A149" s="59"/>
      <c r="B149" s="41"/>
      <c r="C149" s="40"/>
      <c r="D149" s="40"/>
      <c r="E149" s="58"/>
      <c r="F149" s="58"/>
      <c r="G149" s="33"/>
      <c r="H149" s="33"/>
    </row>
    <row r="150" spans="1:8" x14ac:dyDescent="0.25">
      <c r="A150" s="66" t="s">
        <v>170</v>
      </c>
      <c r="B150" s="66"/>
      <c r="C150" s="66"/>
      <c r="D150" s="40"/>
      <c r="E150" s="58"/>
      <c r="F150" s="58"/>
      <c r="G150" s="33"/>
      <c r="H150" s="33"/>
    </row>
    <row r="151" spans="1:8" x14ac:dyDescent="0.25">
      <c r="A151" s="80" t="s">
        <v>171</v>
      </c>
      <c r="B151" s="85"/>
      <c r="C151" s="85"/>
      <c r="D151" s="86"/>
      <c r="E151" s="58"/>
      <c r="F151" s="58"/>
      <c r="G151" s="33"/>
      <c r="H151" s="33"/>
    </row>
    <row r="152" spans="1:8" x14ac:dyDescent="0.25">
      <c r="A152" s="83" t="s">
        <v>165</v>
      </c>
      <c r="B152" s="83"/>
      <c r="C152" s="84"/>
      <c r="D152" s="67" t="s">
        <v>172</v>
      </c>
      <c r="E152" s="58"/>
      <c r="F152" s="58"/>
      <c r="G152" s="33"/>
      <c r="H152" s="33"/>
    </row>
    <row r="153" spans="1:8" x14ac:dyDescent="0.25">
      <c r="A153" s="83" t="s">
        <v>166</v>
      </c>
      <c r="B153" s="83"/>
      <c r="C153" s="84"/>
      <c r="D153" s="67" t="s">
        <v>172</v>
      </c>
      <c r="E153" s="58"/>
      <c r="F153" s="58"/>
      <c r="G153" s="33"/>
      <c r="H153" s="33"/>
    </row>
    <row r="154" spans="1:8" x14ac:dyDescent="0.25">
      <c r="A154" s="83" t="s">
        <v>167</v>
      </c>
      <c r="B154" s="83"/>
      <c r="C154" s="84"/>
      <c r="D154" s="68" t="s">
        <v>172</v>
      </c>
      <c r="E154" s="58"/>
      <c r="F154" s="58"/>
      <c r="G154" s="33"/>
      <c r="H154" s="33"/>
    </row>
    <row r="155" spans="1:8" x14ac:dyDescent="0.25">
      <c r="A155" s="83" t="s">
        <v>168</v>
      </c>
      <c r="B155" s="83"/>
      <c r="C155" s="84"/>
      <c r="D155" s="68" t="s">
        <v>172</v>
      </c>
      <c r="E155" s="58"/>
      <c r="F155" s="58"/>
      <c r="G155" s="33"/>
      <c r="H155" s="33"/>
    </row>
    <row r="156" spans="1:8" x14ac:dyDescent="0.25">
      <c r="A156" s="83" t="s">
        <v>169</v>
      </c>
      <c r="B156" s="83"/>
      <c r="C156" s="84"/>
      <c r="D156" s="68" t="s">
        <v>172</v>
      </c>
      <c r="E156" s="58"/>
      <c r="F156" s="58"/>
      <c r="G156" s="33"/>
      <c r="H156" s="33"/>
    </row>
    <row r="157" spans="1:8" x14ac:dyDescent="0.25">
      <c r="A157" s="54"/>
      <c r="B157" s="55"/>
      <c r="C157" s="56"/>
      <c r="D157" s="40"/>
      <c r="E157" s="58"/>
      <c r="F157" s="58"/>
      <c r="G157" s="33"/>
      <c r="H157" s="33"/>
    </row>
    <row r="158" spans="1:8" x14ac:dyDescent="0.25">
      <c r="A158" s="69" t="s">
        <v>173</v>
      </c>
      <c r="B158" s="70"/>
      <c r="C158" s="70"/>
      <c r="D158" s="40"/>
      <c r="E158" s="58"/>
      <c r="F158" s="58"/>
      <c r="G158" s="33"/>
      <c r="H158" s="33"/>
    </row>
    <row r="159" spans="1:8" x14ac:dyDescent="0.25">
      <c r="A159" s="71" t="s">
        <v>174</v>
      </c>
      <c r="B159" s="70"/>
      <c r="C159" s="70"/>
      <c r="D159" s="40"/>
      <c r="E159" s="58"/>
      <c r="F159" s="58"/>
    </row>
    <row r="160" spans="1:8" x14ac:dyDescent="0.25">
      <c r="A160" s="71" t="s">
        <v>175</v>
      </c>
      <c r="B160" s="71"/>
      <c r="C160" s="71"/>
      <c r="D160" s="40"/>
      <c r="E160" s="58"/>
      <c r="F160" s="58"/>
    </row>
    <row r="161" spans="1:6" x14ac:dyDescent="0.25">
      <c r="A161" s="71" t="s">
        <v>176</v>
      </c>
      <c r="B161" s="71"/>
      <c r="C161" s="71"/>
      <c r="D161" s="40"/>
      <c r="E161" s="58"/>
      <c r="F161" s="58"/>
    </row>
    <row r="162" spans="1:6" x14ac:dyDescent="0.25">
      <c r="A162" s="71"/>
      <c r="B162" s="70"/>
      <c r="C162" s="70"/>
      <c r="D162" s="40"/>
      <c r="E162" s="58"/>
      <c r="F162" s="58"/>
    </row>
    <row r="163" spans="1:6" x14ac:dyDescent="0.25">
      <c r="A163" s="72" t="s">
        <v>177</v>
      </c>
      <c r="B163" s="73" t="s">
        <v>178</v>
      </c>
      <c r="C163" s="1"/>
      <c r="D163" s="40"/>
      <c r="E163" s="58"/>
      <c r="F163" s="58"/>
    </row>
    <row r="164" spans="1:6" x14ac:dyDescent="0.25">
      <c r="A164" s="70"/>
      <c r="B164" s="70"/>
      <c r="C164" s="70"/>
      <c r="D164" s="40"/>
      <c r="E164" s="58"/>
      <c r="F164" s="58"/>
    </row>
    <row r="165" spans="1:6" x14ac:dyDescent="0.25">
      <c r="A165" s="70"/>
      <c r="B165" s="70"/>
      <c r="C165" s="70"/>
      <c r="D165" s="40"/>
      <c r="E165" s="58"/>
      <c r="F165" s="58"/>
    </row>
    <row r="166" spans="1:6" x14ac:dyDescent="0.25">
      <c r="A166" s="70"/>
      <c r="B166" s="70"/>
      <c r="C166" s="70"/>
      <c r="D166" s="40"/>
      <c r="E166" s="58"/>
      <c r="F166" s="58"/>
    </row>
    <row r="167" spans="1:6" x14ac:dyDescent="0.25">
      <c r="A167" s="70"/>
      <c r="B167" s="70"/>
      <c r="C167" s="70"/>
      <c r="D167" s="40"/>
      <c r="E167" s="58"/>
      <c r="F167" s="58"/>
    </row>
    <row r="168" spans="1:6" x14ac:dyDescent="0.25">
      <c r="A168" s="70"/>
      <c r="B168" s="70"/>
      <c r="C168" s="70"/>
      <c r="D168" s="40"/>
      <c r="E168" s="58"/>
      <c r="F168" s="58"/>
    </row>
    <row r="169" spans="1:6" x14ac:dyDescent="0.25">
      <c r="A169" s="70"/>
      <c r="B169" s="70"/>
      <c r="C169" s="70"/>
      <c r="D169" s="40"/>
      <c r="E169" s="58"/>
      <c r="F169" s="58"/>
    </row>
    <row r="170" spans="1:6" x14ac:dyDescent="0.25">
      <c r="A170" s="70"/>
      <c r="B170" s="70"/>
      <c r="C170" s="70"/>
      <c r="D170" s="40"/>
      <c r="E170" s="58"/>
      <c r="F170" s="58"/>
    </row>
  </sheetData>
  <mergeCells count="20">
    <mergeCell ref="A92:H92"/>
    <mergeCell ref="A93:H93"/>
    <mergeCell ref="A1:H1"/>
    <mergeCell ref="A2:H2"/>
    <mergeCell ref="A3:H3"/>
    <mergeCell ref="A90:H90"/>
    <mergeCell ref="A91:H91"/>
    <mergeCell ref="A142:C142"/>
    <mergeCell ref="A143:D143"/>
    <mergeCell ref="A155:C155"/>
    <mergeCell ref="A156:C156"/>
    <mergeCell ref="A147:C147"/>
    <mergeCell ref="A148:C148"/>
    <mergeCell ref="A151:D151"/>
    <mergeCell ref="A152:C152"/>
    <mergeCell ref="A153:C153"/>
    <mergeCell ref="A154:C154"/>
    <mergeCell ref="A144:C144"/>
    <mergeCell ref="A145:C145"/>
    <mergeCell ref="A146:C146"/>
  </mergeCells>
  <phoneticPr fontId="11" type="noConversion"/>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Arbitrage Fund</vt:lpstr>
      <vt:lpstr>'JM Arbitrage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2024-02-02T12:23:51Z</dcterms:created>
  <dcterms:modified xsi:type="dcterms:W3CDTF">2024-02-05T08:26:37Z</dcterms:modified>
</cp:coreProperties>
</file>