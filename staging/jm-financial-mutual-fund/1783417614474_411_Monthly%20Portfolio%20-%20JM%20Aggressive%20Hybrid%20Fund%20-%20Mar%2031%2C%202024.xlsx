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rch 2024\Monthly\Monthly 31.03.2024\"/>
    </mc:Choice>
  </mc:AlternateContent>
  <bookViews>
    <workbookView xWindow="0" yWindow="0" windowWidth="20490" windowHeight="7770"/>
  </bookViews>
  <sheets>
    <sheet name="JM Aggressive Hybrid Fund" sheetId="1" r:id="rId1"/>
  </sheets>
  <definedNames>
    <definedName name="_xlnm._FilterDatabase" localSheetId="0" hidden="1">'JM Aggressive Hybrid Fund'!$A$1:$IN$89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Aggressive Hybrid Fund'!$A$1:$E$79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1" i="1" l="1"/>
  <c r="E80" i="1"/>
  <c r="E81" i="1" s="1"/>
  <c r="D77" i="1"/>
  <c r="E76" i="1"/>
  <c r="E75" i="1"/>
  <c r="E74" i="1"/>
  <c r="F65" i="1"/>
  <c r="D61" i="1"/>
  <c r="D65" i="1" s="1"/>
  <c r="E60" i="1"/>
  <c r="E59" i="1"/>
  <c r="E58" i="1"/>
  <c r="E57" i="1"/>
  <c r="E56" i="1"/>
  <c r="E55" i="1"/>
  <c r="E54" i="1"/>
  <c r="E53" i="1"/>
  <c r="E52" i="1"/>
  <c r="D44" i="1"/>
  <c r="D48" i="1" s="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44" i="1" l="1"/>
  <c r="E48" i="1" s="1"/>
  <c r="E61" i="1"/>
  <c r="E65" i="1" s="1"/>
  <c r="E83" i="1" s="1"/>
  <c r="E77" i="1"/>
  <c r="D83" i="1"/>
  <c r="D85" i="1" s="1"/>
  <c r="E85" i="1" s="1"/>
  <c r="E87" i="1" l="1"/>
</calcChain>
</file>

<file path=xl/sharedStrings.xml><?xml version="1.0" encoding="utf-8"?>
<sst xmlns="http://schemas.openxmlformats.org/spreadsheetml/2006/main" count="200" uniqueCount="165">
  <si>
    <t>JM Financial Mutual Fund</t>
  </si>
  <si>
    <t>JM Aggressive Hybrid Fund (An open ended hybrid scheme investing predominantly in equity and equity related instruments).</t>
  </si>
  <si>
    <t>Monthly Portfolio Statement for the period ended 31.03.2024</t>
  </si>
  <si>
    <t>Name of the Instruments</t>
  </si>
  <si>
    <t>Industry/Rating</t>
  </si>
  <si>
    <t>Quantity</t>
  </si>
  <si>
    <t>Market Value (Rs. In Lakhs)</t>
  </si>
  <si>
    <t>% age to NAV</t>
  </si>
  <si>
    <t>ISIN</t>
  </si>
  <si>
    <t>Yield %</t>
  </si>
  <si>
    <t>^YTC (AT1/Tier 2 bonds)</t>
  </si>
  <si>
    <t>EQUITY &amp; EQUITY RELATED</t>
  </si>
  <si>
    <t>a) Listed/Awaiting Listing On  Stock Exchange</t>
  </si>
  <si>
    <t>ICICI Bank Ltd.</t>
  </si>
  <si>
    <t>Banks</t>
  </si>
  <si>
    <t>INE090A01021</t>
  </si>
  <si>
    <t>Larsen &amp; Toubro Ltd.</t>
  </si>
  <si>
    <t>Construction</t>
  </si>
  <si>
    <t>INE018A01030</t>
  </si>
  <si>
    <t>Bharti Airtel Ltd.</t>
  </si>
  <si>
    <t>Telecom - Services</t>
  </si>
  <si>
    <t>INE397D01024</t>
  </si>
  <si>
    <t>Bank of Baroda</t>
  </si>
  <si>
    <t>INE028A01039</t>
  </si>
  <si>
    <t>Infosys Ltd.</t>
  </si>
  <si>
    <t>IT - Software</t>
  </si>
  <si>
    <t>INE009A01021</t>
  </si>
  <si>
    <t>Mahindra &amp; Mahindra Ltd.</t>
  </si>
  <si>
    <t>Automobiles</t>
  </si>
  <si>
    <t>INE101A01026</t>
  </si>
  <si>
    <t>Tata Consultancy Services Ltd.</t>
  </si>
  <si>
    <t>INE467B01029</t>
  </si>
  <si>
    <t>Tata Motors Ltd.-DVR</t>
  </si>
  <si>
    <t>IN9155A01020</t>
  </si>
  <si>
    <t>REC Ltd.</t>
  </si>
  <si>
    <t>Finance</t>
  </si>
  <si>
    <t>INE020B01018</t>
  </si>
  <si>
    <t>GE T&amp;D India Ltd.</t>
  </si>
  <si>
    <t>Electrical Equipment</t>
  </si>
  <si>
    <t>INE200A01026</t>
  </si>
  <si>
    <t>Bajaj Auto Ltd.</t>
  </si>
  <si>
    <t>INE917I01010</t>
  </si>
  <si>
    <t>Poonawalla Fincorp Ltd.</t>
  </si>
  <si>
    <t>INE511C01022</t>
  </si>
  <si>
    <t>Thermax Ltd.</t>
  </si>
  <si>
    <t>INE152A01029</t>
  </si>
  <si>
    <t>Voltas Ltd.</t>
  </si>
  <si>
    <t>Consumer Durables</t>
  </si>
  <si>
    <t>INE226A01021</t>
  </si>
  <si>
    <t>Sobha Ltd.</t>
  </si>
  <si>
    <t>Realty</t>
  </si>
  <si>
    <t>INE671H01015</t>
  </si>
  <si>
    <t>ITC Ltd.</t>
  </si>
  <si>
    <t>Diversified FMCG</t>
  </si>
  <si>
    <t>INE154A01025</t>
  </si>
  <si>
    <t>Bharat Forge Ltd.</t>
  </si>
  <si>
    <t>Auto Components</t>
  </si>
  <si>
    <t>INE465A01025</t>
  </si>
  <si>
    <t>Sterling and Wilson Renewable Energy Ltd.</t>
  </si>
  <si>
    <t>INE00M201021</t>
  </si>
  <si>
    <t>Hero MotoCorp Ltd.</t>
  </si>
  <si>
    <t>INE158A01026</t>
  </si>
  <si>
    <t>Orchid Pharma Ltd.</t>
  </si>
  <si>
    <t>Pharmaceuticals &amp; Biotechnology</t>
  </si>
  <si>
    <t>INE191A01027</t>
  </si>
  <si>
    <t>Petronet LNG Ltd.</t>
  </si>
  <si>
    <t>Gas</t>
  </si>
  <si>
    <t>INE347G01014</t>
  </si>
  <si>
    <t>PB Fintech Ltd.</t>
  </si>
  <si>
    <t>Financial Technology (Fintech)</t>
  </si>
  <si>
    <t>INE417T01026</t>
  </si>
  <si>
    <t>Delhivery Ltd.</t>
  </si>
  <si>
    <t>Transport Services</t>
  </si>
  <si>
    <t>INE148O01028</t>
  </si>
  <si>
    <t>Glenmark Pharmaceuticals Ltd.</t>
  </si>
  <si>
    <t>INE935A01035</t>
  </si>
  <si>
    <t>Zomato Ltd.</t>
  </si>
  <si>
    <t>Retailing</t>
  </si>
  <si>
    <t>INE758T01015</t>
  </si>
  <si>
    <t>SKF India Ltd.</t>
  </si>
  <si>
    <t>Industrial Products</t>
  </si>
  <si>
    <t>INE640A01023</t>
  </si>
  <si>
    <t>Jyothy Labs Ltd.</t>
  </si>
  <si>
    <t>Household Products</t>
  </si>
  <si>
    <t>INE668F01031</t>
  </si>
  <si>
    <t>Suven Pharmaceuticals Ltd.</t>
  </si>
  <si>
    <t>INE03QK01018</t>
  </si>
  <si>
    <t>Thomas Cook  (India)  Ltd.</t>
  </si>
  <si>
    <t>Leisure Services</t>
  </si>
  <si>
    <t>INE332A01027</t>
  </si>
  <si>
    <t>NTPC Ltd.</t>
  </si>
  <si>
    <t>Power</t>
  </si>
  <si>
    <t>INE733E01010</t>
  </si>
  <si>
    <t>Tech Mahindra Ltd.</t>
  </si>
  <si>
    <t>INE669C01036</t>
  </si>
  <si>
    <t>Bank of Maharashtra</t>
  </si>
  <si>
    <t>INE457A01014</t>
  </si>
  <si>
    <t>Global Health Ltd.</t>
  </si>
  <si>
    <t>Healthcare Services</t>
  </si>
  <si>
    <t>INE474Q01031</t>
  </si>
  <si>
    <t>Jagran Prakashan Ltd.</t>
  </si>
  <si>
    <t>Media</t>
  </si>
  <si>
    <t>INE199G01027</t>
  </si>
  <si>
    <t>Metropolis Healthcare Ltd.</t>
  </si>
  <si>
    <t>INE112L01020</t>
  </si>
  <si>
    <t>Mukand Ltd.</t>
  </si>
  <si>
    <t>Ferrous Metals</t>
  </si>
  <si>
    <t>INE304A01026</t>
  </si>
  <si>
    <t>Welspun Living Ltd.</t>
  </si>
  <si>
    <t>Textiles &amp; Apparels</t>
  </si>
  <si>
    <t>INE192B01031</t>
  </si>
  <si>
    <t>Sub Total:</t>
  </si>
  <si>
    <t>b) Unlisted</t>
  </si>
  <si>
    <t>NIL</t>
  </si>
  <si>
    <t>Total:</t>
  </si>
  <si>
    <t>DEBT INSTRUMENTS</t>
  </si>
  <si>
    <t>ICICI Home Finance Ltd.**</t>
  </si>
  <si>
    <t>CARE AAA</t>
  </si>
  <si>
    <t>INE071G07637</t>
  </si>
  <si>
    <t>National Housing Bank Ltd.**</t>
  </si>
  <si>
    <t>INE557F08FN7</t>
  </si>
  <si>
    <t>Jamnagar Utilities &amp; Power Ltd.**</t>
  </si>
  <si>
    <t>INE936D07174</t>
  </si>
  <si>
    <t>SIDBI Ltd.</t>
  </si>
  <si>
    <t>INE556F08KO7</t>
  </si>
  <si>
    <t>Export-Import Bank of India**</t>
  </si>
  <si>
    <t>CRISIL AAA</t>
  </si>
  <si>
    <t>INE514E08CH0</t>
  </si>
  <si>
    <t>LIC Housing Finance Ltd.**</t>
  </si>
  <si>
    <t>INE115A07QC7</t>
  </si>
  <si>
    <t>Sikka Ports &amp; Terminals Ltd.**</t>
  </si>
  <si>
    <t>INE941D07208</t>
  </si>
  <si>
    <t>Power Finance Corporation Ltd.**</t>
  </si>
  <si>
    <t>INE134E08JP5</t>
  </si>
  <si>
    <t>HDFC Bank Ltd.</t>
  </si>
  <si>
    <t>INE040A08922</t>
  </si>
  <si>
    <t>b) Privately Placed / Unlisted</t>
  </si>
  <si>
    <t>TERM DEPOSITS</t>
  </si>
  <si>
    <t>Deposits (Maturity not exceeding 91 days)</t>
  </si>
  <si>
    <t>Deposits (Placed as F &amp; O margin)</t>
  </si>
  <si>
    <t>GOVERNMENT SECURITIES</t>
  </si>
  <si>
    <t>7.18% Government of India Securities 2037 24/07/2037</t>
  </si>
  <si>
    <t>Sovereign</t>
  </si>
  <si>
    <t>IN0020230077</t>
  </si>
  <si>
    <t>7.18% Government of India Securities 2033 14/08/2033</t>
  </si>
  <si>
    <t>IN0020230085</t>
  </si>
  <si>
    <t>5.63% Government of India Securities 2026 12/04/2026</t>
  </si>
  <si>
    <t>IN0020210012</t>
  </si>
  <si>
    <t>MONEY MARKET INSTRUMENTS</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</si>
  <si>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</si>
  <si>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</si>
  <si>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</si>
  <si>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</si>
  <si>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</si>
  <si>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</si>
  <si>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</si>
  <si>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</si>
  <si>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</si>
  <si>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</si>
  <si>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</si>
  <si>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</si>
  <si>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</si>
  <si>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</si>
  <si>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Riskometer of the scheme </t>
  </si>
  <si>
    <t>Benchmark of the scheme - Crisil Hybrid 35+65 Aggressive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</si>
</sst>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8"/>
      <color indexed="8"/>
      <name val="Century Gothic"/>
      <family val="2"/>
    </font>
    <font>
      <sz val="11"/>
      <color indexed="8"/>
      <name val="Calibri"/>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0" fontId="7" fillId="0" borderId="0"/>
    <xf numFmtId="0" fontId="7" fillId="0" borderId="0"/>
    <xf numFmtId="0" fontId="7" fillId="0" borderId="0"/>
  </cellStyleXfs>
  <cellXfs count="58">
    <xf numFmtId="0" fontId="0" fillId="0" borderId="0" xfId="0"/>
    <xf numFmtId="0" fontId="3" fillId="0" borderId="0" xfId="0" applyFont="1"/>
    <xf numFmtId="0" fontId="3" fillId="0" borderId="0" xfId="0" applyFont="1" applyAlignment="1">
      <alignment horizontal="center"/>
    </xf>
    <xf numFmtId="0" fontId="4" fillId="0" borderId="3" xfId="0" applyFont="1" applyFill="1" applyBorder="1" applyAlignment="1">
      <alignment horizontal="left" wrapText="1"/>
    </xf>
    <xf numFmtId="0" fontId="5" fillId="0" borderId="3" xfId="0"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5" fillId="0" borderId="3" xfId="0" applyFont="1" applyFill="1" applyBorder="1" applyAlignment="1">
      <alignment horizontal="center"/>
    </xf>
    <xf numFmtId="0" fontId="5" fillId="0" borderId="3" xfId="0" applyFont="1" applyBorder="1"/>
    <xf numFmtId="166" fontId="5" fillId="0" borderId="3" xfId="0" applyNumberFormat="1" applyFont="1" applyFill="1" applyBorder="1"/>
    <xf numFmtId="0" fontId="4" fillId="0" borderId="3" xfId="0" applyFont="1" applyFill="1" applyBorder="1" applyAlignment="1">
      <alignment wrapText="1"/>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0" applyFont="1" applyFill="1"/>
    <xf numFmtId="0" fontId="5" fillId="0" borderId="3" xfId="0"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0"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0" applyFont="1" applyFill="1" applyBorder="1" applyAlignment="1">
      <alignment wrapText="1"/>
    </xf>
    <xf numFmtId="0" fontId="5" fillId="0" borderId="0" xfId="0" applyFont="1" applyFill="1" applyAlignment="1">
      <alignment horizontal="right"/>
    </xf>
    <xf numFmtId="164" fontId="5" fillId="0" borderId="0" xfId="1" applyFont="1" applyFill="1" applyBorder="1"/>
    <xf numFmtId="0" fontId="8" fillId="0" borderId="0" xfId="5" applyFont="1" applyBorder="1" applyAlignment="1">
      <alignment horizontal="left" vertical="top" wrapText="1"/>
    </xf>
    <xf numFmtId="0" fontId="9" fillId="0" borderId="0" xfId="6" applyFont="1" applyBorder="1"/>
    <xf numFmtId="0" fontId="10" fillId="0" borderId="0" xfId="2" applyFont="1" applyFill="1" applyBorder="1" applyAlignment="1">
      <alignment horizontal="left" wrapText="1"/>
    </xf>
    <xf numFmtId="0" fontId="5" fillId="0" borderId="0" xfId="2" applyFont="1"/>
    <xf numFmtId="0" fontId="6" fillId="0" borderId="0" xfId="6" applyFont="1" applyBorder="1"/>
    <xf numFmtId="0" fontId="6" fillId="0" borderId="0" xfId="2" applyFont="1" applyAlignment="1">
      <alignment vertical="top" wrapText="1"/>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7" applyFont="1" applyAlignment="1">
      <alignment horizontal="center"/>
    </xf>
    <xf numFmtId="0" fontId="4" fillId="0" borderId="0" xfId="2" applyFont="1" applyFill="1" applyBorder="1" applyAlignment="1">
      <alignment horizontal="left"/>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4" fillId="0" borderId="3" xfId="0"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8" fillId="0" borderId="0" xfId="5" applyFont="1" applyBorder="1" applyAlignment="1">
      <alignment horizontal="left" vertical="top"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4" applyFont="1" applyAlignment="1">
      <alignment horizontal="left" vertical="top" wrapText="1"/>
    </xf>
    <xf numFmtId="0" fontId="6" fillId="0" borderId="0" xfId="5" applyFont="1" applyBorder="1" applyAlignment="1">
      <alignment horizontal="left" vertical="top"/>
    </xf>
  </cellXfs>
  <cellStyles count="8">
    <cellStyle name="Comma" xfId="1" builtinId="3"/>
    <cellStyle name="Comma 4" xfId="3"/>
    <cellStyle name="Normal" xfId="0" builtinId="0"/>
    <cellStyle name="Normal 2 2 2" xfId="2"/>
    <cellStyle name="Normal 2 3 2" xfId="4"/>
    <cellStyle name="Normal 4_BF" xfId="6"/>
    <cellStyle name="Normal 4_IF" xfId="7"/>
    <cellStyle name="Normal 4_LD"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742950</xdr:colOff>
      <xdr:row>101</xdr:row>
      <xdr:rowOff>57150</xdr:rowOff>
    </xdr:from>
    <xdr:to>
      <xdr:col>0</xdr:col>
      <xdr:colOff>2542742</xdr:colOff>
      <xdr:row>107</xdr:row>
      <xdr:rowOff>39537</xdr:rowOff>
    </xdr:to>
    <xdr:pic>
      <xdr:nvPicPr>
        <xdr:cNvPr id="2"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742950" y="19002375"/>
          <a:ext cx="1799792" cy="10682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638175</xdr:colOff>
      <xdr:row>101</xdr:row>
      <xdr:rowOff>66675</xdr:rowOff>
    </xdr:from>
    <xdr:to>
      <xdr:col>2</xdr:col>
      <xdr:colOff>550805</xdr:colOff>
      <xdr:row>107</xdr:row>
      <xdr:rowOff>36592</xdr:rowOff>
    </xdr:to>
    <xdr:pic>
      <xdr:nvPicPr>
        <xdr:cNvPr id="3" name="Picture 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3686175" y="19011900"/>
          <a:ext cx="1808105" cy="10557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9"/>
  <sheetViews>
    <sheetView tabSelected="1" zoomScaleNormal="100" workbookViewId="0">
      <selection sqref="A1:H1"/>
    </sheetView>
  </sheetViews>
  <sheetFormatPr defaultRowHeight="12.75" x14ac:dyDescent="0.2"/>
  <cols>
    <col min="1" max="1" width="45.7109375" style="48" customWidth="1"/>
    <col min="2" max="2" width="28.42578125" style="49" customWidth="1"/>
    <col min="3" max="3" width="13.42578125" style="50" customWidth="1"/>
    <col min="4" max="4" width="13.28515625" style="1" customWidth="1"/>
    <col min="5" max="5" width="10.5703125" style="1" customWidth="1"/>
    <col min="6" max="6" width="13.28515625" style="1" customWidth="1"/>
    <col min="7" max="7" width="9.5703125" style="1" bestFit="1" customWidth="1"/>
    <col min="8" max="8" width="13.28515625" style="1" customWidth="1"/>
    <col min="9" max="16384" width="9.140625" style="1"/>
  </cols>
  <sheetData>
    <row r="1" spans="1:8" x14ac:dyDescent="0.2">
      <c r="A1" s="54" t="s">
        <v>0</v>
      </c>
      <c r="B1" s="54"/>
      <c r="C1" s="54"/>
      <c r="D1" s="54"/>
      <c r="E1" s="54"/>
      <c r="F1" s="54"/>
      <c r="G1" s="54"/>
      <c r="H1" s="54"/>
    </row>
    <row r="2" spans="1:8" x14ac:dyDescent="0.2">
      <c r="A2" s="54" t="s">
        <v>1</v>
      </c>
      <c r="B2" s="54"/>
      <c r="C2" s="54"/>
      <c r="D2" s="54"/>
      <c r="E2" s="54"/>
      <c r="F2" s="54"/>
      <c r="G2" s="54"/>
      <c r="H2" s="54"/>
    </row>
    <row r="3" spans="1:8" x14ac:dyDescent="0.2">
      <c r="A3" s="55" t="s">
        <v>2</v>
      </c>
      <c r="B3" s="55"/>
      <c r="C3" s="55"/>
      <c r="D3" s="55"/>
      <c r="E3" s="55"/>
      <c r="F3" s="55"/>
      <c r="G3" s="55"/>
      <c r="H3" s="55"/>
    </row>
    <row r="4" spans="1:8" s="2" customFormat="1" ht="25.5" x14ac:dyDescent="0.2">
      <c r="A4" s="51" t="s">
        <v>3</v>
      </c>
      <c r="B4" s="51" t="s">
        <v>4</v>
      </c>
      <c r="C4" s="52" t="s">
        <v>5</v>
      </c>
      <c r="D4" s="51" t="s">
        <v>6</v>
      </c>
      <c r="E4" s="51" t="s">
        <v>7</v>
      </c>
      <c r="F4" s="51" t="s">
        <v>8</v>
      </c>
      <c r="G4" s="51" t="s">
        <v>9</v>
      </c>
      <c r="H4" s="51" t="s">
        <v>10</v>
      </c>
    </row>
    <row r="5" spans="1:8" ht="14.25" x14ac:dyDescent="0.3">
      <c r="A5" s="3" t="s">
        <v>11</v>
      </c>
      <c r="B5" s="4"/>
      <c r="C5" s="5"/>
      <c r="D5" s="6"/>
      <c r="E5" s="6"/>
      <c r="F5" s="7"/>
      <c r="G5" s="8"/>
      <c r="H5" s="9"/>
    </row>
    <row r="6" spans="1:8" ht="14.25" x14ac:dyDescent="0.3">
      <c r="A6" s="10" t="s">
        <v>12</v>
      </c>
      <c r="B6" s="4"/>
      <c r="C6" s="5"/>
      <c r="D6" s="6"/>
      <c r="E6" s="6"/>
      <c r="F6" s="7"/>
      <c r="G6" s="8"/>
      <c r="H6" s="9"/>
    </row>
    <row r="7" spans="1:8" s="15" customFormat="1" ht="14.25" x14ac:dyDescent="0.3">
      <c r="A7" s="11" t="s">
        <v>13</v>
      </c>
      <c r="B7" s="12" t="s">
        <v>14</v>
      </c>
      <c r="C7" s="13">
        <v>101000</v>
      </c>
      <c r="D7" s="14">
        <v>1104.2329999999999</v>
      </c>
      <c r="E7" s="14">
        <f t="shared" ref="E7:E43" si="0">(+D7/$D$87*100)</f>
        <v>4.9571079549685537</v>
      </c>
      <c r="F7" s="14" t="s">
        <v>15</v>
      </c>
      <c r="G7" s="9"/>
      <c r="H7" s="9"/>
    </row>
    <row r="8" spans="1:8" s="15" customFormat="1" ht="14.25" x14ac:dyDescent="0.3">
      <c r="A8" s="11" t="s">
        <v>16</v>
      </c>
      <c r="B8" s="12" t="s">
        <v>17</v>
      </c>
      <c r="C8" s="13">
        <v>23000</v>
      </c>
      <c r="D8" s="14">
        <v>865.697</v>
      </c>
      <c r="E8" s="14">
        <f t="shared" si="0"/>
        <v>3.8862753470439779</v>
      </c>
      <c r="F8" s="14" t="s">
        <v>18</v>
      </c>
      <c r="G8" s="9"/>
      <c r="H8" s="16"/>
    </row>
    <row r="9" spans="1:8" s="15" customFormat="1" ht="14.25" x14ac:dyDescent="0.3">
      <c r="A9" s="11" t="s">
        <v>19</v>
      </c>
      <c r="B9" s="12" t="s">
        <v>20</v>
      </c>
      <c r="C9" s="13">
        <v>65000</v>
      </c>
      <c r="D9" s="14">
        <v>798.59</v>
      </c>
      <c r="E9" s="14">
        <f t="shared" si="0"/>
        <v>3.5850195038169823</v>
      </c>
      <c r="F9" s="14" t="s">
        <v>21</v>
      </c>
      <c r="G9" s="9"/>
      <c r="H9" s="9"/>
    </row>
    <row r="10" spans="1:8" s="15" customFormat="1" ht="14.25" x14ac:dyDescent="0.3">
      <c r="A10" s="11" t="s">
        <v>22</v>
      </c>
      <c r="B10" s="12" t="s">
        <v>14</v>
      </c>
      <c r="C10" s="13">
        <v>282000</v>
      </c>
      <c r="D10" s="14">
        <v>744.62099999999998</v>
      </c>
      <c r="E10" s="14">
        <f t="shared" si="0"/>
        <v>3.3427425937611353</v>
      </c>
      <c r="F10" s="14" t="s">
        <v>23</v>
      </c>
      <c r="G10" s="9"/>
      <c r="H10" s="9"/>
    </row>
    <row r="11" spans="1:8" s="15" customFormat="1" ht="14.25" x14ac:dyDescent="0.3">
      <c r="A11" s="11" t="s">
        <v>24</v>
      </c>
      <c r="B11" s="12" t="s">
        <v>25</v>
      </c>
      <c r="C11" s="13">
        <v>44050</v>
      </c>
      <c r="D11" s="14">
        <v>659.89102500000001</v>
      </c>
      <c r="E11" s="14">
        <f t="shared" si="0"/>
        <v>2.9623739278212597</v>
      </c>
      <c r="F11" s="14" t="s">
        <v>26</v>
      </c>
      <c r="G11" s="9"/>
      <c r="H11" s="9"/>
    </row>
    <row r="12" spans="1:8" s="15" customFormat="1" ht="14.25" x14ac:dyDescent="0.3">
      <c r="A12" s="11" t="s">
        <v>27</v>
      </c>
      <c r="B12" s="12" t="s">
        <v>28</v>
      </c>
      <c r="C12" s="13">
        <v>33000</v>
      </c>
      <c r="D12" s="14">
        <v>634.04549999999995</v>
      </c>
      <c r="E12" s="14">
        <f t="shared" si="0"/>
        <v>2.846348544068158</v>
      </c>
      <c r="F12" s="14" t="s">
        <v>29</v>
      </c>
      <c r="G12" s="9"/>
      <c r="H12" s="16"/>
    </row>
    <row r="13" spans="1:8" s="15" customFormat="1" ht="14.25" x14ac:dyDescent="0.3">
      <c r="A13" s="11" t="s">
        <v>30</v>
      </c>
      <c r="B13" s="12" t="s">
        <v>25</v>
      </c>
      <c r="C13" s="13">
        <v>16000</v>
      </c>
      <c r="D13" s="14">
        <v>620.20799999999997</v>
      </c>
      <c r="E13" s="14">
        <f t="shared" si="0"/>
        <v>2.7842294248905231</v>
      </c>
      <c r="F13" s="14" t="s">
        <v>31</v>
      </c>
      <c r="G13" s="9"/>
      <c r="H13" s="8"/>
    </row>
    <row r="14" spans="1:8" s="15" customFormat="1" ht="14.25" x14ac:dyDescent="0.3">
      <c r="A14" s="11" t="s">
        <v>32</v>
      </c>
      <c r="B14" s="12" t="s">
        <v>28</v>
      </c>
      <c r="C14" s="13">
        <v>91000</v>
      </c>
      <c r="D14" s="14">
        <v>598.05200000000002</v>
      </c>
      <c r="E14" s="14">
        <f t="shared" si="0"/>
        <v>2.6847670072211693</v>
      </c>
      <c r="F14" s="14" t="s">
        <v>33</v>
      </c>
      <c r="G14" s="9"/>
      <c r="H14" s="8"/>
    </row>
    <row r="15" spans="1:8" s="15" customFormat="1" ht="14.25" x14ac:dyDescent="0.3">
      <c r="A15" s="11" t="s">
        <v>34</v>
      </c>
      <c r="B15" s="12" t="s">
        <v>35</v>
      </c>
      <c r="C15" s="13">
        <v>130500</v>
      </c>
      <c r="D15" s="14">
        <v>588.55499999999995</v>
      </c>
      <c r="E15" s="14">
        <f t="shared" si="0"/>
        <v>2.6421332023554061</v>
      </c>
      <c r="F15" s="14" t="s">
        <v>36</v>
      </c>
      <c r="G15" s="9"/>
      <c r="H15" s="8"/>
    </row>
    <row r="16" spans="1:8" s="15" customFormat="1" ht="14.25" x14ac:dyDescent="0.3">
      <c r="A16" s="11" t="s">
        <v>37</v>
      </c>
      <c r="B16" s="12" t="s">
        <v>38</v>
      </c>
      <c r="C16" s="13">
        <v>64050</v>
      </c>
      <c r="D16" s="14">
        <v>543.304125</v>
      </c>
      <c r="E16" s="14">
        <f t="shared" si="0"/>
        <v>2.4389935819747555</v>
      </c>
      <c r="F16" s="14" t="s">
        <v>39</v>
      </c>
      <c r="G16" s="9"/>
      <c r="H16" s="9"/>
    </row>
    <row r="17" spans="1:8" s="15" customFormat="1" ht="14.25" x14ac:dyDescent="0.3">
      <c r="A17" s="11" t="s">
        <v>40</v>
      </c>
      <c r="B17" s="12" t="s">
        <v>28</v>
      </c>
      <c r="C17" s="13">
        <v>5780</v>
      </c>
      <c r="D17" s="14">
        <v>528.76306999999997</v>
      </c>
      <c r="E17" s="14">
        <f t="shared" si="0"/>
        <v>2.3737160731390881</v>
      </c>
      <c r="F17" s="14" t="s">
        <v>41</v>
      </c>
      <c r="G17" s="9"/>
      <c r="H17" s="9"/>
    </row>
    <row r="18" spans="1:8" s="15" customFormat="1" ht="14.25" x14ac:dyDescent="0.3">
      <c r="A18" s="11" t="s">
        <v>42</v>
      </c>
      <c r="B18" s="12" t="s">
        <v>35</v>
      </c>
      <c r="C18" s="13">
        <v>110000</v>
      </c>
      <c r="D18" s="14">
        <v>512.16</v>
      </c>
      <c r="E18" s="14">
        <f t="shared" si="0"/>
        <v>2.299181794256008</v>
      </c>
      <c r="F18" s="14" t="s">
        <v>43</v>
      </c>
      <c r="G18" s="9"/>
      <c r="H18" s="8"/>
    </row>
    <row r="19" spans="1:8" s="15" customFormat="1" ht="14.25" x14ac:dyDescent="0.3">
      <c r="A19" s="11" t="s">
        <v>44</v>
      </c>
      <c r="B19" s="12" t="s">
        <v>38</v>
      </c>
      <c r="C19" s="13">
        <v>12000</v>
      </c>
      <c r="D19" s="14">
        <v>503.08199999999999</v>
      </c>
      <c r="E19" s="14">
        <f t="shared" si="0"/>
        <v>2.2584289585635369</v>
      </c>
      <c r="F19" s="14" t="s">
        <v>45</v>
      </c>
      <c r="G19" s="9"/>
      <c r="H19" s="8"/>
    </row>
    <row r="20" spans="1:8" s="15" customFormat="1" ht="14.25" x14ac:dyDescent="0.3">
      <c r="A20" s="11" t="s">
        <v>46</v>
      </c>
      <c r="B20" s="12" t="s">
        <v>47</v>
      </c>
      <c r="C20" s="13">
        <v>45000</v>
      </c>
      <c r="D20" s="14">
        <v>496.59750000000003</v>
      </c>
      <c r="E20" s="14">
        <f t="shared" si="0"/>
        <v>2.2293188282432213</v>
      </c>
      <c r="F20" s="14" t="s">
        <v>48</v>
      </c>
      <c r="G20" s="9"/>
      <c r="H20" s="8"/>
    </row>
    <row r="21" spans="1:8" s="15" customFormat="1" ht="14.25" x14ac:dyDescent="0.3">
      <c r="A21" s="11" t="s">
        <v>49</v>
      </c>
      <c r="B21" s="12" t="s">
        <v>50</v>
      </c>
      <c r="C21" s="13">
        <v>34239</v>
      </c>
      <c r="D21" s="14">
        <v>496.03751249999999</v>
      </c>
      <c r="E21" s="14">
        <f t="shared" si="0"/>
        <v>2.2268049398782357</v>
      </c>
      <c r="F21" s="14" t="s">
        <v>51</v>
      </c>
      <c r="G21" s="9"/>
      <c r="H21" s="8"/>
    </row>
    <row r="22" spans="1:8" s="15" customFormat="1" ht="14.25" x14ac:dyDescent="0.3">
      <c r="A22" s="11" t="s">
        <v>52</v>
      </c>
      <c r="B22" s="12" t="s">
        <v>53</v>
      </c>
      <c r="C22" s="13">
        <v>115000</v>
      </c>
      <c r="D22" s="14">
        <v>492.60250000000002</v>
      </c>
      <c r="E22" s="14">
        <f t="shared" si="0"/>
        <v>2.2113845278916653</v>
      </c>
      <c r="F22" s="14" t="s">
        <v>54</v>
      </c>
      <c r="G22" s="9"/>
      <c r="H22" s="9"/>
    </row>
    <row r="23" spans="1:8" s="15" customFormat="1" ht="14.25" x14ac:dyDescent="0.3">
      <c r="A23" s="11" t="s">
        <v>55</v>
      </c>
      <c r="B23" s="12" t="s">
        <v>56</v>
      </c>
      <c r="C23" s="13">
        <v>40000</v>
      </c>
      <c r="D23" s="14">
        <v>451.84</v>
      </c>
      <c r="E23" s="14">
        <f t="shared" si="0"/>
        <v>2.0283940602870874</v>
      </c>
      <c r="F23" s="14" t="s">
        <v>57</v>
      </c>
      <c r="G23" s="9"/>
      <c r="H23" s="9"/>
    </row>
    <row r="24" spans="1:8" s="15" customFormat="1" ht="14.25" x14ac:dyDescent="0.3">
      <c r="A24" s="11" t="s">
        <v>58</v>
      </c>
      <c r="B24" s="12" t="s">
        <v>17</v>
      </c>
      <c r="C24" s="13">
        <v>84768</v>
      </c>
      <c r="D24" s="14">
        <v>443.54856000000001</v>
      </c>
      <c r="E24" s="14">
        <f t="shared" si="0"/>
        <v>1.991172239183983</v>
      </c>
      <c r="F24" s="14" t="s">
        <v>59</v>
      </c>
      <c r="G24" s="9"/>
      <c r="H24" s="8"/>
    </row>
    <row r="25" spans="1:8" s="15" customFormat="1" ht="14.25" x14ac:dyDescent="0.3">
      <c r="A25" s="11" t="s">
        <v>60</v>
      </c>
      <c r="B25" s="12" t="s">
        <v>28</v>
      </c>
      <c r="C25" s="13">
        <v>9175</v>
      </c>
      <c r="D25" s="14">
        <v>433.27102500000001</v>
      </c>
      <c r="E25" s="14">
        <f t="shared" si="0"/>
        <v>1.945034467077944</v>
      </c>
      <c r="F25" s="14" t="s">
        <v>61</v>
      </c>
      <c r="G25" s="9"/>
      <c r="H25" s="9"/>
    </row>
    <row r="26" spans="1:8" s="15" customFormat="1" ht="14.25" x14ac:dyDescent="0.3">
      <c r="A26" s="11" t="s">
        <v>62</v>
      </c>
      <c r="B26" s="12" t="s">
        <v>63</v>
      </c>
      <c r="C26" s="13">
        <v>40000</v>
      </c>
      <c r="D26" s="14">
        <v>417.94</v>
      </c>
      <c r="E26" s="14">
        <f t="shared" si="0"/>
        <v>1.8762106355267028</v>
      </c>
      <c r="F26" s="14" t="s">
        <v>64</v>
      </c>
      <c r="G26" s="9"/>
      <c r="H26" s="8"/>
    </row>
    <row r="27" spans="1:8" s="15" customFormat="1" ht="14.25" x14ac:dyDescent="0.3">
      <c r="A27" s="11" t="s">
        <v>65</v>
      </c>
      <c r="B27" s="12" t="s">
        <v>66</v>
      </c>
      <c r="C27" s="13">
        <v>150000</v>
      </c>
      <c r="D27" s="14">
        <v>394.8</v>
      </c>
      <c r="E27" s="14">
        <f t="shared" si="0"/>
        <v>1.7723308582713839</v>
      </c>
      <c r="F27" s="14" t="s">
        <v>67</v>
      </c>
      <c r="G27" s="9"/>
      <c r="H27" s="8"/>
    </row>
    <row r="28" spans="1:8" s="15" customFormat="1" ht="14.25" x14ac:dyDescent="0.3">
      <c r="A28" s="11" t="s">
        <v>68</v>
      </c>
      <c r="B28" s="12" t="s">
        <v>69</v>
      </c>
      <c r="C28" s="13">
        <v>35000</v>
      </c>
      <c r="D28" s="14">
        <v>393.48750000000001</v>
      </c>
      <c r="E28" s="14">
        <f t="shared" si="0"/>
        <v>1.7664388008968117</v>
      </c>
      <c r="F28" s="14" t="s">
        <v>70</v>
      </c>
      <c r="G28" s="9"/>
      <c r="H28" s="8"/>
    </row>
    <row r="29" spans="1:8" s="15" customFormat="1" ht="14.25" x14ac:dyDescent="0.3">
      <c r="A29" s="11" t="s">
        <v>71</v>
      </c>
      <c r="B29" s="12" t="s">
        <v>72</v>
      </c>
      <c r="C29" s="13">
        <v>82500</v>
      </c>
      <c r="D29" s="14">
        <v>367.57875000000001</v>
      </c>
      <c r="E29" s="14">
        <f t="shared" si="0"/>
        <v>1.6501295883227522</v>
      </c>
      <c r="F29" s="14" t="s">
        <v>73</v>
      </c>
      <c r="G29" s="9"/>
      <c r="H29" s="9"/>
    </row>
    <row r="30" spans="1:8" s="15" customFormat="1" ht="14.25" x14ac:dyDescent="0.3">
      <c r="A30" s="11" t="s">
        <v>74</v>
      </c>
      <c r="B30" s="12" t="s">
        <v>63</v>
      </c>
      <c r="C30" s="13">
        <v>37000</v>
      </c>
      <c r="D30" s="14">
        <v>354.62650000000002</v>
      </c>
      <c r="E30" s="14">
        <f t="shared" si="0"/>
        <v>1.5919845215571862</v>
      </c>
      <c r="F30" s="14" t="s">
        <v>75</v>
      </c>
      <c r="G30" s="9"/>
      <c r="H30" s="9"/>
    </row>
    <row r="31" spans="1:8" s="15" customFormat="1" ht="14.25" x14ac:dyDescent="0.3">
      <c r="A31" s="11" t="s">
        <v>76</v>
      </c>
      <c r="B31" s="12" t="s">
        <v>77</v>
      </c>
      <c r="C31" s="13">
        <v>190000</v>
      </c>
      <c r="D31" s="14">
        <v>345.99</v>
      </c>
      <c r="E31" s="14">
        <f t="shared" si="0"/>
        <v>1.5532136617358565</v>
      </c>
      <c r="F31" s="14" t="s">
        <v>78</v>
      </c>
      <c r="G31" s="9"/>
      <c r="H31" s="8"/>
    </row>
    <row r="32" spans="1:8" s="15" customFormat="1" ht="14.25" x14ac:dyDescent="0.3">
      <c r="A32" s="11" t="s">
        <v>79</v>
      </c>
      <c r="B32" s="12" t="s">
        <v>80</v>
      </c>
      <c r="C32" s="13">
        <v>6843</v>
      </c>
      <c r="D32" s="14">
        <v>284.57641949999999</v>
      </c>
      <c r="E32" s="14">
        <f t="shared" si="0"/>
        <v>1.2775166408719159</v>
      </c>
      <c r="F32" s="14" t="s">
        <v>81</v>
      </c>
      <c r="G32" s="9"/>
      <c r="H32" s="8"/>
    </row>
    <row r="33" spans="1:8" s="15" customFormat="1" ht="14.25" x14ac:dyDescent="0.3">
      <c r="A33" s="11" t="s">
        <v>82</v>
      </c>
      <c r="B33" s="12" t="s">
        <v>83</v>
      </c>
      <c r="C33" s="13">
        <v>64000</v>
      </c>
      <c r="D33" s="14">
        <v>281.56799999999998</v>
      </c>
      <c r="E33" s="14">
        <f t="shared" si="0"/>
        <v>1.2640112844522722</v>
      </c>
      <c r="F33" s="14" t="s">
        <v>84</v>
      </c>
      <c r="G33" s="9"/>
      <c r="H33" s="9"/>
    </row>
    <row r="34" spans="1:8" s="15" customFormat="1" ht="14.25" x14ac:dyDescent="0.3">
      <c r="A34" s="11" t="s">
        <v>85</v>
      </c>
      <c r="B34" s="12" t="s">
        <v>63</v>
      </c>
      <c r="C34" s="13">
        <v>40000</v>
      </c>
      <c r="D34" s="14">
        <v>270.83999999999997</v>
      </c>
      <c r="E34" s="14">
        <f t="shared" si="0"/>
        <v>1.2158512909174812</v>
      </c>
      <c r="F34" s="14" t="s">
        <v>86</v>
      </c>
      <c r="G34" s="9"/>
      <c r="H34" s="8"/>
    </row>
    <row r="35" spans="1:8" s="15" customFormat="1" ht="14.25" x14ac:dyDescent="0.3">
      <c r="A35" s="11" t="s">
        <v>87</v>
      </c>
      <c r="B35" s="12" t="s">
        <v>88</v>
      </c>
      <c r="C35" s="13">
        <v>162481</v>
      </c>
      <c r="D35" s="14">
        <v>269.71845999999999</v>
      </c>
      <c r="E35" s="14">
        <f t="shared" si="0"/>
        <v>1.2108164886105266</v>
      </c>
      <c r="F35" s="14" t="s">
        <v>89</v>
      </c>
      <c r="G35" s="9"/>
      <c r="H35" s="8"/>
    </row>
    <row r="36" spans="1:8" s="15" customFormat="1" ht="14.25" x14ac:dyDescent="0.3">
      <c r="A36" s="11" t="s">
        <v>90</v>
      </c>
      <c r="B36" s="12" t="s">
        <v>91</v>
      </c>
      <c r="C36" s="13">
        <v>79500</v>
      </c>
      <c r="D36" s="14">
        <v>266.96100000000001</v>
      </c>
      <c r="E36" s="14">
        <f t="shared" si="0"/>
        <v>1.1984377362081737</v>
      </c>
      <c r="F36" s="14" t="s">
        <v>92</v>
      </c>
      <c r="G36" s="9"/>
      <c r="H36" s="8"/>
    </row>
    <row r="37" spans="1:8" s="15" customFormat="1" ht="14.25" x14ac:dyDescent="0.3">
      <c r="A37" s="11" t="s">
        <v>93</v>
      </c>
      <c r="B37" s="12" t="s">
        <v>25</v>
      </c>
      <c r="C37" s="13">
        <v>21000</v>
      </c>
      <c r="D37" s="14">
        <v>262.101</v>
      </c>
      <c r="E37" s="14">
        <f t="shared" si="0"/>
        <v>1.1766202894726141</v>
      </c>
      <c r="F37" s="14" t="s">
        <v>94</v>
      </c>
      <c r="G37" s="9"/>
      <c r="H37" s="8"/>
    </row>
    <row r="38" spans="1:8" s="15" customFormat="1" ht="14.25" x14ac:dyDescent="0.3">
      <c r="A38" s="11" t="s">
        <v>95</v>
      </c>
      <c r="B38" s="12" t="s">
        <v>14</v>
      </c>
      <c r="C38" s="13">
        <v>407500</v>
      </c>
      <c r="D38" s="14">
        <v>254.07624999999999</v>
      </c>
      <c r="E38" s="14">
        <f t="shared" si="0"/>
        <v>1.1405956895361569</v>
      </c>
      <c r="F38" s="14" t="s">
        <v>96</v>
      </c>
      <c r="G38" s="9"/>
      <c r="H38" s="16"/>
    </row>
    <row r="39" spans="1:8" s="15" customFormat="1" ht="14.25" x14ac:dyDescent="0.3">
      <c r="A39" s="11" t="s">
        <v>97</v>
      </c>
      <c r="B39" s="12" t="s">
        <v>98</v>
      </c>
      <c r="C39" s="13">
        <v>18000</v>
      </c>
      <c r="D39" s="14">
        <v>237.80699999999999</v>
      </c>
      <c r="E39" s="14">
        <f t="shared" si="0"/>
        <v>1.0675599909142428</v>
      </c>
      <c r="F39" s="14" t="s">
        <v>99</v>
      </c>
      <c r="G39" s="9"/>
      <c r="H39" s="8"/>
    </row>
    <row r="40" spans="1:8" s="15" customFormat="1" ht="14.25" x14ac:dyDescent="0.3">
      <c r="A40" s="11" t="s">
        <v>100</v>
      </c>
      <c r="B40" s="12" t="s">
        <v>101</v>
      </c>
      <c r="C40" s="13">
        <v>220000</v>
      </c>
      <c r="D40" s="14">
        <v>225.83</v>
      </c>
      <c r="E40" s="14">
        <f t="shared" si="0"/>
        <v>1.0137930033521445</v>
      </c>
      <c r="F40" s="14" t="s">
        <v>102</v>
      </c>
      <c r="G40" s="9"/>
      <c r="H40" s="9"/>
    </row>
    <row r="41" spans="1:8" s="15" customFormat="1" ht="14.25" x14ac:dyDescent="0.3">
      <c r="A41" s="11" t="s">
        <v>103</v>
      </c>
      <c r="B41" s="12" t="s">
        <v>98</v>
      </c>
      <c r="C41" s="13">
        <v>12300</v>
      </c>
      <c r="D41" s="14">
        <v>212.00280000000001</v>
      </c>
      <c r="E41" s="14">
        <f t="shared" si="0"/>
        <v>0.951720122796192</v>
      </c>
      <c r="F41" s="14" t="s">
        <v>104</v>
      </c>
      <c r="G41" s="9"/>
      <c r="H41" s="8"/>
    </row>
    <row r="42" spans="1:8" s="15" customFormat="1" ht="14.25" x14ac:dyDescent="0.3">
      <c r="A42" s="11" t="s">
        <v>105</v>
      </c>
      <c r="B42" s="12" t="s">
        <v>106</v>
      </c>
      <c r="C42" s="13">
        <v>141655</v>
      </c>
      <c r="D42" s="14">
        <v>210.71181250000001</v>
      </c>
      <c r="E42" s="14">
        <f t="shared" si="0"/>
        <v>0.94592463904773039</v>
      </c>
      <c r="F42" s="14" t="s">
        <v>107</v>
      </c>
      <c r="G42" s="9"/>
      <c r="H42" s="8"/>
    </row>
    <row r="43" spans="1:8" s="15" customFormat="1" ht="14.25" x14ac:dyDescent="0.3">
      <c r="A43" s="11" t="s">
        <v>108</v>
      </c>
      <c r="B43" s="12" t="s">
        <v>109</v>
      </c>
      <c r="C43" s="13">
        <v>120000</v>
      </c>
      <c r="D43" s="14">
        <v>165.12</v>
      </c>
      <c r="E43" s="14">
        <f t="shared" si="0"/>
        <v>0.74125448662049376</v>
      </c>
      <c r="F43" s="14" t="s">
        <v>110</v>
      </c>
      <c r="G43" s="9"/>
      <c r="H43" s="8"/>
    </row>
    <row r="44" spans="1:8" s="15" customFormat="1" ht="14.25" x14ac:dyDescent="0.3">
      <c r="A44" s="10" t="s">
        <v>111</v>
      </c>
      <c r="B44" s="12"/>
      <c r="C44" s="13"/>
      <c r="D44" s="17">
        <f>IF(ISERROR(SUM(D7:D43)),0,SUM(D7:D43))</f>
        <v>16730.834309499998</v>
      </c>
      <c r="E44" s="17">
        <f>IF(ISERROR(SUM(E7:E43)),0,SUM(E7:E43))</f>
        <v>75.107836705553325</v>
      </c>
      <c r="F44" s="17"/>
      <c r="G44" s="9"/>
      <c r="H44" s="8"/>
    </row>
    <row r="45" spans="1:8" s="15" customFormat="1" ht="14.25" x14ac:dyDescent="0.3">
      <c r="A45" s="10"/>
      <c r="B45" s="10"/>
      <c r="C45" s="18"/>
      <c r="D45" s="19"/>
      <c r="E45" s="19"/>
      <c r="F45" s="19"/>
      <c r="G45" s="9"/>
      <c r="H45" s="8"/>
    </row>
    <row r="46" spans="1:8" s="15" customFormat="1" ht="14.25" x14ac:dyDescent="0.3">
      <c r="A46" s="10" t="s">
        <v>112</v>
      </c>
      <c r="B46" s="10"/>
      <c r="C46" s="18"/>
      <c r="D46" s="20" t="s">
        <v>113</v>
      </c>
      <c r="E46" s="20" t="s">
        <v>113</v>
      </c>
      <c r="F46" s="20"/>
      <c r="G46" s="9"/>
      <c r="H46" s="8"/>
    </row>
    <row r="47" spans="1:8" s="15" customFormat="1" ht="14.25" x14ac:dyDescent="0.3">
      <c r="A47" s="10"/>
      <c r="B47" s="3"/>
      <c r="C47" s="18"/>
      <c r="D47" s="20"/>
      <c r="E47" s="20"/>
      <c r="F47" s="21"/>
      <c r="G47" s="9"/>
      <c r="H47" s="8"/>
    </row>
    <row r="48" spans="1:8" s="15" customFormat="1" ht="14.25" x14ac:dyDescent="0.3">
      <c r="A48" s="10" t="s">
        <v>114</v>
      </c>
      <c r="B48" s="10"/>
      <c r="C48" s="18"/>
      <c r="D48" s="17">
        <f>IF(ISERROR(+D44),0,D44)+IF(ISERROR(+#REF!),0,#REF!)</f>
        <v>16730.834309499998</v>
      </c>
      <c r="E48" s="17">
        <f>IF(ISERROR(+E44),0,E44)+IF(ISERROR(+#REF!),0,#REF!)</f>
        <v>75.107836705553325</v>
      </c>
      <c r="F48" s="22"/>
      <c r="G48" s="9"/>
      <c r="H48" s="8"/>
    </row>
    <row r="49" spans="1:8" s="15" customFormat="1" ht="14.25" x14ac:dyDescent="0.3">
      <c r="A49" s="10"/>
      <c r="B49" s="3"/>
      <c r="C49" s="18"/>
      <c r="D49" s="20"/>
      <c r="E49" s="20"/>
      <c r="F49" s="21"/>
      <c r="G49" s="9"/>
      <c r="H49" s="8"/>
    </row>
    <row r="50" spans="1:8" s="15" customFormat="1" ht="14.25" x14ac:dyDescent="0.3">
      <c r="A50" s="10" t="s">
        <v>115</v>
      </c>
      <c r="B50" s="3"/>
      <c r="C50" s="18"/>
      <c r="D50" s="20"/>
      <c r="E50" s="20"/>
      <c r="F50" s="21"/>
      <c r="G50" s="9"/>
      <c r="H50" s="8"/>
    </row>
    <row r="51" spans="1:8" s="15" customFormat="1" ht="14.25" x14ac:dyDescent="0.3">
      <c r="A51" s="10" t="s">
        <v>12</v>
      </c>
      <c r="B51" s="3"/>
      <c r="C51" s="18"/>
      <c r="D51" s="23"/>
      <c r="E51" s="23"/>
      <c r="F51" s="23"/>
      <c r="G51" s="9"/>
      <c r="H51" s="8"/>
    </row>
    <row r="52" spans="1:8" s="15" customFormat="1" ht="14.25" x14ac:dyDescent="0.3">
      <c r="A52" s="11" t="s">
        <v>116</v>
      </c>
      <c r="B52" s="12" t="s">
        <v>117</v>
      </c>
      <c r="C52" s="13">
        <v>500</v>
      </c>
      <c r="D52" s="14">
        <v>499.81900000000002</v>
      </c>
      <c r="E52" s="14">
        <f t="shared" ref="E52:E60" si="1">(+D52/$D$87*100)</f>
        <v>2.2437807427820289</v>
      </c>
      <c r="F52" s="14" t="s">
        <v>118</v>
      </c>
      <c r="G52" s="9">
        <v>8.0782000000000007</v>
      </c>
      <c r="H52" s="8"/>
    </row>
    <row r="53" spans="1:8" s="15" customFormat="1" ht="14.25" x14ac:dyDescent="0.3">
      <c r="A53" s="11" t="s">
        <v>119</v>
      </c>
      <c r="B53" s="12" t="s">
        <v>117</v>
      </c>
      <c r="C53" s="13">
        <v>50</v>
      </c>
      <c r="D53" s="14">
        <v>498.38600000000002</v>
      </c>
      <c r="E53" s="14">
        <f t="shared" si="1"/>
        <v>2.2373477384256382</v>
      </c>
      <c r="F53" s="14" t="s">
        <v>120</v>
      </c>
      <c r="G53" s="9">
        <v>7.5949</v>
      </c>
      <c r="H53" s="8"/>
    </row>
    <row r="54" spans="1:8" s="15" customFormat="1" ht="14.25" x14ac:dyDescent="0.3">
      <c r="A54" s="11" t="s">
        <v>121</v>
      </c>
      <c r="B54" s="12" t="s">
        <v>117</v>
      </c>
      <c r="C54" s="13">
        <v>50</v>
      </c>
      <c r="D54" s="14">
        <v>483.62900000000002</v>
      </c>
      <c r="E54" s="14">
        <f t="shared" si="1"/>
        <v>2.1711008121958746</v>
      </c>
      <c r="F54" s="14" t="s">
        <v>122</v>
      </c>
      <c r="G54" s="9">
        <v>7.8686999999999996</v>
      </c>
      <c r="H54" s="8"/>
    </row>
    <row r="55" spans="1:8" s="15" customFormat="1" ht="14.25" x14ac:dyDescent="0.3">
      <c r="A55" s="11" t="s">
        <v>123</v>
      </c>
      <c r="B55" s="12" t="s">
        <v>117</v>
      </c>
      <c r="C55" s="13">
        <v>250</v>
      </c>
      <c r="D55" s="14">
        <v>250.29400000000001</v>
      </c>
      <c r="E55" s="14">
        <f t="shared" si="1"/>
        <v>1.1236164636276034</v>
      </c>
      <c r="F55" s="14" t="s">
        <v>124</v>
      </c>
      <c r="G55" s="9">
        <v>7.6455000000000002</v>
      </c>
      <c r="H55" s="8"/>
    </row>
    <row r="56" spans="1:8" s="15" customFormat="1" ht="14.25" x14ac:dyDescent="0.3">
      <c r="A56" s="11" t="s">
        <v>125</v>
      </c>
      <c r="B56" s="12" t="s">
        <v>126</v>
      </c>
      <c r="C56" s="13">
        <v>20</v>
      </c>
      <c r="D56" s="14">
        <v>202.08519999999999</v>
      </c>
      <c r="E56" s="14">
        <f t="shared" si="1"/>
        <v>0.9071981660586228</v>
      </c>
      <c r="F56" s="14" t="s">
        <v>127</v>
      </c>
      <c r="G56" s="9">
        <v>7.6550000000000002</v>
      </c>
      <c r="H56" s="8"/>
    </row>
    <row r="57" spans="1:8" s="15" customFormat="1" ht="14.25" x14ac:dyDescent="0.3">
      <c r="A57" s="11" t="s">
        <v>128</v>
      </c>
      <c r="B57" s="12" t="s">
        <v>117</v>
      </c>
      <c r="C57" s="13">
        <v>20</v>
      </c>
      <c r="D57" s="14">
        <v>199.44540000000001</v>
      </c>
      <c r="E57" s="14">
        <f t="shared" si="1"/>
        <v>0.89534761134822571</v>
      </c>
      <c r="F57" s="14" t="s">
        <v>129</v>
      </c>
      <c r="G57" s="9">
        <v>7.87</v>
      </c>
      <c r="H57" s="8"/>
    </row>
    <row r="58" spans="1:8" s="15" customFormat="1" ht="14.25" x14ac:dyDescent="0.3">
      <c r="A58" s="11" t="s">
        <v>130</v>
      </c>
      <c r="B58" s="12" t="s">
        <v>117</v>
      </c>
      <c r="C58" s="13">
        <v>20</v>
      </c>
      <c r="D58" s="14">
        <v>195.88239999999999</v>
      </c>
      <c r="E58" s="14">
        <f t="shared" si="1"/>
        <v>0.87935263959538634</v>
      </c>
      <c r="F58" s="14" t="s">
        <v>131</v>
      </c>
      <c r="G58" s="9">
        <v>7.8650000000000002</v>
      </c>
      <c r="H58" s="8"/>
    </row>
    <row r="59" spans="1:8" s="15" customFormat="1" ht="14.25" x14ac:dyDescent="0.3">
      <c r="A59" s="11" t="s">
        <v>132</v>
      </c>
      <c r="B59" s="12" t="s">
        <v>117</v>
      </c>
      <c r="C59" s="13">
        <v>15</v>
      </c>
      <c r="D59" s="14">
        <v>152.31059999999999</v>
      </c>
      <c r="E59" s="14">
        <f t="shared" si="1"/>
        <v>0.68375070015660955</v>
      </c>
      <c r="F59" s="14" t="s">
        <v>133</v>
      </c>
      <c r="G59" s="9">
        <v>7.5327999999999999</v>
      </c>
      <c r="H59" s="8"/>
    </row>
    <row r="60" spans="1:8" s="15" customFormat="1" ht="14.25" x14ac:dyDescent="0.3">
      <c r="A60" s="11" t="s">
        <v>134</v>
      </c>
      <c r="B60" s="12" t="s">
        <v>117</v>
      </c>
      <c r="C60" s="13">
        <v>100</v>
      </c>
      <c r="D60" s="14">
        <v>99.612899999999996</v>
      </c>
      <c r="E60" s="14">
        <f t="shared" si="1"/>
        <v>0.44718089298860569</v>
      </c>
      <c r="F60" s="14" t="s">
        <v>135</v>
      </c>
      <c r="G60" s="9">
        <v>8.1199999999999992</v>
      </c>
      <c r="H60" s="8"/>
    </row>
    <row r="61" spans="1:8" s="15" customFormat="1" ht="14.25" x14ac:dyDescent="0.3">
      <c r="A61" s="10" t="s">
        <v>111</v>
      </c>
      <c r="B61" s="3"/>
      <c r="C61" s="24"/>
      <c r="D61" s="20">
        <f>IF(ISERROR(SUM(D52:D60)),0,SUM(D52:D60))</f>
        <v>2581.4645</v>
      </c>
      <c r="E61" s="20">
        <f>IF(ISERROR(SUM(E52:E60)),0,SUM(E52:E60))</f>
        <v>11.588675767178595</v>
      </c>
      <c r="F61" s="20"/>
      <c r="G61" s="9"/>
      <c r="H61" s="8"/>
    </row>
    <row r="62" spans="1:8" s="15" customFormat="1" ht="14.25" x14ac:dyDescent="0.3">
      <c r="A62" s="10"/>
      <c r="B62" s="3"/>
      <c r="C62" s="24"/>
      <c r="D62" s="23"/>
      <c r="E62" s="23"/>
      <c r="F62" s="23"/>
      <c r="G62" s="9"/>
      <c r="H62" s="8"/>
    </row>
    <row r="63" spans="1:8" s="15" customFormat="1" ht="14.25" x14ac:dyDescent="0.3">
      <c r="A63" s="10" t="s">
        <v>136</v>
      </c>
      <c r="B63" s="3"/>
      <c r="C63" s="24"/>
      <c r="D63" s="20" t="s">
        <v>113</v>
      </c>
      <c r="E63" s="20" t="s">
        <v>113</v>
      </c>
      <c r="F63" s="21"/>
      <c r="G63" s="9"/>
      <c r="H63" s="8"/>
    </row>
    <row r="64" spans="1:8" s="15" customFormat="1" ht="14.25" x14ac:dyDescent="0.3">
      <c r="A64" s="10"/>
      <c r="B64" s="3"/>
      <c r="C64" s="24"/>
      <c r="D64" s="23"/>
      <c r="E64" s="23"/>
      <c r="F64" s="23"/>
      <c r="G64" s="9"/>
      <c r="H64" s="8"/>
    </row>
    <row r="65" spans="1:8" s="15" customFormat="1" ht="14.25" x14ac:dyDescent="0.3">
      <c r="A65" s="10" t="s">
        <v>114</v>
      </c>
      <c r="B65" s="3"/>
      <c r="C65" s="24"/>
      <c r="D65" s="20">
        <f>IF(ISERROR(+D61),0,D61)+IF(ISERROR(+#REF!),0,#REF!)+IF(ISERROR(+#REF!),0,#REF!)</f>
        <v>2581.4645</v>
      </c>
      <c r="E65" s="20">
        <f>IF(ISERROR(+E61),0,E61)+IF(ISERROR(+#REF!),0,#REF!)+IF(ISERROR(+#REF!),0,#REF!)</f>
        <v>11.588675767178595</v>
      </c>
      <c r="F65" s="20">
        <f>IF(ISERROR(+F61),0,F61)+IF(ISERROR(+#REF!),0,#REF!)+IF(ISERROR(+#REF!),0,#REF!)</f>
        <v>0</v>
      </c>
      <c r="G65" s="9"/>
      <c r="H65" s="8"/>
    </row>
    <row r="66" spans="1:8" s="15" customFormat="1" ht="14.25" x14ac:dyDescent="0.3">
      <c r="A66" s="10"/>
      <c r="B66" s="3"/>
      <c r="C66" s="24"/>
      <c r="D66" s="20"/>
      <c r="E66" s="20"/>
      <c r="F66" s="20"/>
      <c r="G66" s="9"/>
      <c r="H66" s="8"/>
    </row>
    <row r="67" spans="1:8" s="15" customFormat="1" ht="14.25" x14ac:dyDescent="0.3">
      <c r="A67" s="10" t="s">
        <v>137</v>
      </c>
      <c r="B67" s="3"/>
      <c r="C67" s="24"/>
      <c r="D67" s="20"/>
      <c r="E67" s="20"/>
      <c r="F67" s="20"/>
      <c r="G67" s="9"/>
      <c r="H67" s="8"/>
    </row>
    <row r="68" spans="1:8" s="15" customFormat="1" ht="14.25" x14ac:dyDescent="0.3">
      <c r="A68" s="10"/>
      <c r="B68" s="3"/>
      <c r="C68" s="24"/>
      <c r="D68" s="14"/>
      <c r="E68" s="14"/>
      <c r="F68" s="25"/>
      <c r="G68" s="9"/>
      <c r="H68" s="8"/>
    </row>
    <row r="69" spans="1:8" s="15" customFormat="1" ht="14.25" x14ac:dyDescent="0.3">
      <c r="A69" s="10" t="s">
        <v>138</v>
      </c>
      <c r="B69" s="3"/>
      <c r="C69" s="24"/>
      <c r="D69" s="20" t="s">
        <v>113</v>
      </c>
      <c r="E69" s="20" t="s">
        <v>113</v>
      </c>
      <c r="F69" s="20"/>
      <c r="G69" s="9"/>
      <c r="H69" s="8"/>
    </row>
    <row r="70" spans="1:8" s="15" customFormat="1" ht="14.25" x14ac:dyDescent="0.3">
      <c r="A70" s="10"/>
      <c r="B70" s="3"/>
      <c r="C70" s="24"/>
      <c r="D70" s="20"/>
      <c r="E70" s="20"/>
      <c r="F70" s="20"/>
      <c r="G70" s="9"/>
      <c r="H70" s="8"/>
    </row>
    <row r="71" spans="1:8" s="15" customFormat="1" ht="14.25" x14ac:dyDescent="0.3">
      <c r="A71" s="10" t="s">
        <v>139</v>
      </c>
      <c r="B71" s="3"/>
      <c r="C71" s="24"/>
      <c r="D71" s="20" t="s">
        <v>113</v>
      </c>
      <c r="E71" s="20" t="s">
        <v>113</v>
      </c>
      <c r="F71" s="20"/>
      <c r="G71" s="9"/>
      <c r="H71" s="8"/>
    </row>
    <row r="72" spans="1:8" s="15" customFormat="1" ht="14.25" x14ac:dyDescent="0.3">
      <c r="A72" s="10"/>
      <c r="B72" s="3"/>
      <c r="C72" s="24"/>
      <c r="D72" s="20"/>
      <c r="E72" s="20"/>
      <c r="F72" s="20"/>
      <c r="G72" s="9"/>
      <c r="H72" s="8"/>
    </row>
    <row r="73" spans="1:8" s="15" customFormat="1" ht="14.25" x14ac:dyDescent="0.3">
      <c r="A73" s="10" t="s">
        <v>140</v>
      </c>
      <c r="B73" s="3"/>
      <c r="C73" s="24"/>
      <c r="D73" s="20"/>
      <c r="E73" s="20"/>
      <c r="F73" s="20"/>
      <c r="G73" s="9"/>
      <c r="H73" s="8"/>
    </row>
    <row r="74" spans="1:8" s="15" customFormat="1" ht="14.25" x14ac:dyDescent="0.3">
      <c r="A74" s="11" t="s">
        <v>141</v>
      </c>
      <c r="B74" s="12" t="s">
        <v>142</v>
      </c>
      <c r="C74" s="13">
        <v>1200000</v>
      </c>
      <c r="D74" s="14">
        <v>1209.1056000000001</v>
      </c>
      <c r="E74" s="14">
        <f>(+D74/$D$87*100)</f>
        <v>5.4279006225651898</v>
      </c>
      <c r="F74" s="14" t="s">
        <v>143</v>
      </c>
      <c r="G74" s="9">
        <v>7.0892999999999997</v>
      </c>
      <c r="H74" s="8"/>
    </row>
    <row r="75" spans="1:8" s="15" customFormat="1" ht="14.25" x14ac:dyDescent="0.3">
      <c r="A75" s="11" t="s">
        <v>144</v>
      </c>
      <c r="B75" s="12" t="s">
        <v>142</v>
      </c>
      <c r="C75" s="13">
        <v>350000</v>
      </c>
      <c r="D75" s="14">
        <v>352.99005</v>
      </c>
      <c r="E75" s="14">
        <f>(+D75/$D$87*100)</f>
        <v>1.5846381921929047</v>
      </c>
      <c r="F75" s="14" t="s">
        <v>145</v>
      </c>
      <c r="G75" s="9">
        <v>7.0521000000000003</v>
      </c>
      <c r="H75" s="8"/>
    </row>
    <row r="76" spans="1:8" s="15" customFormat="1" ht="14.25" x14ac:dyDescent="0.3">
      <c r="A76" s="11" t="s">
        <v>146</v>
      </c>
      <c r="B76" s="12" t="s">
        <v>142</v>
      </c>
      <c r="C76" s="13">
        <v>200000</v>
      </c>
      <c r="D76" s="14">
        <v>194.7928</v>
      </c>
      <c r="E76" s="14">
        <f>(+D76/$D$87*100)</f>
        <v>0.87446122190751285</v>
      </c>
      <c r="F76" s="14" t="s">
        <v>147</v>
      </c>
      <c r="G76" s="9">
        <v>7.0266999999999999</v>
      </c>
      <c r="H76" s="8"/>
    </row>
    <row r="77" spans="1:8" s="15" customFormat="1" ht="14.25" x14ac:dyDescent="0.3">
      <c r="A77" s="10" t="s">
        <v>111</v>
      </c>
      <c r="B77" s="3"/>
      <c r="C77" s="24"/>
      <c r="D77" s="20">
        <f>IF(ISERROR(SUM(D74:D76)),0,SUM(D74:D76))</f>
        <v>1756.8884500000001</v>
      </c>
      <c r="E77" s="20">
        <f>IF(ISERROR(SUM(E74:E76)),0,SUM(E74:E76))</f>
        <v>7.8870000366656079</v>
      </c>
      <c r="F77" s="26"/>
      <c r="G77" s="9"/>
      <c r="H77" s="8"/>
    </row>
    <row r="78" spans="1:8" s="15" customFormat="1" ht="14.25" x14ac:dyDescent="0.3">
      <c r="A78" s="10"/>
      <c r="B78" s="3"/>
      <c r="C78" s="24"/>
      <c r="D78" s="20"/>
      <c r="E78" s="20"/>
      <c r="F78" s="20"/>
      <c r="G78" s="9"/>
      <c r="H78" s="8"/>
    </row>
    <row r="79" spans="1:8" s="15" customFormat="1" ht="14.25" x14ac:dyDescent="0.3">
      <c r="A79" s="10" t="s">
        <v>148</v>
      </c>
      <c r="B79" s="3"/>
      <c r="C79" s="24"/>
      <c r="D79" s="20"/>
      <c r="E79" s="20"/>
      <c r="F79" s="21"/>
      <c r="G79" s="9"/>
      <c r="H79" s="8"/>
    </row>
    <row r="80" spans="1:8" s="15" customFormat="1" ht="14.25" x14ac:dyDescent="0.3">
      <c r="A80" s="11" t="s">
        <v>149</v>
      </c>
      <c r="B80" s="12"/>
      <c r="C80" s="13">
        <v>0</v>
      </c>
      <c r="D80" s="14">
        <v>1160.970165</v>
      </c>
      <c r="E80" s="14">
        <f>(+D80/$D$87*100)</f>
        <v>5.211811674168997</v>
      </c>
      <c r="F80" s="14" t="s">
        <v>150</v>
      </c>
      <c r="G80" s="9">
        <v>6.9439000000000002</v>
      </c>
      <c r="H80" s="8"/>
    </row>
    <row r="81" spans="1:8" s="15" customFormat="1" ht="14.25" x14ac:dyDescent="0.3">
      <c r="A81" s="10" t="s">
        <v>111</v>
      </c>
      <c r="B81" s="3"/>
      <c r="C81" s="24"/>
      <c r="D81" s="20">
        <f>IF(ISERROR(SUM(D80:D80)),0,SUM(D80:D80))</f>
        <v>1160.970165</v>
      </c>
      <c r="E81" s="20">
        <f>IF(ISERROR(SUM(E80:E80)),0,SUM(E80:E80))</f>
        <v>5.211811674168997</v>
      </c>
      <c r="F81" s="14"/>
      <c r="G81" s="9"/>
      <c r="H81" s="8"/>
    </row>
    <row r="82" spans="1:8" s="15" customFormat="1" ht="14.25" x14ac:dyDescent="0.3">
      <c r="A82" s="10"/>
      <c r="B82" s="3"/>
      <c r="C82" s="24"/>
      <c r="D82" s="20"/>
      <c r="E82" s="20"/>
      <c r="F82" s="21"/>
      <c r="G82" s="9"/>
      <c r="H82" s="8"/>
    </row>
    <row r="83" spans="1:8" s="15" customFormat="1" ht="14.25" x14ac:dyDescent="0.3">
      <c r="A83" s="10" t="s">
        <v>114</v>
      </c>
      <c r="B83" s="3"/>
      <c r="C83" s="24" t="s">
        <v>151</v>
      </c>
      <c r="D83" s="20">
        <f>+IF(ISERROR(D65),0,D65)+IF(ISERROR(D81),0,D81)+IF(ISERROR(D48),0,D48)+IF(ISERROR(#REF!),0,#REF!)+IF(ISERROR(D77),0,D77)+IF(ISERROR(#REF!),0,#REF!)+IF(ISERROR(#REF!),0,#REF!)+IF(ISERROR(#REF!),0,#REF!)+IF(ISERROR(#REF!),0,#REF!)+IF(ISERROR(#REF!),0,#REF!)+IF(ISERROR(#REF!),0,#REF!)</f>
        <v>22230.157424499997</v>
      </c>
      <c r="E83" s="20">
        <f>+IF(ISERROR(E65),0,E65)+IF(ISERROR(E81),0,E81)+IF(ISERROR(E48),0,E48)+IF(ISERROR(#REF!),0,#REF!)+IF(ISERROR(E77),0,E77)+IF(ISERROR(#REF!),0,#REF!)+IF(ISERROR(#REF!),0,#REF!)+IF(ISERROR(#REF!),0,#REF!)+IF(ISERROR(#REF!),0,#REF!)+IF(ISERROR(#REF!),0,#REF!)+IF(ISERROR(#REF!),0,#REF!)</f>
        <v>99.795324183566535</v>
      </c>
      <c r="F83" s="20"/>
      <c r="G83" s="9"/>
      <c r="H83" s="8"/>
    </row>
    <row r="84" spans="1:8" s="15" customFormat="1" ht="14.25" x14ac:dyDescent="0.3">
      <c r="A84" s="10"/>
      <c r="B84" s="3"/>
      <c r="C84" s="24"/>
      <c r="D84" s="20"/>
      <c r="E84" s="20"/>
      <c r="F84" s="27"/>
      <c r="G84" s="28"/>
      <c r="H84" s="29"/>
    </row>
    <row r="85" spans="1:8" s="15" customFormat="1" ht="14.25" x14ac:dyDescent="0.3">
      <c r="A85" s="10" t="s">
        <v>152</v>
      </c>
      <c r="B85" s="3"/>
      <c r="C85" s="24"/>
      <c r="D85" s="20">
        <f>+D87-D83</f>
        <v>45.593074199900002</v>
      </c>
      <c r="E85" s="20">
        <f>D85/$D$87*100</f>
        <v>0.20467581643348445</v>
      </c>
      <c r="F85" s="27"/>
      <c r="G85" s="28"/>
      <c r="H85" s="29"/>
    </row>
    <row r="86" spans="1:8" s="15" customFormat="1" ht="14.25" x14ac:dyDescent="0.3">
      <c r="A86" s="10"/>
      <c r="B86" s="3"/>
      <c r="C86" s="24"/>
      <c r="D86" s="23"/>
      <c r="E86" s="23"/>
      <c r="F86" s="27"/>
      <c r="G86" s="28"/>
      <c r="H86" s="29"/>
    </row>
    <row r="87" spans="1:8" s="15" customFormat="1" ht="14.25" x14ac:dyDescent="0.3">
      <c r="A87" s="10" t="s">
        <v>153</v>
      </c>
      <c r="B87" s="3"/>
      <c r="C87" s="24"/>
      <c r="D87" s="20">
        <v>22275.750498699897</v>
      </c>
      <c r="E87" s="20">
        <f>+E83+E85</f>
        <v>100.00000000000001</v>
      </c>
      <c r="F87" s="27"/>
      <c r="G87" s="28"/>
      <c r="H87" s="29"/>
    </row>
    <row r="88" spans="1:8" s="15" customFormat="1" ht="14.25" x14ac:dyDescent="0.3">
      <c r="A88" s="30"/>
      <c r="B88" s="31"/>
      <c r="C88" s="32"/>
      <c r="D88" s="33"/>
      <c r="E88" s="33"/>
      <c r="F88" s="27"/>
      <c r="G88" s="28"/>
      <c r="H88" s="29"/>
    </row>
    <row r="89" spans="1:8" s="15" customFormat="1" ht="14.25" x14ac:dyDescent="0.3">
      <c r="A89" s="34" t="s">
        <v>154</v>
      </c>
      <c r="B89" s="31"/>
      <c r="C89" s="32"/>
      <c r="D89" s="33"/>
      <c r="E89" s="33"/>
      <c r="F89" s="35"/>
      <c r="G89" s="28"/>
      <c r="H89" s="29"/>
    </row>
    <row r="90" spans="1:8" ht="14.25" x14ac:dyDescent="0.3">
      <c r="A90" s="34"/>
      <c r="B90" s="31"/>
      <c r="C90" s="32"/>
      <c r="D90" s="33"/>
      <c r="E90" s="33"/>
      <c r="F90" s="35"/>
      <c r="G90" s="28"/>
      <c r="H90" s="29"/>
    </row>
    <row r="91" spans="1:8" ht="13.5" x14ac:dyDescent="0.2">
      <c r="A91" s="56" t="s">
        <v>155</v>
      </c>
      <c r="B91" s="56"/>
      <c r="C91" s="56"/>
      <c r="D91" s="56"/>
      <c r="E91" s="56"/>
      <c r="F91" s="56"/>
      <c r="G91" s="56"/>
      <c r="H91" s="56"/>
    </row>
    <row r="92" spans="1:8" ht="25.5" customHeight="1" x14ac:dyDescent="0.2">
      <c r="A92" s="56" t="s">
        <v>156</v>
      </c>
      <c r="B92" s="56"/>
      <c r="C92" s="56"/>
      <c r="D92" s="56"/>
      <c r="E92" s="56"/>
      <c r="F92" s="56"/>
      <c r="G92" s="56"/>
      <c r="H92" s="56"/>
    </row>
    <row r="93" spans="1:8" ht="13.5" x14ac:dyDescent="0.2">
      <c r="A93" s="57" t="s">
        <v>157</v>
      </c>
      <c r="B93" s="57"/>
      <c r="C93" s="57"/>
      <c r="D93" s="57"/>
      <c r="E93" s="57"/>
      <c r="F93" s="57"/>
      <c r="G93" s="57"/>
      <c r="H93" s="57"/>
    </row>
    <row r="94" spans="1:8" ht="51.75" customHeight="1" x14ac:dyDescent="0.2">
      <c r="A94" s="53" t="s">
        <v>158</v>
      </c>
      <c r="B94" s="53"/>
      <c r="C94" s="53"/>
      <c r="D94" s="53"/>
      <c r="E94" s="53"/>
      <c r="F94" s="53"/>
      <c r="G94" s="53"/>
      <c r="H94" s="53"/>
    </row>
    <row r="95" spans="1:8" x14ac:dyDescent="0.2">
      <c r="A95" s="37"/>
      <c r="B95" s="37"/>
      <c r="C95" s="37"/>
      <c r="D95" s="37"/>
      <c r="E95" s="37"/>
      <c r="F95" s="37"/>
      <c r="G95" s="37"/>
      <c r="H95" s="37"/>
    </row>
    <row r="96" spans="1:8" ht="14.25" x14ac:dyDescent="0.3">
      <c r="A96" s="38" t="s">
        <v>159</v>
      </c>
      <c r="B96" s="39"/>
      <c r="C96" s="39"/>
      <c r="D96" s="39"/>
      <c r="E96" s="40"/>
      <c r="F96" s="40"/>
      <c r="G96" s="40"/>
      <c r="H96" s="40"/>
    </row>
    <row r="97" spans="1:8" ht="14.25" x14ac:dyDescent="0.3">
      <c r="A97" s="41" t="s">
        <v>160</v>
      </c>
      <c r="B97" s="39"/>
      <c r="C97" s="39"/>
      <c r="D97" s="39"/>
      <c r="E97" s="40"/>
      <c r="F97" s="40"/>
      <c r="G97" s="40"/>
      <c r="H97" s="40"/>
    </row>
    <row r="98" spans="1:8" ht="14.25" x14ac:dyDescent="0.3">
      <c r="A98" s="41" t="s">
        <v>161</v>
      </c>
      <c r="B98" s="41"/>
      <c r="C98" s="41"/>
      <c r="D98" s="39"/>
      <c r="E98" s="40"/>
      <c r="F98" s="42"/>
      <c r="G98" s="40"/>
      <c r="H98" s="40"/>
    </row>
    <row r="99" spans="1:8" ht="14.25" x14ac:dyDescent="0.3">
      <c r="A99" s="41" t="s">
        <v>162</v>
      </c>
      <c r="B99" s="41"/>
      <c r="C99" s="41"/>
      <c r="D99" s="39"/>
      <c r="E99" s="40"/>
      <c r="F99" s="40"/>
      <c r="G99" s="40"/>
      <c r="H99" s="40"/>
    </row>
    <row r="100" spans="1:8" ht="14.25" x14ac:dyDescent="0.3">
      <c r="A100" s="43"/>
      <c r="B100" s="44"/>
      <c r="C100" s="45"/>
      <c r="D100" s="40"/>
      <c r="E100" s="40"/>
      <c r="F100" s="40"/>
      <c r="G100" s="40"/>
      <c r="H100" s="40"/>
    </row>
    <row r="101" spans="1:8" ht="14.25" x14ac:dyDescent="0.3">
      <c r="A101" s="46" t="s">
        <v>163</v>
      </c>
      <c r="B101" s="47" t="s">
        <v>164</v>
      </c>
      <c r="C101" s="39"/>
      <c r="D101" s="40"/>
      <c r="E101" s="40"/>
      <c r="F101" s="40"/>
      <c r="G101" s="40"/>
      <c r="H101" s="40"/>
    </row>
    <row r="102" spans="1:8" ht="14.25" x14ac:dyDescent="0.3">
      <c r="A102" s="43"/>
      <c r="B102" s="44"/>
      <c r="C102" s="45"/>
      <c r="D102" s="40"/>
      <c r="E102" s="40"/>
      <c r="F102" s="40"/>
      <c r="G102" s="40"/>
      <c r="H102" s="40"/>
    </row>
    <row r="103" spans="1:8" ht="14.25" x14ac:dyDescent="0.3">
      <c r="A103" s="43"/>
      <c r="B103" s="44"/>
      <c r="C103" s="45"/>
      <c r="D103" s="40"/>
      <c r="E103" s="40"/>
      <c r="F103" s="40"/>
      <c r="G103" s="40"/>
      <c r="H103" s="40"/>
    </row>
    <row r="104" spans="1:8" ht="14.25" x14ac:dyDescent="0.3">
      <c r="A104" s="43"/>
      <c r="B104" s="44"/>
      <c r="C104" s="45"/>
      <c r="D104" s="40"/>
      <c r="E104" s="40"/>
      <c r="F104" s="40"/>
      <c r="G104" s="40"/>
      <c r="H104" s="40"/>
    </row>
    <row r="105" spans="1:8" ht="14.25" x14ac:dyDescent="0.3">
      <c r="A105" s="43"/>
      <c r="B105" s="44"/>
      <c r="C105" s="45"/>
      <c r="D105" s="40"/>
      <c r="E105" s="40"/>
      <c r="F105" s="40"/>
      <c r="G105" s="40"/>
      <c r="H105" s="40"/>
    </row>
    <row r="106" spans="1:8" ht="14.25" x14ac:dyDescent="0.3">
      <c r="A106" s="43"/>
      <c r="B106" s="44"/>
      <c r="C106" s="45"/>
      <c r="D106" s="40"/>
      <c r="E106" s="40"/>
      <c r="F106" s="40"/>
      <c r="G106" s="40"/>
      <c r="H106" s="40"/>
    </row>
    <row r="107" spans="1:8" ht="14.25" x14ac:dyDescent="0.3">
      <c r="A107" s="43"/>
      <c r="B107" s="44"/>
      <c r="C107" s="45"/>
      <c r="D107" s="40"/>
      <c r="E107" s="40"/>
      <c r="F107" s="40"/>
      <c r="G107" s="40"/>
      <c r="H107" s="40"/>
    </row>
    <row r="108" spans="1:8" ht="14.25" x14ac:dyDescent="0.3">
      <c r="A108" s="43"/>
      <c r="B108" s="44"/>
      <c r="C108" s="45"/>
      <c r="D108" s="40"/>
      <c r="E108" s="36"/>
      <c r="F108" s="40"/>
      <c r="G108" s="40"/>
      <c r="H108" s="40"/>
    </row>
    <row r="109" spans="1:8" ht="14.25" x14ac:dyDescent="0.3">
      <c r="A109" s="43"/>
      <c r="B109" s="44"/>
      <c r="C109" s="45"/>
      <c r="D109" s="40"/>
      <c r="E109" s="36"/>
      <c r="F109" s="40"/>
      <c r="G109" s="40"/>
      <c r="H109" s="40"/>
    </row>
  </sheetData>
  <mergeCells count="7">
    <mergeCell ref="A94:H94"/>
    <mergeCell ref="A1:H1"/>
    <mergeCell ref="A2:H2"/>
    <mergeCell ref="A3:H3"/>
    <mergeCell ref="A91:H91"/>
    <mergeCell ref="A92:H92"/>
    <mergeCell ref="A93:H93"/>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Aggressive Hybrid Fund</vt:lpstr>
      <vt:lpstr>'JM Aggressive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2024-04-03T07:14:13Z</dcterms:created>
  <dcterms:modified xsi:type="dcterms:W3CDTF">2024-04-03T12:49:57Z</dcterms:modified>
</cp:coreProperties>
</file>