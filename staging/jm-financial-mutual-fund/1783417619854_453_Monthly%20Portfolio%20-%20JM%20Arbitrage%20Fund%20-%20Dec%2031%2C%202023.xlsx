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Arbitrage Fund" sheetId="1" r:id="rId1"/>
  </sheets>
  <definedNames>
    <definedName name="_xlnm._FilterDatabase" localSheetId="0" hidden="1">'JM Arbitrage Fund'!$A$1:$H$208</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Fund'!$A$1:$E$69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2" i="1" l="1"/>
  <c r="E81" i="1"/>
  <c r="E82" i="1" s="1"/>
  <c r="D79" i="1"/>
  <c r="E78" i="1"/>
  <c r="E79" i="1" s="1"/>
  <c r="D77" i="1"/>
  <c r="E76" i="1"/>
  <c r="E75" i="1"/>
  <c r="E74" i="1"/>
  <c r="E73" i="1"/>
  <c r="E72" i="1"/>
  <c r="E71" i="1"/>
  <c r="E77" i="1" s="1"/>
  <c r="F61" i="1"/>
  <c r="D57" i="1"/>
  <c r="D61" i="1" s="1"/>
  <c r="E56" i="1"/>
  <c r="E57" i="1" s="1"/>
  <c r="E61" i="1" s="1"/>
  <c r="D48" i="1"/>
  <c r="D52" i="1" s="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8" i="1" l="1"/>
  <c r="E52" i="1" s="1"/>
  <c r="D84" i="1"/>
  <c r="D86" i="1" s="1"/>
  <c r="E86" i="1" s="1"/>
  <c r="E84" i="1"/>
  <c r="E88" i="1" l="1"/>
</calcChain>
</file>

<file path=xl/sharedStrings.xml><?xml version="1.0" encoding="utf-8"?>
<sst xmlns="http://schemas.openxmlformats.org/spreadsheetml/2006/main" count="312" uniqueCount="228">
  <si>
    <t>JM Financial Mutual Fund</t>
  </si>
  <si>
    <t>JM Arbitrage Fund (An open ended scheme investing in arbitrage opportunities)</t>
  </si>
  <si>
    <t>Monthly Portfolio Statement for the period ended 31.12.2023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</si>
  <si>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</si>
  <si>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</si>
  <si>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</si>
  <si>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</si>
  <si>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</si>
  <si>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</si>
  <si>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</si>
  <si>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</si>
  <si>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</si>
  <si>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</si>
  <si>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Vodafone Idea Ltd.</t>
  </si>
  <si>
    <t>Telecom - Services</t>
  </si>
  <si>
    <t>INE669E01016</t>
  </si>
  <si>
    <t>ICICI Bank Ltd.</t>
  </si>
  <si>
    <t>Banks</t>
  </si>
  <si>
    <t>INE090A01021</t>
  </si>
  <si>
    <t>Larsen &amp; Toubro Ltd.</t>
  </si>
  <si>
    <t>Construction</t>
  </si>
  <si>
    <t>INE018A01030</t>
  </si>
  <si>
    <t>Bandhan Bank Ltd.</t>
  </si>
  <si>
    <t>INE545U01014</t>
  </si>
  <si>
    <t>The Indian Hotels Company Ltd.</t>
  </si>
  <si>
    <t>Leisure Services</t>
  </si>
  <si>
    <t>INE053A01029</t>
  </si>
  <si>
    <t>LIC Housing Finance Ltd.</t>
  </si>
  <si>
    <t>Finance</t>
  </si>
  <si>
    <t>INE115A01026</t>
  </si>
  <si>
    <t>Reliance Industries Ltd.</t>
  </si>
  <si>
    <t>Petroleum Products</t>
  </si>
  <si>
    <t>INE002A01018</t>
  </si>
  <si>
    <t>Granules India Ltd.</t>
  </si>
  <si>
    <t>Pharmaceuticals &amp; Biotechnology</t>
  </si>
  <si>
    <t>INE101D01020</t>
  </si>
  <si>
    <t>Bank of Baroda</t>
  </si>
  <si>
    <t>INE028A01039</t>
  </si>
  <si>
    <t>Tata Motors Ltd.</t>
  </si>
  <si>
    <t>Automobiles</t>
  </si>
  <si>
    <t>INE155A01022</t>
  </si>
  <si>
    <t>Indus Towers Ltd.</t>
  </si>
  <si>
    <t>INE121J01017</t>
  </si>
  <si>
    <t>Canara Bank</t>
  </si>
  <si>
    <t>INE476A01014</t>
  </si>
  <si>
    <t>United Spirits Ltd.</t>
  </si>
  <si>
    <t>Beverages</t>
  </si>
  <si>
    <t>INE854D01024</t>
  </si>
  <si>
    <t>NTPC Ltd.</t>
  </si>
  <si>
    <t>Power</t>
  </si>
  <si>
    <t>INE733E01010</t>
  </si>
  <si>
    <t>Asian Paints Ltd.</t>
  </si>
  <si>
    <t>Consumer Durables</t>
  </si>
  <si>
    <t>INE021A01026</t>
  </si>
  <si>
    <t>Petronet LNG Ltd.</t>
  </si>
  <si>
    <t>Gas</t>
  </si>
  <si>
    <t>INE347G01014</t>
  </si>
  <si>
    <t>NMDC Ltd.</t>
  </si>
  <si>
    <t>Minerals &amp; Mining</t>
  </si>
  <si>
    <t>INE584A01023</t>
  </si>
  <si>
    <t>Hindustan Copper Ltd.</t>
  </si>
  <si>
    <t>Non - Ferrous Metals</t>
  </si>
  <si>
    <t>INE531E01026</t>
  </si>
  <si>
    <t>Tata Steel Ltd.</t>
  </si>
  <si>
    <t>Ferrous Metals</t>
  </si>
  <si>
    <t>INE081A01020</t>
  </si>
  <si>
    <t>ACC Ltd.</t>
  </si>
  <si>
    <t>Cement &amp; Cement Products</t>
  </si>
  <si>
    <t>INE012A01025</t>
  </si>
  <si>
    <t>Indian Energy Exchange Ltd.</t>
  </si>
  <si>
    <t>Capital Markets</t>
  </si>
  <si>
    <t>INE022Q01020</t>
  </si>
  <si>
    <t>Escorts Kubota Ltd.</t>
  </si>
  <si>
    <t>Agricultural, Commercial &amp; Construction Vehicles</t>
  </si>
  <si>
    <t>INE042A01014</t>
  </si>
  <si>
    <t>ITC Ltd.</t>
  </si>
  <si>
    <t>Diversified FMCG</t>
  </si>
  <si>
    <t>INE154A01025</t>
  </si>
  <si>
    <t>Lupin Ltd.</t>
  </si>
  <si>
    <t>INE326A01037</t>
  </si>
  <si>
    <t>Chemicals &amp; Petrochemicals</t>
  </si>
  <si>
    <t>INE113A01013</t>
  </si>
  <si>
    <t>Marico Ltd.</t>
  </si>
  <si>
    <t>Agricultural Food &amp; other Products</t>
  </si>
  <si>
    <t>INE196A01026</t>
  </si>
  <si>
    <t>IDFC Ltd.</t>
  </si>
  <si>
    <t>INE043D01016</t>
  </si>
  <si>
    <t>State Bank of India</t>
  </si>
  <si>
    <t>INE062A01020</t>
  </si>
  <si>
    <t>Hindustan Unilever Ltd.</t>
  </si>
  <si>
    <t>INE030A01027</t>
  </si>
  <si>
    <t>City Union Bank Ltd.</t>
  </si>
  <si>
    <t>INE491A01021</t>
  </si>
  <si>
    <t>GAIL (India) Ltd.</t>
  </si>
  <si>
    <t>INE129A01019</t>
  </si>
  <si>
    <t>Aurobindo Pharma Ltd.</t>
  </si>
  <si>
    <t>INE406A01037</t>
  </si>
  <si>
    <t>Punjab National Bank</t>
  </si>
  <si>
    <t>INE160A01022</t>
  </si>
  <si>
    <t>Coal India Ltd.</t>
  </si>
  <si>
    <t>Consumable Fuels</t>
  </si>
  <si>
    <t>INE522F01014</t>
  </si>
  <si>
    <t>Tech Mahindra Ltd.</t>
  </si>
  <si>
    <t>IT - Software</t>
  </si>
  <si>
    <t>INE669C01036</t>
  </si>
  <si>
    <t>Exide Industries Ltd.</t>
  </si>
  <si>
    <t>Auto Components</t>
  </si>
  <si>
    <t>INE302A01020</t>
  </si>
  <si>
    <t>PI Industries Ltd.</t>
  </si>
  <si>
    <t>Fertilizers &amp; Agrochemicals</t>
  </si>
  <si>
    <t>INE603J01030</t>
  </si>
  <si>
    <t>DLF Ltd.</t>
  </si>
  <si>
    <t>Realty</t>
  </si>
  <si>
    <t>INE271C01023</t>
  </si>
  <si>
    <t>JSW Steel Ltd.</t>
  </si>
  <si>
    <t>INE019A01038</t>
  </si>
  <si>
    <t>The India Cements Ltd.</t>
  </si>
  <si>
    <t>INE383A01012</t>
  </si>
  <si>
    <t>Astral Ltd.</t>
  </si>
  <si>
    <t>Industrial Products</t>
  </si>
  <si>
    <t>INE006I01046</t>
  </si>
  <si>
    <t>Sub Total:</t>
  </si>
  <si>
    <t>b) Unlisted</t>
  </si>
  <si>
    <t>NIL</t>
  </si>
  <si>
    <t>Total:</t>
  </si>
  <si>
    <t>DEBT INSTRUMENTS</t>
  </si>
  <si>
    <t>Muthoot Finance Ltd.**</t>
  </si>
  <si>
    <t>CRISIL AA+</t>
  </si>
  <si>
    <t>INE414G07FF7</t>
  </si>
  <si>
    <t>b) Privately Placed / Unlisted</t>
  </si>
  <si>
    <t>TERM DEPOSITS</t>
  </si>
  <si>
    <t>Deposits (Maturity not exceeding 91 days)</t>
  </si>
  <si>
    <t>Deposits (Placed as F &amp; O margin)</t>
  </si>
  <si>
    <t>MONEY MARKET INSTRUMENTS</t>
  </si>
  <si>
    <t>Treasury Bills</t>
  </si>
  <si>
    <t>182 Days Treasury-Bill 11/01/2024</t>
  </si>
  <si>
    <t>Sovereign</t>
  </si>
  <si>
    <t>IN002023Y151</t>
  </si>
  <si>
    <t>91 Days Treasury-Bill 08/02/2024</t>
  </si>
  <si>
    <t>IN002023X336</t>
  </si>
  <si>
    <t>182 Days Treasury-Bill 22/02/2024</t>
  </si>
  <si>
    <t>IN002023Y227</t>
  </si>
  <si>
    <t>91 Days Treasury-Bill 14/03/2024</t>
  </si>
  <si>
    <t>IN002023X385</t>
  </si>
  <si>
    <t>364 Days Treasury-Bill 26/01/2024</t>
  </si>
  <si>
    <t>IN002022Z432</t>
  </si>
  <si>
    <t>182 Days Treasury-Bill 29/02/2024</t>
  </si>
  <si>
    <t>IN002023Y235</t>
  </si>
  <si>
    <t>TREPS-Triparty Repo</t>
  </si>
  <si>
    <t/>
  </si>
  <si>
    <t>Mutual Fund Units</t>
  </si>
  <si>
    <t>JM Liquid Fund - Direct Growth</t>
  </si>
  <si>
    <t>INF192K01CM6</t>
  </si>
  <si>
    <t xml:space="preserve"> </t>
  </si>
  <si>
    <t>Net Current Assets</t>
  </si>
  <si>
    <t>Net Assets</t>
  </si>
  <si>
    <t>** Non Traded.</t>
  </si>
  <si>
    <t>Note - Traded Securities (Debt) as on December 29, 2023.</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</si>
  <si>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</si>
  <si>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</si>
  <si>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</si>
  <si>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</si>
  <si>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December 31, 2023:</t>
  </si>
  <si>
    <t>Underlying</t>
  </si>
  <si>
    <t>Long / Short</t>
  </si>
  <si>
    <t>Futures price when purchased (Rs.)</t>
  </si>
  <si>
    <t>Current  price of the Contract (Rs.)</t>
  </si>
  <si>
    <t>Total Margin maintained in   (Rs. In Lakhs)</t>
  </si>
  <si>
    <t>ACC Ltd.Jan-2024</t>
  </si>
  <si>
    <t>Short</t>
  </si>
  <si>
    <t>Asian Paints Ltd.Jan-2024</t>
  </si>
  <si>
    <t>Astral Ltd.Jan-2024</t>
  </si>
  <si>
    <t>Aurobindo Pharma Ltd.Jan-2024</t>
  </si>
  <si>
    <t>Bandhan Bank Ltd.Jan-2024</t>
  </si>
  <si>
    <t>Bank of BarodaJan-2024</t>
  </si>
  <si>
    <t>Canara BankJan-2024</t>
  </si>
  <si>
    <t>Coal India Ltd.Jan-2024</t>
  </si>
  <si>
    <t>City Union Bank Ltd.Jan-2024</t>
  </si>
  <si>
    <t>DLF Ltd.Jan-2024</t>
  </si>
  <si>
    <t>Escorts Kubota Ltd.Jan-2024</t>
  </si>
  <si>
    <t>Exide Industries Ltd.Jan-2024</t>
  </si>
  <si>
    <t>GAIL (India) Ltd.Jan-2024</t>
  </si>
  <si>
    <t>Gujarat Narmada Valley Fertilizers &amp; Chemicals LtdJan-2024</t>
  </si>
  <si>
    <t>Granules India Ltd.Jan-2024</t>
  </si>
  <si>
    <t>Hindustan Copper Ltd.Jan-2024</t>
  </si>
  <si>
    <t>Hindustan Unilever Ltd.Jan-2024</t>
  </si>
  <si>
    <t>ICICI Bank Ltd.Jan-2024</t>
  </si>
  <si>
    <t>Vodafone Idea Ltd.Jan-2024</t>
  </si>
  <si>
    <t>IDFC Ltd.Jan-2024</t>
  </si>
  <si>
    <t>Indian Energy Exchange Ltd.Jan-2024</t>
  </si>
  <si>
    <t>The Indian Hotels Company Ltd.Jan-2024</t>
  </si>
  <si>
    <t>The India Cements Ltd.Jan-2024</t>
  </si>
  <si>
    <t>Indus Towers Ltd.Jan-2024</t>
  </si>
  <si>
    <t>ITC Ltd.Jan-2024</t>
  </si>
  <si>
    <t>JSW Steel Ltd.Jan-2024</t>
  </si>
  <si>
    <t>LIC Housing Finance Ltd.Jan-2024</t>
  </si>
  <si>
    <t>Larsen &amp; Toubro Ltd.Jan-2024</t>
  </si>
  <si>
    <t>Lupin Ltd.Jan-2024</t>
  </si>
  <si>
    <t>Marico Ltd.Jan-2024</t>
  </si>
  <si>
    <t>United Spirits Ltd.Jan-2024</t>
  </si>
  <si>
    <t>NMDC Ltd.Jan-2024</t>
  </si>
  <si>
    <t>NTPC Ltd.Jan-2024</t>
  </si>
  <si>
    <t>Petronet LNG Ltd.Jan-2024</t>
  </si>
  <si>
    <t>PI Industries Ltd.Jan-2024</t>
  </si>
  <si>
    <t>Punjab National BankJan-2024</t>
  </si>
  <si>
    <t>Reliance Industries Ltd.Jan-2024</t>
  </si>
  <si>
    <t>State Bank of IndiaJan-2024</t>
  </si>
  <si>
    <t>Tata Motors Ltd.Jan-2024</t>
  </si>
  <si>
    <t>Tata Steel Ltd.Jan-2024</t>
  </si>
  <si>
    <t>Tech Mahindra Ltd.Jan-2024</t>
  </si>
  <si>
    <t>Total outstanding exposure in derivative instruments at the end of the period - Short -(Rs in Lakhs) : (6,753.46)</t>
  </si>
  <si>
    <t>Total 70.17% of existing assets hedged through futures as on 31/12/2023</t>
  </si>
  <si>
    <t>For the period ended December 31,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</si>
  <si>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</si>
  <si>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</si>
  <si>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</si>
  <si>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</si>
  <si>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</si>
  <si>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31/12/2023</t>
  </si>
  <si>
    <t>For the period ended December 31,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</si>
  <si>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</si>
  <si>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</si>
  <si>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</si>
  <si>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</si>
  <si>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</si>
  <si>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</si>
  <si>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</si>
  <si>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Gujarat Narmada Valley Fertilizers &amp; Chemicals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</si>
</sst>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cellStyleXfs>
  <cellXfs count="96">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4" fontId="5" fillId="0" borderId="0" xfId="2" applyNumberFormat="1" applyFont="1"/>
    <xf numFmtId="0" fontId="5" fillId="0" borderId="0" xfId="2" applyFont="1" applyFill="1" applyBorder="1" applyAlignment="1">
      <alignment wrapText="1"/>
    </xf>
    <xf numFmtId="0" fontId="5" fillId="0" borderId="0" xfId="2" applyFont="1" applyFill="1" applyAlignment="1">
      <alignment horizontal="right"/>
    </xf>
    <xf numFmtId="0" fontId="7" fillId="0" borderId="0" xfId="3" applyFont="1" applyBorder="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4" fillId="0" borderId="0" xfId="4" applyFont="1" applyFill="1" applyAlignment="1"/>
    <xf numFmtId="0" fontId="4" fillId="3" borderId="3" xfId="4"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6" applyNumberFormat="1" applyFont="1" applyFill="1" applyBorder="1" applyAlignment="1">
      <alignment horizontal="left" vertical="top"/>
    </xf>
    <xf numFmtId="4" fontId="5" fillId="0" borderId="3" xfId="2" applyNumberFormat="1" applyFont="1" applyBorder="1" applyAlignment="1">
      <alignment wrapText="1"/>
    </xf>
    <xf numFmtId="4" fontId="5" fillId="0" borderId="3" xfId="2" applyNumberFormat="1" applyFont="1" applyBorder="1" applyAlignment="1">
      <alignment horizontal="left" wrapText="1"/>
    </xf>
    <xf numFmtId="3" fontId="5" fillId="0" borderId="3" xfId="1" applyNumberFormat="1" applyFont="1" applyBorder="1"/>
    <xf numFmtId="4" fontId="5" fillId="0" borderId="3" xfId="2" applyNumberFormat="1" applyFont="1" applyBorder="1"/>
    <xf numFmtId="4" fontId="5" fillId="0" borderId="3" xfId="1" applyNumberFormat="1" applyFont="1" applyFill="1" applyBorder="1"/>
    <xf numFmtId="0" fontId="4" fillId="0" borderId="0" xfId="2" applyFont="1"/>
    <xf numFmtId="0" fontId="5" fillId="0" borderId="0" xfId="4" applyFont="1" applyFill="1" applyBorder="1" applyAlignment="1"/>
    <xf numFmtId="165" fontId="5" fillId="0" borderId="0" xfId="7" applyNumberFormat="1" applyFont="1"/>
    <xf numFmtId="0" fontId="5" fillId="0" borderId="0" xfId="2" applyFont="1" applyFill="1" applyAlignment="1">
      <alignment wrapText="1"/>
    </xf>
    <xf numFmtId="165" fontId="5" fillId="0" borderId="0" xfId="7" applyNumberFormat="1" applyFont="1" applyFill="1"/>
    <xf numFmtId="164" fontId="5" fillId="0" borderId="0" xfId="2" applyNumberFormat="1" applyFont="1"/>
    <xf numFmtId="165" fontId="5" fillId="0" borderId="3" xfId="1" applyNumberFormat="1" applyFont="1" applyBorder="1"/>
    <xf numFmtId="164" fontId="5" fillId="0" borderId="3" xfId="1" applyNumberFormat="1" applyFont="1" applyBorder="1"/>
    <xf numFmtId="4" fontId="3" fillId="0" borderId="0" xfId="2" applyNumberFormat="1" applyFont="1"/>
    <xf numFmtId="164" fontId="5" fillId="0" borderId="3" xfId="1" applyFont="1" applyBorder="1"/>
    <xf numFmtId="0" fontId="5" fillId="0" borderId="3" xfId="2" applyFont="1" applyBorder="1" applyAlignment="1">
      <alignment horizontal="center" vertical="top"/>
    </xf>
    <xf numFmtId="4" fontId="5" fillId="0" borderId="3" xfId="2" applyNumberFormat="1" applyFont="1" applyBorder="1" applyAlignment="1">
      <alignment horizontal="center" vertical="top"/>
    </xf>
    <xf numFmtId="0" fontId="9" fillId="0" borderId="0" xfId="8" applyFont="1"/>
    <xf numFmtId="0" fontId="10" fillId="0" borderId="0" xfId="2" applyFont="1" applyFill="1" applyBorder="1" applyAlignment="1">
      <alignment horizontal="left" wrapText="1"/>
    </xf>
    <xf numFmtId="0" fontId="7" fillId="0" borderId="0" xfId="8" applyFont="1" applyBorder="1"/>
    <xf numFmtId="0" fontId="9" fillId="0" borderId="0" xfId="3"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3" xfId="2" applyFont="1" applyFill="1" applyBorder="1" applyAlignment="1">
      <alignment horizontal="left"/>
    </xf>
    <xf numFmtId="0" fontId="5" fillId="0" borderId="4" xfId="2" applyFont="1" applyFill="1" applyBorder="1" applyAlignment="1">
      <alignment horizontal="left"/>
    </xf>
    <xf numFmtId="0" fontId="4" fillId="4" borderId="4" xfId="2" applyFont="1" applyFill="1" applyBorder="1" applyAlignment="1">
      <alignment horizontal="left" vertical="top" wrapText="1"/>
    </xf>
    <xf numFmtId="0" fontId="1" fillId="0" borderId="2" xfId="2" applyBorder="1" applyAlignment="1">
      <alignment horizontal="left" vertical="top" wrapText="1"/>
    </xf>
    <xf numFmtId="0" fontId="1" fillId="0" borderId="5" xfId="2" applyBorder="1" applyAlignment="1">
      <alignment horizontal="left" vertical="top" wrapText="1"/>
    </xf>
    <xf numFmtId="0" fontId="8" fillId="0" borderId="0" xfId="5" applyFont="1" applyBorder="1" applyAlignment="1">
      <alignment horizontal="left" vertical="top" wrapText="1"/>
    </xf>
    <xf numFmtId="0" fontId="5" fillId="0" borderId="0" xfId="2" applyFont="1" applyAlignment="1">
      <alignment horizontal="left" vertical="top" wrapText="1"/>
    </xf>
    <xf numFmtId="0" fontId="4" fillId="0" borderId="1" xfId="2" applyFont="1" applyFill="1" applyBorder="1" applyAlignment="1">
      <alignment horizontal="left"/>
    </xf>
    <xf numFmtId="0" fontId="4" fillId="4" borderId="2" xfId="2" applyFont="1" applyFill="1" applyBorder="1" applyAlignment="1">
      <alignment horizontal="left" vertical="top" wrapText="1"/>
    </xf>
    <xf numFmtId="0" fontId="4" fillId="4" borderId="5" xfId="2" applyFont="1" applyFill="1" applyBorder="1" applyAlignment="1">
      <alignment horizontal="left" vertical="top" wrapText="1"/>
    </xf>
    <xf numFmtId="0" fontId="5" fillId="0" borderId="2" xfId="2" applyFont="1" applyFill="1" applyBorder="1" applyAlignment="1">
      <alignment horizontal="left"/>
    </xf>
    <xf numFmtId="0" fontId="5" fillId="0" borderId="5" xfId="2" applyFont="1" applyFill="1" applyBorder="1" applyAlignment="1">
      <alignment horizontal="left"/>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wrapText="1"/>
    </xf>
  </cellXfs>
  <cellStyles count="9">
    <cellStyle name="Comma" xfId="1" builtinId="3"/>
    <cellStyle name="Comma 2" xfId="6"/>
    <cellStyle name="Comma 4" xfId="7"/>
    <cellStyle name="Normal" xfId="0" builtinId="0"/>
    <cellStyle name="Normal 2 2 2" xfId="2"/>
    <cellStyle name="Normal 2 3 2" xfId="4"/>
    <cellStyle name="Normal 4_AA" xfId="8"/>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166</xdr:row>
      <xdr:rowOff>19050</xdr:rowOff>
    </xdr:from>
    <xdr:to>
      <xdr:col>0</xdr:col>
      <xdr:colOff>2619375</xdr:colOff>
      <xdr:row>172</xdr:row>
      <xdr:rowOff>133350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 y="31280100"/>
          <a:ext cx="213360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166</xdr:row>
      <xdr:rowOff>57150</xdr:rowOff>
    </xdr:from>
    <xdr:to>
      <xdr:col>1</xdr:col>
      <xdr:colOff>2352675</xdr:colOff>
      <xdr:row>172</xdr:row>
      <xdr:rowOff>152400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76575" y="31318200"/>
          <a:ext cx="208597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73"/>
  <sheetViews>
    <sheetView tabSelected="1" zoomScaleNormal="100" workbookViewId="0">
      <selection sqref="A1:H1"/>
    </sheetView>
  </sheetViews>
  <sheetFormatPr defaultRowHeight="12.75" x14ac:dyDescent="0.2"/>
  <cols>
    <col min="1" max="1" width="42.140625" style="77" customWidth="1"/>
    <col min="2" max="2" width="38.85546875" style="78" customWidth="1"/>
    <col min="3" max="3" width="13.42578125" style="79" customWidth="1"/>
    <col min="4" max="4" width="13.28515625" style="1" customWidth="1"/>
    <col min="5" max="5" width="9.85546875" style="1" customWidth="1"/>
    <col min="6" max="6" width="15.5703125" style="1" bestFit="1" customWidth="1"/>
    <col min="7" max="7" width="9.5703125" style="1" bestFit="1" customWidth="1"/>
    <col min="8" max="8" width="12.28515625" style="1" customWidth="1"/>
    <col min="9" max="16384" width="9.140625" style="1"/>
  </cols>
  <sheetData>
    <row r="1" spans="1:8" x14ac:dyDescent="0.2">
      <c r="A1" s="92" t="s">
        <v>0</v>
      </c>
      <c r="B1" s="92"/>
      <c r="C1" s="92"/>
      <c r="D1" s="92"/>
      <c r="E1" s="92"/>
      <c r="F1" s="92"/>
      <c r="G1" s="92"/>
      <c r="H1" s="92"/>
    </row>
    <row r="2" spans="1:8" x14ac:dyDescent="0.2">
      <c r="A2" s="92" t="s">
        <v>1</v>
      </c>
      <c r="B2" s="92"/>
      <c r="C2" s="92"/>
      <c r="D2" s="92"/>
      <c r="E2" s="92"/>
      <c r="F2" s="92"/>
      <c r="G2" s="92"/>
      <c r="H2" s="92"/>
    </row>
    <row r="3" spans="1:8" x14ac:dyDescent="0.2">
      <c r="A3" s="93" t="s">
        <v>2</v>
      </c>
      <c r="B3" s="93"/>
      <c r="C3" s="93"/>
      <c r="D3" s="93"/>
      <c r="E3" s="93"/>
      <c r="F3" s="93"/>
      <c r="G3" s="93"/>
      <c r="H3" s="93"/>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7280000</v>
      </c>
      <c r="D7" s="16">
        <v>1164.8</v>
      </c>
      <c r="E7" s="16">
        <f t="shared" ref="E7:E47" si="0">(+D7/$D$88*100)</f>
        <v>12.103169728886613</v>
      </c>
      <c r="F7" s="16" t="s">
        <v>15</v>
      </c>
      <c r="G7" s="11"/>
      <c r="H7" s="11"/>
    </row>
    <row r="8" spans="1:8" s="17" customFormat="1" ht="14.25" x14ac:dyDescent="0.3">
      <c r="A8" s="13" t="s">
        <v>16</v>
      </c>
      <c r="B8" s="14" t="s">
        <v>17</v>
      </c>
      <c r="C8" s="15">
        <v>65800</v>
      </c>
      <c r="D8" s="16">
        <v>655.76279999999997</v>
      </c>
      <c r="E8" s="16">
        <f t="shared" si="0"/>
        <v>6.8138808982571479</v>
      </c>
      <c r="F8" s="16" t="s">
        <v>18</v>
      </c>
      <c r="G8" s="11"/>
      <c r="H8" s="11"/>
    </row>
    <row r="9" spans="1:8" s="17" customFormat="1" ht="14.25" x14ac:dyDescent="0.3">
      <c r="A9" s="13" t="s">
        <v>19</v>
      </c>
      <c r="B9" s="14" t="s">
        <v>20</v>
      </c>
      <c r="C9" s="15">
        <v>17100</v>
      </c>
      <c r="D9" s="16">
        <v>602.94600000000003</v>
      </c>
      <c r="E9" s="16">
        <f t="shared" si="0"/>
        <v>6.2650736395546591</v>
      </c>
      <c r="F9" s="16" t="s">
        <v>21</v>
      </c>
      <c r="G9" s="11"/>
      <c r="H9" s="18"/>
    </row>
    <row r="10" spans="1:8" s="17" customFormat="1" ht="14.25" x14ac:dyDescent="0.3">
      <c r="A10" s="13" t="s">
        <v>22</v>
      </c>
      <c r="B10" s="14" t="s">
        <v>17</v>
      </c>
      <c r="C10" s="15">
        <v>227500</v>
      </c>
      <c r="D10" s="16">
        <v>549.18499999999995</v>
      </c>
      <c r="E10" s="16">
        <f t="shared" si="0"/>
        <v>5.7064554151430231</v>
      </c>
      <c r="F10" s="16" t="s">
        <v>23</v>
      </c>
      <c r="G10" s="11"/>
      <c r="H10" s="11"/>
    </row>
    <row r="11" spans="1:8" s="17" customFormat="1" ht="14.25" x14ac:dyDescent="0.3">
      <c r="A11" s="13" t="s">
        <v>24</v>
      </c>
      <c r="B11" s="14" t="s">
        <v>25</v>
      </c>
      <c r="C11" s="15">
        <v>76000</v>
      </c>
      <c r="D11" s="16">
        <v>333.14600000000002</v>
      </c>
      <c r="E11" s="16">
        <f t="shared" si="0"/>
        <v>3.4616437006350096</v>
      </c>
      <c r="F11" s="16" t="s">
        <v>26</v>
      </c>
      <c r="G11" s="11"/>
      <c r="H11" s="11"/>
    </row>
    <row r="12" spans="1:8" s="17" customFormat="1" ht="14.25" x14ac:dyDescent="0.3">
      <c r="A12" s="13" t="s">
        <v>27</v>
      </c>
      <c r="B12" s="14" t="s">
        <v>28</v>
      </c>
      <c r="C12" s="15">
        <v>62000</v>
      </c>
      <c r="D12" s="16">
        <v>332.38200000000001</v>
      </c>
      <c r="E12" s="16">
        <f t="shared" si="0"/>
        <v>3.4537051518087134</v>
      </c>
      <c r="F12" s="16" t="s">
        <v>29</v>
      </c>
      <c r="G12" s="11"/>
      <c r="H12" s="11"/>
    </row>
    <row r="13" spans="1:8" s="17" customFormat="1" ht="14.25" x14ac:dyDescent="0.3">
      <c r="A13" s="13" t="s">
        <v>30</v>
      </c>
      <c r="B13" s="14" t="s">
        <v>31</v>
      </c>
      <c r="C13" s="15">
        <v>10750</v>
      </c>
      <c r="D13" s="16">
        <v>277.88212499999997</v>
      </c>
      <c r="E13" s="16">
        <f t="shared" si="0"/>
        <v>2.8874094466849973</v>
      </c>
      <c r="F13" s="16" t="s">
        <v>32</v>
      </c>
      <c r="G13" s="11"/>
      <c r="H13" s="10"/>
    </row>
    <row r="14" spans="1:8" s="17" customFormat="1" ht="14.25" x14ac:dyDescent="0.3">
      <c r="A14" s="13" t="s">
        <v>33</v>
      </c>
      <c r="B14" s="14" t="s">
        <v>34</v>
      </c>
      <c r="C14" s="15">
        <v>68000</v>
      </c>
      <c r="D14" s="16">
        <v>275.70600000000002</v>
      </c>
      <c r="E14" s="16">
        <f t="shared" si="0"/>
        <v>2.8647978307627167</v>
      </c>
      <c r="F14" s="16" t="s">
        <v>35</v>
      </c>
      <c r="G14" s="11"/>
      <c r="H14" s="11"/>
    </row>
    <row r="15" spans="1:8" s="17" customFormat="1" ht="14.25" x14ac:dyDescent="0.3">
      <c r="A15" s="13" t="s">
        <v>36</v>
      </c>
      <c r="B15" s="14" t="s">
        <v>17</v>
      </c>
      <c r="C15" s="15">
        <v>87750</v>
      </c>
      <c r="D15" s="16">
        <v>202.79024999999999</v>
      </c>
      <c r="E15" s="16">
        <f t="shared" si="0"/>
        <v>2.1071469909970366</v>
      </c>
      <c r="F15" s="16" t="s">
        <v>37</v>
      </c>
      <c r="G15" s="11"/>
      <c r="H15" s="11"/>
    </row>
    <row r="16" spans="1:8" s="17" customFormat="1" ht="14.25" x14ac:dyDescent="0.3">
      <c r="A16" s="13" t="s">
        <v>38</v>
      </c>
      <c r="B16" s="14" t="s">
        <v>39</v>
      </c>
      <c r="C16" s="15">
        <v>24225</v>
      </c>
      <c r="D16" s="16">
        <v>188.94288750000001</v>
      </c>
      <c r="E16" s="16">
        <f t="shared" si="0"/>
        <v>1.9632622222513982</v>
      </c>
      <c r="F16" s="16" t="s">
        <v>40</v>
      </c>
      <c r="G16" s="11"/>
      <c r="H16" s="10"/>
    </row>
    <row r="17" spans="1:8" s="17" customFormat="1" ht="14.25" x14ac:dyDescent="0.3">
      <c r="A17" s="13" t="s">
        <v>41</v>
      </c>
      <c r="B17" s="14" t="s">
        <v>14</v>
      </c>
      <c r="C17" s="15">
        <v>85000</v>
      </c>
      <c r="D17" s="16">
        <v>169.1925</v>
      </c>
      <c r="E17" s="16">
        <f t="shared" si="0"/>
        <v>1.75804047420557</v>
      </c>
      <c r="F17" s="16" t="s">
        <v>42</v>
      </c>
      <c r="G17" s="11"/>
      <c r="H17" s="11"/>
    </row>
    <row r="18" spans="1:8" s="17" customFormat="1" ht="14.25" x14ac:dyDescent="0.3">
      <c r="A18" s="13" t="s">
        <v>43</v>
      </c>
      <c r="B18" s="14" t="s">
        <v>17</v>
      </c>
      <c r="C18" s="15">
        <v>35100</v>
      </c>
      <c r="D18" s="16">
        <v>153.5625</v>
      </c>
      <c r="E18" s="16">
        <f t="shared" si="0"/>
        <v>1.5956327279293872</v>
      </c>
      <c r="F18" s="16" t="s">
        <v>44</v>
      </c>
      <c r="G18" s="11"/>
      <c r="H18" s="11"/>
    </row>
    <row r="19" spans="1:8" s="17" customFormat="1" ht="14.25" x14ac:dyDescent="0.3">
      <c r="A19" s="13" t="s">
        <v>45</v>
      </c>
      <c r="B19" s="14" t="s">
        <v>46</v>
      </c>
      <c r="C19" s="15">
        <v>10500</v>
      </c>
      <c r="D19" s="16">
        <v>117.36375</v>
      </c>
      <c r="E19" s="16">
        <f t="shared" si="0"/>
        <v>1.2194998165080839</v>
      </c>
      <c r="F19" s="16" t="s">
        <v>47</v>
      </c>
      <c r="G19" s="11"/>
      <c r="H19" s="18"/>
    </row>
    <row r="20" spans="1:8" s="17" customFormat="1" ht="14.25" x14ac:dyDescent="0.3">
      <c r="A20" s="13" t="s">
        <v>48</v>
      </c>
      <c r="B20" s="14" t="s">
        <v>49</v>
      </c>
      <c r="C20" s="15">
        <v>36000</v>
      </c>
      <c r="D20" s="16">
        <v>112.014</v>
      </c>
      <c r="E20" s="16">
        <f t="shared" si="0"/>
        <v>1.1639117908752616</v>
      </c>
      <c r="F20" s="16" t="s">
        <v>50</v>
      </c>
      <c r="G20" s="11"/>
      <c r="H20" s="10"/>
    </row>
    <row r="21" spans="1:8" s="17" customFormat="1" ht="14.25" x14ac:dyDescent="0.3">
      <c r="A21" s="13" t="s">
        <v>51</v>
      </c>
      <c r="B21" s="14" t="s">
        <v>52</v>
      </c>
      <c r="C21" s="15">
        <v>3200</v>
      </c>
      <c r="D21" s="16">
        <v>108.8768</v>
      </c>
      <c r="E21" s="16">
        <f t="shared" si="0"/>
        <v>1.1313138649880168</v>
      </c>
      <c r="F21" s="16" t="s">
        <v>53</v>
      </c>
      <c r="G21" s="11"/>
      <c r="H21" s="11"/>
    </row>
    <row r="22" spans="1:8" s="17" customFormat="1" ht="14.25" x14ac:dyDescent="0.3">
      <c r="A22" s="13" t="s">
        <v>54</v>
      </c>
      <c r="B22" s="14" t="s">
        <v>55</v>
      </c>
      <c r="C22" s="15">
        <v>48000</v>
      </c>
      <c r="D22" s="16">
        <v>106.872</v>
      </c>
      <c r="E22" s="16">
        <f t="shared" si="0"/>
        <v>1.1104824478584907</v>
      </c>
      <c r="F22" s="16" t="s">
        <v>56</v>
      </c>
      <c r="G22" s="11"/>
      <c r="H22" s="10"/>
    </row>
    <row r="23" spans="1:8" s="17" customFormat="1" ht="14.25" x14ac:dyDescent="0.3">
      <c r="A23" s="13" t="s">
        <v>57</v>
      </c>
      <c r="B23" s="14" t="s">
        <v>58</v>
      </c>
      <c r="C23" s="15">
        <v>49500</v>
      </c>
      <c r="D23" s="16">
        <v>103.77675000000001</v>
      </c>
      <c r="E23" s="16">
        <f t="shared" si="0"/>
        <v>1.0783204148027419</v>
      </c>
      <c r="F23" s="16" t="s">
        <v>59</v>
      </c>
      <c r="G23" s="11"/>
      <c r="H23" s="10"/>
    </row>
    <row r="24" spans="1:8" s="17" customFormat="1" ht="14.25" x14ac:dyDescent="0.3">
      <c r="A24" s="13" t="s">
        <v>60</v>
      </c>
      <c r="B24" s="14" t="s">
        <v>61</v>
      </c>
      <c r="C24" s="15">
        <v>37100</v>
      </c>
      <c r="D24" s="16">
        <v>101.52415000000001</v>
      </c>
      <c r="E24" s="16">
        <f t="shared" si="0"/>
        <v>1.0549141646900273</v>
      </c>
      <c r="F24" s="16" t="s">
        <v>62</v>
      </c>
      <c r="G24" s="11"/>
      <c r="H24" s="11"/>
    </row>
    <row r="25" spans="1:8" s="17" customFormat="1" ht="14.25" x14ac:dyDescent="0.3">
      <c r="A25" s="13" t="s">
        <v>63</v>
      </c>
      <c r="B25" s="14" t="s">
        <v>64</v>
      </c>
      <c r="C25" s="15">
        <v>71500</v>
      </c>
      <c r="D25" s="16">
        <v>99.813999999999993</v>
      </c>
      <c r="E25" s="16">
        <f t="shared" si="0"/>
        <v>1.0371443881516897</v>
      </c>
      <c r="F25" s="16" t="s">
        <v>65</v>
      </c>
      <c r="G25" s="11"/>
      <c r="H25" s="10"/>
    </row>
    <row r="26" spans="1:8" s="17" customFormat="1" ht="14.25" x14ac:dyDescent="0.3">
      <c r="A26" s="13" t="s">
        <v>66</v>
      </c>
      <c r="B26" s="14" t="s">
        <v>67</v>
      </c>
      <c r="C26" s="15">
        <v>4500</v>
      </c>
      <c r="D26" s="16">
        <v>99.506249999999994</v>
      </c>
      <c r="E26" s="16">
        <f t="shared" si="0"/>
        <v>1.0339466284641341</v>
      </c>
      <c r="F26" s="16" t="s">
        <v>68</v>
      </c>
      <c r="G26" s="11"/>
      <c r="H26" s="11"/>
    </row>
    <row r="27" spans="1:8" s="17" customFormat="1" ht="14.25" x14ac:dyDescent="0.3">
      <c r="A27" s="13" t="s">
        <v>69</v>
      </c>
      <c r="B27" s="14" t="s">
        <v>70</v>
      </c>
      <c r="C27" s="15">
        <v>56250</v>
      </c>
      <c r="D27" s="16">
        <v>94.5</v>
      </c>
      <c r="E27" s="16">
        <f t="shared" si="0"/>
        <v>0.98192783257193061</v>
      </c>
      <c r="F27" s="16" t="s">
        <v>71</v>
      </c>
      <c r="G27" s="11"/>
      <c r="H27" s="11"/>
    </row>
    <row r="28" spans="1:8" s="17" customFormat="1" ht="14.25" x14ac:dyDescent="0.3">
      <c r="A28" s="13" t="s">
        <v>72</v>
      </c>
      <c r="B28" s="14" t="s">
        <v>73</v>
      </c>
      <c r="C28" s="15">
        <v>3025</v>
      </c>
      <c r="D28" s="16">
        <v>90.238775000000004</v>
      </c>
      <c r="E28" s="16">
        <f t="shared" si="0"/>
        <v>0.9376504206317049</v>
      </c>
      <c r="F28" s="16" t="s">
        <v>74</v>
      </c>
      <c r="G28" s="11"/>
      <c r="H28" s="11"/>
    </row>
    <row r="29" spans="1:8" s="17" customFormat="1" ht="14.25" x14ac:dyDescent="0.3">
      <c r="A29" s="13" t="s">
        <v>75</v>
      </c>
      <c r="B29" s="14" t="s">
        <v>76</v>
      </c>
      <c r="C29" s="15">
        <v>17600</v>
      </c>
      <c r="D29" s="16">
        <v>81.329599999999999</v>
      </c>
      <c r="E29" s="16">
        <f t="shared" si="0"/>
        <v>0.84507722594647716</v>
      </c>
      <c r="F29" s="16" t="s">
        <v>77</v>
      </c>
      <c r="G29" s="11"/>
      <c r="H29" s="11"/>
    </row>
    <row r="30" spans="1:8" s="17" customFormat="1" ht="14.25" x14ac:dyDescent="0.3">
      <c r="A30" s="13" t="s">
        <v>78</v>
      </c>
      <c r="B30" s="14" t="s">
        <v>34</v>
      </c>
      <c r="C30" s="15">
        <v>5950</v>
      </c>
      <c r="D30" s="16">
        <v>78.715525</v>
      </c>
      <c r="E30" s="16">
        <f t="shared" si="0"/>
        <v>0.81791497198954088</v>
      </c>
      <c r="F30" s="16" t="s">
        <v>79</v>
      </c>
      <c r="G30" s="11"/>
      <c r="H30" s="18"/>
    </row>
    <row r="31" spans="1:8" s="17" customFormat="1" ht="14.25" x14ac:dyDescent="0.3">
      <c r="A31" s="13" t="s">
        <v>227</v>
      </c>
      <c r="B31" s="14" t="s">
        <v>80</v>
      </c>
      <c r="C31" s="15">
        <v>9100</v>
      </c>
      <c r="D31" s="16">
        <v>68.500249999999994</v>
      </c>
      <c r="E31" s="16">
        <f t="shared" si="0"/>
        <v>0.7117703916733904</v>
      </c>
      <c r="F31" s="16" t="s">
        <v>81</v>
      </c>
      <c r="G31" s="11"/>
      <c r="H31" s="11"/>
    </row>
    <row r="32" spans="1:8" s="17" customFormat="1" ht="14.25" x14ac:dyDescent="0.3">
      <c r="A32" s="13" t="s">
        <v>82</v>
      </c>
      <c r="B32" s="14" t="s">
        <v>83</v>
      </c>
      <c r="C32" s="15">
        <v>12000</v>
      </c>
      <c r="D32" s="16">
        <v>65.819999999999993</v>
      </c>
      <c r="E32" s="16">
        <f t="shared" si="0"/>
        <v>0.68392052846438589</v>
      </c>
      <c r="F32" s="16" t="s">
        <v>84</v>
      </c>
      <c r="G32" s="11"/>
      <c r="H32" s="18"/>
    </row>
    <row r="33" spans="1:8" s="17" customFormat="1" ht="14.25" x14ac:dyDescent="0.3">
      <c r="A33" s="13" t="s">
        <v>85</v>
      </c>
      <c r="B33" s="14" t="s">
        <v>28</v>
      </c>
      <c r="C33" s="15">
        <v>50000</v>
      </c>
      <c r="D33" s="16">
        <v>63.325000000000003</v>
      </c>
      <c r="E33" s="16">
        <f t="shared" si="0"/>
        <v>0.65799555553034406</v>
      </c>
      <c r="F33" s="16" t="s">
        <v>86</v>
      </c>
      <c r="G33" s="11"/>
      <c r="H33" s="11"/>
    </row>
    <row r="34" spans="1:8" s="17" customFormat="1" ht="14.25" x14ac:dyDescent="0.3">
      <c r="A34" s="13" t="s">
        <v>87</v>
      </c>
      <c r="B34" s="14" t="s">
        <v>17</v>
      </c>
      <c r="C34" s="15">
        <v>9000</v>
      </c>
      <c r="D34" s="16">
        <v>57.784500000000001</v>
      </c>
      <c r="E34" s="16">
        <f t="shared" si="0"/>
        <v>0.6004254903836268</v>
      </c>
      <c r="F34" s="16" t="s">
        <v>88</v>
      </c>
      <c r="G34" s="11"/>
      <c r="H34" s="10"/>
    </row>
    <row r="35" spans="1:8" s="17" customFormat="1" ht="14.25" x14ac:dyDescent="0.3">
      <c r="A35" s="13" t="s">
        <v>89</v>
      </c>
      <c r="B35" s="14" t="s">
        <v>76</v>
      </c>
      <c r="C35" s="15">
        <v>2100</v>
      </c>
      <c r="D35" s="16">
        <v>55.942950000000003</v>
      </c>
      <c r="E35" s="16">
        <f t="shared" si="0"/>
        <v>0.58129036657333222</v>
      </c>
      <c r="F35" s="16" t="s">
        <v>90</v>
      </c>
      <c r="G35" s="11"/>
      <c r="H35" s="11"/>
    </row>
    <row r="36" spans="1:8" s="17" customFormat="1" ht="14.25" x14ac:dyDescent="0.3">
      <c r="A36" s="13" t="s">
        <v>91</v>
      </c>
      <c r="B36" s="14" t="s">
        <v>17</v>
      </c>
      <c r="C36" s="15">
        <v>35000</v>
      </c>
      <c r="D36" s="16">
        <v>52.15</v>
      </c>
      <c r="E36" s="16">
        <f t="shared" si="0"/>
        <v>0.54187869278969503</v>
      </c>
      <c r="F36" s="16" t="s">
        <v>92</v>
      </c>
      <c r="G36" s="11"/>
      <c r="H36" s="11"/>
    </row>
    <row r="37" spans="1:8" s="17" customFormat="1" ht="14.25" x14ac:dyDescent="0.3">
      <c r="A37" s="13" t="s">
        <v>93</v>
      </c>
      <c r="B37" s="14" t="s">
        <v>55</v>
      </c>
      <c r="C37" s="15">
        <v>22875</v>
      </c>
      <c r="D37" s="16">
        <v>37.080374999999997</v>
      </c>
      <c r="E37" s="16">
        <f t="shared" si="0"/>
        <v>0.38529367465295661</v>
      </c>
      <c r="F37" s="16" t="s">
        <v>94</v>
      </c>
      <c r="G37" s="11"/>
      <c r="H37" s="11"/>
    </row>
    <row r="38" spans="1:8" s="17" customFormat="1" ht="14.25" x14ac:dyDescent="0.3">
      <c r="A38" s="13" t="s">
        <v>95</v>
      </c>
      <c r="B38" s="14" t="s">
        <v>34</v>
      </c>
      <c r="C38" s="15">
        <v>3300</v>
      </c>
      <c r="D38" s="16">
        <v>35.771999999999998</v>
      </c>
      <c r="E38" s="16">
        <f t="shared" si="0"/>
        <v>0.37169865001865715</v>
      </c>
      <c r="F38" s="16" t="s">
        <v>96</v>
      </c>
      <c r="G38" s="11"/>
      <c r="H38" s="11"/>
    </row>
    <row r="39" spans="1:8" s="17" customFormat="1" ht="14.25" x14ac:dyDescent="0.3">
      <c r="A39" s="13" t="s">
        <v>97</v>
      </c>
      <c r="B39" s="14" t="s">
        <v>17</v>
      </c>
      <c r="C39" s="15">
        <v>32000</v>
      </c>
      <c r="D39" s="16">
        <v>30.64</v>
      </c>
      <c r="E39" s="16">
        <f t="shared" si="0"/>
        <v>0.31837321470903657</v>
      </c>
      <c r="F39" s="16" t="s">
        <v>98</v>
      </c>
      <c r="G39" s="11"/>
      <c r="H39" s="10"/>
    </row>
    <row r="40" spans="1:8" s="17" customFormat="1" ht="14.25" x14ac:dyDescent="0.3">
      <c r="A40" s="13" t="s">
        <v>99</v>
      </c>
      <c r="B40" s="14" t="s">
        <v>100</v>
      </c>
      <c r="C40" s="15">
        <v>6300</v>
      </c>
      <c r="D40" s="16">
        <v>23.687999999999999</v>
      </c>
      <c r="E40" s="16">
        <f t="shared" si="0"/>
        <v>0.24613657669803063</v>
      </c>
      <c r="F40" s="16" t="s">
        <v>101</v>
      </c>
      <c r="G40" s="11"/>
      <c r="H40" s="11"/>
    </row>
    <row r="41" spans="1:8" s="17" customFormat="1" ht="14.25" x14ac:dyDescent="0.3">
      <c r="A41" s="13" t="s">
        <v>102</v>
      </c>
      <c r="B41" s="14" t="s">
        <v>103</v>
      </c>
      <c r="C41" s="15">
        <v>1800</v>
      </c>
      <c r="D41" s="16">
        <v>22.907699999999998</v>
      </c>
      <c r="E41" s="16">
        <f t="shared" si="0"/>
        <v>0.23802865830907949</v>
      </c>
      <c r="F41" s="16" t="s">
        <v>104</v>
      </c>
      <c r="G41" s="11"/>
      <c r="H41" s="10"/>
    </row>
    <row r="42" spans="1:8" s="17" customFormat="1" ht="14.25" x14ac:dyDescent="0.3">
      <c r="A42" s="13" t="s">
        <v>105</v>
      </c>
      <c r="B42" s="14" t="s">
        <v>106</v>
      </c>
      <c r="C42" s="15">
        <v>7200</v>
      </c>
      <c r="D42" s="16">
        <v>22.885200000000001</v>
      </c>
      <c r="E42" s="16">
        <f t="shared" si="0"/>
        <v>0.23779486596799101</v>
      </c>
      <c r="F42" s="16" t="s">
        <v>107</v>
      </c>
      <c r="G42" s="11"/>
      <c r="H42" s="11"/>
    </row>
    <row r="43" spans="1:8" s="17" customFormat="1" ht="14.25" x14ac:dyDescent="0.3">
      <c r="A43" s="13" t="s">
        <v>108</v>
      </c>
      <c r="B43" s="14" t="s">
        <v>109</v>
      </c>
      <c r="C43" s="15">
        <v>500</v>
      </c>
      <c r="D43" s="16">
        <v>17.579499999999999</v>
      </c>
      <c r="E43" s="16">
        <f t="shared" si="0"/>
        <v>0.18266455378516672</v>
      </c>
      <c r="F43" s="16" t="s">
        <v>110</v>
      </c>
      <c r="G43" s="11"/>
      <c r="H43" s="10"/>
    </row>
    <row r="44" spans="1:8" s="17" customFormat="1" ht="14.25" x14ac:dyDescent="0.3">
      <c r="A44" s="13" t="s">
        <v>111</v>
      </c>
      <c r="B44" s="14" t="s">
        <v>112</v>
      </c>
      <c r="C44" s="15">
        <v>1650</v>
      </c>
      <c r="D44" s="16">
        <v>11.9856</v>
      </c>
      <c r="E44" s="16">
        <f t="shared" si="0"/>
        <v>0.12453962148226594</v>
      </c>
      <c r="F44" s="16" t="s">
        <v>113</v>
      </c>
      <c r="G44" s="11"/>
      <c r="H44" s="11"/>
    </row>
    <row r="45" spans="1:8" s="17" customFormat="1" ht="14.25" x14ac:dyDescent="0.3">
      <c r="A45" s="13" t="s">
        <v>114</v>
      </c>
      <c r="B45" s="14" t="s">
        <v>64</v>
      </c>
      <c r="C45" s="15">
        <v>1350</v>
      </c>
      <c r="D45" s="16">
        <v>11.883374999999999</v>
      </c>
      <c r="E45" s="16">
        <f t="shared" si="0"/>
        <v>0.12347742494592027</v>
      </c>
      <c r="F45" s="16" t="s">
        <v>115</v>
      </c>
      <c r="G45" s="11"/>
      <c r="H45" s="11"/>
    </row>
    <row r="46" spans="1:8" s="17" customFormat="1" ht="14.25" x14ac:dyDescent="0.3">
      <c r="A46" s="13" t="s">
        <v>116</v>
      </c>
      <c r="B46" s="14" t="s">
        <v>67</v>
      </c>
      <c r="C46" s="15">
        <v>2900</v>
      </c>
      <c r="D46" s="16">
        <v>7.5080999999999998</v>
      </c>
      <c r="E46" s="16">
        <f t="shared" si="0"/>
        <v>7.8014945605643524E-2</v>
      </c>
      <c r="F46" s="16" t="s">
        <v>117</v>
      </c>
      <c r="G46" s="11"/>
      <c r="H46" s="11"/>
    </row>
    <row r="47" spans="1:8" s="17" customFormat="1" ht="14.25" x14ac:dyDescent="0.3">
      <c r="A47" s="13" t="s">
        <v>118</v>
      </c>
      <c r="B47" s="14" t="s">
        <v>119</v>
      </c>
      <c r="C47" s="15">
        <v>367</v>
      </c>
      <c r="D47" s="16">
        <v>7.0007085</v>
      </c>
      <c r="E47" s="16">
        <f t="shared" si="0"/>
        <v>7.2742756866379807E-2</v>
      </c>
      <c r="F47" s="16" t="s">
        <v>120</v>
      </c>
      <c r="G47" s="11"/>
      <c r="H47" s="11"/>
    </row>
    <row r="48" spans="1:8" s="17" customFormat="1" ht="14.25" x14ac:dyDescent="0.3">
      <c r="A48" s="12" t="s">
        <v>121</v>
      </c>
      <c r="B48" s="14"/>
      <c r="C48" s="15"/>
      <c r="D48" s="19">
        <f>IF(ISERROR(SUM(D7:D47)),0,SUM(D7:D47))</f>
        <v>6693.282921</v>
      </c>
      <c r="E48" s="19">
        <f>IF(ISERROR(SUM(E7:E47)),0,SUM(E7:E47))</f>
        <v>69.54836816305027</v>
      </c>
      <c r="F48" s="19"/>
      <c r="G48" s="11"/>
      <c r="H48" s="10"/>
    </row>
    <row r="49" spans="1:8" s="17" customFormat="1" ht="14.25" x14ac:dyDescent="0.3">
      <c r="A49" s="12"/>
      <c r="B49" s="12"/>
      <c r="C49" s="20"/>
      <c r="D49" s="21"/>
      <c r="E49" s="21"/>
      <c r="F49" s="21"/>
      <c r="G49" s="11"/>
      <c r="H49" s="10"/>
    </row>
    <row r="50" spans="1:8" s="17" customFormat="1" ht="14.25" x14ac:dyDescent="0.3">
      <c r="A50" s="12" t="s">
        <v>122</v>
      </c>
      <c r="B50" s="12"/>
      <c r="C50" s="20"/>
      <c r="D50" s="22" t="s">
        <v>123</v>
      </c>
      <c r="E50" s="22" t="s">
        <v>123</v>
      </c>
      <c r="F50" s="22"/>
      <c r="G50" s="11"/>
      <c r="H50" s="10"/>
    </row>
    <row r="51" spans="1:8" s="17" customFormat="1" ht="14.25" x14ac:dyDescent="0.3">
      <c r="A51" s="12"/>
      <c r="B51" s="5"/>
      <c r="C51" s="20"/>
      <c r="D51" s="22"/>
      <c r="E51" s="22"/>
      <c r="F51" s="23"/>
      <c r="G51" s="11"/>
      <c r="H51" s="10"/>
    </row>
    <row r="52" spans="1:8" s="17" customFormat="1" ht="14.25" x14ac:dyDescent="0.3">
      <c r="A52" s="12" t="s">
        <v>124</v>
      </c>
      <c r="B52" s="12"/>
      <c r="C52" s="20"/>
      <c r="D52" s="19">
        <f>IF(ISERROR(+D48),0,D48)+IF(ISERROR(+#REF!),0,#REF!)</f>
        <v>6693.282921</v>
      </c>
      <c r="E52" s="19">
        <f>IF(ISERROR(+E48),0,E48)+IF(ISERROR(+#REF!),0,#REF!)</f>
        <v>69.54836816305027</v>
      </c>
      <c r="F52" s="24"/>
      <c r="G52" s="11"/>
      <c r="H52" s="10"/>
    </row>
    <row r="53" spans="1:8" s="17" customFormat="1" ht="14.25" x14ac:dyDescent="0.3">
      <c r="A53" s="12"/>
      <c r="B53" s="5"/>
      <c r="C53" s="20"/>
      <c r="D53" s="22"/>
      <c r="E53" s="22"/>
      <c r="F53" s="23"/>
      <c r="G53" s="11"/>
      <c r="H53" s="10"/>
    </row>
    <row r="54" spans="1:8" s="17" customFormat="1" ht="14.25" x14ac:dyDescent="0.3">
      <c r="A54" s="12" t="s">
        <v>125</v>
      </c>
      <c r="B54" s="5"/>
      <c r="C54" s="20"/>
      <c r="D54" s="22"/>
      <c r="E54" s="22"/>
      <c r="F54" s="23"/>
      <c r="G54" s="11"/>
      <c r="H54" s="10"/>
    </row>
    <row r="55" spans="1:8" s="17" customFormat="1" ht="14.25" x14ac:dyDescent="0.3">
      <c r="A55" s="12" t="s">
        <v>12</v>
      </c>
      <c r="B55" s="5"/>
      <c r="C55" s="20"/>
      <c r="D55" s="25"/>
      <c r="E55" s="25"/>
      <c r="F55" s="25"/>
      <c r="G55" s="11"/>
      <c r="H55" s="10"/>
    </row>
    <row r="56" spans="1:8" s="17" customFormat="1" ht="14.25" x14ac:dyDescent="0.3">
      <c r="A56" s="13" t="s">
        <v>126</v>
      </c>
      <c r="B56" s="14" t="s">
        <v>127</v>
      </c>
      <c r="C56" s="15">
        <v>50000</v>
      </c>
      <c r="D56" s="16">
        <v>499.96499999999997</v>
      </c>
      <c r="E56" s="16">
        <f>(+D56/$D$88*100)</f>
        <v>5.1950216805484155</v>
      </c>
      <c r="F56" s="16" t="s">
        <v>128</v>
      </c>
      <c r="G56" s="11">
        <v>7.9474999999999998</v>
      </c>
      <c r="H56" s="10"/>
    </row>
    <row r="57" spans="1:8" s="17" customFormat="1" ht="14.25" x14ac:dyDescent="0.3">
      <c r="A57" s="12" t="s">
        <v>121</v>
      </c>
      <c r="B57" s="5"/>
      <c r="C57" s="26"/>
      <c r="D57" s="22">
        <f>IF(ISERROR(SUM(D56:D56)),0,SUM(D56:D56))</f>
        <v>499.96499999999997</v>
      </c>
      <c r="E57" s="22">
        <f>IF(ISERROR(SUM(E56:E56)),0,SUM(E56:E56))</f>
        <v>5.1950216805484155</v>
      </c>
      <c r="F57" s="22"/>
      <c r="G57" s="11"/>
      <c r="H57" s="10"/>
    </row>
    <row r="58" spans="1:8" s="17" customFormat="1" ht="14.25" x14ac:dyDescent="0.3">
      <c r="A58" s="12"/>
      <c r="B58" s="5"/>
      <c r="C58" s="26"/>
      <c r="D58" s="25"/>
      <c r="E58" s="25"/>
      <c r="F58" s="25"/>
      <c r="G58" s="11"/>
      <c r="H58" s="10"/>
    </row>
    <row r="59" spans="1:8" s="17" customFormat="1" ht="14.25" x14ac:dyDescent="0.3">
      <c r="A59" s="12" t="s">
        <v>129</v>
      </c>
      <c r="B59" s="5"/>
      <c r="C59" s="26"/>
      <c r="D59" s="22" t="s">
        <v>123</v>
      </c>
      <c r="E59" s="22" t="s">
        <v>123</v>
      </c>
      <c r="F59" s="23"/>
      <c r="G59" s="11"/>
      <c r="H59" s="10"/>
    </row>
    <row r="60" spans="1:8" s="17" customFormat="1" ht="14.25" x14ac:dyDescent="0.3">
      <c r="A60" s="12"/>
      <c r="B60" s="5"/>
      <c r="C60" s="26"/>
      <c r="D60" s="25"/>
      <c r="E60" s="25"/>
      <c r="F60" s="25"/>
      <c r="G60" s="11"/>
      <c r="H60" s="10"/>
    </row>
    <row r="61" spans="1:8" s="17" customFormat="1" ht="14.25" x14ac:dyDescent="0.3">
      <c r="A61" s="12" t="s">
        <v>124</v>
      </c>
      <c r="B61" s="5"/>
      <c r="C61" s="26"/>
      <c r="D61" s="22">
        <f>IF(ISERROR(+D57),0,D57)+IF(ISERROR(+#REF!),0,#REF!)+IF(ISERROR(+#REF!),0,#REF!)</f>
        <v>499.96499999999997</v>
      </c>
      <c r="E61" s="22">
        <f>IF(ISERROR(+E57),0,E57)+IF(ISERROR(+#REF!),0,#REF!)+IF(ISERROR(+#REF!),0,#REF!)</f>
        <v>5.1950216805484155</v>
      </c>
      <c r="F61" s="22">
        <f>IF(ISERROR(+F57),0,F57)+IF(ISERROR(+#REF!),0,#REF!)+IF(ISERROR(+#REF!),0,#REF!)</f>
        <v>0</v>
      </c>
      <c r="G61" s="11"/>
      <c r="H61" s="10"/>
    </row>
    <row r="62" spans="1:8" s="17" customFormat="1" ht="14.25" x14ac:dyDescent="0.3">
      <c r="A62" s="12"/>
      <c r="B62" s="5"/>
      <c r="C62" s="26"/>
      <c r="D62" s="22"/>
      <c r="E62" s="22"/>
      <c r="F62" s="22"/>
      <c r="G62" s="11"/>
      <c r="H62" s="10"/>
    </row>
    <row r="63" spans="1:8" s="17" customFormat="1" ht="14.25" x14ac:dyDescent="0.3">
      <c r="A63" s="12" t="s">
        <v>130</v>
      </c>
      <c r="B63" s="5"/>
      <c r="C63" s="26"/>
      <c r="D63" s="22"/>
      <c r="E63" s="22"/>
      <c r="F63" s="22"/>
      <c r="G63" s="11"/>
      <c r="H63" s="10"/>
    </row>
    <row r="64" spans="1:8" s="17" customFormat="1" ht="14.25" x14ac:dyDescent="0.3">
      <c r="A64" s="12"/>
      <c r="B64" s="5"/>
      <c r="C64" s="26"/>
      <c r="D64" s="16"/>
      <c r="E64" s="16"/>
      <c r="F64" s="27"/>
      <c r="G64" s="11"/>
      <c r="H64" s="10"/>
    </row>
    <row r="65" spans="1:8" s="17" customFormat="1" ht="14.25" x14ac:dyDescent="0.3">
      <c r="A65" s="12" t="s">
        <v>131</v>
      </c>
      <c r="B65" s="5"/>
      <c r="C65" s="26"/>
      <c r="D65" s="22" t="s">
        <v>123</v>
      </c>
      <c r="E65" s="22" t="s">
        <v>123</v>
      </c>
      <c r="F65" s="22"/>
      <c r="G65" s="11"/>
      <c r="H65" s="10"/>
    </row>
    <row r="66" spans="1:8" s="17" customFormat="1" ht="14.25" x14ac:dyDescent="0.3">
      <c r="A66" s="12"/>
      <c r="B66" s="5"/>
      <c r="C66" s="26"/>
      <c r="D66" s="22"/>
      <c r="E66" s="22"/>
      <c r="F66" s="22"/>
      <c r="G66" s="11"/>
      <c r="H66" s="10"/>
    </row>
    <row r="67" spans="1:8" s="17" customFormat="1" ht="14.25" x14ac:dyDescent="0.3">
      <c r="A67" s="12" t="s">
        <v>132</v>
      </c>
      <c r="B67" s="5"/>
      <c r="C67" s="26"/>
      <c r="D67" s="22" t="s">
        <v>123</v>
      </c>
      <c r="E67" s="22" t="s">
        <v>123</v>
      </c>
      <c r="F67" s="22"/>
      <c r="G67" s="11"/>
      <c r="H67" s="10"/>
    </row>
    <row r="68" spans="1:8" s="17" customFormat="1" ht="14.25" x14ac:dyDescent="0.3">
      <c r="A68" s="12"/>
      <c r="B68" s="5"/>
      <c r="C68" s="26"/>
      <c r="D68" s="22"/>
      <c r="E68" s="22"/>
      <c r="F68" s="22"/>
      <c r="G68" s="11"/>
      <c r="H68" s="10"/>
    </row>
    <row r="69" spans="1:8" s="17" customFormat="1" ht="14.25" x14ac:dyDescent="0.3">
      <c r="A69" s="12" t="s">
        <v>133</v>
      </c>
      <c r="B69" s="5"/>
      <c r="C69" s="26"/>
      <c r="D69" s="22"/>
      <c r="E69" s="22"/>
      <c r="F69" s="23"/>
      <c r="G69" s="11"/>
      <c r="H69" s="10"/>
    </row>
    <row r="70" spans="1:8" s="17" customFormat="1" ht="14.25" x14ac:dyDescent="0.3">
      <c r="A70" s="12" t="s">
        <v>134</v>
      </c>
      <c r="B70" s="14"/>
      <c r="C70" s="15"/>
      <c r="D70" s="16"/>
      <c r="E70" s="25"/>
      <c r="F70" s="28"/>
      <c r="G70" s="11"/>
      <c r="H70" s="10"/>
    </row>
    <row r="71" spans="1:8" s="17" customFormat="1" ht="14.25" x14ac:dyDescent="0.3">
      <c r="A71" s="13" t="s">
        <v>135</v>
      </c>
      <c r="B71" s="14" t="s">
        <v>136</v>
      </c>
      <c r="C71" s="15">
        <v>200000</v>
      </c>
      <c r="D71" s="16">
        <v>199.62700000000001</v>
      </c>
      <c r="E71" s="16">
        <f t="shared" ref="E71:E76" si="1">(+D71/$D$88*100)</f>
        <v>2.0742783855326645</v>
      </c>
      <c r="F71" s="16" t="s">
        <v>137</v>
      </c>
      <c r="G71" s="11">
        <v>6.82</v>
      </c>
      <c r="H71" s="10"/>
    </row>
    <row r="72" spans="1:8" s="17" customFormat="1" ht="14.25" x14ac:dyDescent="0.3">
      <c r="A72" s="13" t="s">
        <v>138</v>
      </c>
      <c r="B72" s="14" t="s">
        <v>136</v>
      </c>
      <c r="C72" s="15">
        <v>200000</v>
      </c>
      <c r="D72" s="16">
        <v>198.58580000000001</v>
      </c>
      <c r="E72" s="16">
        <f t="shared" si="1"/>
        <v>2.0634595150641579</v>
      </c>
      <c r="F72" s="16" t="s">
        <v>139</v>
      </c>
      <c r="G72" s="11">
        <v>6.8402000000000003</v>
      </c>
      <c r="H72" s="10"/>
    </row>
    <row r="73" spans="1:8" s="17" customFormat="1" ht="14.25" x14ac:dyDescent="0.3">
      <c r="A73" s="13" t="s">
        <v>140</v>
      </c>
      <c r="B73" s="14" t="s">
        <v>136</v>
      </c>
      <c r="C73" s="15">
        <v>200000</v>
      </c>
      <c r="D73" s="16">
        <v>198.05860000000001</v>
      </c>
      <c r="E73" s="16">
        <f t="shared" si="1"/>
        <v>2.057981500743185</v>
      </c>
      <c r="F73" s="16" t="s">
        <v>141</v>
      </c>
      <c r="G73" s="11">
        <v>6.8803999999999998</v>
      </c>
      <c r="H73" s="10"/>
    </row>
    <row r="74" spans="1:8" s="17" customFormat="1" ht="14.25" x14ac:dyDescent="0.3">
      <c r="A74" s="13" t="s">
        <v>142</v>
      </c>
      <c r="B74" s="14" t="s">
        <v>136</v>
      </c>
      <c r="C74" s="15">
        <v>200000</v>
      </c>
      <c r="D74" s="16">
        <v>197.27359999999999</v>
      </c>
      <c r="E74" s="16">
        <f t="shared" si="1"/>
        <v>2.0498247457318732</v>
      </c>
      <c r="F74" s="16" t="s">
        <v>143</v>
      </c>
      <c r="G74" s="11">
        <v>6.9101999999999997</v>
      </c>
      <c r="H74" s="10"/>
    </row>
    <row r="75" spans="1:8" s="17" customFormat="1" ht="14.25" x14ac:dyDescent="0.3">
      <c r="A75" s="13" t="s">
        <v>144</v>
      </c>
      <c r="B75" s="14" t="s">
        <v>136</v>
      </c>
      <c r="C75" s="15">
        <v>100000</v>
      </c>
      <c r="D75" s="16">
        <v>99.535700000000006</v>
      </c>
      <c r="E75" s="16">
        <f t="shared" si="1"/>
        <v>1.0342526366616924</v>
      </c>
      <c r="F75" s="16" t="s">
        <v>145</v>
      </c>
      <c r="G75" s="11">
        <v>6.8103999999999996</v>
      </c>
      <c r="H75" s="10"/>
    </row>
    <row r="76" spans="1:8" s="17" customFormat="1" ht="14.25" x14ac:dyDescent="0.3">
      <c r="A76" s="13" t="s">
        <v>146</v>
      </c>
      <c r="B76" s="14" t="s">
        <v>136</v>
      </c>
      <c r="C76" s="15">
        <v>100000</v>
      </c>
      <c r="D76" s="16">
        <v>98.900099999999995</v>
      </c>
      <c r="E76" s="16">
        <f t="shared" si="1"/>
        <v>1.0276482627952084</v>
      </c>
      <c r="F76" s="16" t="s">
        <v>147</v>
      </c>
      <c r="G76" s="11">
        <v>6.8800999999999997</v>
      </c>
      <c r="H76" s="10"/>
    </row>
    <row r="77" spans="1:8" s="17" customFormat="1" ht="14.25" x14ac:dyDescent="0.3">
      <c r="A77" s="12" t="s">
        <v>121</v>
      </c>
      <c r="B77" s="29"/>
      <c r="C77" s="30"/>
      <c r="D77" s="22">
        <f>IF(ISERROR(SUM(D71:D76)),0,SUM(D71:D76))</f>
        <v>991.98080000000004</v>
      </c>
      <c r="E77" s="22">
        <f>IF(ISERROR(SUM(E71:E76)),0,SUM(E71:E76))</f>
        <v>10.307445046528782</v>
      </c>
      <c r="F77" s="31"/>
      <c r="G77" s="11"/>
      <c r="H77" s="10"/>
    </row>
    <row r="78" spans="1:8" s="17" customFormat="1" ht="14.25" x14ac:dyDescent="0.3">
      <c r="A78" s="13" t="s">
        <v>148</v>
      </c>
      <c r="B78" s="14"/>
      <c r="C78" s="15">
        <v>0</v>
      </c>
      <c r="D78" s="16">
        <v>139.3293232</v>
      </c>
      <c r="E78" s="16">
        <f>(+D78/$D$88*100)</f>
        <v>1.4477390512538626</v>
      </c>
      <c r="F78" s="16" t="s">
        <v>149</v>
      </c>
      <c r="G78" s="11">
        <v>6.7633999999999999</v>
      </c>
      <c r="H78" s="10"/>
    </row>
    <row r="79" spans="1:8" s="17" customFormat="1" ht="14.25" x14ac:dyDescent="0.3">
      <c r="A79" s="12" t="s">
        <v>121</v>
      </c>
      <c r="B79" s="5"/>
      <c r="C79" s="26"/>
      <c r="D79" s="22">
        <f>IF(ISERROR(SUM(D78:D78)),0,SUM(D78:D78))</f>
        <v>139.3293232</v>
      </c>
      <c r="E79" s="22">
        <f>IF(ISERROR(SUM(E78:E78)),0,SUM(E78:E78))</f>
        <v>1.4477390512538626</v>
      </c>
      <c r="F79" s="16"/>
      <c r="G79" s="11"/>
      <c r="H79" s="10"/>
    </row>
    <row r="80" spans="1:8" s="17" customFormat="1" ht="14.25" x14ac:dyDescent="0.3">
      <c r="A80" s="12" t="s">
        <v>150</v>
      </c>
      <c r="B80" s="5"/>
      <c r="C80" s="26"/>
      <c r="D80" s="22"/>
      <c r="E80" s="22"/>
      <c r="F80" s="22"/>
      <c r="G80" s="11"/>
      <c r="H80" s="10"/>
    </row>
    <row r="81" spans="1:8" s="17" customFormat="1" ht="14.25" x14ac:dyDescent="0.3">
      <c r="A81" s="13" t="s">
        <v>151</v>
      </c>
      <c r="B81" s="14" t="s">
        <v>220</v>
      </c>
      <c r="C81" s="15">
        <v>1782906.0689999999</v>
      </c>
      <c r="D81" s="16">
        <v>1155.640489992282</v>
      </c>
      <c r="E81" s="16">
        <f>(+D81/$D$88*100)</f>
        <v>12.007995360534236</v>
      </c>
      <c r="F81" s="16" t="s">
        <v>152</v>
      </c>
      <c r="G81" s="11"/>
      <c r="H81" s="10"/>
    </row>
    <row r="82" spans="1:8" s="17" customFormat="1" ht="14.25" x14ac:dyDescent="0.3">
      <c r="A82" s="12" t="s">
        <v>121</v>
      </c>
      <c r="B82" s="5"/>
      <c r="C82" s="26"/>
      <c r="D82" s="22">
        <f>IF(ISERROR(SUM(D81:D81)),0,SUM(D81:D81))</f>
        <v>1155.640489992282</v>
      </c>
      <c r="E82" s="22">
        <f>IF(ISERROR(SUM(E81:E81)),0,SUM(E81:E81))</f>
        <v>12.007995360534236</v>
      </c>
      <c r="F82" s="32"/>
      <c r="G82" s="11"/>
      <c r="H82" s="10"/>
    </row>
    <row r="83" spans="1:8" s="17" customFormat="1" ht="14.25" x14ac:dyDescent="0.3">
      <c r="A83" s="12"/>
      <c r="B83" s="5"/>
      <c r="C83" s="26"/>
      <c r="D83" s="22"/>
      <c r="E83" s="22"/>
      <c r="F83" s="23"/>
      <c r="G83" s="11"/>
      <c r="H83" s="10"/>
    </row>
    <row r="84" spans="1:8" s="17" customFormat="1" ht="14.25" x14ac:dyDescent="0.3">
      <c r="A84" s="12" t="s">
        <v>124</v>
      </c>
      <c r="B84" s="5"/>
      <c r="C84" s="26" t="s">
        <v>153</v>
      </c>
      <c r="D84" s="22">
        <f>+IF(ISERROR(D61),0,D61)+IF(ISERROR(D79),0,D79)+IF(ISERROR(D52),0,D52)+IF(ISERROR(#REF!),0,#REF!)+IF(ISERROR(#REF!),0,#REF!)+IF(ISERROR(D77),0,D77)+IF(ISERROR(D82),0,D82)+IF(ISERROR(#REF!),0,#REF!)+IF(ISERROR(#REF!),0,#REF!)+IF(ISERROR(#REF!),0,#REF!)+IF(ISERROR(#REF!),0,#REF!)</f>
        <v>9480.1985341922809</v>
      </c>
      <c r="E84" s="22">
        <f>+IF(ISERROR(E61),0,E61)+IF(ISERROR(E79),0,E79)+IF(ISERROR(E52),0,E52)+IF(ISERROR(#REF!),0,#REF!)+IF(ISERROR(#REF!),0,#REF!)+IF(ISERROR(E77),0,E77)+IF(ISERROR(E82),0,E82)+IF(ISERROR(#REF!),0,#REF!)+IF(ISERROR(#REF!),0,#REF!)+IF(ISERROR(#REF!),0,#REF!)+IF(ISERROR(#REF!),0,#REF!)</f>
        <v>98.506569301915576</v>
      </c>
      <c r="F84" s="22"/>
      <c r="G84" s="11"/>
      <c r="H84" s="10"/>
    </row>
    <row r="85" spans="1:8" s="17" customFormat="1" ht="14.25" x14ac:dyDescent="0.3">
      <c r="A85" s="12"/>
      <c r="B85" s="5"/>
      <c r="C85" s="26"/>
      <c r="D85" s="22"/>
      <c r="E85" s="22"/>
      <c r="F85" s="33"/>
      <c r="G85" s="34"/>
      <c r="H85" s="35"/>
    </row>
    <row r="86" spans="1:8" s="17" customFormat="1" ht="14.25" x14ac:dyDescent="0.3">
      <c r="A86" s="12" t="s">
        <v>154</v>
      </c>
      <c r="B86" s="5"/>
      <c r="C86" s="26"/>
      <c r="D86" s="22">
        <f>+D88-D84</f>
        <v>143.72665310782031</v>
      </c>
      <c r="E86" s="22">
        <f>D86/$D$88*100</f>
        <v>1.4934306980844418</v>
      </c>
      <c r="F86" s="33"/>
      <c r="G86" s="34"/>
      <c r="H86" s="35"/>
    </row>
    <row r="87" spans="1:8" s="17" customFormat="1" ht="14.25" x14ac:dyDescent="0.3">
      <c r="A87" s="12"/>
      <c r="B87" s="5"/>
      <c r="C87" s="26"/>
      <c r="D87" s="25"/>
      <c r="E87" s="25"/>
      <c r="F87" s="33"/>
      <c r="G87" s="34"/>
      <c r="H87" s="35"/>
    </row>
    <row r="88" spans="1:8" s="17" customFormat="1" ht="14.25" x14ac:dyDescent="0.3">
      <c r="A88" s="12" t="s">
        <v>155</v>
      </c>
      <c r="B88" s="5"/>
      <c r="C88" s="26"/>
      <c r="D88" s="22">
        <v>9623.9251873001012</v>
      </c>
      <c r="E88" s="22">
        <f>+E84+E86</f>
        <v>100.00000000000001</v>
      </c>
      <c r="F88" s="33"/>
      <c r="G88" s="34"/>
      <c r="H88" s="35"/>
    </row>
    <row r="89" spans="1:8" s="17" customFormat="1" ht="14.25" x14ac:dyDescent="0.3">
      <c r="A89" s="36"/>
      <c r="B89" s="37"/>
      <c r="C89" s="38"/>
      <c r="D89" s="39"/>
      <c r="E89" s="39"/>
      <c r="F89" s="33"/>
      <c r="G89" s="34"/>
      <c r="H89" s="40"/>
    </row>
    <row r="90" spans="1:8" s="17" customFormat="1" ht="14.25" x14ac:dyDescent="0.3">
      <c r="A90" s="41" t="s">
        <v>156</v>
      </c>
      <c r="B90" s="37"/>
      <c r="C90" s="38"/>
      <c r="D90" s="39"/>
      <c r="E90" s="39"/>
      <c r="F90" s="42"/>
      <c r="G90" s="34"/>
      <c r="H90" s="35"/>
    </row>
    <row r="91" spans="1:8" s="17" customFormat="1" ht="14.25" x14ac:dyDescent="0.3">
      <c r="A91" s="41"/>
      <c r="B91" s="37"/>
      <c r="C91" s="38"/>
      <c r="D91" s="39"/>
      <c r="E91" s="39"/>
      <c r="F91" s="42"/>
      <c r="G91" s="34"/>
      <c r="H91" s="35"/>
    </row>
    <row r="92" spans="1:8" s="17" customFormat="1" ht="14.25" x14ac:dyDescent="0.3">
      <c r="A92" s="43" t="s">
        <v>157</v>
      </c>
      <c r="B92" s="44"/>
      <c r="C92" s="45"/>
      <c r="D92" s="46"/>
      <c r="E92" s="46"/>
      <c r="F92" s="42"/>
      <c r="G92" s="34"/>
      <c r="H92" s="35"/>
    </row>
    <row r="93" spans="1:8" s="17" customFormat="1" ht="14.25" x14ac:dyDescent="0.3">
      <c r="A93" s="43"/>
      <c r="B93" s="44"/>
      <c r="C93" s="45"/>
      <c r="D93" s="46"/>
      <c r="E93" s="46"/>
      <c r="F93" s="42"/>
      <c r="G93" s="34"/>
      <c r="H93" s="35"/>
    </row>
    <row r="94" spans="1:8" ht="13.5" x14ac:dyDescent="0.2">
      <c r="A94" s="94" t="s">
        <v>158</v>
      </c>
      <c r="B94" s="94"/>
      <c r="C94" s="94"/>
      <c r="D94" s="94"/>
      <c r="E94" s="94"/>
      <c r="F94" s="94"/>
      <c r="G94" s="94"/>
      <c r="H94" s="94"/>
    </row>
    <row r="95" spans="1:8" ht="25.5" customHeight="1" x14ac:dyDescent="0.2">
      <c r="A95" s="94" t="s">
        <v>159</v>
      </c>
      <c r="B95" s="94"/>
      <c r="C95" s="94"/>
      <c r="D95" s="94"/>
      <c r="E95" s="94"/>
      <c r="F95" s="94"/>
      <c r="G95" s="94"/>
      <c r="H95" s="86"/>
    </row>
    <row r="96" spans="1:8" ht="13.5" x14ac:dyDescent="0.2">
      <c r="A96" s="95" t="s">
        <v>160</v>
      </c>
      <c r="B96" s="95"/>
      <c r="C96" s="95"/>
      <c r="D96" s="95"/>
      <c r="E96" s="95"/>
      <c r="F96" s="95"/>
      <c r="G96" s="95"/>
      <c r="H96" s="86"/>
    </row>
    <row r="97" spans="1:8" ht="57" customHeight="1" x14ac:dyDescent="0.2">
      <c r="A97" s="85" t="s">
        <v>161</v>
      </c>
      <c r="B97" s="85"/>
      <c r="C97" s="85"/>
      <c r="D97" s="85"/>
      <c r="E97" s="85"/>
      <c r="F97" s="85"/>
      <c r="G97" s="85"/>
      <c r="H97" s="86"/>
    </row>
    <row r="98" spans="1:8" ht="14.25" x14ac:dyDescent="0.3">
      <c r="A98" s="47"/>
      <c r="B98" s="48"/>
      <c r="C98" s="49"/>
      <c r="D98" s="35"/>
      <c r="E98" s="50"/>
      <c r="F98" s="35"/>
      <c r="G98" s="35"/>
      <c r="H98" s="35"/>
    </row>
    <row r="99" spans="1:8" ht="14.25" x14ac:dyDescent="0.3">
      <c r="A99" s="51" t="s">
        <v>162</v>
      </c>
      <c r="B99" s="44"/>
      <c r="C99" s="45"/>
      <c r="D99" s="46"/>
      <c r="E99" s="46"/>
      <c r="F99" s="42"/>
      <c r="G99" s="35"/>
      <c r="H99" s="35"/>
    </row>
    <row r="100" spans="1:8" ht="51" x14ac:dyDescent="0.3">
      <c r="A100" s="52" t="s">
        <v>163</v>
      </c>
      <c r="B100" s="53" t="s">
        <v>164</v>
      </c>
      <c r="C100" s="54" t="s">
        <v>5</v>
      </c>
      <c r="D100" s="52" t="s">
        <v>165</v>
      </c>
      <c r="E100" s="52" t="s">
        <v>166</v>
      </c>
      <c r="F100" s="52" t="s">
        <v>167</v>
      </c>
      <c r="G100" s="35"/>
      <c r="H100" s="35"/>
    </row>
    <row r="101" spans="1:8" ht="14.25" x14ac:dyDescent="0.3">
      <c r="A101" s="55" t="s">
        <v>168</v>
      </c>
      <c r="B101" s="56" t="s">
        <v>169</v>
      </c>
      <c r="C101" s="57">
        <v>4500</v>
      </c>
      <c r="D101" s="58">
        <v>2253.0320000000002</v>
      </c>
      <c r="E101" s="59">
        <v>2224.75</v>
      </c>
      <c r="F101" s="58">
        <v>19.375335</v>
      </c>
      <c r="G101" s="35"/>
      <c r="H101" s="35"/>
    </row>
    <row r="102" spans="1:8" ht="14.25" x14ac:dyDescent="0.3">
      <c r="A102" s="55" t="s">
        <v>170</v>
      </c>
      <c r="B102" s="56" t="s">
        <v>169</v>
      </c>
      <c r="C102" s="57">
        <v>3200</v>
      </c>
      <c r="D102" s="58">
        <v>3329.0624625</v>
      </c>
      <c r="E102" s="59">
        <v>3430.05</v>
      </c>
      <c r="F102" s="58">
        <v>19.334728000000002</v>
      </c>
      <c r="G102" s="35"/>
      <c r="H102" s="35"/>
    </row>
    <row r="103" spans="1:8" ht="14.25" x14ac:dyDescent="0.3">
      <c r="A103" s="55" t="s">
        <v>171</v>
      </c>
      <c r="B103" s="56" t="s">
        <v>169</v>
      </c>
      <c r="C103" s="57">
        <v>367</v>
      </c>
      <c r="D103" s="58">
        <v>1907.65</v>
      </c>
      <c r="E103" s="59">
        <v>1920.75</v>
      </c>
      <c r="F103" s="58">
        <v>1.3011618</v>
      </c>
      <c r="G103" s="35"/>
      <c r="H103" s="35"/>
    </row>
    <row r="104" spans="1:8" ht="14.25" x14ac:dyDescent="0.3">
      <c r="A104" s="55" t="s">
        <v>172</v>
      </c>
      <c r="B104" s="56" t="s">
        <v>169</v>
      </c>
      <c r="C104" s="57">
        <v>3300</v>
      </c>
      <c r="D104" s="58">
        <v>1047.5999999999999</v>
      </c>
      <c r="E104" s="59">
        <v>1091.95</v>
      </c>
      <c r="F104" s="58">
        <v>7.0287772999999998</v>
      </c>
      <c r="G104" s="35"/>
      <c r="H104" s="35"/>
    </row>
    <row r="105" spans="1:8" ht="14.25" x14ac:dyDescent="0.3">
      <c r="A105" s="55" t="s">
        <v>173</v>
      </c>
      <c r="B105" s="56" t="s">
        <v>169</v>
      </c>
      <c r="C105" s="57">
        <v>227500</v>
      </c>
      <c r="D105" s="58">
        <v>244.22194615000001</v>
      </c>
      <c r="E105" s="59">
        <v>243.7</v>
      </c>
      <c r="F105" s="58">
        <v>115.3885688</v>
      </c>
      <c r="G105" s="35"/>
      <c r="H105" s="35"/>
    </row>
    <row r="106" spans="1:8" ht="14.25" x14ac:dyDescent="0.3">
      <c r="A106" s="55" t="s">
        <v>174</v>
      </c>
      <c r="B106" s="56" t="s">
        <v>169</v>
      </c>
      <c r="C106" s="57">
        <v>87750</v>
      </c>
      <c r="D106" s="58">
        <v>223.85499999999999</v>
      </c>
      <c r="E106" s="59">
        <v>233.15</v>
      </c>
      <c r="F106" s="58">
        <v>42.603502499999998</v>
      </c>
      <c r="G106" s="35"/>
      <c r="H106" s="35"/>
    </row>
    <row r="107" spans="1:8" ht="14.25" x14ac:dyDescent="0.3">
      <c r="A107" s="55" t="s">
        <v>175</v>
      </c>
      <c r="B107" s="56" t="s">
        <v>169</v>
      </c>
      <c r="C107" s="57">
        <v>35100</v>
      </c>
      <c r="D107" s="58">
        <v>429.61919999999998</v>
      </c>
      <c r="E107" s="59">
        <v>441.35</v>
      </c>
      <c r="F107" s="58">
        <v>32.733908999999997</v>
      </c>
      <c r="G107" s="35"/>
      <c r="H107" s="35"/>
    </row>
    <row r="108" spans="1:8" ht="14.25" x14ac:dyDescent="0.3">
      <c r="A108" s="55" t="s">
        <v>176</v>
      </c>
      <c r="B108" s="56" t="s">
        <v>169</v>
      </c>
      <c r="C108" s="57">
        <v>6300</v>
      </c>
      <c r="D108" s="58">
        <v>353.9667</v>
      </c>
      <c r="E108" s="59">
        <v>379.25</v>
      </c>
      <c r="F108" s="58">
        <v>4.3469055000000001</v>
      </c>
      <c r="G108" s="35"/>
      <c r="H108" s="35"/>
    </row>
    <row r="109" spans="1:8" ht="14.25" x14ac:dyDescent="0.3">
      <c r="A109" s="55" t="s">
        <v>177</v>
      </c>
      <c r="B109" s="56" t="s">
        <v>169</v>
      </c>
      <c r="C109" s="57">
        <v>35000</v>
      </c>
      <c r="D109" s="58">
        <v>165.67142856999999</v>
      </c>
      <c r="E109" s="59">
        <v>150.44999999999999</v>
      </c>
      <c r="F109" s="58">
        <v>11.177512500000001</v>
      </c>
      <c r="G109" s="35"/>
      <c r="H109" s="35"/>
    </row>
    <row r="110" spans="1:8" ht="14.25" x14ac:dyDescent="0.3">
      <c r="A110" s="55" t="s">
        <v>178</v>
      </c>
      <c r="B110" s="56" t="s">
        <v>169</v>
      </c>
      <c r="C110" s="57">
        <v>1650</v>
      </c>
      <c r="D110" s="58">
        <v>704.05</v>
      </c>
      <c r="E110" s="59">
        <v>731.05</v>
      </c>
      <c r="F110" s="58">
        <v>2.3652460999999998</v>
      </c>
      <c r="G110" s="35"/>
      <c r="H110" s="35"/>
    </row>
    <row r="111" spans="1:8" ht="14.25" x14ac:dyDescent="0.3">
      <c r="A111" s="55" t="s">
        <v>179</v>
      </c>
      <c r="B111" s="56" t="s">
        <v>169</v>
      </c>
      <c r="C111" s="57">
        <v>3025</v>
      </c>
      <c r="D111" s="58">
        <v>3011.8136198299999</v>
      </c>
      <c r="E111" s="59">
        <v>3016.05</v>
      </c>
      <c r="F111" s="58">
        <v>17.169272299999999</v>
      </c>
      <c r="G111" s="35"/>
      <c r="H111" s="35"/>
    </row>
    <row r="112" spans="1:8" ht="14.25" x14ac:dyDescent="0.3">
      <c r="A112" s="55" t="s">
        <v>180</v>
      </c>
      <c r="B112" s="56" t="s">
        <v>169</v>
      </c>
      <c r="C112" s="57">
        <v>7200</v>
      </c>
      <c r="D112" s="58">
        <v>293.72500000000002</v>
      </c>
      <c r="E112" s="59">
        <v>320.14999999999998</v>
      </c>
      <c r="F112" s="58">
        <v>4.0611959999999998</v>
      </c>
      <c r="G112" s="35"/>
      <c r="H112" s="35"/>
    </row>
    <row r="113" spans="1:8" ht="14.25" x14ac:dyDescent="0.3">
      <c r="A113" s="55" t="s">
        <v>181</v>
      </c>
      <c r="B113" s="56" t="s">
        <v>169</v>
      </c>
      <c r="C113" s="57">
        <v>22875</v>
      </c>
      <c r="D113" s="58">
        <v>141.75</v>
      </c>
      <c r="E113" s="59">
        <v>163.1</v>
      </c>
      <c r="F113" s="58">
        <v>6.9684683999999999</v>
      </c>
      <c r="G113" s="35"/>
      <c r="H113" s="35"/>
    </row>
    <row r="114" spans="1:8" ht="27" x14ac:dyDescent="0.3">
      <c r="A114" s="55" t="s">
        <v>182</v>
      </c>
      <c r="B114" s="56" t="s">
        <v>169</v>
      </c>
      <c r="C114" s="57">
        <v>9100</v>
      </c>
      <c r="D114" s="58">
        <v>752.1</v>
      </c>
      <c r="E114" s="59">
        <v>758.4</v>
      </c>
      <c r="F114" s="58">
        <v>15.750371000000001</v>
      </c>
      <c r="G114" s="60"/>
      <c r="H114" s="35"/>
    </row>
    <row r="115" spans="1:8" ht="14.25" x14ac:dyDescent="0.3">
      <c r="A115" s="55" t="s">
        <v>183</v>
      </c>
      <c r="B115" s="56" t="s">
        <v>169</v>
      </c>
      <c r="C115" s="57">
        <v>68000</v>
      </c>
      <c r="D115" s="58">
        <v>397.61322940999997</v>
      </c>
      <c r="E115" s="59">
        <v>409.4</v>
      </c>
      <c r="F115" s="58">
        <v>56.48556</v>
      </c>
      <c r="G115" s="60"/>
      <c r="H115" s="35"/>
    </row>
    <row r="116" spans="1:8" ht="14.25" x14ac:dyDescent="0.3">
      <c r="A116" s="55" t="s">
        <v>184</v>
      </c>
      <c r="B116" s="56" t="s">
        <v>169</v>
      </c>
      <c r="C116" s="57">
        <v>37100</v>
      </c>
      <c r="D116" s="58">
        <v>201.7388</v>
      </c>
      <c r="E116" s="59">
        <v>276.25</v>
      </c>
      <c r="F116" s="58">
        <v>39.693289999999998</v>
      </c>
      <c r="G116" s="60"/>
      <c r="H116" s="35"/>
    </row>
    <row r="117" spans="1:8" ht="14.25" x14ac:dyDescent="0.3">
      <c r="A117" s="55" t="s">
        <v>185</v>
      </c>
      <c r="B117" s="56" t="s">
        <v>169</v>
      </c>
      <c r="C117" s="57">
        <v>2100</v>
      </c>
      <c r="D117" s="58">
        <v>2544.5714285700001</v>
      </c>
      <c r="E117" s="59">
        <v>2681.5</v>
      </c>
      <c r="F117" s="58">
        <v>9.9268943000000007</v>
      </c>
      <c r="G117" s="60"/>
      <c r="H117" s="35"/>
    </row>
    <row r="118" spans="1:8" ht="14.25" x14ac:dyDescent="0.3">
      <c r="A118" s="55" t="s">
        <v>186</v>
      </c>
      <c r="B118" s="56" t="s">
        <v>169</v>
      </c>
      <c r="C118" s="57">
        <v>65800</v>
      </c>
      <c r="D118" s="58">
        <v>938.44891701999995</v>
      </c>
      <c r="E118" s="59">
        <v>1005.3</v>
      </c>
      <c r="F118" s="58">
        <v>116.48425949999999</v>
      </c>
      <c r="G118" s="60"/>
      <c r="H118" s="35"/>
    </row>
    <row r="119" spans="1:8" ht="14.25" x14ac:dyDescent="0.3">
      <c r="A119" s="55" t="s">
        <v>187</v>
      </c>
      <c r="B119" s="56" t="s">
        <v>169</v>
      </c>
      <c r="C119" s="57">
        <v>7280000</v>
      </c>
      <c r="D119" s="58">
        <v>13.55</v>
      </c>
      <c r="E119" s="59">
        <v>16.2</v>
      </c>
      <c r="F119" s="58">
        <v>399.45359999999999</v>
      </c>
      <c r="G119" s="60"/>
      <c r="H119" s="35"/>
    </row>
    <row r="120" spans="1:8" ht="14.25" x14ac:dyDescent="0.3">
      <c r="A120" s="55" t="s">
        <v>188</v>
      </c>
      <c r="B120" s="56" t="s">
        <v>169</v>
      </c>
      <c r="C120" s="57">
        <v>50000</v>
      </c>
      <c r="D120" s="58">
        <v>125.15</v>
      </c>
      <c r="E120" s="59">
        <v>127.8</v>
      </c>
      <c r="F120" s="58">
        <v>13.013875000000001</v>
      </c>
      <c r="G120" s="35"/>
      <c r="H120" s="35"/>
    </row>
    <row r="121" spans="1:8" ht="14.25" x14ac:dyDescent="0.3">
      <c r="A121" s="55" t="s">
        <v>189</v>
      </c>
      <c r="B121" s="56" t="s">
        <v>169</v>
      </c>
      <c r="C121" s="57">
        <v>56250</v>
      </c>
      <c r="D121" s="58">
        <v>158.96998009000001</v>
      </c>
      <c r="E121" s="59">
        <v>169.55</v>
      </c>
      <c r="F121" s="58">
        <v>22.7009531</v>
      </c>
      <c r="G121" s="35"/>
      <c r="H121" s="35"/>
    </row>
    <row r="122" spans="1:8" ht="14.25" x14ac:dyDescent="0.3">
      <c r="A122" s="55" t="s">
        <v>190</v>
      </c>
      <c r="B122" s="56" t="s">
        <v>169</v>
      </c>
      <c r="C122" s="57">
        <v>76000</v>
      </c>
      <c r="D122" s="58">
        <v>442.33814210999998</v>
      </c>
      <c r="E122" s="59">
        <v>442</v>
      </c>
      <c r="F122" s="58">
        <v>62.045830000000002</v>
      </c>
      <c r="G122" s="35"/>
      <c r="H122" s="35"/>
    </row>
    <row r="123" spans="1:8" ht="14.25" x14ac:dyDescent="0.3">
      <c r="A123" s="55" t="s">
        <v>191</v>
      </c>
      <c r="B123" s="56" t="s">
        <v>169</v>
      </c>
      <c r="C123" s="57">
        <v>2900</v>
      </c>
      <c r="D123" s="58">
        <v>266.2</v>
      </c>
      <c r="E123" s="59">
        <v>261.39999999999998</v>
      </c>
      <c r="F123" s="58">
        <v>1.967128</v>
      </c>
      <c r="G123" s="35"/>
      <c r="H123" s="35"/>
    </row>
    <row r="124" spans="1:8" ht="14.25" x14ac:dyDescent="0.3">
      <c r="A124" s="55" t="s">
        <v>192</v>
      </c>
      <c r="B124" s="56" t="s">
        <v>169</v>
      </c>
      <c r="C124" s="57">
        <v>85000</v>
      </c>
      <c r="D124" s="58">
        <v>193.15602000000001</v>
      </c>
      <c r="E124" s="59">
        <v>200.7</v>
      </c>
      <c r="F124" s="58">
        <v>40.387537500000001</v>
      </c>
      <c r="G124" s="35"/>
      <c r="H124" s="35"/>
    </row>
    <row r="125" spans="1:8" ht="14.25" x14ac:dyDescent="0.3">
      <c r="A125" s="55" t="s">
        <v>193</v>
      </c>
      <c r="B125" s="56" t="s">
        <v>169</v>
      </c>
      <c r="C125" s="57">
        <v>17600</v>
      </c>
      <c r="D125" s="58">
        <v>460.58629999999999</v>
      </c>
      <c r="E125" s="59">
        <v>466.15</v>
      </c>
      <c r="F125" s="58">
        <v>14.44608</v>
      </c>
      <c r="G125" s="35"/>
      <c r="H125" s="35"/>
    </row>
    <row r="126" spans="1:8" ht="14.25" x14ac:dyDescent="0.3">
      <c r="A126" s="55" t="s">
        <v>194</v>
      </c>
      <c r="B126" s="56" t="s">
        <v>169</v>
      </c>
      <c r="C126" s="57">
        <v>1350</v>
      </c>
      <c r="D126" s="58">
        <v>861.35</v>
      </c>
      <c r="E126" s="59">
        <v>886.7</v>
      </c>
      <c r="F126" s="58">
        <v>2.1094020000000002</v>
      </c>
      <c r="G126" s="35"/>
      <c r="H126" s="35"/>
    </row>
    <row r="127" spans="1:8" ht="14.25" x14ac:dyDescent="0.3">
      <c r="A127" s="55" t="s">
        <v>195</v>
      </c>
      <c r="B127" s="56" t="s">
        <v>169</v>
      </c>
      <c r="C127" s="57">
        <v>62000</v>
      </c>
      <c r="D127" s="58">
        <v>531.76771613000005</v>
      </c>
      <c r="E127" s="59">
        <v>539.70000000000005</v>
      </c>
      <c r="F127" s="58">
        <v>64.915859999999995</v>
      </c>
      <c r="G127" s="35"/>
      <c r="H127" s="35"/>
    </row>
    <row r="128" spans="1:8" ht="14.25" x14ac:dyDescent="0.3">
      <c r="A128" s="55" t="s">
        <v>196</v>
      </c>
      <c r="B128" s="56" t="s">
        <v>169</v>
      </c>
      <c r="C128" s="57">
        <v>17100</v>
      </c>
      <c r="D128" s="58">
        <v>3477.0526298200002</v>
      </c>
      <c r="E128" s="59">
        <v>3552.6</v>
      </c>
      <c r="F128" s="58">
        <v>107.0548493</v>
      </c>
      <c r="G128" s="60"/>
      <c r="H128" s="35"/>
    </row>
    <row r="129" spans="1:8" ht="14.25" x14ac:dyDescent="0.3">
      <c r="A129" s="55" t="s">
        <v>197</v>
      </c>
      <c r="B129" s="56" t="s">
        <v>169</v>
      </c>
      <c r="C129" s="57">
        <v>5950</v>
      </c>
      <c r="D129" s="58">
        <v>1285.4286</v>
      </c>
      <c r="E129" s="59">
        <v>1335.4</v>
      </c>
      <c r="F129" s="58">
        <v>13.984285</v>
      </c>
      <c r="G129" s="35"/>
      <c r="H129" s="35"/>
    </row>
    <row r="130" spans="1:8" ht="14.25" x14ac:dyDescent="0.3">
      <c r="A130" s="55" t="s">
        <v>198</v>
      </c>
      <c r="B130" s="56" t="s">
        <v>169</v>
      </c>
      <c r="C130" s="57">
        <v>12000</v>
      </c>
      <c r="D130" s="58">
        <v>541.05499999999995</v>
      </c>
      <c r="E130" s="59">
        <v>553.75</v>
      </c>
      <c r="F130" s="58">
        <v>11.69232</v>
      </c>
      <c r="G130" s="35"/>
      <c r="H130" s="35"/>
    </row>
    <row r="131" spans="1:8" ht="14.25" x14ac:dyDescent="0.3">
      <c r="A131" s="55" t="s">
        <v>199</v>
      </c>
      <c r="B131" s="56" t="s">
        <v>169</v>
      </c>
      <c r="C131" s="57">
        <v>10500</v>
      </c>
      <c r="D131" s="58">
        <v>1103.10996</v>
      </c>
      <c r="E131" s="59">
        <v>1126.9000000000001</v>
      </c>
      <c r="F131" s="58">
        <v>20.83305</v>
      </c>
      <c r="G131" s="35"/>
      <c r="H131" s="35"/>
    </row>
    <row r="132" spans="1:8" ht="14.25" x14ac:dyDescent="0.3">
      <c r="A132" s="55" t="s">
        <v>200</v>
      </c>
      <c r="B132" s="56" t="s">
        <v>169</v>
      </c>
      <c r="C132" s="57">
        <v>49500</v>
      </c>
      <c r="D132" s="58">
        <v>192.73635454999999</v>
      </c>
      <c r="E132" s="59">
        <v>210.8</v>
      </c>
      <c r="F132" s="58">
        <v>22.462728799999997</v>
      </c>
      <c r="G132" s="35"/>
      <c r="H132" s="35"/>
    </row>
    <row r="133" spans="1:8" ht="14.25" x14ac:dyDescent="0.3">
      <c r="A133" s="55" t="s">
        <v>201</v>
      </c>
      <c r="B133" s="56" t="s">
        <v>169</v>
      </c>
      <c r="C133" s="57">
        <v>36000</v>
      </c>
      <c r="D133" s="58">
        <v>299.85829999999999</v>
      </c>
      <c r="E133" s="59">
        <v>313.14999999999998</v>
      </c>
      <c r="F133" s="58">
        <v>19.881450000000001</v>
      </c>
      <c r="G133" s="35"/>
      <c r="H133" s="35"/>
    </row>
    <row r="134" spans="1:8" ht="14.25" x14ac:dyDescent="0.3">
      <c r="A134" s="55" t="s">
        <v>202</v>
      </c>
      <c r="B134" s="56" t="s">
        <v>169</v>
      </c>
      <c r="C134" s="57">
        <v>48000</v>
      </c>
      <c r="D134" s="58">
        <v>201.26249999999999</v>
      </c>
      <c r="E134" s="59">
        <v>224.1</v>
      </c>
      <c r="F134" s="58">
        <v>18.97776</v>
      </c>
      <c r="G134" s="60"/>
      <c r="H134" s="35"/>
    </row>
    <row r="135" spans="1:8" ht="14.25" x14ac:dyDescent="0.3">
      <c r="A135" s="55" t="s">
        <v>203</v>
      </c>
      <c r="B135" s="56" t="s">
        <v>169</v>
      </c>
      <c r="C135" s="57">
        <v>500</v>
      </c>
      <c r="D135" s="58">
        <v>3519.8</v>
      </c>
      <c r="E135" s="59">
        <v>3546</v>
      </c>
      <c r="F135" s="58">
        <v>3.25745</v>
      </c>
      <c r="G135" s="35"/>
      <c r="H135" s="35"/>
    </row>
    <row r="136" spans="1:8" ht="14.25" x14ac:dyDescent="0.3">
      <c r="A136" s="55" t="s">
        <v>204</v>
      </c>
      <c r="B136" s="56" t="s">
        <v>169</v>
      </c>
      <c r="C136" s="57">
        <v>32000</v>
      </c>
      <c r="D136" s="58">
        <v>86.25</v>
      </c>
      <c r="E136" s="59">
        <v>96.4</v>
      </c>
      <c r="F136" s="58">
        <v>7.1446399999999999</v>
      </c>
      <c r="G136" s="35"/>
      <c r="H136" s="35"/>
    </row>
    <row r="137" spans="1:8" ht="14.25" x14ac:dyDescent="0.3">
      <c r="A137" s="55" t="s">
        <v>205</v>
      </c>
      <c r="B137" s="56" t="s">
        <v>169</v>
      </c>
      <c r="C137" s="57">
        <v>10750</v>
      </c>
      <c r="D137" s="58">
        <v>2500.5092930199999</v>
      </c>
      <c r="E137" s="59">
        <v>2603.5</v>
      </c>
      <c r="F137" s="58">
        <v>49.3330938</v>
      </c>
      <c r="G137" s="60"/>
      <c r="H137" s="35"/>
    </row>
    <row r="138" spans="1:8" ht="14.25" x14ac:dyDescent="0.3">
      <c r="A138" s="55" t="s">
        <v>206</v>
      </c>
      <c r="B138" s="56" t="s">
        <v>169</v>
      </c>
      <c r="C138" s="57">
        <v>9000</v>
      </c>
      <c r="D138" s="58">
        <v>650.75</v>
      </c>
      <c r="E138" s="59">
        <v>647.45000000000005</v>
      </c>
      <c r="F138" s="58">
        <v>10.26009</v>
      </c>
      <c r="G138" s="35"/>
      <c r="H138" s="35"/>
    </row>
    <row r="139" spans="1:8" ht="14.25" x14ac:dyDescent="0.3">
      <c r="A139" s="55" t="s">
        <v>207</v>
      </c>
      <c r="B139" s="56" t="s">
        <v>169</v>
      </c>
      <c r="C139" s="57">
        <v>24225</v>
      </c>
      <c r="D139" s="58">
        <v>727.5204999</v>
      </c>
      <c r="E139" s="59">
        <v>786.75</v>
      </c>
      <c r="F139" s="58">
        <v>36.2680954</v>
      </c>
      <c r="G139" s="35"/>
      <c r="H139" s="35"/>
    </row>
    <row r="140" spans="1:8" ht="14.25" x14ac:dyDescent="0.3">
      <c r="A140" s="55" t="s">
        <v>208</v>
      </c>
      <c r="B140" s="56" t="s">
        <v>169</v>
      </c>
      <c r="C140" s="57">
        <v>71500</v>
      </c>
      <c r="D140" s="58">
        <v>136.10381537999999</v>
      </c>
      <c r="E140" s="59">
        <v>140.65</v>
      </c>
      <c r="F140" s="58">
        <v>18.3510113</v>
      </c>
      <c r="G140" s="35"/>
      <c r="H140" s="35"/>
    </row>
    <row r="141" spans="1:8" ht="14.25" x14ac:dyDescent="0.3">
      <c r="A141" s="55" t="s">
        <v>209</v>
      </c>
      <c r="B141" s="56" t="s">
        <v>169</v>
      </c>
      <c r="C141" s="57">
        <v>1800</v>
      </c>
      <c r="D141" s="58">
        <v>1238.6500000000001</v>
      </c>
      <c r="E141" s="59">
        <v>1281.9000000000001</v>
      </c>
      <c r="F141" s="58">
        <v>4.0665374999999999</v>
      </c>
      <c r="G141" s="35"/>
      <c r="H141" s="35"/>
    </row>
    <row r="142" spans="1:8" ht="14.25" x14ac:dyDescent="0.3">
      <c r="A142" s="47"/>
      <c r="B142" s="48"/>
      <c r="C142" s="49"/>
      <c r="D142" s="35"/>
      <c r="E142" s="35"/>
      <c r="F142" s="35"/>
      <c r="G142" s="35"/>
      <c r="H142" s="40"/>
    </row>
    <row r="143" spans="1:8" ht="14.25" x14ac:dyDescent="0.3">
      <c r="A143" s="61" t="s">
        <v>210</v>
      </c>
      <c r="B143" s="48"/>
      <c r="C143" s="62"/>
      <c r="D143" s="35"/>
      <c r="G143" s="35"/>
      <c r="H143" s="35"/>
    </row>
    <row r="144" spans="1:8" ht="14.25" x14ac:dyDescent="0.3">
      <c r="A144" s="63"/>
      <c r="B144" s="44"/>
      <c r="C144" s="64"/>
      <c r="D144" s="35"/>
      <c r="G144" s="35"/>
      <c r="H144" s="35"/>
    </row>
    <row r="145" spans="1:8" ht="14.25" x14ac:dyDescent="0.3">
      <c r="A145" s="87" t="s">
        <v>211</v>
      </c>
      <c r="B145" s="87"/>
      <c r="C145" s="87"/>
      <c r="D145" s="65"/>
      <c r="G145" s="35"/>
      <c r="H145" s="40"/>
    </row>
    <row r="146" spans="1:8" ht="14.25" x14ac:dyDescent="0.3">
      <c r="A146" s="82" t="s">
        <v>212</v>
      </c>
      <c r="B146" s="88"/>
      <c r="C146" s="88"/>
      <c r="D146" s="89"/>
      <c r="G146" s="40"/>
      <c r="H146" s="40"/>
    </row>
    <row r="147" spans="1:8" ht="14.25" x14ac:dyDescent="0.3">
      <c r="A147" s="81" t="s">
        <v>213</v>
      </c>
      <c r="B147" s="90"/>
      <c r="C147" s="91"/>
      <c r="D147" s="66">
        <v>680</v>
      </c>
      <c r="G147" s="35"/>
      <c r="H147" s="35"/>
    </row>
    <row r="148" spans="1:8" ht="14.25" x14ac:dyDescent="0.3">
      <c r="A148" s="81" t="s">
        <v>214</v>
      </c>
      <c r="B148" s="90"/>
      <c r="C148" s="91"/>
      <c r="D148" s="66">
        <v>722</v>
      </c>
      <c r="G148" s="35"/>
      <c r="H148" s="35"/>
    </row>
    <row r="149" spans="1:8" ht="14.25" x14ac:dyDescent="0.3">
      <c r="A149" s="81" t="s">
        <v>215</v>
      </c>
      <c r="B149" s="90"/>
      <c r="C149" s="91"/>
      <c r="D149" s="67">
        <v>5707.84</v>
      </c>
      <c r="E149" s="68"/>
      <c r="G149" s="35"/>
      <c r="H149" s="35"/>
    </row>
    <row r="150" spans="1:8" ht="14.25" x14ac:dyDescent="0.3">
      <c r="A150" s="80" t="s">
        <v>216</v>
      </c>
      <c r="B150" s="80"/>
      <c r="C150" s="80"/>
      <c r="D150" s="67">
        <v>5988.85</v>
      </c>
      <c r="G150" s="35"/>
      <c r="H150" s="35"/>
    </row>
    <row r="151" spans="1:8" ht="14.25" x14ac:dyDescent="0.3">
      <c r="A151" s="80" t="s">
        <v>217</v>
      </c>
      <c r="B151" s="80"/>
      <c r="C151" s="80"/>
      <c r="D151" s="69">
        <v>-601.47</v>
      </c>
      <c r="G151" s="35"/>
      <c r="H151" s="35"/>
    </row>
    <row r="152" spans="1:8" ht="14.25" x14ac:dyDescent="0.3">
      <c r="A152" s="63"/>
      <c r="B152" s="44"/>
      <c r="C152" s="35"/>
      <c r="D152" s="35"/>
      <c r="G152" s="35"/>
      <c r="H152" s="35"/>
    </row>
    <row r="153" spans="1:8" ht="14.25" x14ac:dyDescent="0.3">
      <c r="A153" s="60" t="s">
        <v>218</v>
      </c>
      <c r="B153" s="60"/>
      <c r="C153" s="60"/>
      <c r="D153" s="35"/>
      <c r="G153" s="35"/>
      <c r="H153" s="35"/>
    </row>
    <row r="154" spans="1:8" ht="14.25" x14ac:dyDescent="0.3">
      <c r="A154" s="82" t="s">
        <v>219</v>
      </c>
      <c r="B154" s="83"/>
      <c r="C154" s="83"/>
      <c r="D154" s="84"/>
      <c r="G154" s="35"/>
      <c r="H154" s="35"/>
    </row>
    <row r="155" spans="1:8" ht="14.25" x14ac:dyDescent="0.3">
      <c r="A155" s="80" t="s">
        <v>213</v>
      </c>
      <c r="B155" s="80"/>
      <c r="C155" s="81"/>
      <c r="D155" s="70" t="s">
        <v>220</v>
      </c>
      <c r="G155" s="35"/>
      <c r="H155" s="35"/>
    </row>
    <row r="156" spans="1:8" ht="14.25" x14ac:dyDescent="0.3">
      <c r="A156" s="80" t="s">
        <v>214</v>
      </c>
      <c r="B156" s="80"/>
      <c r="C156" s="81"/>
      <c r="D156" s="70" t="s">
        <v>220</v>
      </c>
      <c r="G156" s="35"/>
      <c r="H156" s="35"/>
    </row>
    <row r="157" spans="1:8" ht="14.25" x14ac:dyDescent="0.3">
      <c r="A157" s="80" t="s">
        <v>215</v>
      </c>
      <c r="B157" s="80"/>
      <c r="C157" s="81"/>
      <c r="D157" s="71" t="s">
        <v>220</v>
      </c>
      <c r="G157" s="35"/>
      <c r="H157" s="35"/>
    </row>
    <row r="158" spans="1:8" ht="14.25" x14ac:dyDescent="0.3">
      <c r="A158" s="80" t="s">
        <v>216</v>
      </c>
      <c r="B158" s="80"/>
      <c r="C158" s="81"/>
      <c r="D158" s="71" t="s">
        <v>220</v>
      </c>
      <c r="G158" s="35"/>
      <c r="H158" s="35"/>
    </row>
    <row r="159" spans="1:8" ht="14.25" x14ac:dyDescent="0.3">
      <c r="A159" s="80" t="s">
        <v>217</v>
      </c>
      <c r="B159" s="80"/>
      <c r="C159" s="81"/>
      <c r="D159" s="71" t="s">
        <v>220</v>
      </c>
      <c r="G159" s="35"/>
      <c r="H159" s="35"/>
    </row>
    <row r="160" spans="1:8" ht="14.25" x14ac:dyDescent="0.3">
      <c r="A160" s="47"/>
      <c r="B160" s="48"/>
      <c r="C160" s="49"/>
      <c r="D160" s="35"/>
      <c r="G160" s="35"/>
      <c r="H160" s="35"/>
    </row>
    <row r="161" spans="1:8" ht="14.25" x14ac:dyDescent="0.3">
      <c r="A161" s="72" t="s">
        <v>221</v>
      </c>
      <c r="B161" s="73"/>
      <c r="C161" s="73"/>
      <c r="D161" s="35"/>
      <c r="G161" s="35"/>
      <c r="H161" s="35"/>
    </row>
    <row r="162" spans="1:8" ht="14.25" x14ac:dyDescent="0.3">
      <c r="A162" s="74" t="s">
        <v>222</v>
      </c>
      <c r="B162" s="73"/>
      <c r="C162" s="73"/>
      <c r="D162" s="35"/>
      <c r="G162" s="35"/>
      <c r="H162" s="35"/>
    </row>
    <row r="163" spans="1:8" ht="14.25" x14ac:dyDescent="0.3">
      <c r="A163" s="74" t="s">
        <v>223</v>
      </c>
      <c r="B163" s="74"/>
      <c r="C163" s="74"/>
      <c r="D163" s="35"/>
      <c r="G163" s="35"/>
      <c r="H163" s="35"/>
    </row>
    <row r="164" spans="1:8" ht="14.25" x14ac:dyDescent="0.3">
      <c r="A164" s="74" t="s">
        <v>224</v>
      </c>
      <c r="B164" s="74"/>
      <c r="C164" s="74"/>
      <c r="D164" s="35"/>
      <c r="G164" s="35"/>
      <c r="H164" s="35"/>
    </row>
    <row r="165" spans="1:8" ht="14.25" x14ac:dyDescent="0.3">
      <c r="A165" s="74"/>
      <c r="B165" s="73"/>
      <c r="C165" s="73"/>
      <c r="D165" s="35"/>
      <c r="G165" s="35"/>
      <c r="H165" s="35"/>
    </row>
    <row r="166" spans="1:8" ht="14.25" x14ac:dyDescent="0.3">
      <c r="A166" s="75" t="s">
        <v>225</v>
      </c>
      <c r="B166" s="76" t="s">
        <v>226</v>
      </c>
      <c r="C166" s="76"/>
      <c r="D166" s="35"/>
      <c r="G166" s="35"/>
      <c r="H166" s="35"/>
    </row>
    <row r="167" spans="1:8" ht="14.25" x14ac:dyDescent="0.3">
      <c r="A167" s="73"/>
      <c r="B167" s="73"/>
      <c r="C167" s="73"/>
      <c r="D167" s="35"/>
      <c r="G167" s="35"/>
      <c r="H167" s="35"/>
    </row>
    <row r="168" spans="1:8" ht="14.25" x14ac:dyDescent="0.3">
      <c r="A168" s="73"/>
      <c r="B168" s="73"/>
      <c r="C168" s="73"/>
      <c r="D168" s="35"/>
      <c r="G168" s="35"/>
      <c r="H168" s="35"/>
    </row>
    <row r="169" spans="1:8" ht="14.25" x14ac:dyDescent="0.3">
      <c r="A169" s="73"/>
      <c r="B169" s="73"/>
      <c r="C169" s="73"/>
      <c r="D169" s="35"/>
      <c r="G169" s="35"/>
      <c r="H169" s="35"/>
    </row>
    <row r="170" spans="1:8" ht="14.25" x14ac:dyDescent="0.3">
      <c r="A170" s="73"/>
      <c r="B170" s="73"/>
      <c r="C170" s="73"/>
      <c r="D170" s="35"/>
      <c r="G170" s="35"/>
      <c r="H170" s="35"/>
    </row>
    <row r="171" spans="1:8" ht="14.25" x14ac:dyDescent="0.3">
      <c r="A171" s="73"/>
      <c r="B171" s="73"/>
      <c r="C171" s="73"/>
      <c r="D171" s="35"/>
      <c r="G171" s="35"/>
      <c r="H171" s="35"/>
    </row>
    <row r="172" spans="1:8" ht="14.25" x14ac:dyDescent="0.3">
      <c r="A172" s="73"/>
      <c r="B172" s="73"/>
      <c r="C172" s="73"/>
      <c r="D172" s="35"/>
      <c r="G172" s="35"/>
      <c r="H172" s="35"/>
    </row>
    <row r="173" spans="1:8" ht="14.25" x14ac:dyDescent="0.3">
      <c r="A173" s="73"/>
      <c r="B173" s="73"/>
      <c r="C173" s="73"/>
      <c r="D173" s="35"/>
      <c r="G173" s="35"/>
      <c r="H173" s="35"/>
    </row>
  </sheetData>
  <mergeCells count="20">
    <mergeCell ref="A149:C149"/>
    <mergeCell ref="A1:H1"/>
    <mergeCell ref="A2:H2"/>
    <mergeCell ref="A3:H3"/>
    <mergeCell ref="A94:H94"/>
    <mergeCell ref="A95:H95"/>
    <mergeCell ref="A96:H96"/>
    <mergeCell ref="A97:H97"/>
    <mergeCell ref="A145:C145"/>
    <mergeCell ref="A146:D146"/>
    <mergeCell ref="A147:C147"/>
    <mergeCell ref="A148:C148"/>
    <mergeCell ref="A158:C158"/>
    <mergeCell ref="A159:C159"/>
    <mergeCell ref="A150:C150"/>
    <mergeCell ref="A151:C151"/>
    <mergeCell ref="A154:D154"/>
    <mergeCell ref="A155:C155"/>
    <mergeCell ref="A156:C156"/>
    <mergeCell ref="A157:C157"/>
  </mergeCells>
  <pageMargins left="0.75" right="0.25" top="1" bottom="1" header="0.5" footer="0.5"/>
  <pageSetup paperSize="9" scale="7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2024-01-02T10:49:02Z</dcterms:created>
  <dcterms:modified xsi:type="dcterms:W3CDTF">2024-01-04T08:01:59Z</dcterms:modified>
</cp:coreProperties>
</file>