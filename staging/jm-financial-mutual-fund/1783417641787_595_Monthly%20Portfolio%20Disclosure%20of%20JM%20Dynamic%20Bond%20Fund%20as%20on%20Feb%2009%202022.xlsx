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an 2023\Monthly\for compliance\"/>
    </mc:Choice>
  </mc:AlternateContent>
  <bookViews>
    <workbookView xWindow="0" yWindow="0" windowWidth="20490" windowHeight="7800"/>
  </bookViews>
  <sheets>
    <sheet name="FF" sheetId="1" r:id="rId1"/>
  </sheets>
  <definedNames>
    <definedName name="_xlnm._FilterDatabase" localSheetId="0" hidden="1">FF!$A$1:$H$38</definedName>
    <definedName name="Afs">#REF!</definedName>
    <definedName name="_xlnm.Database">#REF!</definedName>
    <definedName name="EBLDB">#REF!</definedName>
    <definedName name="fl">#REF!</definedName>
    <definedName name="_xlnm.Print_Area" localSheetId="0">FF!$A$1:$E$25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2" i="1" l="1"/>
  <c r="D30" i="1"/>
  <c r="E29" i="1"/>
  <c r="E30" i="1" s="1"/>
  <c r="D27" i="1"/>
  <c r="E25" i="1"/>
  <c r="E27" i="1" s="1"/>
  <c r="E24" i="1"/>
  <c r="D20" i="1"/>
  <c r="E19" i="1"/>
  <c r="E18" i="1"/>
  <c r="E17" i="1"/>
  <c r="E16" i="1"/>
  <c r="E20" i="1" l="1"/>
  <c r="D32" i="1"/>
  <c r="D34" i="1" s="1"/>
  <c r="E34" i="1" s="1"/>
  <c r="E32" i="1"/>
  <c r="E36" i="1" l="1"/>
</calcChain>
</file>

<file path=xl/sharedStrings.xml><?xml version="1.0" encoding="utf-8"?>
<sst xmlns="http://schemas.openxmlformats.org/spreadsheetml/2006/main" count="91" uniqueCount="74">
  <si>
    <t xml:space="preserve">JM Dynamic Bond Fund (An open ended dynamic debt scheme investing across duration) A relatively high interest rate risk and moderate credit risk. </t>
  </si>
  <si>
    <t>Portfolio as on 31.01.2023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</si>
  <si>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</si>
  <si>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</si>
  <si>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</si>
  <si>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</si>
  <si>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</si>
  <si>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</si>
  <si>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</si>
  <si>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</si>
  <si>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</si>
  <si>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</si>
  <si>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</si>
  <si>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</si>
  <si>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</si>
  <si>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</si>
  <si>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</si>
  <si>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</si>
  <si>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7.26% Government of India Securities 2032 22/08/2032</t>
  </si>
  <si>
    <t>Sovereign</t>
  </si>
  <si>
    <t>IN0020220060</t>
  </si>
  <si>
    <t>7.38% Government of India Securities 2027 20/06/2027</t>
  </si>
  <si>
    <t>IN0020220037</t>
  </si>
  <si>
    <t>6.69% Government of India Securities 2024 27/06/2024</t>
  </si>
  <si>
    <t>IN0020220052</t>
  </si>
  <si>
    <t>5.63% Government of India Securities 2026 12/04/2026</t>
  </si>
  <si>
    <t>IN0020210012</t>
  </si>
  <si>
    <t>Sub Total:</t>
  </si>
  <si>
    <t>MONEY MARKET INSTRUMENTS</t>
  </si>
  <si>
    <t>Certificate of Deposit (CD) / Commercial Paper (CP)</t>
  </si>
  <si>
    <t>Kotak Mahindra Bank CD**</t>
  </si>
  <si>
    <t>CRISIL A1+</t>
  </si>
  <si>
    <t>INE237A162Q1</t>
  </si>
  <si>
    <t>Bank of Baroda CD**</t>
  </si>
  <si>
    <t>IND A1+</t>
  </si>
  <si>
    <t>INE028A16CZ4</t>
  </si>
  <si>
    <t>Treasury Bills</t>
  </si>
  <si>
    <t>TREPS-Triparty Repo</t>
  </si>
  <si>
    <t/>
  </si>
  <si>
    <t>Total:</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</si>
  <si>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</si>
  <si>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</si>
  <si>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</si>
  <si>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</si>
  <si>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</si>
  <si>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</si>
  <si>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</si>
  <si>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</si>
  <si>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</si>
  <si>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</si>
  <si>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</si>
  <si>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</si>
  <si>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</si>
  <si>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 xml:space="preserve">CRISIL Dynamic  Bond Fund BIII Index </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</si>
  <si>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</si>
  <si>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</si>
  <si>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</si>
  <si>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</si>
  <si>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</si>
  <si>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</si>
  <si>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</si>
  <si>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</si>
  <si>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Relatively High Class (Class III)</t>
  </si>
  <si>
    <t>B-III</t>
  </si>
  <si>
    <t xml:space="preserve"> Portfolio Information</t>
  </si>
  <si>
    <t>Scheme Name :</t>
  </si>
  <si>
    <t>JM Dynamic Bond Fund</t>
  </si>
  <si>
    <t>Description (if any)</t>
  </si>
  <si>
    <t>Macaulay Duration</t>
  </si>
  <si>
    <t>Residual Maturity</t>
  </si>
  <si>
    <t xml:space="preserve">As on (Date) </t>
  </si>
  <si>
    <t>31.01.2023</t>
  </si>
  <si>
    <t>Annualised Portfolio YTM*# :</t>
  </si>
  <si>
    <t>* in case of semi annual YTM,  it will be annualised, # Calculated on amount invested in debt securities ( including accrued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</si>
</sst>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5"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sz val="10"/>
      <color indexed="8"/>
      <name val="Tahoma"/>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xf numFmtId="0" fontId="6" fillId="0" borderId="0"/>
  </cellStyleXfs>
  <cellXfs count="74">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3" fillId="0" borderId="3" xfId="0" applyFont="1" applyFill="1" applyBorder="1" applyAlignment="1">
      <alignment horizontal="right"/>
    </xf>
    <xf numFmtId="166" fontId="3" fillId="0" borderId="3" xfId="0" applyNumberFormat="1" applyFont="1" applyFill="1" applyBorder="1"/>
    <xf numFmtId="0" fontId="3" fillId="0" borderId="3" xfId="0" applyFont="1" applyBorder="1"/>
    <xf numFmtId="0" fontId="3" fillId="0" borderId="0" xfId="0" applyFont="1" applyFill="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164" fontId="3" fillId="0" borderId="3" xfId="1" applyFont="1" applyFill="1" applyBorder="1"/>
    <xf numFmtId="164" fontId="3" fillId="0" borderId="4" xfId="1" applyFont="1" applyFill="1" applyBorder="1"/>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4" fontId="4" fillId="0" borderId="3" xfId="1" applyNumberFormat="1" applyFont="1" applyFill="1" applyBorder="1" applyAlignment="1">
      <alignment horizontal="right"/>
    </xf>
    <xf numFmtId="2" fontId="3" fillId="0" borderId="3" xfId="0" applyNumberFormat="1" applyFont="1" applyFill="1" applyBorder="1" applyAlignment="1">
      <alignment horizontal="right"/>
    </xf>
    <xf numFmtId="0" fontId="3" fillId="0" borderId="3" xfId="0" applyFont="1" applyFill="1" applyBorder="1" applyAlignment="1">
      <alignment horizontal="left" wrapText="1"/>
    </xf>
    <xf numFmtId="165" fontId="3" fillId="0" borderId="3" xfId="1" applyNumberFormat="1" applyFont="1" applyFill="1" applyBorder="1" applyAlignment="1">
      <alignment horizontal="right"/>
    </xf>
    <xf numFmtId="4" fontId="4" fillId="0" borderId="3"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4" applyFont="1" applyFill="1" applyAlignment="1">
      <alignment wrapText="1"/>
    </xf>
    <xf numFmtId="0" fontId="3" fillId="0" borderId="0" xfId="4" applyFont="1" applyFill="1" applyAlignment="1">
      <alignment horizontal="left" wrapText="1"/>
    </xf>
    <xf numFmtId="165" fontId="3" fillId="0" borderId="0" xfId="5" applyNumberFormat="1" applyFont="1" applyFill="1"/>
    <xf numFmtId="164" fontId="3" fillId="0" borderId="0" xfId="5" applyFont="1" applyFill="1" applyAlignment="1">
      <alignment horizontal="right"/>
    </xf>
    <xf numFmtId="0" fontId="3" fillId="0" borderId="0" xfId="4" applyFont="1" applyFill="1" applyAlignment="1">
      <alignment horizontal="right"/>
    </xf>
    <xf numFmtId="164" fontId="3" fillId="0" borderId="0" xfId="1" applyFont="1" applyFill="1" applyBorder="1" applyAlignment="1">
      <alignment horizontal="right"/>
    </xf>
    <xf numFmtId="0" fontId="8" fillId="0" borderId="0" xfId="6" applyFont="1"/>
    <xf numFmtId="0" fontId="2" fillId="0" borderId="0" xfId="4" applyFont="1" applyFill="1" applyBorder="1" applyAlignment="1">
      <alignment horizontal="left" wrapText="1"/>
    </xf>
    <xf numFmtId="0" fontId="4" fillId="0" borderId="0" xfId="4" applyFont="1" applyFill="1" applyBorder="1" applyAlignment="1">
      <alignment horizontal="left"/>
    </xf>
    <xf numFmtId="0" fontId="6" fillId="0" borderId="0" xfId="6" applyBorder="1"/>
    <xf numFmtId="0" fontId="9" fillId="0" borderId="0" xfId="7" applyFont="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0" fillId="0" borderId="0" xfId="0" applyNumberFormat="1" applyFont="1" applyFill="1" applyBorder="1"/>
    <xf numFmtId="0" fontId="11" fillId="0" borderId="8" xfId="0" applyFont="1" applyBorder="1" applyAlignment="1">
      <alignment vertical="center" wrapText="1"/>
    </xf>
    <xf numFmtId="0" fontId="13" fillId="0" borderId="8" xfId="0" applyFont="1" applyBorder="1" applyAlignment="1">
      <alignment vertical="center" wrapText="1"/>
    </xf>
    <xf numFmtId="0" fontId="14" fillId="0" borderId="10" xfId="0" applyFont="1" applyBorder="1" applyAlignment="1">
      <alignment vertical="center" wrapText="1"/>
    </xf>
    <xf numFmtId="0" fontId="13" fillId="3" borderId="10" xfId="0" applyFont="1" applyFill="1" applyBorder="1" applyAlignment="1">
      <alignment horizontal="center" vertical="center" wrapText="1"/>
    </xf>
    <xf numFmtId="0" fontId="3" fillId="0" borderId="3" xfId="0" applyFont="1" applyBorder="1" applyAlignment="1">
      <alignment wrapText="1"/>
    </xf>
    <xf numFmtId="0" fontId="3" fillId="0" borderId="3" xfId="0" applyFont="1" applyBorder="1" applyAlignment="1">
      <alignment horizontal="left" wrapText="1"/>
    </xf>
    <xf numFmtId="4" fontId="3" fillId="0" borderId="3" xfId="0" applyNumberFormat="1" applyFont="1" applyFill="1" applyBorder="1" applyAlignment="1">
      <alignment horizontal="left" wrapText="1"/>
    </xf>
    <xf numFmtId="0" fontId="3" fillId="0" borderId="0" xfId="0" applyFont="1" applyFill="1" applyAlignment="1">
      <alignment horizontal="left" wrapText="1"/>
    </xf>
    <xf numFmtId="0" fontId="3" fillId="0" borderId="4" xfId="0" applyFont="1" applyBorder="1" applyAlignment="1">
      <alignment horizontal="left" wrapText="1"/>
    </xf>
    <xf numFmtId="0" fontId="3" fillId="0" borderId="11" xfId="0" applyFont="1" applyBorder="1" applyAlignment="1">
      <alignment horizontal="left" wrapText="1"/>
    </xf>
    <xf numFmtId="0" fontId="7" fillId="0" borderId="0" xfId="3" applyFont="1" applyBorder="1" applyAlignment="1">
      <alignment horizontal="left" vertical="center" wrapText="1"/>
    </xf>
    <xf numFmtId="0" fontId="2" fillId="2" borderId="1" xfId="0" applyFont="1" applyFill="1" applyBorder="1" applyAlignment="1">
      <alignment horizontal="left" wrapText="1"/>
    </xf>
    <xf numFmtId="0" fontId="2" fillId="2" borderId="2" xfId="0" applyFont="1" applyFill="1" applyBorder="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9"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top" wrapText="1"/>
    </xf>
    <xf numFmtId="0" fontId="11" fillId="0" borderId="8" xfId="0" applyFont="1" applyBorder="1" applyAlignment="1">
      <alignment horizontal="left" vertical="top" wrapText="1"/>
    </xf>
    <xf numFmtId="0" fontId="3" fillId="0" borderId="4" xfId="0" applyFont="1" applyBorder="1" applyAlignment="1">
      <alignment horizontal="center" wrapText="1"/>
    </xf>
    <xf numFmtId="0" fontId="3" fillId="0" borderId="11" xfId="0" applyFont="1" applyBorder="1" applyAlignment="1">
      <alignment horizontal="center" wrapText="1"/>
    </xf>
  </cellXfs>
  <cellStyles count="8">
    <cellStyle name="Comma" xfId="1" builtinId="3"/>
    <cellStyle name="Comma 4 2" xfId="5"/>
    <cellStyle name="Normal" xfId="0" builtinId="0"/>
    <cellStyle name="Normal 2 2" xfId="4"/>
    <cellStyle name="Normal 2 3 2" xfId="2"/>
    <cellStyle name="Normal 4_FF" xfId="6"/>
    <cellStyle name="Normal 4_IF" xfId="7"/>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142875</xdr:colOff>
      <xdr:row>50</xdr:row>
      <xdr:rowOff>76200</xdr:rowOff>
    </xdr:from>
    <xdr:to>
      <xdr:col>6</xdr:col>
      <xdr:colOff>133350</xdr:colOff>
      <xdr:row>63</xdr:row>
      <xdr:rowOff>85725</xdr:rowOff>
    </xdr:to>
    <xdr:pic>
      <xdr:nvPicPr>
        <xdr:cNvPr id="2" name="Picture 5"/>
        <xdr:cNvPicPr>
          <a:picLocks noChangeAspect="1"/>
        </xdr:cNvPicPr>
      </xdr:nvPicPr>
      <xdr:blipFill>
        <a:blip xmlns:r="http://schemas.openxmlformats.org/officeDocument/2006/relationships" r:embed="rId1" cstate="print"/>
        <a:srcRect/>
        <a:stretch>
          <a:fillRect/>
        </a:stretch>
      </xdr:blipFill>
      <xdr:spPr bwMode="auto">
        <a:xfrm>
          <a:off x="6162675" y="10610850"/>
          <a:ext cx="3514725" cy="2143125"/>
        </a:xfrm>
        <a:prstGeom prst="rect">
          <a:avLst/>
        </a:prstGeom>
        <a:noFill/>
        <a:ln w="9525">
          <a:noFill/>
          <a:miter lim="800000"/>
          <a:headEnd/>
          <a:tailEnd/>
        </a:ln>
      </xdr:spPr>
    </xdr:pic>
    <xdr:clientData/>
  </xdr:twoCellAnchor>
  <xdr:twoCellAnchor editAs="oneCell">
    <xdr:from>
      <xdr:col>0</xdr:col>
      <xdr:colOff>66675</xdr:colOff>
      <xdr:row>50</xdr:row>
      <xdr:rowOff>57150</xdr:rowOff>
    </xdr:from>
    <xdr:to>
      <xdr:col>0</xdr:col>
      <xdr:colOff>3829050</xdr:colOff>
      <xdr:row>63</xdr:row>
      <xdr:rowOff>9525</xdr:rowOff>
    </xdr:to>
    <xdr:pic>
      <xdr:nvPicPr>
        <xdr:cNvPr id="3" name="Picture 3"/>
        <xdr:cNvPicPr>
          <a:picLocks noChangeAspect="1"/>
        </xdr:cNvPicPr>
      </xdr:nvPicPr>
      <xdr:blipFill>
        <a:blip xmlns:r="http://schemas.openxmlformats.org/officeDocument/2006/relationships" r:embed="rId2" cstate="print"/>
        <a:srcRect/>
        <a:stretch>
          <a:fillRect/>
        </a:stretch>
      </xdr:blipFill>
      <xdr:spPr bwMode="auto">
        <a:xfrm>
          <a:off x="66675" y="10591800"/>
          <a:ext cx="3762375" cy="20859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8"/>
  <sheetViews>
    <sheetView tabSelected="1" zoomScaleNormal="100" workbookViewId="0">
      <pane xSplit="1" ySplit="3" topLeftCell="B70" activePane="bottomRight" state="frozen"/>
      <selection activeCell="A2" sqref="A2"/>
      <selection pane="topRight" activeCell="A2" sqref="A2"/>
      <selection pane="bottomLeft" activeCell="A2" sqref="A2"/>
      <selection pane="bottomRight" activeCell="A87" sqref="A87:B87"/>
    </sheetView>
  </sheetViews>
  <sheetFormatPr defaultRowHeight="12.75" x14ac:dyDescent="0.2"/>
  <cols>
    <col min="1" max="1" width="59.140625" style="46" customWidth="1"/>
    <col min="2" max="2" width="21.42578125" style="47" bestFit="1" customWidth="1"/>
    <col min="3" max="3" width="13.42578125" style="48"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61" t="s">
        <v>0</v>
      </c>
      <c r="B1" s="61"/>
      <c r="C1" s="61"/>
      <c r="D1" s="61"/>
      <c r="E1" s="61"/>
      <c r="F1" s="61"/>
      <c r="G1" s="61"/>
      <c r="H1" s="61"/>
    </row>
    <row r="2" spans="1:8" x14ac:dyDescent="0.2">
      <c r="A2" s="62" t="s">
        <v>1</v>
      </c>
      <c r="B2" s="62"/>
      <c r="C2" s="62"/>
      <c r="D2" s="62"/>
      <c r="E2" s="62"/>
      <c r="F2" s="62"/>
      <c r="G2" s="62"/>
      <c r="H2" s="62"/>
    </row>
    <row r="3" spans="1:8" s="7" customFormat="1" ht="38.25" x14ac:dyDescent="0.2">
      <c r="A3" s="2" t="s">
        <v>2</v>
      </c>
      <c r="B3" s="3" t="s">
        <v>3</v>
      </c>
      <c r="C3" s="4" t="s">
        <v>4</v>
      </c>
      <c r="D3" s="2" t="s">
        <v>5</v>
      </c>
      <c r="E3" s="2" t="s">
        <v>6</v>
      </c>
      <c r="F3" s="2" t="s">
        <v>7</v>
      </c>
      <c r="G3" s="5" t="s">
        <v>8</v>
      </c>
      <c r="H3" s="6" t="s">
        <v>9</v>
      </c>
    </row>
    <row r="4" spans="1:8" s="15" customFormat="1" x14ac:dyDescent="0.2">
      <c r="A4" s="8" t="s">
        <v>10</v>
      </c>
      <c r="B4" s="9"/>
      <c r="C4" s="10"/>
      <c r="D4" s="11"/>
      <c r="E4" s="11"/>
      <c r="F4" s="12"/>
      <c r="G4" s="13"/>
      <c r="H4" s="14"/>
    </row>
    <row r="5" spans="1:8" s="15" customFormat="1" x14ac:dyDescent="0.2">
      <c r="A5" s="8" t="s">
        <v>11</v>
      </c>
      <c r="B5" s="9"/>
      <c r="C5" s="10"/>
      <c r="D5" s="11" t="s">
        <v>12</v>
      </c>
      <c r="E5" s="11" t="s">
        <v>12</v>
      </c>
      <c r="F5" s="16"/>
      <c r="G5" s="13"/>
      <c r="H5" s="14"/>
    </row>
    <row r="6" spans="1:8" s="15" customFormat="1" x14ac:dyDescent="0.2">
      <c r="A6" s="8"/>
      <c r="B6" s="9"/>
      <c r="C6" s="17"/>
      <c r="D6" s="16"/>
      <c r="E6" s="16"/>
      <c r="F6" s="16"/>
      <c r="G6" s="13"/>
      <c r="H6" s="14"/>
    </row>
    <row r="7" spans="1:8" s="15" customFormat="1" x14ac:dyDescent="0.2">
      <c r="A7" s="8" t="s">
        <v>13</v>
      </c>
      <c r="B7" s="9"/>
      <c r="C7" s="17"/>
      <c r="D7" s="11" t="s">
        <v>12</v>
      </c>
      <c r="E7" s="11" t="s">
        <v>12</v>
      </c>
      <c r="F7" s="12"/>
      <c r="G7" s="13"/>
      <c r="H7" s="14"/>
    </row>
    <row r="8" spans="1:8" s="15" customFormat="1" x14ac:dyDescent="0.2">
      <c r="A8" s="8"/>
      <c r="B8" s="9"/>
      <c r="C8" s="17"/>
      <c r="D8" s="11"/>
      <c r="E8" s="11"/>
      <c r="F8" s="11"/>
      <c r="G8" s="13"/>
      <c r="H8" s="14"/>
    </row>
    <row r="9" spans="1:8" s="15" customFormat="1" x14ac:dyDescent="0.2">
      <c r="A9" s="8" t="s">
        <v>14</v>
      </c>
      <c r="B9" s="9"/>
      <c r="C9" s="17"/>
      <c r="D9" s="11"/>
      <c r="E9" s="11"/>
      <c r="F9" s="11"/>
      <c r="G9" s="13"/>
      <c r="H9" s="14"/>
    </row>
    <row r="10" spans="1:8" s="15" customFormat="1" x14ac:dyDescent="0.2">
      <c r="A10" s="8"/>
      <c r="B10" s="9"/>
      <c r="C10" s="17"/>
      <c r="D10" s="18"/>
      <c r="E10" s="18"/>
      <c r="F10" s="19"/>
      <c r="G10" s="13"/>
      <c r="H10" s="14"/>
    </row>
    <row r="11" spans="1:8" s="15" customFormat="1" x14ac:dyDescent="0.2">
      <c r="A11" s="8" t="s">
        <v>15</v>
      </c>
      <c r="B11" s="9"/>
      <c r="C11" s="17"/>
      <c r="D11" s="11" t="s">
        <v>12</v>
      </c>
      <c r="E11" s="11" t="s">
        <v>12</v>
      </c>
      <c r="F11" s="11"/>
      <c r="G11" s="13"/>
      <c r="H11" s="14"/>
    </row>
    <row r="12" spans="1:8" s="15" customFormat="1" x14ac:dyDescent="0.2">
      <c r="A12" s="8"/>
      <c r="B12" s="9"/>
      <c r="C12" s="17"/>
      <c r="D12" s="11"/>
      <c r="E12" s="11"/>
      <c r="F12" s="11"/>
      <c r="G12" s="13"/>
      <c r="H12" s="14"/>
    </row>
    <row r="13" spans="1:8" s="15" customFormat="1" x14ac:dyDescent="0.2">
      <c r="A13" s="8" t="s">
        <v>16</v>
      </c>
      <c r="B13" s="9"/>
      <c r="C13" s="17"/>
      <c r="D13" s="11" t="s">
        <v>12</v>
      </c>
      <c r="E13" s="11" t="s">
        <v>12</v>
      </c>
      <c r="F13" s="11"/>
      <c r="G13" s="13"/>
      <c r="H13" s="14"/>
    </row>
    <row r="14" spans="1:8" s="15" customFormat="1" x14ac:dyDescent="0.2">
      <c r="A14" s="8"/>
      <c r="B14" s="9"/>
      <c r="C14" s="17"/>
      <c r="D14" s="11"/>
      <c r="E14" s="11"/>
      <c r="F14" s="11"/>
      <c r="G14" s="13"/>
      <c r="H14" s="14"/>
    </row>
    <row r="15" spans="1:8" s="15" customFormat="1" x14ac:dyDescent="0.2">
      <c r="A15" s="8" t="s">
        <v>17</v>
      </c>
      <c r="B15" s="9"/>
      <c r="C15" s="17"/>
      <c r="D15" s="11"/>
      <c r="E15" s="11"/>
      <c r="F15" s="11"/>
      <c r="G15" s="13"/>
      <c r="H15" s="14"/>
    </row>
    <row r="16" spans="1:8" s="15" customFormat="1" x14ac:dyDescent="0.2">
      <c r="A16" s="20" t="s">
        <v>18</v>
      </c>
      <c r="B16" s="21" t="s">
        <v>19</v>
      </c>
      <c r="C16" s="22">
        <v>1000000</v>
      </c>
      <c r="D16" s="18">
        <v>993.28899999999999</v>
      </c>
      <c r="E16" s="18">
        <f>(+D16/$D$36*100)</f>
        <v>22.580267210146506</v>
      </c>
      <c r="F16" s="18" t="s">
        <v>20</v>
      </c>
      <c r="G16" s="13">
        <v>7.3579999999999997</v>
      </c>
      <c r="H16" s="14"/>
    </row>
    <row r="17" spans="1:8" s="15" customFormat="1" x14ac:dyDescent="0.2">
      <c r="A17" s="20" t="s">
        <v>21</v>
      </c>
      <c r="B17" s="21" t="s">
        <v>19</v>
      </c>
      <c r="C17" s="22">
        <v>900000</v>
      </c>
      <c r="D17" s="18">
        <v>905.12369999999999</v>
      </c>
      <c r="E17" s="18">
        <f>(+D17/$D$36*100)</f>
        <v>20.576020679013336</v>
      </c>
      <c r="F17" s="18" t="s">
        <v>22</v>
      </c>
      <c r="G17" s="13">
        <v>7.2230999999999996</v>
      </c>
      <c r="H17" s="14"/>
    </row>
    <row r="18" spans="1:8" s="15" customFormat="1" x14ac:dyDescent="0.2">
      <c r="A18" s="20" t="s">
        <v>23</v>
      </c>
      <c r="B18" s="21" t="s">
        <v>19</v>
      </c>
      <c r="C18" s="22">
        <v>500000</v>
      </c>
      <c r="D18" s="18">
        <v>497.99900000000002</v>
      </c>
      <c r="E18" s="18">
        <f>(+D18/$D$36*100)</f>
        <v>11.320925219534042</v>
      </c>
      <c r="F18" s="18" t="s">
        <v>24</v>
      </c>
      <c r="G18" s="13">
        <v>6.9871999999999996</v>
      </c>
      <c r="H18" s="14"/>
    </row>
    <row r="19" spans="1:8" s="15" customFormat="1" x14ac:dyDescent="0.2">
      <c r="A19" s="20" t="s">
        <v>25</v>
      </c>
      <c r="B19" s="21" t="s">
        <v>19</v>
      </c>
      <c r="C19" s="22">
        <v>500000</v>
      </c>
      <c r="D19" s="18">
        <v>478.726</v>
      </c>
      <c r="E19" s="18">
        <f>(+D19/$D$36*100)</f>
        <v>10.882795440646776</v>
      </c>
      <c r="F19" s="18" t="s">
        <v>26</v>
      </c>
      <c r="G19" s="13">
        <v>7.1376999999999997</v>
      </c>
      <c r="H19" s="14"/>
    </row>
    <row r="20" spans="1:8" s="15" customFormat="1" x14ac:dyDescent="0.2">
      <c r="A20" s="8" t="s">
        <v>27</v>
      </c>
      <c r="B20" s="9"/>
      <c r="C20" s="17"/>
      <c r="D20" s="11">
        <f>IF(ISERROR(SUM(D16:D19)),0,SUM(D16:D19))</f>
        <v>2875.1376999999998</v>
      </c>
      <c r="E20" s="11">
        <f>IF(ISERROR(SUM(E16:E19)),0,SUM(E16:E19))</f>
        <v>65.360008549340662</v>
      </c>
      <c r="F20" s="23"/>
      <c r="G20" s="13"/>
      <c r="H20" s="14"/>
    </row>
    <row r="21" spans="1:8" s="15" customFormat="1" x14ac:dyDescent="0.2">
      <c r="A21" s="8"/>
      <c r="B21" s="9"/>
      <c r="C21" s="17"/>
      <c r="D21" s="11"/>
      <c r="E21" s="11"/>
      <c r="F21" s="11"/>
      <c r="G21" s="13"/>
      <c r="H21" s="14"/>
    </row>
    <row r="22" spans="1:8" s="15" customFormat="1" x14ac:dyDescent="0.2">
      <c r="A22" s="8" t="s">
        <v>28</v>
      </c>
      <c r="B22" s="9"/>
      <c r="C22" s="17"/>
      <c r="D22" s="11"/>
      <c r="E22" s="11"/>
      <c r="F22" s="12"/>
      <c r="G22" s="13"/>
      <c r="H22" s="14"/>
    </row>
    <row r="23" spans="1:8" s="15" customFormat="1" x14ac:dyDescent="0.2">
      <c r="A23" s="8" t="s">
        <v>29</v>
      </c>
      <c r="B23" s="9"/>
      <c r="C23" s="17"/>
      <c r="D23" s="11"/>
      <c r="E23" s="11"/>
      <c r="F23" s="12"/>
      <c r="G23" s="13"/>
      <c r="H23" s="14"/>
    </row>
    <row r="24" spans="1:8" s="15" customFormat="1" x14ac:dyDescent="0.2">
      <c r="A24" s="20" t="s">
        <v>30</v>
      </c>
      <c r="B24" s="21" t="s">
        <v>31</v>
      </c>
      <c r="C24" s="22">
        <v>60</v>
      </c>
      <c r="D24" s="18">
        <v>287.34930000000003</v>
      </c>
      <c r="E24" s="18">
        <f>(+D24/$D$36*100)</f>
        <v>6.5322619868422498</v>
      </c>
      <c r="F24" s="18" t="s">
        <v>32</v>
      </c>
      <c r="G24" s="13">
        <v>7.58</v>
      </c>
      <c r="H24" s="14"/>
    </row>
    <row r="25" spans="1:8" s="15" customFormat="1" x14ac:dyDescent="0.2">
      <c r="A25" s="20" t="s">
        <v>33</v>
      </c>
      <c r="B25" s="21" t="s">
        <v>34</v>
      </c>
      <c r="C25" s="22">
        <v>20</v>
      </c>
      <c r="D25" s="18">
        <v>94.028899999999993</v>
      </c>
      <c r="E25" s="18">
        <f>(+D25/$D$36*100)</f>
        <v>2.1375427367826929</v>
      </c>
      <c r="F25" s="18" t="s">
        <v>35</v>
      </c>
      <c r="G25" s="13">
        <v>7.6749999999999998</v>
      </c>
      <c r="H25" s="14"/>
    </row>
    <row r="26" spans="1:8" s="15" customFormat="1" x14ac:dyDescent="0.2">
      <c r="A26" s="8" t="s">
        <v>36</v>
      </c>
      <c r="B26" s="21"/>
      <c r="C26" s="22"/>
      <c r="D26" s="18"/>
      <c r="E26" s="16"/>
      <c r="F26" s="24"/>
      <c r="G26" s="13"/>
      <c r="H26" s="14"/>
    </row>
    <row r="27" spans="1:8" s="15" customFormat="1" x14ac:dyDescent="0.2">
      <c r="A27" s="8" t="s">
        <v>27</v>
      </c>
      <c r="B27" s="25"/>
      <c r="C27" s="26"/>
      <c r="D27" s="11">
        <f>IF(ISERROR(SUM(D24:D26)),0,SUM(D24:D26))</f>
        <v>381.37819999999999</v>
      </c>
      <c r="E27" s="11">
        <f>IF(ISERROR(SUM(E24:E26)),0,SUM(E24:E26))</f>
        <v>8.6698047236249423</v>
      </c>
      <c r="F27" s="27"/>
      <c r="G27" s="13"/>
      <c r="H27" s="14"/>
    </row>
    <row r="28" spans="1:8" s="15" customFormat="1" x14ac:dyDescent="0.2">
      <c r="A28" s="8"/>
      <c r="B28" s="25"/>
      <c r="C28" s="26"/>
      <c r="D28" s="16"/>
      <c r="E28" s="16"/>
      <c r="F28" s="24"/>
      <c r="G28" s="13"/>
      <c r="H28" s="14"/>
    </row>
    <row r="29" spans="1:8" s="15" customFormat="1" x14ac:dyDescent="0.2">
      <c r="A29" s="20" t="s">
        <v>37</v>
      </c>
      <c r="B29" s="21"/>
      <c r="C29" s="22">
        <v>0</v>
      </c>
      <c r="D29" s="18">
        <v>736.77710159999992</v>
      </c>
      <c r="E29" s="18">
        <f>(+D29/$D$36*100)</f>
        <v>16.749026545592731</v>
      </c>
      <c r="F29" s="18" t="s">
        <v>38</v>
      </c>
      <c r="G29" s="13">
        <v>6.4188000000000001</v>
      </c>
      <c r="H29" s="14"/>
    </row>
    <row r="30" spans="1:8" s="15" customFormat="1" x14ac:dyDescent="0.2">
      <c r="A30" s="8" t="s">
        <v>27</v>
      </c>
      <c r="B30" s="9"/>
      <c r="C30" s="17"/>
      <c r="D30" s="11">
        <f>IF(ISERROR(SUM(D29:D29)),0,SUM(D29:D29))</f>
        <v>736.77710159999992</v>
      </c>
      <c r="E30" s="11">
        <f>IF(ISERROR(SUM(E29:E29)),0,SUM(E29:E29))</f>
        <v>16.749026545592731</v>
      </c>
      <c r="F30" s="18"/>
      <c r="G30" s="13"/>
      <c r="H30" s="14"/>
    </row>
    <row r="31" spans="1:8" s="15" customFormat="1" x14ac:dyDescent="0.2">
      <c r="A31" s="8"/>
      <c r="B31" s="9"/>
      <c r="C31" s="17"/>
      <c r="D31" s="11"/>
      <c r="E31" s="11"/>
      <c r="F31" s="11"/>
      <c r="G31" s="13"/>
      <c r="H31" s="14"/>
    </row>
    <row r="32" spans="1:8" s="15" customFormat="1" x14ac:dyDescent="0.2">
      <c r="A32" s="8" t="s">
        <v>39</v>
      </c>
      <c r="B32" s="9"/>
      <c r="C32" s="17" t="s">
        <v>40</v>
      </c>
      <c r="D32" s="11">
        <f>+IF(ISERROR(#REF!),0,#REF!)+IF(ISERROR(D30),0,D30)+IF(ISERROR(#REF!),0,#REF!)+IF(ISERROR(#REF!),0,#REF!)+IF(ISERROR(D20),0,D20)+IF(ISERROR(D27),0,D27)+IF(ISERROR(#REF!),0,#REF!)+IF(ISERROR(#REF!),0,#REF!)+IF(ISERROR(#REF!),0,#REF!)</f>
        <v>3993.2930016</v>
      </c>
      <c r="E32" s="11">
        <f>+IF(ISERROR(#REF!),0,#REF!)+IF(ISERROR(E30),0,E30)+IF(ISERROR(#REF!),0,#REF!)+IF(ISERROR(#REF!),0,#REF!)+IF(ISERROR(E20),0,E20)+IF(ISERROR(E27),0,E27)+IF(ISERROR(#REF!),0,#REF!)+IF(ISERROR(#REF!),0,#REF!)+IF(ISERROR(#REF!),0,#REF!)</f>
        <v>90.778839818558339</v>
      </c>
      <c r="F32" s="11">
        <f>+IF(ISERROR(#REF!),0,#REF!)+IF(ISERROR(F30),0,F30)+IF(ISERROR(#REF!),0,#REF!)+IF(ISERROR(#REF!),0,#REF!)+IF(ISERROR(#REF!),0,#REF!)+IF(ISERROR(F27),0,F27)+IF(ISERROR(#REF!),0,#REF!)</f>
        <v>0</v>
      </c>
      <c r="G32" s="13"/>
      <c r="H32" s="14"/>
    </row>
    <row r="33" spans="1:8" s="15" customFormat="1" x14ac:dyDescent="0.2">
      <c r="A33" s="8"/>
      <c r="B33" s="9"/>
      <c r="C33" s="17"/>
      <c r="D33" s="11"/>
      <c r="E33" s="11"/>
      <c r="F33" s="28"/>
      <c r="H33" s="1"/>
    </row>
    <row r="34" spans="1:8" s="15" customFormat="1" x14ac:dyDescent="0.2">
      <c r="A34" s="8" t="s">
        <v>41</v>
      </c>
      <c r="B34" s="9"/>
      <c r="C34" s="17"/>
      <c r="D34" s="11">
        <f>+D36-D32</f>
        <v>405.63191259969972</v>
      </c>
      <c r="E34" s="11">
        <f>D34/$D$36*100</f>
        <v>9.2211601814416664</v>
      </c>
      <c r="F34" s="28"/>
      <c r="H34" s="1"/>
    </row>
    <row r="35" spans="1:8" s="15" customFormat="1" x14ac:dyDescent="0.2">
      <c r="A35" s="8"/>
      <c r="B35" s="9"/>
      <c r="C35" s="17"/>
      <c r="D35" s="16"/>
      <c r="E35" s="16"/>
      <c r="F35" s="28"/>
      <c r="H35" s="1"/>
    </row>
    <row r="36" spans="1:8" s="15" customFormat="1" x14ac:dyDescent="0.2">
      <c r="A36" s="8" t="s">
        <v>42</v>
      </c>
      <c r="B36" s="9"/>
      <c r="C36" s="17"/>
      <c r="D36" s="11">
        <v>4398.9249141996997</v>
      </c>
      <c r="E36" s="11">
        <f>+E32+E34</f>
        <v>100</v>
      </c>
      <c r="F36" s="28"/>
      <c r="H36" s="1"/>
    </row>
    <row r="37" spans="1:8" s="15" customFormat="1" x14ac:dyDescent="0.2">
      <c r="A37" s="29"/>
      <c r="B37" s="30"/>
      <c r="C37" s="31"/>
      <c r="D37" s="32"/>
      <c r="E37" s="32"/>
      <c r="F37" s="28"/>
      <c r="H37" s="1"/>
    </row>
    <row r="38" spans="1:8" s="15" customFormat="1" x14ac:dyDescent="0.2">
      <c r="A38" s="33"/>
      <c r="B38" s="30"/>
      <c r="C38" s="31"/>
      <c r="D38" s="32"/>
      <c r="E38" s="32"/>
      <c r="F38" s="34"/>
      <c r="H38" s="1"/>
    </row>
    <row r="39" spans="1:8" x14ac:dyDescent="0.2">
      <c r="A39" s="33" t="s">
        <v>43</v>
      </c>
      <c r="B39" s="30"/>
      <c r="C39" s="31"/>
      <c r="D39" s="32"/>
      <c r="E39" s="32"/>
      <c r="F39" s="34"/>
      <c r="G39" s="15"/>
    </row>
    <row r="40" spans="1:8" ht="15" x14ac:dyDescent="0.25">
      <c r="A40" s="63" t="s">
        <v>44</v>
      </c>
      <c r="B40" s="63"/>
      <c r="C40" s="63"/>
      <c r="D40" s="63"/>
      <c r="E40" s="63"/>
      <c r="F40" s="63"/>
      <c r="G40" s="63"/>
      <c r="H40" s="63"/>
    </row>
    <row r="41" spans="1:8" ht="33.75" customHeight="1" x14ac:dyDescent="0.2">
      <c r="A41" s="64" t="s">
        <v>45</v>
      </c>
      <c r="B41" s="64"/>
      <c r="C41" s="64"/>
      <c r="D41" s="64"/>
      <c r="E41" s="64"/>
      <c r="F41" s="64"/>
      <c r="G41" s="64"/>
      <c r="H41" s="64"/>
    </row>
    <row r="42" spans="1:8" ht="15" x14ac:dyDescent="0.2">
      <c r="A42" s="64" t="s">
        <v>46</v>
      </c>
      <c r="B42" s="64"/>
      <c r="C42" s="64"/>
      <c r="D42" s="64"/>
      <c r="E42" s="64"/>
      <c r="F42" s="64"/>
      <c r="G42" s="64"/>
      <c r="H42" s="64"/>
    </row>
    <row r="43" spans="1:8" ht="64.5" customHeight="1" x14ac:dyDescent="0.2">
      <c r="A43" s="60" t="s">
        <v>47</v>
      </c>
      <c r="B43" s="60"/>
      <c r="C43" s="60"/>
      <c r="D43" s="60"/>
      <c r="E43" s="60"/>
      <c r="F43" s="60"/>
      <c r="G43" s="60"/>
      <c r="H43" s="60"/>
    </row>
    <row r="44" spans="1:8" x14ac:dyDescent="0.2">
      <c r="A44" s="35"/>
      <c r="B44" s="36"/>
      <c r="C44" s="37"/>
      <c r="D44" s="38"/>
      <c r="E44" s="39"/>
      <c r="G44" s="40"/>
      <c r="H44" s="40"/>
    </row>
    <row r="45" spans="1:8" ht="15" x14ac:dyDescent="0.25">
      <c r="A45" s="41" t="s">
        <v>48</v>
      </c>
      <c r="B45" s="42"/>
      <c r="C45" s="42"/>
      <c r="D45" s="43"/>
      <c r="G45" s="40"/>
      <c r="H45" s="40"/>
    </row>
    <row r="46" spans="1:8" ht="15" x14ac:dyDescent="0.25">
      <c r="A46" s="44" t="s">
        <v>49</v>
      </c>
      <c r="B46" s="42"/>
      <c r="C46" s="42"/>
      <c r="D46" s="42"/>
      <c r="G46" s="40"/>
      <c r="H46" s="40"/>
    </row>
    <row r="47" spans="1:8" ht="15" x14ac:dyDescent="0.25">
      <c r="A47" s="44" t="s">
        <v>50</v>
      </c>
      <c r="B47" s="42"/>
      <c r="C47" s="42"/>
      <c r="D47" s="42"/>
      <c r="G47" s="40"/>
      <c r="H47" s="40"/>
    </row>
    <row r="48" spans="1:8" ht="15" x14ac:dyDescent="0.25">
      <c r="A48" s="44" t="s">
        <v>51</v>
      </c>
      <c r="B48" s="42"/>
      <c r="C48" s="42"/>
      <c r="D48" s="42"/>
      <c r="G48" s="40"/>
      <c r="H48" s="40"/>
    </row>
    <row r="49" spans="1:8" ht="15" x14ac:dyDescent="0.25">
      <c r="A49" s="44"/>
      <c r="B49" s="42"/>
      <c r="C49" s="42"/>
      <c r="D49" s="42"/>
      <c r="G49" s="40"/>
      <c r="H49" s="40"/>
    </row>
    <row r="50" spans="1:8" ht="14.25" x14ac:dyDescent="0.2">
      <c r="A50" s="45" t="s">
        <v>52</v>
      </c>
      <c r="B50" s="42"/>
      <c r="C50" s="42"/>
      <c r="D50" s="43" t="s">
        <v>53</v>
      </c>
      <c r="G50" s="40"/>
      <c r="H50" s="40"/>
    </row>
    <row r="51" spans="1:8" ht="15" x14ac:dyDescent="0.25">
      <c r="A51" s="44"/>
      <c r="B51" s="42"/>
      <c r="C51" s="42"/>
      <c r="D51" s="42"/>
      <c r="G51" s="40"/>
      <c r="H51" s="40"/>
    </row>
    <row r="52" spans="1:8" x14ac:dyDescent="0.2">
      <c r="G52" s="40"/>
      <c r="H52" s="40"/>
    </row>
    <row r="53" spans="1:8" x14ac:dyDescent="0.2">
      <c r="A53" s="49"/>
      <c r="G53" s="40"/>
      <c r="H53" s="40"/>
    </row>
    <row r="54" spans="1:8" x14ac:dyDescent="0.2">
      <c r="G54" s="40"/>
      <c r="H54" s="40"/>
    </row>
    <row r="55" spans="1:8" x14ac:dyDescent="0.2">
      <c r="G55" s="40"/>
      <c r="H55" s="40"/>
    </row>
    <row r="56" spans="1:8" x14ac:dyDescent="0.2">
      <c r="G56" s="40"/>
      <c r="H56" s="40"/>
    </row>
    <row r="57" spans="1:8" x14ac:dyDescent="0.2">
      <c r="G57" s="40"/>
      <c r="H57" s="40"/>
    </row>
    <row r="58" spans="1:8" x14ac:dyDescent="0.2">
      <c r="G58" s="40"/>
      <c r="H58" s="40"/>
    </row>
    <row r="59" spans="1:8" x14ac:dyDescent="0.2">
      <c r="G59" s="40"/>
      <c r="H59" s="40"/>
    </row>
    <row r="60" spans="1:8" x14ac:dyDescent="0.2">
      <c r="G60" s="40"/>
      <c r="H60" s="40"/>
    </row>
    <row r="61" spans="1:8" x14ac:dyDescent="0.2">
      <c r="G61" s="40"/>
      <c r="H61" s="40"/>
    </row>
    <row r="62" spans="1:8" x14ac:dyDescent="0.2">
      <c r="G62" s="40"/>
      <c r="H62" s="40"/>
    </row>
    <row r="63" spans="1:8" x14ac:dyDescent="0.2">
      <c r="G63" s="40"/>
      <c r="H63" s="40"/>
    </row>
    <row r="64" spans="1:8" x14ac:dyDescent="0.2">
      <c r="G64" s="40"/>
      <c r="H64" s="40"/>
    </row>
    <row r="65" spans="1:8" x14ac:dyDescent="0.2">
      <c r="G65" s="40"/>
      <c r="H65" s="40"/>
    </row>
    <row r="67" spans="1:8" ht="13.5" thickBot="1" x14ac:dyDescent="0.25"/>
    <row r="68" spans="1:8" ht="13.5" thickBot="1" x14ac:dyDescent="0.25">
      <c r="A68" s="65" t="s">
        <v>54</v>
      </c>
      <c r="B68" s="66"/>
      <c r="C68" s="66"/>
      <c r="D68" s="67"/>
    </row>
    <row r="69" spans="1:8" ht="13.5" thickBot="1" x14ac:dyDescent="0.25">
      <c r="A69" s="50" t="s">
        <v>55</v>
      </c>
      <c r="B69" s="68" t="s">
        <v>56</v>
      </c>
      <c r="C69" s="70" t="s">
        <v>57</v>
      </c>
      <c r="D69" s="68" t="s">
        <v>58</v>
      </c>
    </row>
    <row r="70" spans="1:8" ht="13.5" thickBot="1" x14ac:dyDescent="0.25">
      <c r="A70" s="50" t="s">
        <v>59</v>
      </c>
      <c r="B70" s="69"/>
      <c r="C70" s="71"/>
      <c r="D70" s="69"/>
    </row>
    <row r="71" spans="1:8" ht="15.75" thickBot="1" x14ac:dyDescent="0.25">
      <c r="A71" s="51" t="s">
        <v>60</v>
      </c>
      <c r="B71" s="52"/>
      <c r="C71" s="52"/>
      <c r="D71" s="52"/>
    </row>
    <row r="72" spans="1:8" ht="15.75" thickBot="1" x14ac:dyDescent="0.25">
      <c r="A72" s="51" t="s">
        <v>61</v>
      </c>
      <c r="B72" s="52"/>
      <c r="C72" s="52"/>
      <c r="D72" s="52"/>
    </row>
    <row r="73" spans="1:8" ht="15.75" thickBot="1" x14ac:dyDescent="0.25">
      <c r="A73" s="51" t="s">
        <v>62</v>
      </c>
      <c r="B73" s="52"/>
      <c r="C73" s="53" t="s">
        <v>63</v>
      </c>
      <c r="D73" s="52"/>
    </row>
    <row r="77" spans="1:8" x14ac:dyDescent="0.2">
      <c r="A77" s="72" t="s">
        <v>64</v>
      </c>
      <c r="B77" s="73"/>
    </row>
    <row r="78" spans="1:8" x14ac:dyDescent="0.2">
      <c r="A78" s="54" t="s">
        <v>65</v>
      </c>
      <c r="B78" s="55" t="s">
        <v>66</v>
      </c>
    </row>
    <row r="79" spans="1:8" x14ac:dyDescent="0.2">
      <c r="A79" s="54" t="s">
        <v>67</v>
      </c>
      <c r="B79" s="55"/>
    </row>
    <row r="80" spans="1:8" x14ac:dyDescent="0.2">
      <c r="A80" s="54"/>
      <c r="B80" s="25" t="s">
        <v>40</v>
      </c>
    </row>
    <row r="81" spans="1:2" x14ac:dyDescent="0.2">
      <c r="A81" s="54" t="s">
        <v>72</v>
      </c>
      <c r="B81" s="56">
        <v>7.14</v>
      </c>
    </row>
    <row r="82" spans="1:2" x14ac:dyDescent="0.2">
      <c r="A82" s="54" t="s">
        <v>40</v>
      </c>
      <c r="B82" s="25" t="s">
        <v>40</v>
      </c>
    </row>
    <row r="83" spans="1:2" x14ac:dyDescent="0.2">
      <c r="A83" s="54" t="s">
        <v>68</v>
      </c>
      <c r="B83" s="25">
        <v>2.915</v>
      </c>
    </row>
    <row r="84" spans="1:2" x14ac:dyDescent="0.2">
      <c r="A84" s="54" t="s">
        <v>69</v>
      </c>
      <c r="B84" s="25">
        <v>3.7124000000000001</v>
      </c>
    </row>
    <row r="85" spans="1:2" x14ac:dyDescent="0.2">
      <c r="A85" s="54" t="s">
        <v>40</v>
      </c>
      <c r="B85" s="25" t="s">
        <v>40</v>
      </c>
    </row>
    <row r="86" spans="1:2" x14ac:dyDescent="0.2">
      <c r="A86" s="54" t="s">
        <v>70</v>
      </c>
      <c r="B86" s="25" t="s">
        <v>71</v>
      </c>
    </row>
    <row r="87" spans="1:2" ht="29.25" customHeight="1" x14ac:dyDescent="0.2">
      <c r="A87" s="58" t="s">
        <v>73</v>
      </c>
      <c r="B87" s="59"/>
    </row>
    <row r="88" spans="1:2" x14ac:dyDescent="0.2">
      <c r="B88" s="57"/>
    </row>
  </sheetData>
  <mergeCells count="12">
    <mergeCell ref="A87:B87"/>
    <mergeCell ref="A43:H43"/>
    <mergeCell ref="A1:H1"/>
    <mergeCell ref="A2:H2"/>
    <mergeCell ref="A40:H40"/>
    <mergeCell ref="A41:H41"/>
    <mergeCell ref="A42:H42"/>
    <mergeCell ref="A68:D68"/>
    <mergeCell ref="B69:B70"/>
    <mergeCell ref="C69:C70"/>
    <mergeCell ref="D69:D70"/>
    <mergeCell ref="A77:B7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FF</vt:lpstr>
      <vt:lpstr>FF!Print_Area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2023-02-02T07:39:15Z</dcterms:created>
  <dcterms:modified xsi:type="dcterms:W3CDTF">2023-02-03T07:17:03Z</dcterms:modified>
</cp:coreProperties>
</file>