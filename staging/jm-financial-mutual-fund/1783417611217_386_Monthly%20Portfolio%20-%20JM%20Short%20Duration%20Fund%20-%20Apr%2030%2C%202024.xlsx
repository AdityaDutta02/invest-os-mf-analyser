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4\Monthly\Monthly Apr 2024\"/>
    </mc:Choice>
  </mc:AlternateContent>
  <bookViews>
    <workbookView xWindow="0" yWindow="0" windowWidth="20490" windowHeight="7770"/>
  </bookViews>
  <sheets>
    <sheet name="JM Short Duration Fund" sheetId="1" r:id="rId1"/>
  </sheets>
  <definedNames>
    <definedName name="_xlnm._FilterDatabase" localSheetId="0" hidden="1">'JM Short Duration Fund'!$A$1:$H$50</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Short Duration Fund'!$A$1:$E$38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3" i="1" l="1"/>
  <c r="E42" i="1"/>
  <c r="E43" i="1" s="1"/>
  <c r="D40" i="1"/>
  <c r="E39" i="1"/>
  <c r="E40" i="1" s="1"/>
  <c r="D36" i="1"/>
  <c r="E35" i="1"/>
  <c r="E34" i="1"/>
  <c r="E33" i="1"/>
  <c r="E32" i="1"/>
  <c r="E36" i="1" s="1"/>
  <c r="F23" i="1"/>
  <c r="D19" i="1"/>
  <c r="D23" i="1" s="1"/>
  <c r="D45" i="1" s="1"/>
  <c r="D47" i="1" s="1"/>
  <c r="E47" i="1" s="1"/>
  <c r="E18" i="1"/>
  <c r="E17" i="1"/>
  <c r="E16" i="1"/>
  <c r="E15" i="1"/>
  <c r="E14" i="1"/>
  <c r="E13" i="1"/>
  <c r="E12" i="1"/>
  <c r="E11" i="1"/>
  <c r="E10" i="1"/>
  <c r="E9" i="1"/>
  <c r="E8" i="1"/>
  <c r="E7" i="1"/>
  <c r="E19" i="1" l="1"/>
  <c r="E23" i="1" s="1"/>
  <c r="E45" i="1" s="1"/>
  <c r="E49" i="1" s="1"/>
</calcChain>
</file>

<file path=xl/sharedStrings.xml><?xml version="1.0" encoding="utf-8"?>
<sst xmlns="http://schemas.openxmlformats.org/spreadsheetml/2006/main" count="120" uniqueCount="95">
  <si>
    <t>JM Financial Mutual Fund</t>
  </si>
  <si>
    <t>JM Short Duration Fund (An open-ended short duration debt scheme investing in instruments such that the Macaulay duration of the portfolio is between 1 year and 3 years. A moderate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</si>
  <si>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</si>
  <si>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</si>
  <si>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</si>
  <si>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</si>
  <si>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</si>
  <si>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</si>
  <si>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</si>
  <si>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</si>
  <si>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</si>
  <si>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</si>
  <si>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CRISIL AAA</t>
  </si>
  <si>
    <t>INE514E08EK0</t>
  </si>
  <si>
    <t>HDFC Bank Ltd.**</t>
  </si>
  <si>
    <t>CARE AAA</t>
  </si>
  <si>
    <t>INE040A08922</t>
  </si>
  <si>
    <t>LIC Housing Finance Ltd.**</t>
  </si>
  <si>
    <t>INE115A07QC7</t>
  </si>
  <si>
    <t>INE556F08KO7</t>
  </si>
  <si>
    <t>Sikka Ports &amp; Terminals Ltd.**</t>
  </si>
  <si>
    <t>INE941D07208</t>
  </si>
  <si>
    <t>NABARD</t>
  </si>
  <si>
    <t>INE261F08EF5</t>
  </si>
  <si>
    <t>Bajaj Finance Ltd.**</t>
  </si>
  <si>
    <t>INE296A07SJ6</t>
  </si>
  <si>
    <t>ICICI Home Finance Ltd.**</t>
  </si>
  <si>
    <t>INE071G07637</t>
  </si>
  <si>
    <t>REC Ltd.**</t>
  </si>
  <si>
    <t>INE020B08EL2</t>
  </si>
  <si>
    <t>INE261F08DO9</t>
  </si>
  <si>
    <t>Jamnagar Utilities &amp; Power Ltd.**</t>
  </si>
  <si>
    <t>INE936D07174</t>
  </si>
  <si>
    <t>Power Finance Corporation Ltd.**</t>
  </si>
  <si>
    <t>INE134E08JP5</t>
  </si>
  <si>
    <t>Sub Total:</t>
  </si>
  <si>
    <t>b) Privately Placed / Unlisted</t>
  </si>
  <si>
    <t>Total:</t>
  </si>
  <si>
    <t>TERM DEPOSITS</t>
  </si>
  <si>
    <t>Deposits (Maturity not exceeding 91 days)</t>
  </si>
  <si>
    <t>NIL</t>
  </si>
  <si>
    <t>Deposits (Placed as F &amp; O margin)</t>
  </si>
  <si>
    <t>GOVERNMENT SECURITIES</t>
  </si>
  <si>
    <t>7.37% Government of India Securities 2028 23/10/2028</t>
  </si>
  <si>
    <t>Sovereign</t>
  </si>
  <si>
    <t>IN0020230101</t>
  </si>
  <si>
    <t>7.10% Government of India Securities 2029 18/04/2029</t>
  </si>
  <si>
    <t>IN0020220011</t>
  </si>
  <si>
    <t>7.06% Government of India Securities 2028 10/04/2028</t>
  </si>
  <si>
    <t>IN0020230010</t>
  </si>
  <si>
    <t>7.38% Government of India Securities 2027 20/06/2027</t>
  </si>
  <si>
    <t>IN0020220037</t>
  </si>
  <si>
    <t>MONEY MARKET INSTRUMENTS</t>
  </si>
  <si>
    <t>TREPS-Triparty Repo</t>
  </si>
  <si>
    <t/>
  </si>
  <si>
    <t>Others (AIF Investment)</t>
  </si>
  <si>
    <t>Corporate Debt Market Development Fund - Class A2 Units</t>
  </si>
  <si>
    <t>INF0RQ622028</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</si>
  <si>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</si>
  <si>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</si>
  <si>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</si>
  <si>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</si>
  <si>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</si>
  <si>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</si>
  <si>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</si>
  <si>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</si>
  <si>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</si>
  <si>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</si>
  <si>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</si>
  <si>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</si>
  <si>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</si>
  <si>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CRISIL Short Duration Debt A-II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</si>
  <si>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</si>
  <si>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</si>
  <si>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</si>
  <si>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</si>
  <si>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</si>
  <si>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</si>
  <si>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</si>
  <si>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</si>
  <si>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</si>
  <si>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</si>
  <si>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</si>
  <si>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</si>
  <si>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</si>
  <si>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</si>
  <si>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Annualised Portfolio YTM* :</t>
  </si>
  <si>
    <t>Macaulay Duration ( Years )</t>
  </si>
  <si>
    <t>Residual Maturity ( Years )</t>
  </si>
  <si>
    <t xml:space="preserve">As on (Date) </t>
  </si>
  <si>
    <t>30.04.2024</t>
  </si>
  <si>
    <t xml:space="preserve">* in case of semi annual YTM,  it will be annualised </t>
  </si>
  <si>
    <t>Export-Import Bank of India**</t>
  </si>
  <si>
    <t>SIDBI Ltd.**</t>
  </si>
  <si>
    <t>Monthly Portfolio Statement for the period ended 30.04.2024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</si>
</sst>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2">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1" fillId="0" borderId="0"/>
    <xf numFmtId="164" fontId="1" fillId="0" borderId="0" applyFont="0" applyFill="0" applyBorder="0" applyAlignment="0" applyProtection="0"/>
    <xf numFmtId="164" fontId="1" fillId="0" borderId="0" applyFont="0" applyFill="0" applyBorder="0" applyAlignment="0" applyProtection="0"/>
  </cellStyleXfs>
  <cellXfs count="94">
    <xf numFmtId="0" fontId="0" fillId="0" borderId="0" xfId="0"/>
    <xf numFmtId="0" fontId="3" fillId="0" borderId="0" xfId="3"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0" xfId="3" applyFont="1"/>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horizontal="left" vertical="center" wrapText="1"/>
    </xf>
    <xf numFmtId="0" fontId="4" fillId="0" borderId="0" xfId="3" applyFont="1" applyFill="1" applyBorder="1" applyAlignment="1">
      <alignment horizontal="left" vertical="center" wrapText="1"/>
    </xf>
    <xf numFmtId="165" fontId="4" fillId="0" borderId="0" xfId="1" applyNumberFormat="1" applyFont="1" applyFill="1" applyBorder="1" applyAlignment="1">
      <alignment horizontal="left" vertical="center"/>
    </xf>
    <xf numFmtId="164" fontId="4" fillId="0" borderId="0" xfId="1" applyFont="1" applyFill="1" applyBorder="1" applyAlignment="1">
      <alignment horizontal="left" vertical="center"/>
    </xf>
    <xf numFmtId="0" fontId="5" fillId="0" borderId="0" xfId="3" applyFont="1" applyFill="1" applyAlignment="1">
      <alignment horizontal="left" vertical="center"/>
    </xf>
    <xf numFmtId="0" fontId="5" fillId="0" borderId="0" xfId="3" applyFont="1" applyAlignment="1">
      <alignment horizontal="left" vertical="center"/>
    </xf>
    <xf numFmtId="0" fontId="9" fillId="0" borderId="0" xfId="6" applyFont="1" applyBorder="1"/>
    <xf numFmtId="0" fontId="5" fillId="0" borderId="0" xfId="3" applyFont="1" applyFill="1" applyAlignment="1">
      <alignment horizontal="left" wrapText="1"/>
    </xf>
    <xf numFmtId="165" fontId="5" fillId="0" borderId="0" xfId="7" applyNumberFormat="1" applyFont="1" applyFill="1"/>
    <xf numFmtId="0" fontId="7" fillId="0" borderId="0" xfId="6" applyFont="1" applyBorder="1"/>
    <xf numFmtId="0" fontId="10" fillId="0" borderId="0" xfId="3" applyFont="1" applyFill="1" applyBorder="1" applyAlignment="1">
      <alignment horizontal="left" wrapText="1"/>
    </xf>
    <xf numFmtId="0" fontId="7" fillId="0" borderId="0" xfId="8" applyFont="1" applyBorder="1"/>
    <xf numFmtId="0" fontId="7" fillId="0" borderId="0" xfId="3" applyFont="1" applyAlignment="1">
      <alignment vertical="top" wrapText="1"/>
    </xf>
    <xf numFmtId="0" fontId="9" fillId="0" borderId="0" xfId="8" applyFont="1" applyAlignment="1">
      <alignment horizontal="center"/>
    </xf>
    <xf numFmtId="0" fontId="4" fillId="0" borderId="0" xfId="3" applyFont="1" applyFill="1"/>
    <xf numFmtId="0" fontId="9" fillId="0" borderId="0" xfId="8" applyFont="1"/>
    <xf numFmtId="0" fontId="5" fillId="0" borderId="0" xfId="3" applyFont="1" applyAlignment="1">
      <alignment horizontal="left" wrapText="1"/>
    </xf>
    <xf numFmtId="0" fontId="4" fillId="0" borderId="0" xfId="3" applyFont="1"/>
    <xf numFmtId="0" fontId="5" fillId="0" borderId="0" xfId="9" applyFont="1" applyFill="1" applyAlignment="1">
      <alignment wrapText="1"/>
    </xf>
    <xf numFmtId="0" fontId="5" fillId="0" borderId="0" xfId="9" applyFont="1" applyFill="1" applyAlignment="1">
      <alignment horizontal="left" wrapText="1"/>
    </xf>
    <xf numFmtId="165" fontId="5" fillId="0" borderId="0" xfId="10" applyNumberFormat="1" applyFont="1" applyFill="1"/>
    <xf numFmtId="0" fontId="5" fillId="0" borderId="0" xfId="9" applyFont="1" applyFill="1"/>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7" fillId="0" borderId="0" xfId="3" applyFont="1" applyBorder="1" applyAlignment="1">
      <alignment vertical="center" wrapText="1"/>
    </xf>
    <xf numFmtId="0" fontId="7" fillId="3" borderId="0"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0" fontId="5" fillId="0" borderId="3" xfId="3" applyNumberFormat="1" applyFont="1" applyBorder="1" applyAlignment="1">
      <alignment horizontal="center"/>
    </xf>
    <xf numFmtId="165" fontId="5" fillId="0" borderId="0" xfId="11" applyNumberFormat="1" applyFont="1"/>
    <xf numFmtId="166"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8" fillId="0" borderId="0" xfId="6" applyFont="1" applyBorder="1" applyAlignment="1">
      <alignment horizontal="left" vertical="top" wrapText="1"/>
    </xf>
    <xf numFmtId="0" fontId="5" fillId="0" borderId="0" xfId="3" applyFont="1" applyAlignment="1">
      <alignment horizontal="left"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6" applyFont="1" applyBorder="1" applyAlignment="1">
      <alignment horizontal="left" vertical="top" wrapText="1"/>
    </xf>
    <xf numFmtId="0" fontId="5" fillId="0" borderId="0" xfId="3" applyFont="1" applyAlignment="1">
      <alignment horizontal="left" vertical="top" wrapText="1"/>
    </xf>
    <xf numFmtId="0" fontId="4" fillId="0" borderId="0" xfId="3" applyFont="1" applyAlignment="1">
      <alignment horizontal="center" wrapText="1"/>
    </xf>
    <xf numFmtId="0" fontId="4" fillId="0" borderId="0" xfId="3" applyFont="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center" wrapText="1"/>
    </xf>
    <xf numFmtId="0" fontId="9" fillId="0" borderId="8" xfId="3" applyFont="1" applyBorder="1" applyAlignment="1">
      <alignment horizontal="left"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top" wrapText="1"/>
    </xf>
    <xf numFmtId="0" fontId="7" fillId="0" borderId="0" xfId="6" applyFont="1" applyBorder="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5" applyFont="1" applyAlignment="1">
      <alignment horizontal="left" vertical="top" wrapText="1"/>
    </xf>
  </cellXfs>
  <cellStyles count="12">
    <cellStyle name="Comma" xfId="1" builtinId="3"/>
    <cellStyle name="Comma 3" xfId="11"/>
    <cellStyle name="Comma 4 2" xfId="7"/>
    <cellStyle name="Comma 5" xfId="10"/>
    <cellStyle name="Normal" xfId="0" builtinId="0"/>
    <cellStyle name="Normal 2 2 2" xfId="3"/>
    <cellStyle name="Normal 2 2_Template Portfolio Disclosure -30.04 2024" xfId="4"/>
    <cellStyle name="Normal 2 3 2" xfId="5"/>
    <cellStyle name="Normal 4_IF" xfId="8"/>
    <cellStyle name="Normal 4_LD" xfId="6"/>
    <cellStyle name="Normal 5" xfId="9"/>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619124</xdr:colOff>
      <xdr:row>63</xdr:row>
      <xdr:rowOff>85725</xdr:rowOff>
    </xdr:from>
    <xdr:to>
      <xdr:col>0</xdr:col>
      <xdr:colOff>2724149</xdr:colOff>
      <xdr:row>70</xdr:row>
      <xdr:rowOff>28575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9124" y="12334875"/>
          <a:ext cx="2105025" cy="120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428625</xdr:colOff>
      <xdr:row>63</xdr:row>
      <xdr:rowOff>38100</xdr:rowOff>
    </xdr:from>
    <xdr:to>
      <xdr:col>3</xdr:col>
      <xdr:colOff>390525</xdr:colOff>
      <xdr:row>70</xdr:row>
      <xdr:rowOff>28575</xdr:rowOff>
    </xdr:to>
    <xdr:pic>
      <xdr:nvPicPr>
        <xdr:cNvPr id="3" name="Picture 4"/>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09975" y="12344400"/>
          <a:ext cx="1990725" cy="1257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523875</xdr:colOff>
      <xdr:row>70</xdr:row>
      <xdr:rowOff>76200</xdr:rowOff>
    </xdr:from>
    <xdr:to>
      <xdr:col>0</xdr:col>
      <xdr:colOff>2790826</xdr:colOff>
      <xdr:row>73</xdr:row>
      <xdr:rowOff>19050</xdr:rowOff>
    </xdr:to>
    <xdr:sp macro="" textlink="">
      <xdr:nvSpPr>
        <xdr:cNvPr id="4" name="TextBox 3"/>
        <xdr:cNvSpPr txBox="1"/>
      </xdr:nvSpPr>
      <xdr:spPr>
        <a:xfrm>
          <a:off x="523875" y="13592175"/>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moderate risk</a:t>
          </a:r>
          <a:endParaRPr lang="en-IN" sz="1100">
            <a:solidFill>
              <a:sysClr val="windowText" lastClr="000000"/>
            </a:solidFill>
          </a:endParaRPr>
        </a:p>
      </xdr:txBody>
    </xdr:sp>
    <xdr:clientData/>
  </xdr:twoCellAnchor>
  <xdr:twoCellAnchor>
    <xdr:from>
      <xdr:col>1</xdr:col>
      <xdr:colOff>342900</xdr:colOff>
      <xdr:row>70</xdr:row>
      <xdr:rowOff>57150</xdr:rowOff>
    </xdr:from>
    <xdr:to>
      <xdr:col>3</xdr:col>
      <xdr:colOff>581026</xdr:colOff>
      <xdr:row>73</xdr:row>
      <xdr:rowOff>0</xdr:rowOff>
    </xdr:to>
    <xdr:sp macro="" textlink="">
      <xdr:nvSpPr>
        <xdr:cNvPr id="5" name="TextBox 4"/>
        <xdr:cNvSpPr txBox="1"/>
      </xdr:nvSpPr>
      <xdr:spPr>
        <a:xfrm>
          <a:off x="3524250" y="13573125"/>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to moderate risk</a:t>
          </a:r>
          <a:endParaRPr lang="en-IN" sz="1100">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indexed="11"/>
    <pageSetUpPr fitToPage="1"/>
  </sheetPr>
  <dimension ref="A1:H92"/>
  <sheetViews>
    <sheetView tabSelected="1" zoomScaleNormal="100" workbookViewId="0">
      <selection sqref="A1:H1"/>
    </sheetView>
  </sheetViews>
  <sheetFormatPr defaultRowHeight="12.75" x14ac:dyDescent="0.2"/>
  <cols>
    <col min="1" max="1" width="47.7109375" style="71" customWidth="1"/>
    <col min="2" max="2" width="17" style="72" customWidth="1"/>
    <col min="3" max="3" width="13.42578125" style="73" customWidth="1"/>
    <col min="4" max="4" width="13" style="1" customWidth="1"/>
    <col min="5" max="5" width="10.7109375" style="1" customWidth="1"/>
    <col min="6" max="6" width="14.140625" style="1" customWidth="1"/>
    <col min="7" max="7" width="9.5703125" style="1" bestFit="1" customWidth="1"/>
    <col min="8" max="8" width="14.42578125" style="1" customWidth="1"/>
    <col min="9" max="16384" width="9.140625" style="1"/>
  </cols>
  <sheetData>
    <row r="1" spans="1:8" x14ac:dyDescent="0.2">
      <c r="A1" s="90" t="s">
        <v>0</v>
      </c>
      <c r="B1" s="90"/>
      <c r="C1" s="90"/>
      <c r="D1" s="90"/>
      <c r="E1" s="90"/>
      <c r="F1" s="90"/>
      <c r="G1" s="90"/>
      <c r="H1" s="90"/>
    </row>
    <row r="2" spans="1:8" ht="25.5" customHeight="1" x14ac:dyDescent="0.2">
      <c r="A2" s="91" t="s">
        <v>1</v>
      </c>
      <c r="B2" s="91"/>
      <c r="C2" s="91"/>
      <c r="D2" s="91"/>
      <c r="E2" s="91"/>
      <c r="F2" s="91"/>
      <c r="G2" s="91"/>
      <c r="H2" s="91"/>
    </row>
    <row r="3" spans="1:8" ht="12.75" customHeight="1" x14ac:dyDescent="0.2">
      <c r="A3" s="92" t="s">
        <v>94</v>
      </c>
      <c r="B3" s="92"/>
      <c r="C3" s="92"/>
      <c r="D3" s="92"/>
      <c r="E3" s="92"/>
      <c r="F3" s="92"/>
      <c r="G3" s="92"/>
      <c r="H3" s="92"/>
    </row>
    <row r="4" spans="1:8" s="4" customFormat="1" ht="25.5" x14ac:dyDescent="0.2">
      <c r="A4" s="2" t="s">
        <v>2</v>
      </c>
      <c r="B4" s="2" t="s">
        <v>3</v>
      </c>
      <c r="C4" s="3" t="s">
        <v>4</v>
      </c>
      <c r="D4" s="2" t="s">
        <v>5</v>
      </c>
      <c r="E4" s="2" t="s">
        <v>6</v>
      </c>
      <c r="F4" s="2" t="s">
        <v>7</v>
      </c>
      <c r="G4" s="2" t="s">
        <v>8</v>
      </c>
      <c r="H4" s="2" t="s">
        <v>9</v>
      </c>
    </row>
    <row r="5" spans="1:8" s="12" customFormat="1" ht="14.25" x14ac:dyDescent="0.3">
      <c r="A5" s="5" t="s">
        <v>10</v>
      </c>
      <c r="B5" s="6"/>
      <c r="C5" s="7"/>
      <c r="D5" s="8"/>
      <c r="E5" s="8"/>
      <c r="F5" s="9"/>
      <c r="G5" s="10"/>
      <c r="H5" s="11"/>
    </row>
    <row r="6" spans="1:8" s="12" customFormat="1" ht="14.25" x14ac:dyDescent="0.3">
      <c r="A6" s="5" t="s">
        <v>11</v>
      </c>
      <c r="B6" s="6"/>
      <c r="C6" s="7"/>
      <c r="D6" s="13"/>
      <c r="E6" s="13"/>
      <c r="F6" s="13"/>
      <c r="G6" s="10"/>
      <c r="H6" s="11"/>
    </row>
    <row r="7" spans="1:8" s="12" customFormat="1" ht="14.25" x14ac:dyDescent="0.3">
      <c r="A7" s="14" t="s">
        <v>92</v>
      </c>
      <c r="B7" s="15" t="s">
        <v>12</v>
      </c>
      <c r="C7" s="16">
        <v>100</v>
      </c>
      <c r="D7" s="17">
        <v>1002.256</v>
      </c>
      <c r="E7" s="17">
        <f t="shared" ref="E7:E18" si="0">(+D7/$D$49*100)</f>
        <v>7.7356003884397309</v>
      </c>
      <c r="F7" s="17" t="s">
        <v>13</v>
      </c>
      <c r="G7" s="10">
        <v>7.65</v>
      </c>
      <c r="H7" s="11"/>
    </row>
    <row r="8" spans="1:8" s="12" customFormat="1" ht="14.25" x14ac:dyDescent="0.3">
      <c r="A8" s="14" t="s">
        <v>14</v>
      </c>
      <c r="B8" s="15" t="s">
        <v>15</v>
      </c>
      <c r="C8" s="16">
        <v>900</v>
      </c>
      <c r="D8" s="17">
        <v>897.70500000000004</v>
      </c>
      <c r="E8" s="17">
        <f t="shared" si="0"/>
        <v>6.9286560985459698</v>
      </c>
      <c r="F8" s="17" t="s">
        <v>16</v>
      </c>
      <c r="G8" s="10">
        <v>8.0299999999999994</v>
      </c>
      <c r="H8" s="11"/>
    </row>
    <row r="9" spans="1:8" s="12" customFormat="1" ht="14.25" x14ac:dyDescent="0.3">
      <c r="A9" s="14" t="s">
        <v>17</v>
      </c>
      <c r="B9" s="15" t="s">
        <v>15</v>
      </c>
      <c r="C9" s="16">
        <v>80</v>
      </c>
      <c r="D9" s="17">
        <v>796.88559999999995</v>
      </c>
      <c r="E9" s="17">
        <f t="shared" si="0"/>
        <v>6.1505129995749863</v>
      </c>
      <c r="F9" s="17" t="s">
        <v>18</v>
      </c>
      <c r="G9" s="10">
        <v>7.9050000000000002</v>
      </c>
      <c r="H9" s="11"/>
    </row>
    <row r="10" spans="1:8" s="12" customFormat="1" ht="14.25" x14ac:dyDescent="0.3">
      <c r="A10" s="14" t="s">
        <v>93</v>
      </c>
      <c r="B10" s="15" t="s">
        <v>15</v>
      </c>
      <c r="C10" s="16">
        <v>750</v>
      </c>
      <c r="D10" s="17">
        <v>747.99749999999995</v>
      </c>
      <c r="E10" s="17">
        <f t="shared" si="0"/>
        <v>5.7731854451876039</v>
      </c>
      <c r="F10" s="17" t="s">
        <v>19</v>
      </c>
      <c r="G10" s="10">
        <v>7.78</v>
      </c>
      <c r="H10" s="11"/>
    </row>
    <row r="11" spans="1:8" s="12" customFormat="1" ht="14.25" x14ac:dyDescent="0.3">
      <c r="A11" s="14" t="s">
        <v>20</v>
      </c>
      <c r="B11" s="15" t="s">
        <v>15</v>
      </c>
      <c r="C11" s="16">
        <v>60</v>
      </c>
      <c r="D11" s="17">
        <v>587.6268</v>
      </c>
      <c r="E11" s="17">
        <f t="shared" si="0"/>
        <v>4.5354142078846085</v>
      </c>
      <c r="F11" s="17" t="s">
        <v>21</v>
      </c>
      <c r="G11" s="10">
        <v>7.915</v>
      </c>
      <c r="H11" s="11"/>
    </row>
    <row r="12" spans="1:8" s="12" customFormat="1" ht="14.25" x14ac:dyDescent="0.3">
      <c r="A12" s="14" t="s">
        <v>22</v>
      </c>
      <c r="B12" s="15" t="s">
        <v>12</v>
      </c>
      <c r="C12" s="16">
        <v>500</v>
      </c>
      <c r="D12" s="17">
        <v>499.96199999999999</v>
      </c>
      <c r="E12" s="17">
        <f t="shared" si="0"/>
        <v>3.8588007868300163</v>
      </c>
      <c r="F12" s="17" t="s">
        <v>23</v>
      </c>
      <c r="G12" s="10">
        <v>7.79</v>
      </c>
      <c r="H12" s="11"/>
    </row>
    <row r="13" spans="1:8" s="12" customFormat="1" ht="14.25" x14ac:dyDescent="0.3">
      <c r="A13" s="14" t="s">
        <v>24</v>
      </c>
      <c r="B13" s="15" t="s">
        <v>15</v>
      </c>
      <c r="C13" s="16">
        <v>50</v>
      </c>
      <c r="D13" s="17">
        <v>498.7955</v>
      </c>
      <c r="E13" s="17">
        <f t="shared" si="0"/>
        <v>3.849797520346089</v>
      </c>
      <c r="F13" s="17" t="s">
        <v>25</v>
      </c>
      <c r="G13" s="10">
        <v>8.1199999999999992</v>
      </c>
      <c r="H13" s="11"/>
    </row>
    <row r="14" spans="1:8" s="12" customFormat="1" ht="14.25" x14ac:dyDescent="0.3">
      <c r="A14" s="14" t="s">
        <v>26</v>
      </c>
      <c r="B14" s="15" t="s">
        <v>15</v>
      </c>
      <c r="C14" s="16">
        <v>500</v>
      </c>
      <c r="D14" s="17">
        <v>498.77949999999998</v>
      </c>
      <c r="E14" s="17">
        <f t="shared" si="0"/>
        <v>3.8496740293355938</v>
      </c>
      <c r="F14" s="17" t="s">
        <v>27</v>
      </c>
      <c r="G14" s="10">
        <v>8.1882000000000001</v>
      </c>
      <c r="H14" s="11"/>
    </row>
    <row r="15" spans="1:8" s="12" customFormat="1" ht="14.25" x14ac:dyDescent="0.3">
      <c r="A15" s="14" t="s">
        <v>28</v>
      </c>
      <c r="B15" s="15" t="s">
        <v>15</v>
      </c>
      <c r="C15" s="16">
        <v>500</v>
      </c>
      <c r="D15" s="17">
        <v>497.39400000000001</v>
      </c>
      <c r="E15" s="17">
        <f t="shared" si="0"/>
        <v>3.8389804796455111</v>
      </c>
      <c r="F15" s="17" t="s">
        <v>29</v>
      </c>
      <c r="G15" s="10">
        <v>7.7266000000000004</v>
      </c>
      <c r="H15" s="11"/>
    </row>
    <row r="16" spans="1:8" s="12" customFormat="1" ht="14.25" x14ac:dyDescent="0.3">
      <c r="A16" s="14" t="s">
        <v>22</v>
      </c>
      <c r="B16" s="15" t="s">
        <v>12</v>
      </c>
      <c r="C16" s="16">
        <v>50</v>
      </c>
      <c r="D16" s="17">
        <v>496.42700000000002</v>
      </c>
      <c r="E16" s="17">
        <f t="shared" si="0"/>
        <v>3.8315169916986984</v>
      </c>
      <c r="F16" s="17" t="s">
        <v>30</v>
      </c>
      <c r="G16" s="10">
        <v>7.82</v>
      </c>
      <c r="H16" s="11"/>
    </row>
    <row r="17" spans="1:8" s="12" customFormat="1" ht="14.25" x14ac:dyDescent="0.3">
      <c r="A17" s="14" t="s">
        <v>31</v>
      </c>
      <c r="B17" s="15" t="s">
        <v>15</v>
      </c>
      <c r="C17" s="16">
        <v>50</v>
      </c>
      <c r="D17" s="17">
        <v>482.75549999999998</v>
      </c>
      <c r="E17" s="17">
        <f t="shared" si="0"/>
        <v>3.7259977823244923</v>
      </c>
      <c r="F17" s="17" t="s">
        <v>32</v>
      </c>
      <c r="G17" s="10">
        <v>8</v>
      </c>
      <c r="H17" s="11"/>
    </row>
    <row r="18" spans="1:8" s="12" customFormat="1" ht="14.25" x14ac:dyDescent="0.3">
      <c r="A18" s="14" t="s">
        <v>33</v>
      </c>
      <c r="B18" s="15" t="s">
        <v>15</v>
      </c>
      <c r="C18" s="16">
        <v>35</v>
      </c>
      <c r="D18" s="17">
        <v>353.72365000000002</v>
      </c>
      <c r="E18" s="17">
        <f t="shared" si="0"/>
        <v>2.7301056859129003</v>
      </c>
      <c r="F18" s="17" t="s">
        <v>34</v>
      </c>
      <c r="G18" s="10">
        <v>7.6680999999999999</v>
      </c>
      <c r="H18" s="11"/>
    </row>
    <row r="19" spans="1:8" s="12" customFormat="1" ht="14.25" x14ac:dyDescent="0.3">
      <c r="A19" s="5" t="s">
        <v>35</v>
      </c>
      <c r="B19" s="6"/>
      <c r="C19" s="18"/>
      <c r="D19" s="8">
        <f>IF(ISERROR(SUM(D7:D18)),0,SUM(D7:D18))</f>
        <v>7360.3080499999996</v>
      </c>
      <c r="E19" s="8">
        <f>IF(ISERROR(SUM(E7:E18)),0,SUM(E7:E18))</f>
        <v>56.808242415726205</v>
      </c>
      <c r="F19" s="8"/>
      <c r="G19" s="10"/>
      <c r="H19" s="11"/>
    </row>
    <row r="20" spans="1:8" s="12" customFormat="1" ht="14.25" x14ac:dyDescent="0.3">
      <c r="A20" s="5"/>
      <c r="B20" s="6"/>
      <c r="C20" s="18"/>
      <c r="D20" s="13"/>
      <c r="E20" s="13"/>
      <c r="F20" s="13"/>
      <c r="G20" s="10"/>
      <c r="H20" s="11"/>
    </row>
    <row r="21" spans="1:8" s="12" customFormat="1" ht="14.25" x14ac:dyDescent="0.3">
      <c r="A21" s="5" t="s">
        <v>36</v>
      </c>
      <c r="B21" s="6"/>
      <c r="C21" s="18"/>
      <c r="D21" s="8"/>
      <c r="E21" s="8"/>
      <c r="F21" s="9"/>
      <c r="G21" s="10"/>
      <c r="H21" s="11"/>
    </row>
    <row r="22" spans="1:8" s="12" customFormat="1" ht="14.25" x14ac:dyDescent="0.3">
      <c r="A22" s="5"/>
      <c r="B22" s="6"/>
      <c r="C22" s="18"/>
      <c r="D22" s="13"/>
      <c r="E22" s="13"/>
      <c r="F22" s="13"/>
      <c r="G22" s="10"/>
      <c r="H22" s="11"/>
    </row>
    <row r="23" spans="1:8" s="12" customFormat="1" ht="14.25" x14ac:dyDescent="0.3">
      <c r="A23" s="5" t="s">
        <v>37</v>
      </c>
      <c r="B23" s="6"/>
      <c r="C23" s="18"/>
      <c r="D23" s="8">
        <f>IF(ISERROR(+D19),0,D19)+IF(ISERROR(+#REF!),0,#REF!)+IF(ISERROR(+#REF!),0,#REF!)</f>
        <v>7360.3080499999996</v>
      </c>
      <c r="E23" s="8">
        <f>IF(ISERROR(+E19),0,E19)+IF(ISERROR(+#REF!),0,#REF!)+IF(ISERROR(+#REF!),0,#REF!)</f>
        <v>56.808242415726205</v>
      </c>
      <c r="F23" s="8">
        <f>IF(ISERROR(+F19),0,F19)+IF(ISERROR(+#REF!),0,#REF!)+IF(ISERROR(+#REF!),0,#REF!)</f>
        <v>0</v>
      </c>
      <c r="G23" s="10"/>
      <c r="H23" s="11"/>
    </row>
    <row r="24" spans="1:8" s="12" customFormat="1" ht="14.25" x14ac:dyDescent="0.3">
      <c r="A24" s="5"/>
      <c r="B24" s="6"/>
      <c r="C24" s="18"/>
      <c r="D24" s="8"/>
      <c r="E24" s="8"/>
      <c r="F24" s="8"/>
      <c r="G24" s="10"/>
      <c r="H24" s="11"/>
    </row>
    <row r="25" spans="1:8" s="12" customFormat="1" ht="14.25" x14ac:dyDescent="0.3">
      <c r="A25" s="5" t="s">
        <v>38</v>
      </c>
      <c r="B25" s="6"/>
      <c r="C25" s="18"/>
      <c r="D25" s="8"/>
      <c r="E25" s="8"/>
      <c r="F25" s="8"/>
      <c r="G25" s="10"/>
      <c r="H25" s="11"/>
    </row>
    <row r="26" spans="1:8" s="12" customFormat="1" ht="14.25" x14ac:dyDescent="0.3">
      <c r="A26" s="5"/>
      <c r="B26" s="6"/>
      <c r="C26" s="18"/>
      <c r="D26" s="17"/>
      <c r="E26" s="17"/>
      <c r="F26" s="19"/>
      <c r="G26" s="10"/>
      <c r="H26" s="11"/>
    </row>
    <row r="27" spans="1:8" s="12" customFormat="1" ht="14.25" x14ac:dyDescent="0.3">
      <c r="A27" s="5" t="s">
        <v>39</v>
      </c>
      <c r="B27" s="6"/>
      <c r="C27" s="18"/>
      <c r="D27" s="8" t="s">
        <v>40</v>
      </c>
      <c r="E27" s="8" t="s">
        <v>40</v>
      </c>
      <c r="F27" s="8"/>
      <c r="G27" s="10"/>
      <c r="H27" s="11"/>
    </row>
    <row r="28" spans="1:8" s="12" customFormat="1" ht="14.25" x14ac:dyDescent="0.3">
      <c r="A28" s="5"/>
      <c r="B28" s="6"/>
      <c r="C28" s="18"/>
      <c r="D28" s="8"/>
      <c r="E28" s="8"/>
      <c r="F28" s="8"/>
      <c r="G28" s="10"/>
      <c r="H28" s="11"/>
    </row>
    <row r="29" spans="1:8" s="12" customFormat="1" ht="14.25" x14ac:dyDescent="0.3">
      <c r="A29" s="5" t="s">
        <v>41</v>
      </c>
      <c r="B29" s="6"/>
      <c r="C29" s="18"/>
      <c r="D29" s="8" t="s">
        <v>40</v>
      </c>
      <c r="E29" s="8" t="s">
        <v>40</v>
      </c>
      <c r="F29" s="8"/>
      <c r="G29" s="10"/>
      <c r="H29" s="11"/>
    </row>
    <row r="30" spans="1:8" s="12" customFormat="1" ht="14.25" x14ac:dyDescent="0.3">
      <c r="A30" s="5"/>
      <c r="B30" s="6"/>
      <c r="C30" s="18"/>
      <c r="D30" s="8"/>
      <c r="E30" s="8"/>
      <c r="F30" s="8"/>
      <c r="G30" s="10"/>
      <c r="H30" s="11"/>
    </row>
    <row r="31" spans="1:8" s="12" customFormat="1" ht="14.25" x14ac:dyDescent="0.3">
      <c r="A31" s="5" t="s">
        <v>42</v>
      </c>
      <c r="B31" s="6"/>
      <c r="C31" s="18"/>
      <c r="D31" s="8"/>
      <c r="E31" s="8"/>
      <c r="F31" s="8"/>
      <c r="G31" s="10"/>
      <c r="H31" s="11"/>
    </row>
    <row r="32" spans="1:8" s="12" customFormat="1" ht="14.25" x14ac:dyDescent="0.3">
      <c r="A32" s="14" t="s">
        <v>43</v>
      </c>
      <c r="B32" s="15" t="s">
        <v>44</v>
      </c>
      <c r="C32" s="16">
        <v>1600000</v>
      </c>
      <c r="D32" s="17">
        <v>1610.3391999999999</v>
      </c>
      <c r="E32" s="17">
        <f>(+D32/$D$49*100)</f>
        <v>12.428900940517916</v>
      </c>
      <c r="F32" s="17" t="s">
        <v>45</v>
      </c>
      <c r="G32" s="10">
        <v>7.1978999999999997</v>
      </c>
      <c r="H32" s="11"/>
    </row>
    <row r="33" spans="1:8" s="12" customFormat="1" ht="14.25" x14ac:dyDescent="0.3">
      <c r="A33" s="14" t="s">
        <v>46</v>
      </c>
      <c r="B33" s="15" t="s">
        <v>44</v>
      </c>
      <c r="C33" s="16">
        <v>1500000</v>
      </c>
      <c r="D33" s="17">
        <v>1493.922</v>
      </c>
      <c r="E33" s="17">
        <f>(+D33/$D$49*100)</f>
        <v>11.530371086327904</v>
      </c>
      <c r="F33" s="17" t="s">
        <v>47</v>
      </c>
      <c r="G33" s="10">
        <v>7.1974999999999998</v>
      </c>
      <c r="H33" s="11"/>
    </row>
    <row r="34" spans="1:8" s="12" customFormat="1" ht="14.25" x14ac:dyDescent="0.3">
      <c r="A34" s="14" t="s">
        <v>48</v>
      </c>
      <c r="B34" s="15" t="s">
        <v>44</v>
      </c>
      <c r="C34" s="16">
        <v>1000000</v>
      </c>
      <c r="D34" s="17">
        <v>995.4</v>
      </c>
      <c r="E34" s="17">
        <f>(+D34/$D$49*100)</f>
        <v>7.6826844904424689</v>
      </c>
      <c r="F34" s="17" t="s">
        <v>49</v>
      </c>
      <c r="G34" s="10">
        <v>7.1942000000000004</v>
      </c>
      <c r="H34" s="11"/>
    </row>
    <row r="35" spans="1:8" s="12" customFormat="1" ht="14.25" x14ac:dyDescent="0.3">
      <c r="A35" s="14" t="s">
        <v>50</v>
      </c>
      <c r="B35" s="15" t="s">
        <v>44</v>
      </c>
      <c r="C35" s="16">
        <v>400000</v>
      </c>
      <c r="D35" s="17">
        <v>402.06079999999997</v>
      </c>
      <c r="E35" s="17">
        <f>(+D35/$D$49*100)</f>
        <v>3.1031809045357561</v>
      </c>
      <c r="F35" s="17" t="s">
        <v>51</v>
      </c>
      <c r="G35" s="10">
        <v>7.1889000000000003</v>
      </c>
      <c r="H35" s="11"/>
    </row>
    <row r="36" spans="1:8" s="12" customFormat="1" ht="14.25" x14ac:dyDescent="0.3">
      <c r="A36" s="5" t="s">
        <v>35</v>
      </c>
      <c r="B36" s="6"/>
      <c r="C36" s="18"/>
      <c r="D36" s="8">
        <f>IF(ISERROR(SUM(D32:D35)),0,SUM(D32:D35))</f>
        <v>4501.7219999999998</v>
      </c>
      <c r="E36" s="8">
        <f>IF(ISERROR(SUM(E32:E35)),0,SUM(E32:E35))</f>
        <v>34.745137421824047</v>
      </c>
      <c r="F36" s="20"/>
      <c r="G36" s="10"/>
      <c r="H36" s="11"/>
    </row>
    <row r="37" spans="1:8" s="12" customFormat="1" ht="14.25" x14ac:dyDescent="0.3">
      <c r="A37" s="5"/>
      <c r="B37" s="6"/>
      <c r="C37" s="18"/>
      <c r="D37" s="8"/>
      <c r="E37" s="8"/>
      <c r="F37" s="8"/>
      <c r="G37" s="10"/>
      <c r="H37" s="11"/>
    </row>
    <row r="38" spans="1:8" s="12" customFormat="1" ht="14.25" x14ac:dyDescent="0.3">
      <c r="A38" s="5" t="s">
        <v>52</v>
      </c>
      <c r="B38" s="6"/>
      <c r="C38" s="18"/>
      <c r="D38" s="8"/>
      <c r="E38" s="8"/>
      <c r="F38" s="9"/>
      <c r="G38" s="10"/>
      <c r="H38" s="11"/>
    </row>
    <row r="39" spans="1:8" s="12" customFormat="1" ht="14.25" x14ac:dyDescent="0.3">
      <c r="A39" s="14" t="s">
        <v>53</v>
      </c>
      <c r="B39" s="15"/>
      <c r="C39" s="16">
        <v>0</v>
      </c>
      <c r="D39" s="17">
        <v>918.82579409999994</v>
      </c>
      <c r="E39" s="17">
        <f>(+D39/$D$49*100)</f>
        <v>7.0916703614130565</v>
      </c>
      <c r="F39" s="17" t="s">
        <v>54</v>
      </c>
      <c r="G39" s="10">
        <v>6.6520999999999999</v>
      </c>
      <c r="H39" s="11"/>
    </row>
    <row r="40" spans="1:8" s="12" customFormat="1" ht="14.25" x14ac:dyDescent="0.3">
      <c r="A40" s="5" t="s">
        <v>35</v>
      </c>
      <c r="B40" s="6"/>
      <c r="C40" s="18"/>
      <c r="D40" s="8">
        <f>IF(ISERROR(SUM(D39:D39)),0,SUM(D39:D39))</f>
        <v>918.82579409999994</v>
      </c>
      <c r="E40" s="8">
        <f>IF(ISERROR(SUM(E39:E39)),0,SUM(E39:E39))</f>
        <v>7.0916703614130565</v>
      </c>
      <c r="F40" s="17"/>
      <c r="G40" s="10"/>
      <c r="H40" s="11"/>
    </row>
    <row r="41" spans="1:8" s="12" customFormat="1" ht="14.25" x14ac:dyDescent="0.3">
      <c r="A41" s="22" t="s">
        <v>55</v>
      </c>
      <c r="B41" s="6"/>
      <c r="C41" s="18"/>
      <c r="D41" s="8"/>
      <c r="E41" s="8"/>
      <c r="F41" s="8"/>
      <c r="G41" s="10"/>
      <c r="H41" s="11"/>
    </row>
    <row r="42" spans="1:8" s="12" customFormat="1" ht="14.25" x14ac:dyDescent="0.3">
      <c r="A42" s="23" t="s">
        <v>56</v>
      </c>
      <c r="B42" s="15"/>
      <c r="C42" s="16">
        <v>325.18400000000003</v>
      </c>
      <c r="D42" s="17">
        <v>33.211221421567998</v>
      </c>
      <c r="E42" s="17">
        <f>(+D42/$D$49*100)</f>
        <v>0.25633045582090735</v>
      </c>
      <c r="F42" s="17" t="s">
        <v>57</v>
      </c>
      <c r="G42" s="10">
        <v>6.94</v>
      </c>
      <c r="H42" s="11"/>
    </row>
    <row r="43" spans="1:8" s="12" customFormat="1" ht="14.25" x14ac:dyDescent="0.3">
      <c r="A43" s="5" t="s">
        <v>35</v>
      </c>
      <c r="B43" s="6"/>
      <c r="C43" s="18"/>
      <c r="D43" s="8">
        <f>IF(ISERROR(SUM(D42:D42)),0,SUM(D42:D42))</f>
        <v>33.211221421567998</v>
      </c>
      <c r="E43" s="8">
        <f>IF(ISERROR(SUM(E42:E42)),0,SUM(E42:E42))</f>
        <v>0.25633045582090735</v>
      </c>
      <c r="F43" s="17"/>
      <c r="G43" s="10"/>
      <c r="H43" s="11"/>
    </row>
    <row r="44" spans="1:8" s="12" customFormat="1" ht="14.25" x14ac:dyDescent="0.3">
      <c r="A44" s="5"/>
      <c r="B44" s="6"/>
      <c r="C44" s="18"/>
      <c r="D44" s="8"/>
      <c r="E44" s="8"/>
      <c r="F44" s="9"/>
      <c r="G44" s="10"/>
      <c r="H44" s="11"/>
    </row>
    <row r="45" spans="1:8" s="12" customFormat="1" ht="14.25" x14ac:dyDescent="0.3">
      <c r="A45" s="5" t="s">
        <v>37</v>
      </c>
      <c r="B45" s="6"/>
      <c r="C45" s="18" t="s">
        <v>58</v>
      </c>
      <c r="D45" s="8">
        <f>+IF(ISERROR(D23),0,D23)+IF(ISERROR(D40),0,D40)+IF(ISERROR(#REF!),0,#REF!)+IF(ISERROR(#REF!),0,#REF!)+IF(ISERROR(D36),0,D36)+IF(ISERROR(#REF!),0,#REF!)+IF(ISERROR(#REF!),0,#REF!)+IF(ISERROR(#REF!),0,#REF!)+IF(ISERROR(#REF!),0,#REF!)+IF(ISERROR(D43),0,D43)</f>
        <v>12814.067065521567</v>
      </c>
      <c r="E45" s="8">
        <f>+IF(ISERROR(E23),0,E23)+IF(ISERROR(E40),0,E40)+IF(ISERROR(#REF!),0,#REF!)+IF(ISERROR(#REF!),0,#REF!)+IF(ISERROR(E36),0,E36)+IF(ISERROR(#REF!),0,#REF!)+IF(ISERROR(#REF!),0,#REF!)+IF(ISERROR(#REF!),0,#REF!)+IF(ISERROR(#REF!),0,#REF!)+IF(ISERROR(E43),0,E43)</f>
        <v>98.901380654784205</v>
      </c>
      <c r="F45" s="8"/>
      <c r="G45" s="10"/>
      <c r="H45" s="11"/>
    </row>
    <row r="46" spans="1:8" s="12" customFormat="1" ht="14.25" x14ac:dyDescent="0.3">
      <c r="A46" s="5"/>
      <c r="B46" s="6"/>
      <c r="C46" s="18"/>
      <c r="D46" s="8"/>
      <c r="E46" s="8"/>
      <c r="F46" s="24"/>
      <c r="G46" s="25"/>
      <c r="H46" s="21"/>
    </row>
    <row r="47" spans="1:8" s="12" customFormat="1" ht="14.25" x14ac:dyDescent="0.3">
      <c r="A47" s="5" t="s">
        <v>59</v>
      </c>
      <c r="B47" s="6"/>
      <c r="C47" s="18"/>
      <c r="D47" s="8">
        <f>+D49-D45</f>
        <v>142.3416121784303</v>
      </c>
      <c r="E47" s="8">
        <f>D47/$D$49*100</f>
        <v>1.098619345215796</v>
      </c>
      <c r="F47" s="24"/>
      <c r="G47" s="25"/>
      <c r="H47" s="21"/>
    </row>
    <row r="48" spans="1:8" s="12" customFormat="1" ht="14.25" x14ac:dyDescent="0.3">
      <c r="A48" s="5"/>
      <c r="B48" s="6"/>
      <c r="C48" s="18"/>
      <c r="D48" s="13"/>
      <c r="E48" s="13"/>
      <c r="F48" s="24"/>
      <c r="G48" s="25"/>
      <c r="H48" s="21"/>
    </row>
    <row r="49" spans="1:8" s="12" customFormat="1" ht="14.25" x14ac:dyDescent="0.3">
      <c r="A49" s="5" t="s">
        <v>60</v>
      </c>
      <c r="B49" s="6"/>
      <c r="C49" s="18"/>
      <c r="D49" s="8">
        <v>12956.408677699997</v>
      </c>
      <c r="E49" s="8">
        <f>+E45+E47</f>
        <v>100</v>
      </c>
      <c r="F49" s="24"/>
      <c r="G49" s="25"/>
      <c r="H49" s="21"/>
    </row>
    <row r="50" spans="1:8" s="12" customFormat="1" ht="14.25" x14ac:dyDescent="0.3">
      <c r="A50" s="26"/>
      <c r="B50" s="27"/>
      <c r="C50" s="28"/>
      <c r="D50" s="29"/>
      <c r="E50" s="29"/>
      <c r="F50" s="24"/>
      <c r="G50" s="25"/>
      <c r="H50" s="21"/>
    </row>
    <row r="51" spans="1:8" ht="13.5" x14ac:dyDescent="0.2">
      <c r="A51" s="30" t="s">
        <v>61</v>
      </c>
      <c r="B51" s="31"/>
      <c r="C51" s="32"/>
      <c r="D51" s="33"/>
      <c r="E51" s="33"/>
      <c r="F51" s="34"/>
      <c r="G51" s="34"/>
      <c r="H51" s="35"/>
    </row>
    <row r="52" spans="1:8" ht="13.5" x14ac:dyDescent="0.2">
      <c r="A52" s="30"/>
      <c r="B52" s="31"/>
      <c r="C52" s="32"/>
      <c r="D52" s="33"/>
      <c r="E52" s="33"/>
      <c r="F52" s="34"/>
      <c r="G52" s="34"/>
      <c r="H52" s="35"/>
    </row>
    <row r="53" spans="1:8" ht="13.5" x14ac:dyDescent="0.2">
      <c r="A53" s="93" t="s">
        <v>62</v>
      </c>
      <c r="B53" s="93"/>
      <c r="C53" s="93"/>
      <c r="D53" s="93"/>
      <c r="E53" s="93"/>
      <c r="F53" s="93"/>
      <c r="G53" s="93"/>
      <c r="H53" s="93"/>
    </row>
    <row r="54" spans="1:8" ht="26.25" customHeight="1" x14ac:dyDescent="0.2">
      <c r="A54" s="93" t="s">
        <v>63</v>
      </c>
      <c r="B54" s="93"/>
      <c r="C54" s="93"/>
      <c r="D54" s="93"/>
      <c r="E54" s="93"/>
      <c r="F54" s="93"/>
      <c r="G54" s="79"/>
      <c r="H54" s="79"/>
    </row>
    <row r="55" spans="1:8" ht="13.5" x14ac:dyDescent="0.2">
      <c r="A55" s="89" t="s">
        <v>64</v>
      </c>
      <c r="B55" s="89"/>
      <c r="C55" s="89"/>
      <c r="D55" s="89"/>
      <c r="E55" s="89"/>
      <c r="F55" s="89"/>
      <c r="G55" s="89"/>
      <c r="H55" s="89"/>
    </row>
    <row r="56" spans="1:8" ht="53.25" customHeight="1" x14ac:dyDescent="0.2">
      <c r="A56" s="78" t="s">
        <v>65</v>
      </c>
      <c r="B56" s="78"/>
      <c r="C56" s="78"/>
      <c r="D56" s="78"/>
      <c r="E56" s="78"/>
      <c r="F56" s="78"/>
      <c r="G56" s="79"/>
      <c r="H56" s="79"/>
    </row>
    <row r="57" spans="1:8" ht="13.5" x14ac:dyDescent="0.2">
      <c r="A57" s="74"/>
      <c r="B57" s="74"/>
      <c r="C57" s="74"/>
      <c r="D57" s="74"/>
      <c r="E57" s="74"/>
      <c r="F57" s="74"/>
      <c r="G57" s="75"/>
      <c r="H57" s="75"/>
    </row>
    <row r="58" spans="1:8" ht="14.25" x14ac:dyDescent="0.3">
      <c r="A58" s="36" t="s">
        <v>66</v>
      </c>
      <c r="B58" s="37"/>
      <c r="C58" s="38"/>
      <c r="D58" s="21"/>
      <c r="E58" s="25"/>
      <c r="F58" s="25"/>
      <c r="G58" s="21"/>
      <c r="H58" s="21"/>
    </row>
    <row r="59" spans="1:8" ht="14.25" x14ac:dyDescent="0.3">
      <c r="A59" s="39" t="s">
        <v>67</v>
      </c>
      <c r="B59" s="40"/>
      <c r="C59" s="40"/>
      <c r="D59" s="21"/>
      <c r="E59" s="25"/>
      <c r="F59" s="25"/>
      <c r="G59" s="21"/>
      <c r="H59" s="21"/>
    </row>
    <row r="60" spans="1:8" ht="14.25" x14ac:dyDescent="0.3">
      <c r="A60" s="39" t="s">
        <v>68</v>
      </c>
      <c r="B60" s="39"/>
      <c r="C60" s="39"/>
      <c r="D60" s="21"/>
      <c r="E60" s="25"/>
      <c r="F60" s="25"/>
      <c r="G60" s="21"/>
      <c r="H60" s="21"/>
    </row>
    <row r="61" spans="1:8" ht="14.25" x14ac:dyDescent="0.3">
      <c r="A61" s="41" t="s">
        <v>69</v>
      </c>
      <c r="B61" s="40"/>
      <c r="C61" s="40"/>
      <c r="D61" s="21"/>
      <c r="E61" s="25"/>
      <c r="F61" s="25"/>
      <c r="G61" s="21"/>
      <c r="H61" s="21"/>
    </row>
    <row r="62" spans="1:8" ht="14.25" x14ac:dyDescent="0.3">
      <c r="A62" s="42"/>
      <c r="B62" s="42"/>
      <c r="C62" s="42"/>
      <c r="D62" s="42"/>
      <c r="E62" s="25"/>
      <c r="F62" s="25"/>
      <c r="G62" s="21"/>
      <c r="H62" s="21"/>
    </row>
    <row r="63" spans="1:8" ht="14.25" x14ac:dyDescent="0.3">
      <c r="A63" s="43" t="s">
        <v>70</v>
      </c>
      <c r="B63" s="80" t="s">
        <v>71</v>
      </c>
      <c r="C63" s="81"/>
      <c r="D63" s="81"/>
      <c r="E63" s="44"/>
      <c r="F63" s="25"/>
      <c r="G63" s="21"/>
      <c r="H63" s="21"/>
    </row>
    <row r="64" spans="1:8" ht="14.25" x14ac:dyDescent="0.3">
      <c r="A64" s="45"/>
      <c r="B64" s="46"/>
      <c r="C64" s="47"/>
      <c r="D64" s="21"/>
      <c r="E64" s="25"/>
      <c r="F64" s="25"/>
      <c r="G64" s="21"/>
      <c r="H64" s="21"/>
    </row>
    <row r="65" spans="1:8" ht="14.25" x14ac:dyDescent="0.3">
      <c r="A65" s="45"/>
      <c r="B65" s="46"/>
      <c r="C65" s="47"/>
      <c r="D65" s="21"/>
      <c r="E65" s="25"/>
      <c r="F65" s="25"/>
      <c r="G65" s="21"/>
      <c r="H65" s="21"/>
    </row>
    <row r="66" spans="1:8" ht="14.25" x14ac:dyDescent="0.3">
      <c r="A66" s="45"/>
      <c r="B66" s="46"/>
      <c r="C66" s="47"/>
      <c r="D66" s="21"/>
      <c r="E66" s="25"/>
      <c r="F66" s="25"/>
      <c r="G66" s="21"/>
      <c r="H66" s="21"/>
    </row>
    <row r="67" spans="1:8" ht="14.25" x14ac:dyDescent="0.3">
      <c r="A67" s="45"/>
      <c r="B67" s="46"/>
      <c r="C67" s="47"/>
      <c r="D67" s="21"/>
      <c r="E67" s="25"/>
      <c r="F67" s="25"/>
      <c r="G67" s="21"/>
      <c r="H67" s="21"/>
    </row>
    <row r="68" spans="1:8" ht="14.25" x14ac:dyDescent="0.3">
      <c r="A68" s="45"/>
      <c r="B68" s="46"/>
      <c r="C68" s="47"/>
      <c r="D68" s="21"/>
      <c r="E68" s="25"/>
      <c r="F68" s="25"/>
      <c r="G68" s="21"/>
      <c r="H68" s="21"/>
    </row>
    <row r="69" spans="1:8" ht="14.25" x14ac:dyDescent="0.3">
      <c r="A69" s="45"/>
      <c r="B69" s="46"/>
      <c r="C69" s="47"/>
      <c r="D69" s="21"/>
      <c r="E69" s="25"/>
      <c r="F69" s="25"/>
      <c r="G69" s="21"/>
      <c r="H69" s="21"/>
    </row>
    <row r="70" spans="1:8" ht="14.25" x14ac:dyDescent="0.3">
      <c r="A70" s="45"/>
      <c r="B70" s="46"/>
      <c r="C70" s="47"/>
      <c r="D70" s="21"/>
      <c r="E70" s="25"/>
      <c r="F70" s="25"/>
      <c r="G70" s="21"/>
      <c r="H70" s="21"/>
    </row>
    <row r="71" spans="1:8" ht="14.25" x14ac:dyDescent="0.3">
      <c r="A71" s="41"/>
      <c r="B71" s="46"/>
      <c r="C71" s="47"/>
      <c r="D71" s="21"/>
      <c r="E71" s="25"/>
      <c r="F71" s="25"/>
      <c r="G71" s="21"/>
      <c r="H71" s="21"/>
    </row>
    <row r="72" spans="1:8" ht="14.25" x14ac:dyDescent="0.3">
      <c r="A72" s="41"/>
      <c r="B72" s="46"/>
      <c r="C72" s="47"/>
      <c r="D72" s="21"/>
      <c r="E72" s="25"/>
      <c r="F72" s="25"/>
      <c r="G72" s="21"/>
      <c r="H72" s="21"/>
    </row>
    <row r="73" spans="1:8" ht="14.25" x14ac:dyDescent="0.3">
      <c r="A73" s="41"/>
      <c r="B73" s="46"/>
      <c r="C73" s="47"/>
      <c r="D73" s="21"/>
      <c r="E73" s="25"/>
      <c r="F73" s="25"/>
      <c r="G73" s="21"/>
      <c r="H73" s="21"/>
    </row>
    <row r="74" spans="1:8" ht="15" thickBot="1" x14ac:dyDescent="0.35">
      <c r="A74" s="48"/>
      <c r="B74" s="49"/>
      <c r="C74" s="50"/>
      <c r="D74" s="51"/>
      <c r="E74" s="25"/>
      <c r="F74" s="25"/>
      <c r="G74" s="21"/>
      <c r="H74" s="21"/>
    </row>
    <row r="75" spans="1:8" ht="15" thickBot="1" x14ac:dyDescent="0.35">
      <c r="A75" s="82" t="s">
        <v>72</v>
      </c>
      <c r="B75" s="83"/>
      <c r="C75" s="83"/>
      <c r="D75" s="84"/>
      <c r="E75" s="25"/>
      <c r="F75" s="25"/>
      <c r="G75" s="21"/>
      <c r="H75" s="21"/>
    </row>
    <row r="76" spans="1:8" ht="15" thickBot="1" x14ac:dyDescent="0.35">
      <c r="A76" s="52" t="s">
        <v>73</v>
      </c>
      <c r="B76" s="85" t="s">
        <v>74</v>
      </c>
      <c r="C76" s="87" t="s">
        <v>75</v>
      </c>
      <c r="D76" s="85" t="s">
        <v>76</v>
      </c>
      <c r="E76" s="25"/>
      <c r="F76" s="25"/>
      <c r="G76" s="21"/>
      <c r="H76" s="21"/>
    </row>
    <row r="77" spans="1:8" ht="15" thickBot="1" x14ac:dyDescent="0.35">
      <c r="A77" s="52" t="s">
        <v>77</v>
      </c>
      <c r="B77" s="86"/>
      <c r="C77" s="88"/>
      <c r="D77" s="86"/>
      <c r="E77" s="25"/>
      <c r="F77" s="25"/>
      <c r="G77" s="21"/>
      <c r="H77" s="21"/>
    </row>
    <row r="78" spans="1:8" ht="15" thickBot="1" x14ac:dyDescent="0.35">
      <c r="A78" s="53" t="s">
        <v>78</v>
      </c>
      <c r="B78" s="54"/>
      <c r="C78" s="54"/>
      <c r="D78" s="54"/>
      <c r="E78" s="25"/>
      <c r="F78" s="25"/>
      <c r="G78" s="21"/>
      <c r="H78" s="21"/>
    </row>
    <row r="79" spans="1:8" ht="15" thickBot="1" x14ac:dyDescent="0.35">
      <c r="A79" s="53" t="s">
        <v>79</v>
      </c>
      <c r="B79" s="54"/>
      <c r="C79" s="55" t="s">
        <v>80</v>
      </c>
      <c r="D79" s="54"/>
      <c r="E79" s="25"/>
      <c r="F79" s="25"/>
      <c r="G79" s="21"/>
      <c r="H79" s="21"/>
    </row>
    <row r="80" spans="1:8" ht="15" thickBot="1" x14ac:dyDescent="0.35">
      <c r="A80" s="53" t="s">
        <v>81</v>
      </c>
      <c r="B80" s="54"/>
      <c r="C80" s="55"/>
      <c r="D80" s="54"/>
      <c r="E80" s="25"/>
      <c r="F80" s="25"/>
      <c r="G80" s="21"/>
      <c r="H80" s="21"/>
    </row>
    <row r="81" spans="1:8" ht="14.25" x14ac:dyDescent="0.3">
      <c r="A81" s="41"/>
      <c r="B81" s="56"/>
      <c r="C81" s="57"/>
      <c r="D81" s="56"/>
      <c r="E81" s="25"/>
      <c r="F81" s="25"/>
      <c r="G81" s="21"/>
      <c r="H81" s="21"/>
    </row>
    <row r="82" spans="1:8" ht="14.25" x14ac:dyDescent="0.3">
      <c r="A82" s="76" t="s">
        <v>82</v>
      </c>
      <c r="B82" s="77"/>
      <c r="C82" s="21"/>
      <c r="D82" s="21"/>
      <c r="E82" s="21"/>
      <c r="F82" s="21"/>
      <c r="G82" s="21"/>
      <c r="H82" s="21"/>
    </row>
    <row r="83" spans="1:8" ht="27" x14ac:dyDescent="0.3">
      <c r="A83" s="58" t="s">
        <v>83</v>
      </c>
      <c r="B83" s="59" t="s">
        <v>84</v>
      </c>
      <c r="C83" s="21"/>
      <c r="D83" s="21"/>
      <c r="E83" s="21"/>
      <c r="F83" s="21"/>
      <c r="G83" s="21"/>
      <c r="H83" s="21"/>
    </row>
    <row r="84" spans="1:8" ht="14.25" x14ac:dyDescent="0.3">
      <c r="A84" s="60" t="s">
        <v>85</v>
      </c>
      <c r="B84" s="61"/>
      <c r="C84" s="21"/>
      <c r="D84" s="21"/>
      <c r="E84" s="21"/>
      <c r="F84" s="21"/>
      <c r="G84" s="21"/>
      <c r="H84" s="21"/>
    </row>
    <row r="85" spans="1:8" ht="14.25" x14ac:dyDescent="0.3">
      <c r="A85" s="60"/>
      <c r="B85" s="61" t="s">
        <v>58</v>
      </c>
      <c r="C85" s="21"/>
      <c r="D85" s="21"/>
      <c r="E85" s="21"/>
      <c r="F85" s="21"/>
      <c r="G85" s="21"/>
      <c r="H85" s="21"/>
    </row>
    <row r="86" spans="1:8" ht="14.25" x14ac:dyDescent="0.3">
      <c r="A86" s="60" t="s">
        <v>86</v>
      </c>
      <c r="B86" s="62">
        <v>7.5999999999999998E-2</v>
      </c>
      <c r="C86" s="21"/>
      <c r="D86" s="21"/>
      <c r="E86" s="21"/>
      <c r="F86" s="21"/>
      <c r="G86" s="21"/>
      <c r="H86" s="21"/>
    </row>
    <row r="87" spans="1:8" ht="14.25" x14ac:dyDescent="0.3">
      <c r="A87" s="60" t="s">
        <v>58</v>
      </c>
      <c r="B87" s="63"/>
      <c r="C87" s="21"/>
      <c r="D87" s="21"/>
      <c r="E87" s="21"/>
      <c r="F87" s="21"/>
      <c r="G87" s="21"/>
      <c r="H87" s="21"/>
    </row>
    <row r="88" spans="1:8" ht="14.25" x14ac:dyDescent="0.3">
      <c r="A88" s="60" t="s">
        <v>87</v>
      </c>
      <c r="B88" s="64">
        <v>2.5011999999999999</v>
      </c>
      <c r="C88" s="65"/>
      <c r="D88" s="21"/>
      <c r="E88" s="21"/>
      <c r="F88" s="21"/>
      <c r="G88" s="21"/>
      <c r="H88" s="21"/>
    </row>
    <row r="89" spans="1:8" ht="14.25" x14ac:dyDescent="0.3">
      <c r="A89" s="60" t="s">
        <v>88</v>
      </c>
      <c r="B89" s="66">
        <v>2.8029999999999999</v>
      </c>
      <c r="C89" s="65"/>
      <c r="D89" s="21"/>
      <c r="E89" s="21"/>
      <c r="F89" s="21"/>
      <c r="G89" s="21"/>
      <c r="H89" s="21"/>
    </row>
    <row r="90" spans="1:8" ht="14.25" x14ac:dyDescent="0.3">
      <c r="A90" s="60" t="s">
        <v>58</v>
      </c>
      <c r="B90" s="67" t="s">
        <v>58</v>
      </c>
      <c r="C90" s="65"/>
      <c r="D90" s="21"/>
      <c r="E90" s="21"/>
      <c r="F90" s="21"/>
      <c r="G90" s="21"/>
      <c r="H90" s="21"/>
    </row>
    <row r="91" spans="1:8" ht="14.25" x14ac:dyDescent="0.3">
      <c r="A91" s="60" t="s">
        <v>89</v>
      </c>
      <c r="B91" s="68" t="s">
        <v>90</v>
      </c>
      <c r="C91" s="65"/>
      <c r="D91" s="21"/>
      <c r="E91" s="21"/>
      <c r="F91" s="21"/>
      <c r="G91" s="21"/>
      <c r="H91" s="21"/>
    </row>
    <row r="92" spans="1:8" ht="14.25" x14ac:dyDescent="0.3">
      <c r="A92" s="69" t="s">
        <v>91</v>
      </c>
      <c r="B92" s="70"/>
      <c r="C92" s="65"/>
      <c r="D92" s="21"/>
      <c r="E92" s="21"/>
      <c r="F92" s="21"/>
      <c r="G92" s="21"/>
      <c r="H92" s="21"/>
    </row>
  </sheetData>
  <mergeCells count="13">
    <mergeCell ref="A55:H55"/>
    <mergeCell ref="A1:H1"/>
    <mergeCell ref="A2:H2"/>
    <mergeCell ref="A3:H3"/>
    <mergeCell ref="A53:H53"/>
    <mergeCell ref="A54:H54"/>
    <mergeCell ref="A82:B82"/>
    <mergeCell ref="A56:H56"/>
    <mergeCell ref="B63:D63"/>
    <mergeCell ref="A75:D75"/>
    <mergeCell ref="B76:B77"/>
    <mergeCell ref="C76:C77"/>
    <mergeCell ref="D76:D7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Short Duration Fund</vt:lpstr>
      <vt:lpstr>'JM Short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2024-05-02T08:17:36Z</dcterms:created>
  <dcterms:modified xsi:type="dcterms:W3CDTF">2024-05-06T07:14:56Z</dcterms:modified>
</cp:coreProperties>
</file>