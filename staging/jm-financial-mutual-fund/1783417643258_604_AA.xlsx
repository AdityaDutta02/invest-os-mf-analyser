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Equity\"/>
    </mc:Choice>
  </mc:AlternateContent>
  <bookViews>
    <workbookView xWindow="0" yWindow="0" windowWidth="20490" windowHeight="7650"/>
  </bookViews>
  <sheets>
    <sheet name="AA" sheetId="1" r:id="rId1"/>
  </sheets>
  <definedNames>
    <definedName name="_xlnm._FilterDatabase" localSheetId="0" hidden="1">AA!$A$1:$H$109</definedName>
    <definedName name="Afs">#REF!</definedName>
    <definedName name="_xlnm.Database">#REF!</definedName>
    <definedName name="EBLDB">#REF!</definedName>
    <definedName name="fl">#REF!</definedName>
    <definedName name="_xlnm.Print_Area" localSheetId="0">AA!$A$1:$E$50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9" i="1" l="1"/>
  <c r="D57" i="1"/>
  <c r="E56" i="1"/>
  <c r="E57" i="1" s="1"/>
  <c r="D54" i="1"/>
  <c r="E53" i="1"/>
  <c r="E52" i="1"/>
  <c r="D33" i="1"/>
  <c r="D37" i="1" s="1"/>
  <c r="E32" i="1"/>
  <c r="E31" i="1"/>
  <c r="E30" i="1"/>
  <c r="E29" i="1"/>
  <c r="E28" i="1"/>
  <c r="E27" i="1"/>
  <c r="E26" i="1"/>
  <c r="E25" i="1"/>
  <c r="E24" i="1"/>
  <c r="E23" i="1"/>
  <c r="E22" i="1"/>
  <c r="E21" i="1"/>
  <c r="E20" i="1"/>
  <c r="E19" i="1"/>
  <c r="E18" i="1"/>
  <c r="E17" i="1"/>
  <c r="E16" i="1"/>
  <c r="E15" i="1"/>
  <c r="E14" i="1"/>
  <c r="E13" i="1"/>
  <c r="E12" i="1"/>
  <c r="E11" i="1"/>
  <c r="E10" i="1"/>
  <c r="E9" i="1"/>
  <c r="E8" i="1"/>
  <c r="E7" i="1"/>
  <c r="E6" i="1"/>
  <c r="E54" i="1" l="1"/>
  <c r="E33" i="1"/>
  <c r="E37" i="1" s="1"/>
  <c r="E59" i="1" s="1"/>
  <c r="D59" i="1"/>
  <c r="D61" i="1" s="1"/>
  <c r="E61" i="1" s="1"/>
  <c r="E63" i="1" l="1"/>
</calcChain>
</file>

<file path=xl/sharedStrings.xml><?xml version="1.0" encoding="utf-8"?>
<sst xmlns="http://schemas.openxmlformats.org/spreadsheetml/2006/main" count="233" uniqueCount="165">
  <si>
    <t>JM Arbitrage Fund (An open ended scheme investing in arbitrage opportunities).</t>
  </si>
  <si>
    <t>Portfolio as on 31.12.2022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</si>
  <si>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</si>
  <si>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</si>
  <si>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</si>
  <si>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</si>
  <si>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</si>
  <si>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</si>
  <si>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</si>
  <si>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</si>
  <si>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</si>
  <si>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</si>
  <si>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</si>
  <si>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</si>
  <si>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</si>
  <si>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Bajaj Finance Ltd.</t>
  </si>
  <si>
    <t>Finance</t>
  </si>
  <si>
    <t>INE296A01024</t>
  </si>
  <si>
    <t>Tata Power Company Ltd.</t>
  </si>
  <si>
    <t>Power</t>
  </si>
  <si>
    <t>INE245A01021</t>
  </si>
  <si>
    <t>Ambuja Cements Ltd.</t>
  </si>
  <si>
    <t>Cement &amp; Cement Products</t>
  </si>
  <si>
    <t>INE079A01024</t>
  </si>
  <si>
    <t>Bajaj Finserv Ltd.</t>
  </si>
  <si>
    <t>INE918I01026</t>
  </si>
  <si>
    <t>Kotak Mahindra Bank Ltd.</t>
  </si>
  <si>
    <t>Banks</t>
  </si>
  <si>
    <t>INE237A01028</t>
  </si>
  <si>
    <t>UPL Ltd.</t>
  </si>
  <si>
    <t>Fertilizers &amp; Agrochemicals</t>
  </si>
  <si>
    <t>INE628A01036</t>
  </si>
  <si>
    <t>ICICI Bank Ltd.</t>
  </si>
  <si>
    <t>INE090A01021</t>
  </si>
  <si>
    <t>Granules India Ltd.</t>
  </si>
  <si>
    <t>Pharmaceuticals &amp; Biotechnology</t>
  </si>
  <si>
    <t>INE101D01020</t>
  </si>
  <si>
    <t>Maruti Suzuki India Ltd.</t>
  </si>
  <si>
    <t>Automobiles</t>
  </si>
  <si>
    <t>INE585B01010</t>
  </si>
  <si>
    <t>Titan Company Ltd.</t>
  </si>
  <si>
    <t>Consumer Durables</t>
  </si>
  <si>
    <t>INE280A01028</t>
  </si>
  <si>
    <t>United Spirits Ltd.</t>
  </si>
  <si>
    <t>Beverages</t>
  </si>
  <si>
    <t>INE854D01024</t>
  </si>
  <si>
    <t>Oberoi Realty Ltd.</t>
  </si>
  <si>
    <t>Realty</t>
  </si>
  <si>
    <t>INE093I01010</t>
  </si>
  <si>
    <t>Housing Development Finance Corporation Ltd.</t>
  </si>
  <si>
    <t>INE001A01036</t>
  </si>
  <si>
    <t>Bharat Electronics Ltd.</t>
  </si>
  <si>
    <t>Aerospace &amp; Defense</t>
  </si>
  <si>
    <t>INE263A01024</t>
  </si>
  <si>
    <t>DLF Ltd.</t>
  </si>
  <si>
    <t>INE271C01023</t>
  </si>
  <si>
    <t>Tata Steel Ltd.</t>
  </si>
  <si>
    <t>Ferrous Metals</t>
  </si>
  <si>
    <t>INE081A01020</t>
  </si>
  <si>
    <t>Ashok Leyland Ltd.</t>
  </si>
  <si>
    <t>Agricultural, Commercial &amp; Construction Vehicles</t>
  </si>
  <si>
    <t>INE208A01029</t>
  </si>
  <si>
    <t>HDFC Bank Ltd.</t>
  </si>
  <si>
    <t>INE040A01034</t>
  </si>
  <si>
    <t>Zydus Lifesciences Ltd.</t>
  </si>
  <si>
    <t>INE010B01027</t>
  </si>
  <si>
    <t>Sun Pharmaceutical Industries Ltd.</t>
  </si>
  <si>
    <t>INE044A01036</t>
  </si>
  <si>
    <t>Multi Commodity Exchange of India Ltd.</t>
  </si>
  <si>
    <t>Capital Markets</t>
  </si>
  <si>
    <t>INE745G01035</t>
  </si>
  <si>
    <t>Power Grid Corporation of India Ltd.</t>
  </si>
  <si>
    <t>INE752E01010</t>
  </si>
  <si>
    <t>REC Ltd.</t>
  </si>
  <si>
    <t>INE020B01018</t>
  </si>
  <si>
    <t>Bata India Ltd.</t>
  </si>
  <si>
    <t>INE176A01028</t>
  </si>
  <si>
    <t>L&amp;T Finance Holdings Ltd.</t>
  </si>
  <si>
    <t>INE498L01015</t>
  </si>
  <si>
    <t>Tata Chemicals Ltd.</t>
  </si>
  <si>
    <t>Chemicals &amp; Petrochemicals</t>
  </si>
  <si>
    <t>INE092A01019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</si>
  <si>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</si>
  <si>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</si>
  <si>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</si>
  <si>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</si>
  <si>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</si>
  <si>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</si>
  <si>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</si>
  <si>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</si>
  <si>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</si>
  <si>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</si>
  <si>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</si>
  <si>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02/03/2023</t>
  </si>
  <si>
    <t>Sovereign</t>
  </si>
  <si>
    <t>IN002021Z509</t>
  </si>
  <si>
    <t>364 Days Treasury-Bill 29/06/2023</t>
  </si>
  <si>
    <t>IN002022Z135</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</si>
  <si>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</si>
  <si>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</si>
  <si>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</si>
  <si>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</si>
  <si>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</si>
  <si>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</si>
  <si>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</si>
  <si>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</si>
  <si>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</si>
  <si>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December 31, 2022:</t>
  </si>
  <si>
    <t>Underlying</t>
  </si>
  <si>
    <t>Long / Short</t>
  </si>
  <si>
    <t>Futures price when purchased (Rs.)</t>
  </si>
  <si>
    <t>Current  price of the Contract (Rs.)</t>
  </si>
  <si>
    <t>Total Margin maintained in(Rs. In Lakhs)</t>
  </si>
  <si>
    <t>Ambuja Cements Ltd.Feb-2023</t>
  </si>
  <si>
    <t>Short</t>
  </si>
  <si>
    <t>Ambuja Cements Ltd.Jan-2023</t>
  </si>
  <si>
    <t>Ashok Leyland Ltd.Jan-2023</t>
  </si>
  <si>
    <t>Bajaj Finserv Ltd.Feb-2023</t>
  </si>
  <si>
    <t>Bajaj Finserv Ltd.Jan-2023</t>
  </si>
  <si>
    <t>Bajaj Finance Ltd.Feb-2023</t>
  </si>
  <si>
    <t>Bajaj Finance Ltd.Jan-2023</t>
  </si>
  <si>
    <t>Bata India Ltd.Jan-2023</t>
  </si>
  <si>
    <t>Bharat Electronics Ltd.Jan-2023</t>
  </si>
  <si>
    <t>DLF Ltd.Jan-2023</t>
  </si>
  <si>
    <t>Granules India Ltd.Jan-2023</t>
  </si>
  <si>
    <t>HDFC Bank Ltd.Jan-2023</t>
  </si>
  <si>
    <t>Housing Development Finance Corporation Ltd.Jan-2023</t>
  </si>
  <si>
    <t>ICICI Bank Ltd.Feb-2023</t>
  </si>
  <si>
    <t>ICICI Bank Ltd.Jan-2023</t>
  </si>
  <si>
    <t>Kotak Mahindra Bank Ltd.Jan-2023</t>
  </si>
  <si>
    <t>L&amp;T Finance Holdings Ltd.Jan-2023</t>
  </si>
  <si>
    <t>Maruti Suzuki India Ltd.Jan-2023</t>
  </si>
  <si>
    <t>United Spirits Ltd.Jan-2023</t>
  </si>
  <si>
    <t>Multi Commodity Exchange of India Ltd.Jan-2023</t>
  </si>
  <si>
    <t>Oberoi Realty Ltd.Jan-2023</t>
  </si>
  <si>
    <t>Power Grid Corporation of India Ltd.Jan-2023</t>
  </si>
  <si>
    <t>REC Ltd.Jan-2023</t>
  </si>
  <si>
    <t>Reliance Industries Ltd.Feb-2023</t>
  </si>
  <si>
    <t>Reliance Industries Ltd.Jan-2023</t>
  </si>
  <si>
    <t>Sun Pharmaceutical Industries Ltd.Jan-2023</t>
  </si>
  <si>
    <t>Tata Chemicals Ltd.Jan-2023</t>
  </si>
  <si>
    <t>Tata Power Company Ltd.Feb-2023</t>
  </si>
  <si>
    <t>Tata Power Company Ltd.Jan-2023</t>
  </si>
  <si>
    <t>Tata Steel Ltd.Jan-2023</t>
  </si>
  <si>
    <t>Titan Company Ltd.Jan-2023</t>
  </si>
  <si>
    <t>UPL Ltd.Feb-2023</t>
  </si>
  <si>
    <t>UPL Ltd.Jan-2023</t>
  </si>
  <si>
    <t>Zydus Lifesciences Ltd.Jan-2023</t>
  </si>
  <si>
    <t>Total outstanding exposure in derivative instruments at the end of the period - Short -(Rs in Lakhs) : (3,418.94)</t>
  </si>
  <si>
    <t>Total 70.96% of existing assets hedged through futures as on 31/12/2022</t>
  </si>
  <si>
    <t>For the period ended December 31,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</si>
  <si>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</si>
  <si>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</si>
  <si>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</si>
  <si>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</si>
  <si>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</si>
  <si>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31/12/2022</t>
  </si>
  <si>
    <t>For the period ended December 31, 2022,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</si>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</sst>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4" fillId="0" borderId="0" applyFont="0" applyFill="0" applyBorder="0" applyAlignment="0" applyProtection="0"/>
    <xf numFmtId="0" fontId="4" fillId="0" borderId="0"/>
    <xf numFmtId="0" fontId="6" fillId="0" borderId="0"/>
    <xf numFmtId="164" fontId="6" fillId="0" borderId="0" applyFont="0" applyFill="0" applyBorder="0" applyAlignment="0" applyProtection="0"/>
    <xf numFmtId="164" fontId="4" fillId="0" borderId="0" applyFont="0" applyFill="0" applyBorder="0" applyAlignment="0" applyProtection="0"/>
    <xf numFmtId="0" fontId="6" fillId="0" borderId="0"/>
    <xf numFmtId="0" fontId="6" fillId="0" borderId="0"/>
  </cellStyleXfs>
  <cellXfs count="84">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xf>
    <xf numFmtId="0" fontId="5" fillId="0" borderId="0" xfId="2" applyFont="1" applyAlignment="1">
      <alignment horizontal="left" vertical="top"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1" applyNumberFormat="1" applyFont="1" applyFill="1"/>
    <xf numFmtId="164" fontId="2" fillId="0" borderId="0" xfId="1" applyFont="1" applyFill="1" applyAlignment="1">
      <alignment horizontal="right"/>
    </xf>
    <xf numFmtId="0" fontId="3" fillId="0" borderId="0" xfId="2" applyFont="1" applyFill="1" applyAlignment="1"/>
    <xf numFmtId="0" fontId="3" fillId="3" borderId="2" xfId="2" applyFont="1" applyFill="1" applyBorder="1" applyAlignment="1">
      <alignment wrapText="1"/>
    </xf>
    <xf numFmtId="0" fontId="3" fillId="3" borderId="2" xfId="0" applyFont="1" applyFill="1" applyBorder="1" applyAlignment="1">
      <alignment horizontal="left" wrapText="1"/>
    </xf>
    <xf numFmtId="165" fontId="3" fillId="3" borderId="2" xfId="4" applyNumberFormat="1" applyFont="1" applyFill="1" applyBorder="1"/>
    <xf numFmtId="0" fontId="2" fillId="0" borderId="0" xfId="2" applyFont="1" applyFill="1" applyBorder="1" applyAlignment="1"/>
    <xf numFmtId="0" fontId="2" fillId="0" borderId="0" xfId="0" applyFont="1" applyAlignment="1">
      <alignment horizontal="left" wrapText="1"/>
    </xf>
    <xf numFmtId="165" fontId="2" fillId="0" borderId="0" xfId="5" applyNumberFormat="1" applyFont="1"/>
    <xf numFmtId="4" fontId="2" fillId="0" borderId="0" xfId="0" applyNumberFormat="1" applyFont="1"/>
    <xf numFmtId="0" fontId="2" fillId="0" borderId="0" xfId="0" applyFont="1" applyBorder="1"/>
    <xf numFmtId="165" fontId="2" fillId="0" borderId="0" xfId="5" applyNumberFormat="1" applyFont="1" applyFill="1"/>
    <xf numFmtId="164" fontId="2" fillId="0" borderId="0" xfId="0" applyNumberFormat="1" applyFont="1"/>
    <xf numFmtId="4" fontId="2" fillId="0" borderId="0" xfId="0" applyNumberFormat="1" applyFont="1" applyBorder="1"/>
    <xf numFmtId="4" fontId="2" fillId="0" borderId="2" xfId="0" applyNumberFormat="1" applyFont="1" applyFill="1" applyBorder="1"/>
    <xf numFmtId="164" fontId="2" fillId="0" borderId="2" xfId="5" applyFont="1" applyFill="1" applyBorder="1" applyAlignment="1">
      <alignment horizontal="right"/>
    </xf>
    <xf numFmtId="4" fontId="2" fillId="0" borderId="2" xfId="0" applyNumberFormat="1" applyFont="1" applyFill="1" applyBorder="1" applyAlignment="1">
      <alignment horizontal="right"/>
    </xf>
    <xf numFmtId="0" fontId="8" fillId="0" borderId="0" xfId="6" applyFont="1"/>
    <xf numFmtId="0" fontId="1" fillId="0" borderId="0" xfId="0" applyFont="1" applyFill="1" applyBorder="1" applyAlignment="1">
      <alignment horizontal="left" wrapText="1"/>
    </xf>
    <xf numFmtId="0" fontId="6" fillId="0" borderId="0" xfId="6" applyBorder="1"/>
    <xf numFmtId="0" fontId="9" fillId="0" borderId="0" xfId="7" applyFont="1"/>
    <xf numFmtId="0" fontId="3" fillId="0" borderId="0" xfId="0" applyFont="1" applyFill="1" applyBorder="1" applyAlignment="1">
      <alignment horizontal="left"/>
    </xf>
    <xf numFmtId="0" fontId="2" fillId="0" borderId="0" xfId="0" applyFont="1" applyAlignment="1">
      <alignment wrapText="1"/>
    </xf>
    <xf numFmtId="165" fontId="2" fillId="0" borderId="0" xfId="1" applyNumberFormat="1" applyFont="1"/>
    <xf numFmtId="0" fontId="2" fillId="0" borderId="2" xfId="0" applyFont="1" applyFill="1" applyBorder="1"/>
    <xf numFmtId="0" fontId="2" fillId="0" borderId="2" xfId="0" applyFont="1" applyFill="1" applyBorder="1" applyAlignment="1">
      <alignment horizontal="left"/>
    </xf>
    <xf numFmtId="0" fontId="1" fillId="2" borderId="1"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3" fillId="0" borderId="0" xfId="0" applyFont="1" applyFill="1" applyBorder="1" applyAlignment="1">
      <alignment horizontal="left"/>
    </xf>
    <xf numFmtId="0" fontId="7" fillId="0" borderId="0" xfId="3" applyFont="1" applyBorder="1" applyAlignment="1">
      <alignment horizontal="left" vertical="center" wrapText="1"/>
    </xf>
    <xf numFmtId="0" fontId="3" fillId="3" borderId="3" xfId="0" applyFont="1" applyFill="1" applyBorder="1" applyAlignment="1">
      <alignment horizontal="left" wrapText="1"/>
    </xf>
    <xf numFmtId="0" fontId="3" fillId="3" borderId="4" xfId="0" applyFont="1" applyFill="1" applyBorder="1" applyAlignment="1">
      <alignment horizontal="left" wrapText="1"/>
    </xf>
    <xf numFmtId="0" fontId="3" fillId="3" borderId="5" xfId="0" applyFont="1" applyFill="1" applyBorder="1" applyAlignment="1">
      <alignment horizontal="left" wrapText="1"/>
    </xf>
    <xf numFmtId="0" fontId="6" fillId="0" borderId="0" xfId="6" applyBorder="1" applyAlignment="1">
      <alignment horizontal="left" wrapText="1"/>
    </xf>
  </cellXfs>
  <cellStyles count="8">
    <cellStyle name="Comma" xfId="1" builtinId="3"/>
    <cellStyle name="Comma 2" xfId="4"/>
    <cellStyle name="Comma 4" xfId="5"/>
    <cellStyle name="Normal" xfId="0" builtinId="0"/>
    <cellStyle name="Normal 2 3 2" xfId="2"/>
    <cellStyle name="Normal 4_AA" xfId="6"/>
    <cellStyle name="Normal 4_I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136</xdr:row>
      <xdr:rowOff>123825</xdr:rowOff>
    </xdr:from>
    <xdr:to>
      <xdr:col>1</xdr:col>
      <xdr:colOff>552450</xdr:colOff>
      <xdr:row>151</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5869900"/>
          <a:ext cx="3609975" cy="2409825"/>
        </a:xfrm>
        <a:prstGeom prst="rect">
          <a:avLst/>
        </a:prstGeom>
        <a:noFill/>
        <a:ln w="9525">
          <a:noFill/>
          <a:miter lim="800000"/>
          <a:headEnd/>
          <a:tailEnd/>
        </a:ln>
      </xdr:spPr>
    </xdr:pic>
    <xdr:clientData/>
  </xdr:twoCellAnchor>
  <xdr:twoCellAnchor editAs="oneCell">
    <xdr:from>
      <xdr:col>3</xdr:col>
      <xdr:colOff>0</xdr:colOff>
      <xdr:row>137</xdr:row>
      <xdr:rowOff>104775</xdr:rowOff>
    </xdr:from>
    <xdr:to>
      <xdr:col>5</xdr:col>
      <xdr:colOff>933450</xdr:colOff>
      <xdr:row>153</xdr:row>
      <xdr:rowOff>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581650" y="26012775"/>
          <a:ext cx="3371850" cy="24860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9"/>
  <sheetViews>
    <sheetView tabSelected="1" zoomScaleNormal="100" workbookViewId="0">
      <pane xSplit="1" ySplit="3" topLeftCell="B169" activePane="bottomRight" state="frozen"/>
      <selection activeCell="A2" sqref="A2"/>
      <selection pane="topRight" activeCell="A2" sqref="A2"/>
      <selection pane="bottomLeft" activeCell="A2" sqref="A2"/>
      <selection pane="bottomRight" activeCell="A2" sqref="A2"/>
    </sheetView>
  </sheetViews>
  <sheetFormatPr defaultRowHeight="12.75" x14ac:dyDescent="0.2"/>
  <cols>
    <col min="1" max="1" width="45.85546875" style="70" customWidth="1"/>
    <col min="2" max="2" width="41.42578125" style="55" customWidth="1"/>
    <col min="3" max="3" width="13.42578125" style="71" customWidth="1"/>
    <col min="4" max="4" width="20.85546875" style="1" customWidth="1"/>
    <col min="5" max="5" width="15.7109375" style="1" customWidth="1"/>
    <col min="6" max="6" width="16.28515625" style="1" customWidth="1"/>
    <col min="7" max="7" width="11.7109375" style="1" bestFit="1" customWidth="1"/>
    <col min="8" max="8" width="12.28515625" style="1" customWidth="1"/>
    <col min="9" max="16384" width="9.140625" style="1"/>
  </cols>
  <sheetData>
    <row r="1" spans="1:8" x14ac:dyDescent="0.2">
      <c r="A1" s="74" t="s">
        <v>0</v>
      </c>
      <c r="B1" s="74"/>
      <c r="C1" s="74"/>
      <c r="D1" s="74"/>
      <c r="E1" s="74"/>
      <c r="F1" s="74"/>
      <c r="G1" s="74"/>
      <c r="H1" s="74"/>
    </row>
    <row r="2" spans="1:8" x14ac:dyDescent="0.2">
      <c r="A2" s="2" t="s">
        <v>1</v>
      </c>
      <c r="B2" s="3"/>
      <c r="C2" s="3"/>
      <c r="D2" s="3"/>
      <c r="E2" s="3"/>
      <c r="F2" s="3"/>
      <c r="G2" s="3"/>
      <c r="H2" s="3"/>
    </row>
    <row r="3" spans="1:8" s="9" customFormat="1" ht="38.2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17000</v>
      </c>
      <c r="D6" s="21">
        <v>433.024</v>
      </c>
      <c r="E6" s="21">
        <f t="shared" ref="E6:E32" si="0">(+D6/$D$63*100)</f>
        <v>8.9877762438951052</v>
      </c>
      <c r="F6" s="21" t="s">
        <v>14</v>
      </c>
      <c r="G6" s="16"/>
      <c r="H6" s="15"/>
    </row>
    <row r="7" spans="1:8" s="22" customFormat="1" x14ac:dyDescent="0.2">
      <c r="A7" s="18" t="s">
        <v>15</v>
      </c>
      <c r="B7" s="19" t="s">
        <v>16</v>
      </c>
      <c r="C7" s="20">
        <v>6125</v>
      </c>
      <c r="D7" s="21">
        <v>402.73099999999999</v>
      </c>
      <c r="E7" s="21">
        <f t="shared" si="0"/>
        <v>8.359019625887063</v>
      </c>
      <c r="F7" s="21" t="s">
        <v>17</v>
      </c>
      <c r="G7" s="16"/>
      <c r="H7" s="16"/>
    </row>
    <row r="8" spans="1:8" s="22" customFormat="1" x14ac:dyDescent="0.2">
      <c r="A8" s="18" t="s">
        <v>18</v>
      </c>
      <c r="B8" s="19" t="s">
        <v>19</v>
      </c>
      <c r="C8" s="20">
        <v>148500</v>
      </c>
      <c r="D8" s="21">
        <v>308.43450000000001</v>
      </c>
      <c r="E8" s="21">
        <f t="shared" si="0"/>
        <v>6.4018166935266061</v>
      </c>
      <c r="F8" s="21" t="s">
        <v>20</v>
      </c>
      <c r="G8" s="16"/>
      <c r="H8" s="15"/>
    </row>
    <row r="9" spans="1:8" s="22" customFormat="1" x14ac:dyDescent="0.2">
      <c r="A9" s="18" t="s">
        <v>21</v>
      </c>
      <c r="B9" s="19" t="s">
        <v>22</v>
      </c>
      <c r="C9" s="20">
        <v>52200</v>
      </c>
      <c r="D9" s="21">
        <v>273.58019999999999</v>
      </c>
      <c r="E9" s="21">
        <f t="shared" si="0"/>
        <v>5.678386469018049</v>
      </c>
      <c r="F9" s="21" t="s">
        <v>23</v>
      </c>
      <c r="G9" s="16"/>
      <c r="H9" s="16"/>
    </row>
    <row r="10" spans="1:8" s="22" customFormat="1" x14ac:dyDescent="0.2">
      <c r="A10" s="18" t="s">
        <v>24</v>
      </c>
      <c r="B10" s="19" t="s">
        <v>16</v>
      </c>
      <c r="C10" s="20">
        <v>15500</v>
      </c>
      <c r="D10" s="21">
        <v>239.91675000000001</v>
      </c>
      <c r="E10" s="21">
        <f t="shared" si="0"/>
        <v>4.9796733348787159</v>
      </c>
      <c r="F10" s="21" t="s">
        <v>25</v>
      </c>
      <c r="G10" s="16"/>
      <c r="H10" s="16"/>
    </row>
    <row r="11" spans="1:8" s="22" customFormat="1" x14ac:dyDescent="0.2">
      <c r="A11" s="18" t="s">
        <v>26</v>
      </c>
      <c r="B11" s="19" t="s">
        <v>27</v>
      </c>
      <c r="C11" s="20">
        <v>11600</v>
      </c>
      <c r="D11" s="21">
        <v>211.96100000000001</v>
      </c>
      <c r="E11" s="21">
        <f t="shared" si="0"/>
        <v>4.3994283005843799</v>
      </c>
      <c r="F11" s="21" t="s">
        <v>28</v>
      </c>
      <c r="G11" s="16"/>
      <c r="H11" s="15"/>
    </row>
    <row r="12" spans="1:8" s="22" customFormat="1" x14ac:dyDescent="0.2">
      <c r="A12" s="18" t="s">
        <v>29</v>
      </c>
      <c r="B12" s="19" t="s">
        <v>30</v>
      </c>
      <c r="C12" s="20">
        <v>27300</v>
      </c>
      <c r="D12" s="21">
        <v>195.50895</v>
      </c>
      <c r="E12" s="21">
        <f t="shared" si="0"/>
        <v>4.0579522065263722</v>
      </c>
      <c r="F12" s="21" t="s">
        <v>31</v>
      </c>
      <c r="G12" s="16"/>
      <c r="H12" s="15"/>
    </row>
    <row r="13" spans="1:8" s="22" customFormat="1" x14ac:dyDescent="0.2">
      <c r="A13" s="18" t="s">
        <v>32</v>
      </c>
      <c r="B13" s="19" t="s">
        <v>27</v>
      </c>
      <c r="C13" s="20">
        <v>21700</v>
      </c>
      <c r="D13" s="21">
        <v>193.31444999999999</v>
      </c>
      <c r="E13" s="21">
        <f t="shared" si="0"/>
        <v>4.01240351876951</v>
      </c>
      <c r="F13" s="21" t="s">
        <v>33</v>
      </c>
      <c r="G13" s="16"/>
      <c r="H13" s="16"/>
    </row>
    <row r="14" spans="1:8" s="22" customFormat="1" x14ac:dyDescent="0.2">
      <c r="A14" s="18" t="s">
        <v>34</v>
      </c>
      <c r="B14" s="19" t="s">
        <v>35</v>
      </c>
      <c r="C14" s="20">
        <v>54000</v>
      </c>
      <c r="D14" s="21">
        <v>172.15199999999999</v>
      </c>
      <c r="E14" s="21">
        <f t="shared" si="0"/>
        <v>3.5731591226791823</v>
      </c>
      <c r="F14" s="21" t="s">
        <v>36</v>
      </c>
      <c r="G14" s="16"/>
      <c r="H14" s="16"/>
    </row>
    <row r="15" spans="1:8" s="22" customFormat="1" x14ac:dyDescent="0.2">
      <c r="A15" s="18" t="s">
        <v>37</v>
      </c>
      <c r="B15" s="19" t="s">
        <v>38</v>
      </c>
      <c r="C15" s="20">
        <v>1800</v>
      </c>
      <c r="D15" s="21">
        <v>151.1028</v>
      </c>
      <c r="E15" s="21">
        <f t="shared" si="0"/>
        <v>3.1362653253076815</v>
      </c>
      <c r="F15" s="21" t="s">
        <v>39</v>
      </c>
      <c r="G15" s="16"/>
      <c r="H15" s="15"/>
    </row>
    <row r="16" spans="1:8" s="22" customFormat="1" x14ac:dyDescent="0.2">
      <c r="A16" s="18" t="s">
        <v>40</v>
      </c>
      <c r="B16" s="19" t="s">
        <v>41</v>
      </c>
      <c r="C16" s="20">
        <v>5250</v>
      </c>
      <c r="D16" s="21">
        <v>136.36875000000001</v>
      </c>
      <c r="E16" s="21">
        <f t="shared" si="0"/>
        <v>2.8304477619246757</v>
      </c>
      <c r="F16" s="21" t="s">
        <v>42</v>
      </c>
      <c r="G16" s="16"/>
      <c r="H16" s="15"/>
    </row>
    <row r="17" spans="1:8" s="22" customFormat="1" x14ac:dyDescent="0.2">
      <c r="A17" s="18" t="s">
        <v>43</v>
      </c>
      <c r="B17" s="19" t="s">
        <v>44</v>
      </c>
      <c r="C17" s="20">
        <v>15000</v>
      </c>
      <c r="D17" s="21">
        <v>131.63249999999999</v>
      </c>
      <c r="E17" s="21">
        <f t="shared" si="0"/>
        <v>2.7321429214651438</v>
      </c>
      <c r="F17" s="21" t="s">
        <v>45</v>
      </c>
      <c r="G17" s="16"/>
      <c r="H17" s="15"/>
    </row>
    <row r="18" spans="1:8" s="22" customFormat="1" x14ac:dyDescent="0.2">
      <c r="A18" s="18" t="s">
        <v>46</v>
      </c>
      <c r="B18" s="19" t="s">
        <v>47</v>
      </c>
      <c r="C18" s="20">
        <v>11200</v>
      </c>
      <c r="D18" s="21">
        <v>97.210400000000007</v>
      </c>
      <c r="E18" s="21">
        <f t="shared" si="0"/>
        <v>2.0176833703894954</v>
      </c>
      <c r="F18" s="21" t="s">
        <v>48</v>
      </c>
      <c r="G18" s="16"/>
      <c r="H18" s="15"/>
    </row>
    <row r="19" spans="1:8" s="22" customFormat="1" x14ac:dyDescent="0.2">
      <c r="A19" s="18" t="s">
        <v>49</v>
      </c>
      <c r="B19" s="19" t="s">
        <v>16</v>
      </c>
      <c r="C19" s="20">
        <v>3000</v>
      </c>
      <c r="D19" s="21">
        <v>79.128</v>
      </c>
      <c r="E19" s="21">
        <f t="shared" si="0"/>
        <v>1.6423679949077463</v>
      </c>
      <c r="F19" s="21" t="s">
        <v>50</v>
      </c>
      <c r="G19" s="16"/>
      <c r="H19" s="16"/>
    </row>
    <row r="20" spans="1:8" s="22" customFormat="1" x14ac:dyDescent="0.2">
      <c r="A20" s="18" t="s">
        <v>51</v>
      </c>
      <c r="B20" s="19" t="s">
        <v>52</v>
      </c>
      <c r="C20" s="20">
        <v>74100</v>
      </c>
      <c r="D20" s="21">
        <v>74.025899999999993</v>
      </c>
      <c r="E20" s="21">
        <f t="shared" si="0"/>
        <v>1.5364696309048798</v>
      </c>
      <c r="F20" s="21" t="s">
        <v>53</v>
      </c>
      <c r="G20" s="16"/>
      <c r="H20" s="16"/>
    </row>
    <row r="21" spans="1:8" s="22" customFormat="1" x14ac:dyDescent="0.2">
      <c r="A21" s="18" t="s">
        <v>54</v>
      </c>
      <c r="B21" s="19" t="s">
        <v>47</v>
      </c>
      <c r="C21" s="20">
        <v>14850</v>
      </c>
      <c r="D21" s="21">
        <v>55.6875</v>
      </c>
      <c r="E21" s="21">
        <f t="shared" si="0"/>
        <v>1.1558407607474614</v>
      </c>
      <c r="F21" s="21" t="s">
        <v>55</v>
      </c>
      <c r="G21" s="16"/>
      <c r="H21" s="16"/>
    </row>
    <row r="22" spans="1:8" s="22" customFormat="1" x14ac:dyDescent="0.2">
      <c r="A22" s="18" t="s">
        <v>56</v>
      </c>
      <c r="B22" s="19" t="s">
        <v>57</v>
      </c>
      <c r="C22" s="20">
        <v>44000</v>
      </c>
      <c r="D22" s="21">
        <v>49.566000000000003</v>
      </c>
      <c r="E22" s="21">
        <f t="shared" si="0"/>
        <v>1.0287838948993699</v>
      </c>
      <c r="F22" s="21" t="s">
        <v>58</v>
      </c>
      <c r="G22" s="16"/>
      <c r="H22" s="15"/>
    </row>
    <row r="23" spans="1:8" s="22" customFormat="1" x14ac:dyDescent="0.2">
      <c r="A23" s="18" t="s">
        <v>59</v>
      </c>
      <c r="B23" s="19" t="s">
        <v>60</v>
      </c>
      <c r="C23" s="20">
        <v>30000</v>
      </c>
      <c r="D23" s="21">
        <v>43.02</v>
      </c>
      <c r="E23" s="21">
        <f t="shared" si="0"/>
        <v>0.89291617557541259</v>
      </c>
      <c r="F23" s="21" t="s">
        <v>61</v>
      </c>
      <c r="G23" s="16"/>
      <c r="H23" s="16"/>
    </row>
    <row r="24" spans="1:8" s="22" customFormat="1" x14ac:dyDescent="0.2">
      <c r="A24" s="18" t="s">
        <v>62</v>
      </c>
      <c r="B24" s="19" t="s">
        <v>27</v>
      </c>
      <c r="C24" s="20">
        <v>2200</v>
      </c>
      <c r="D24" s="21">
        <v>35.819299999999998</v>
      </c>
      <c r="E24" s="21">
        <f t="shared" si="0"/>
        <v>0.74345960873520167</v>
      </c>
      <c r="F24" s="21" t="s">
        <v>63</v>
      </c>
      <c r="G24" s="16"/>
      <c r="H24" s="16"/>
    </row>
    <row r="25" spans="1:8" s="22" customFormat="1" x14ac:dyDescent="0.2">
      <c r="A25" s="18" t="s">
        <v>64</v>
      </c>
      <c r="B25" s="19" t="s">
        <v>35</v>
      </c>
      <c r="C25" s="20">
        <v>5400</v>
      </c>
      <c r="D25" s="21">
        <v>22.677299999999999</v>
      </c>
      <c r="E25" s="21">
        <f t="shared" si="0"/>
        <v>0.47068637815844494</v>
      </c>
      <c r="F25" s="21" t="s">
        <v>65</v>
      </c>
      <c r="G25" s="16"/>
      <c r="H25" s="15"/>
    </row>
    <row r="26" spans="1:8" s="22" customFormat="1" x14ac:dyDescent="0.2">
      <c r="A26" s="18" t="s">
        <v>66</v>
      </c>
      <c r="B26" s="19" t="s">
        <v>35</v>
      </c>
      <c r="C26" s="20">
        <v>2100</v>
      </c>
      <c r="D26" s="21">
        <v>21.029399999999999</v>
      </c>
      <c r="E26" s="21">
        <f t="shared" si="0"/>
        <v>0.43648283176767966</v>
      </c>
      <c r="F26" s="21" t="s">
        <v>67</v>
      </c>
      <c r="G26" s="16"/>
      <c r="H26" s="15"/>
    </row>
    <row r="27" spans="1:8" s="22" customFormat="1" x14ac:dyDescent="0.2">
      <c r="A27" s="18" t="s">
        <v>68</v>
      </c>
      <c r="B27" s="19" t="s">
        <v>69</v>
      </c>
      <c r="C27" s="20">
        <v>1200</v>
      </c>
      <c r="D27" s="21">
        <v>18.650400000000001</v>
      </c>
      <c r="E27" s="21">
        <f t="shared" si="0"/>
        <v>0.38710469179339091</v>
      </c>
      <c r="F27" s="21" t="s">
        <v>70</v>
      </c>
      <c r="G27" s="16"/>
      <c r="H27" s="15"/>
    </row>
    <row r="28" spans="1:8" s="22" customFormat="1" x14ac:dyDescent="0.2">
      <c r="A28" s="18" t="s">
        <v>71</v>
      </c>
      <c r="B28" s="19" t="s">
        <v>19</v>
      </c>
      <c r="C28" s="20">
        <v>8100</v>
      </c>
      <c r="D28" s="21">
        <v>17.309699999999999</v>
      </c>
      <c r="E28" s="21">
        <f t="shared" si="0"/>
        <v>0.35927733901342906</v>
      </c>
      <c r="F28" s="21" t="s">
        <v>72</v>
      </c>
      <c r="G28" s="16"/>
      <c r="H28" s="15"/>
    </row>
    <row r="29" spans="1:8" s="22" customFormat="1" x14ac:dyDescent="0.2">
      <c r="A29" s="18" t="s">
        <v>73</v>
      </c>
      <c r="B29" s="19" t="s">
        <v>16</v>
      </c>
      <c r="C29" s="20">
        <v>8000</v>
      </c>
      <c r="D29" s="21">
        <v>9.32</v>
      </c>
      <c r="E29" s="21">
        <f t="shared" si="0"/>
        <v>0.1934444155360959</v>
      </c>
      <c r="F29" s="21" t="s">
        <v>74</v>
      </c>
      <c r="G29" s="16"/>
      <c r="H29" s="15"/>
    </row>
    <row r="30" spans="1:8" s="22" customFormat="1" x14ac:dyDescent="0.2">
      <c r="A30" s="18" t="s">
        <v>75</v>
      </c>
      <c r="B30" s="19" t="s">
        <v>41</v>
      </c>
      <c r="C30" s="20">
        <v>550</v>
      </c>
      <c r="D30" s="21">
        <v>9.0703250000000004</v>
      </c>
      <c r="E30" s="21">
        <f t="shared" si="0"/>
        <v>0.1882622015394248</v>
      </c>
      <c r="F30" s="21" t="s">
        <v>76</v>
      </c>
      <c r="G30" s="16"/>
      <c r="H30" s="16"/>
    </row>
    <row r="31" spans="1:8" s="22" customFormat="1" x14ac:dyDescent="0.2">
      <c r="A31" s="18" t="s">
        <v>77</v>
      </c>
      <c r="B31" s="19" t="s">
        <v>16</v>
      </c>
      <c r="C31" s="20">
        <v>8924</v>
      </c>
      <c r="D31" s="21">
        <v>7.7861900000000004</v>
      </c>
      <c r="E31" s="21">
        <f t="shared" si="0"/>
        <v>0.16160890276856163</v>
      </c>
      <c r="F31" s="21" t="s">
        <v>78</v>
      </c>
      <c r="G31" s="16"/>
      <c r="H31" s="15"/>
    </row>
    <row r="32" spans="1:8" s="22" customFormat="1" x14ac:dyDescent="0.2">
      <c r="A32" s="18" t="s">
        <v>79</v>
      </c>
      <c r="B32" s="19" t="s">
        <v>80</v>
      </c>
      <c r="C32" s="20">
        <v>500</v>
      </c>
      <c r="D32" s="21">
        <v>4.6857499999999996</v>
      </c>
      <c r="E32" s="21">
        <f t="shared" si="0"/>
        <v>9.7256670611401419E-2</v>
      </c>
      <c r="F32" s="21" t="s">
        <v>81</v>
      </c>
      <c r="G32" s="16"/>
      <c r="H32" s="15"/>
    </row>
    <row r="33" spans="1:8" s="22" customFormat="1" x14ac:dyDescent="0.2">
      <c r="A33" s="17" t="s">
        <v>82</v>
      </c>
      <c r="B33" s="19"/>
      <c r="C33" s="20"/>
      <c r="D33" s="23">
        <f>IF(ISERROR(SUM(D6:D32)),0,SUM(D6:D32))</f>
        <v>3394.7130649999999</v>
      </c>
      <c r="E33" s="23">
        <f>IF(ISERROR(SUM(E6:E32)),0,SUM(E6:E32))</f>
        <v>70.460116391810516</v>
      </c>
      <c r="F33" s="23"/>
      <c r="G33" s="16"/>
      <c r="H33" s="15"/>
    </row>
    <row r="34" spans="1:8" s="22" customFormat="1" x14ac:dyDescent="0.2">
      <c r="A34" s="17"/>
      <c r="B34" s="17"/>
      <c r="C34" s="24"/>
      <c r="D34" s="25"/>
      <c r="E34" s="25"/>
      <c r="F34" s="25"/>
      <c r="G34" s="16"/>
      <c r="H34" s="15"/>
    </row>
    <row r="35" spans="1:8" s="22" customFormat="1" x14ac:dyDescent="0.2">
      <c r="A35" s="17" t="s">
        <v>83</v>
      </c>
      <c r="B35" s="17"/>
      <c r="C35" s="24"/>
      <c r="D35" s="26" t="s">
        <v>84</v>
      </c>
      <c r="E35" s="26" t="s">
        <v>84</v>
      </c>
      <c r="F35" s="26"/>
      <c r="G35" s="16"/>
      <c r="H35" s="15"/>
    </row>
    <row r="36" spans="1:8" s="22" customFormat="1" x14ac:dyDescent="0.2">
      <c r="A36" s="17"/>
      <c r="B36" s="10"/>
      <c r="C36" s="24"/>
      <c r="D36" s="26"/>
      <c r="E36" s="26"/>
      <c r="F36" s="27"/>
      <c r="G36" s="16"/>
      <c r="H36" s="15"/>
    </row>
    <row r="37" spans="1:8" s="22" customFormat="1" x14ac:dyDescent="0.2">
      <c r="A37" s="17" t="s">
        <v>85</v>
      </c>
      <c r="B37" s="17"/>
      <c r="C37" s="24"/>
      <c r="D37" s="23">
        <f>IF(ISERROR(+D33),0,D33)+IF(ISERROR(+#REF!),0,#REF!)</f>
        <v>3394.7130649999999</v>
      </c>
      <c r="E37" s="23">
        <f>IF(ISERROR(+E33),0,E33)+IF(ISERROR(+#REF!),0,#REF!)</f>
        <v>70.460116391810516</v>
      </c>
      <c r="F37" s="28"/>
      <c r="G37" s="16"/>
      <c r="H37" s="15"/>
    </row>
    <row r="38" spans="1:8" s="22" customFormat="1" x14ac:dyDescent="0.2">
      <c r="A38" s="17"/>
      <c r="B38" s="10"/>
      <c r="C38" s="24"/>
      <c r="D38" s="26"/>
      <c r="E38" s="26"/>
      <c r="F38" s="27"/>
      <c r="G38" s="16"/>
      <c r="H38" s="15"/>
    </row>
    <row r="39" spans="1:8" s="22" customFormat="1" x14ac:dyDescent="0.2">
      <c r="A39" s="17" t="s">
        <v>86</v>
      </c>
      <c r="B39" s="10"/>
      <c r="C39" s="24"/>
      <c r="D39" s="26"/>
      <c r="E39" s="26"/>
      <c r="F39" s="27"/>
      <c r="G39" s="16"/>
      <c r="H39" s="15"/>
    </row>
    <row r="40" spans="1:8" s="22" customFormat="1" x14ac:dyDescent="0.2">
      <c r="A40" s="17" t="s">
        <v>11</v>
      </c>
      <c r="B40" s="10"/>
      <c r="C40" s="24"/>
      <c r="D40" s="26" t="s">
        <v>84</v>
      </c>
      <c r="E40" s="26" t="s">
        <v>84</v>
      </c>
      <c r="F40" s="29"/>
      <c r="G40" s="16"/>
      <c r="H40" s="15"/>
    </row>
    <row r="41" spans="1:8" s="22" customFormat="1" x14ac:dyDescent="0.2">
      <c r="A41" s="17"/>
      <c r="B41" s="10"/>
      <c r="C41" s="30"/>
      <c r="D41" s="29"/>
      <c r="E41" s="29"/>
      <c r="F41" s="29"/>
      <c r="G41" s="16"/>
      <c r="H41" s="15"/>
    </row>
    <row r="42" spans="1:8" s="22" customFormat="1" x14ac:dyDescent="0.2">
      <c r="A42" s="17" t="s">
        <v>87</v>
      </c>
      <c r="B42" s="10"/>
      <c r="C42" s="30"/>
      <c r="D42" s="26" t="s">
        <v>84</v>
      </c>
      <c r="E42" s="26" t="s">
        <v>84</v>
      </c>
      <c r="F42" s="27"/>
      <c r="G42" s="16"/>
      <c r="H42" s="15"/>
    </row>
    <row r="43" spans="1:8" s="22" customFormat="1" x14ac:dyDescent="0.2">
      <c r="A43" s="17"/>
      <c r="B43" s="10"/>
      <c r="C43" s="30"/>
      <c r="D43" s="26"/>
      <c r="E43" s="26"/>
      <c r="F43" s="26"/>
      <c r="G43" s="16"/>
      <c r="H43" s="15"/>
    </row>
    <row r="44" spans="1:8" s="22" customFormat="1" x14ac:dyDescent="0.2">
      <c r="A44" s="17" t="s">
        <v>88</v>
      </c>
      <c r="B44" s="10"/>
      <c r="C44" s="30"/>
      <c r="D44" s="26"/>
      <c r="E44" s="26"/>
      <c r="F44" s="26"/>
      <c r="G44" s="16"/>
      <c r="H44" s="15"/>
    </row>
    <row r="45" spans="1:8" s="22" customFormat="1" x14ac:dyDescent="0.2">
      <c r="A45" s="17"/>
      <c r="B45" s="10"/>
      <c r="C45" s="30"/>
      <c r="D45" s="21"/>
      <c r="E45" s="21"/>
      <c r="F45" s="31"/>
      <c r="G45" s="16"/>
      <c r="H45" s="15"/>
    </row>
    <row r="46" spans="1:8" s="22" customFormat="1" x14ac:dyDescent="0.2">
      <c r="A46" s="17" t="s">
        <v>89</v>
      </c>
      <c r="B46" s="10"/>
      <c r="C46" s="30"/>
      <c r="D46" s="26" t="s">
        <v>84</v>
      </c>
      <c r="E46" s="26" t="s">
        <v>84</v>
      </c>
      <c r="F46" s="26"/>
      <c r="G46" s="16"/>
      <c r="H46" s="15"/>
    </row>
    <row r="47" spans="1:8" s="22" customFormat="1" x14ac:dyDescent="0.2">
      <c r="A47" s="17"/>
      <c r="B47" s="10"/>
      <c r="C47" s="30"/>
      <c r="D47" s="26"/>
      <c r="E47" s="26"/>
      <c r="F47" s="26"/>
      <c r="G47" s="16"/>
      <c r="H47" s="15"/>
    </row>
    <row r="48" spans="1:8" s="22" customFormat="1" x14ac:dyDescent="0.2">
      <c r="A48" s="17" t="s">
        <v>90</v>
      </c>
      <c r="B48" s="10"/>
      <c r="C48" s="30"/>
      <c r="D48" s="26" t="s">
        <v>84</v>
      </c>
      <c r="E48" s="26" t="s">
        <v>84</v>
      </c>
      <c r="F48" s="26"/>
      <c r="G48" s="16"/>
      <c r="H48" s="15"/>
    </row>
    <row r="49" spans="1:8" s="22" customFormat="1" x14ac:dyDescent="0.2">
      <c r="A49" s="17"/>
      <c r="B49" s="10"/>
      <c r="C49" s="30"/>
      <c r="D49" s="26"/>
      <c r="E49" s="26"/>
      <c r="F49" s="26"/>
      <c r="G49" s="16"/>
      <c r="H49" s="15"/>
    </row>
    <row r="50" spans="1:8" s="22" customFormat="1" x14ac:dyDescent="0.2">
      <c r="A50" s="17" t="s">
        <v>91</v>
      </c>
      <c r="B50" s="10"/>
      <c r="C50" s="30"/>
      <c r="D50" s="26"/>
      <c r="E50" s="26"/>
      <c r="F50" s="27"/>
      <c r="G50" s="16"/>
      <c r="H50" s="15"/>
    </row>
    <row r="51" spans="1:8" s="22" customFormat="1" x14ac:dyDescent="0.2">
      <c r="A51" s="17" t="s">
        <v>92</v>
      </c>
      <c r="B51" s="19"/>
      <c r="C51" s="20"/>
      <c r="D51" s="21"/>
      <c r="E51" s="29"/>
      <c r="F51" s="32"/>
      <c r="G51" s="16"/>
      <c r="H51" s="15"/>
    </row>
    <row r="52" spans="1:8" s="22" customFormat="1" x14ac:dyDescent="0.2">
      <c r="A52" s="18" t="s">
        <v>93</v>
      </c>
      <c r="B52" s="19" t="s">
        <v>94</v>
      </c>
      <c r="C52" s="20">
        <v>500000</v>
      </c>
      <c r="D52" s="21">
        <v>494.899</v>
      </c>
      <c r="E52" s="21">
        <f>(+D52/$D$63*100)</f>
        <v>10.27204375583673</v>
      </c>
      <c r="F52" s="21" t="s">
        <v>95</v>
      </c>
      <c r="G52" s="16">
        <v>6.2702</v>
      </c>
      <c r="H52" s="15"/>
    </row>
    <row r="53" spans="1:8" s="22" customFormat="1" x14ac:dyDescent="0.2">
      <c r="A53" s="18" t="s">
        <v>96</v>
      </c>
      <c r="B53" s="19" t="s">
        <v>94</v>
      </c>
      <c r="C53" s="20">
        <v>500000</v>
      </c>
      <c r="D53" s="21">
        <v>484.209</v>
      </c>
      <c r="E53" s="21">
        <f>(+D53/$D$63*100)</f>
        <v>10.05016384145037</v>
      </c>
      <c r="F53" s="21" t="s">
        <v>97</v>
      </c>
      <c r="G53" s="16">
        <v>6.6498999999999997</v>
      </c>
      <c r="H53" s="15"/>
    </row>
    <row r="54" spans="1:8" s="22" customFormat="1" x14ac:dyDescent="0.2">
      <c r="A54" s="17" t="s">
        <v>82</v>
      </c>
      <c r="B54" s="33"/>
      <c r="C54" s="34"/>
      <c r="D54" s="26">
        <f>IF(ISERROR(SUM(D51:D53)),0,SUM(D51:D53))</f>
        <v>979.10799999999995</v>
      </c>
      <c r="E54" s="26">
        <f>IF(ISERROR(SUM(E51:E53)),0,SUM(E51:E53))</f>
        <v>20.3222075972871</v>
      </c>
      <c r="F54" s="35"/>
      <c r="G54" s="16"/>
      <c r="H54" s="15"/>
    </row>
    <row r="55" spans="1:8" s="22" customFormat="1" x14ac:dyDescent="0.2">
      <c r="A55" s="17"/>
      <c r="B55" s="33"/>
      <c r="C55" s="34"/>
      <c r="D55" s="29"/>
      <c r="E55" s="29"/>
      <c r="F55" s="32"/>
      <c r="G55" s="16"/>
      <c r="H55" s="15"/>
    </row>
    <row r="56" spans="1:8" s="22" customFormat="1" x14ac:dyDescent="0.2">
      <c r="A56" s="18" t="s">
        <v>98</v>
      </c>
      <c r="B56" s="19"/>
      <c r="C56" s="20">
        <v>0</v>
      </c>
      <c r="D56" s="21">
        <v>258.65451050000001</v>
      </c>
      <c r="E56" s="21">
        <f>(+D56/$D$63*100)</f>
        <v>5.3685912671080986</v>
      </c>
      <c r="F56" s="21" t="s">
        <v>99</v>
      </c>
      <c r="G56" s="16">
        <v>6.4866999999999999</v>
      </c>
      <c r="H56" s="15"/>
    </row>
    <row r="57" spans="1:8" s="22" customFormat="1" x14ac:dyDescent="0.2">
      <c r="A57" s="17" t="s">
        <v>82</v>
      </c>
      <c r="B57" s="10"/>
      <c r="C57" s="30"/>
      <c r="D57" s="26">
        <f>IF(ISERROR(SUM(D56:D56)),0,SUM(D56:D56))</f>
        <v>258.65451050000001</v>
      </c>
      <c r="E57" s="26">
        <f>IF(ISERROR(SUM(E56:E56)),0,SUM(E56:E56))</f>
        <v>5.3685912671080986</v>
      </c>
      <c r="F57" s="21"/>
      <c r="G57" s="16"/>
      <c r="H57" s="15"/>
    </row>
    <row r="58" spans="1:8" s="22" customFormat="1" x14ac:dyDescent="0.2">
      <c r="A58" s="17"/>
      <c r="B58" s="10"/>
      <c r="C58" s="30"/>
      <c r="D58" s="26"/>
      <c r="E58" s="26"/>
      <c r="F58" s="26"/>
      <c r="G58" s="16"/>
      <c r="H58" s="15"/>
    </row>
    <row r="59" spans="1:8" s="22" customFormat="1" x14ac:dyDescent="0.2">
      <c r="A59" s="17" t="s">
        <v>85</v>
      </c>
      <c r="B59" s="10"/>
      <c r="C59" s="30" t="s">
        <v>100</v>
      </c>
      <c r="D59" s="26">
        <f>+IF(ISERROR(#REF!),0,#REF!)+IF(ISERROR(D57),0,D57)+IF(ISERROR(D37),0,D37)+IF(ISERROR(#REF!),0,#REF!)+IF(ISERROR(#REF!),0,#REF!)+IF(ISERROR(D54),0,D54)+IF(ISERROR(#REF!),0,#REF!)+IF(ISERROR(#REF!),0,#REF!)+IF(ISERROR(#REF!),0,#REF!)</f>
        <v>4632.4755754999996</v>
      </c>
      <c r="E59" s="26">
        <f>+IF(ISERROR(#REF!),0,#REF!)+IF(ISERROR(E57),0,E57)+IF(ISERROR(E37),0,E37)+IF(ISERROR(#REF!),0,#REF!)+IF(ISERROR(#REF!),0,#REF!)+IF(ISERROR(E54),0,E54)+IF(ISERROR(#REF!),0,#REF!)+IF(ISERROR(#REF!),0,#REF!)+IF(ISERROR(#REF!),0,#REF!)</f>
        <v>96.150915256205721</v>
      </c>
      <c r="F59" s="26">
        <f>+IF(ISERROR(#REF!),0,#REF!)+IF(ISERROR(F57),0,F57)+IF(ISERROR(F37),0,F37)+IF(ISERROR(#REF!),0,#REF!)+IF(ISERROR(#REF!),0,#REF!)+IF(ISERROR(F54),0,F54)+IF(ISERROR(#REF!),0,#REF!)</f>
        <v>0</v>
      </c>
      <c r="G59" s="16"/>
      <c r="H59" s="15"/>
    </row>
    <row r="60" spans="1:8" s="22" customFormat="1" x14ac:dyDescent="0.2">
      <c r="A60" s="17"/>
      <c r="B60" s="10"/>
      <c r="C60" s="30"/>
      <c r="D60" s="26"/>
      <c r="E60" s="26"/>
      <c r="F60" s="27"/>
      <c r="G60" s="72"/>
      <c r="H60" s="15"/>
    </row>
    <row r="61" spans="1:8" s="22" customFormat="1" x14ac:dyDescent="0.2">
      <c r="A61" s="17" t="s">
        <v>101</v>
      </c>
      <c r="B61" s="10"/>
      <c r="C61" s="30"/>
      <c r="D61" s="26">
        <f>+D63-D59</f>
        <v>185.4458797001007</v>
      </c>
      <c r="E61" s="26">
        <f>D61/$D$63*100</f>
        <v>3.8490847437943274</v>
      </c>
      <c r="F61" s="27"/>
      <c r="G61" s="72"/>
      <c r="H61" s="15"/>
    </row>
    <row r="62" spans="1:8" s="22" customFormat="1" x14ac:dyDescent="0.2">
      <c r="A62" s="17"/>
      <c r="B62" s="10"/>
      <c r="C62" s="30"/>
      <c r="D62" s="29"/>
      <c r="E62" s="29"/>
      <c r="F62" s="27"/>
      <c r="G62" s="72"/>
      <c r="H62" s="15"/>
    </row>
    <row r="63" spans="1:8" s="22" customFormat="1" x14ac:dyDescent="0.2">
      <c r="A63" s="17" t="s">
        <v>102</v>
      </c>
      <c r="B63" s="10"/>
      <c r="C63" s="30"/>
      <c r="D63" s="26">
        <v>4817.9214552001004</v>
      </c>
      <c r="E63" s="26">
        <f>+E59+E61</f>
        <v>100.00000000000004</v>
      </c>
      <c r="F63" s="27"/>
      <c r="G63" s="72"/>
      <c r="H63" s="15"/>
    </row>
    <row r="64" spans="1:8" s="22" customFormat="1" x14ac:dyDescent="0.2">
      <c r="A64" s="37"/>
      <c r="B64" s="38"/>
      <c r="C64" s="39"/>
      <c r="D64" s="40"/>
      <c r="E64" s="40"/>
      <c r="F64" s="36"/>
      <c r="H64" s="1"/>
    </row>
    <row r="65" spans="1:8" s="22" customFormat="1" x14ac:dyDescent="0.2">
      <c r="A65" s="41"/>
      <c r="B65" s="38"/>
      <c r="C65" s="39"/>
      <c r="D65" s="40"/>
      <c r="E65" s="40"/>
      <c r="F65" s="42"/>
      <c r="H65" s="1"/>
    </row>
    <row r="66" spans="1:8" s="22" customFormat="1" ht="15" x14ac:dyDescent="0.25">
      <c r="A66" s="75" t="s">
        <v>103</v>
      </c>
      <c r="B66" s="75"/>
      <c r="C66" s="75"/>
      <c r="D66" s="75"/>
      <c r="E66" s="75"/>
      <c r="F66" s="75"/>
      <c r="G66" s="75"/>
      <c r="H66" s="1"/>
    </row>
    <row r="67" spans="1:8" s="22" customFormat="1" ht="15" x14ac:dyDescent="0.25">
      <c r="A67" s="43"/>
      <c r="B67" s="43"/>
      <c r="C67" s="43"/>
      <c r="D67" s="43"/>
      <c r="E67" s="43"/>
      <c r="F67" s="43"/>
      <c r="G67" s="43"/>
      <c r="H67" s="1"/>
    </row>
    <row r="68" spans="1:8" s="22" customFormat="1" ht="30.75" customHeight="1" x14ac:dyDescent="0.2">
      <c r="A68" s="76" t="s">
        <v>104</v>
      </c>
      <c r="B68" s="76"/>
      <c r="C68" s="76"/>
      <c r="D68" s="76"/>
      <c r="E68" s="76"/>
      <c r="F68" s="76"/>
      <c r="G68" s="76"/>
      <c r="H68" s="1"/>
    </row>
    <row r="69" spans="1:8" s="22" customFormat="1" ht="15" x14ac:dyDescent="0.2">
      <c r="A69" s="44"/>
      <c r="B69" s="45"/>
      <c r="C69" s="45"/>
      <c r="D69" s="45"/>
      <c r="E69" s="45"/>
      <c r="F69" s="45"/>
      <c r="G69" s="45"/>
      <c r="H69" s="1"/>
    </row>
    <row r="70" spans="1:8" s="22" customFormat="1" ht="15" x14ac:dyDescent="0.2">
      <c r="A70" s="77" t="s">
        <v>105</v>
      </c>
      <c r="B70" s="77"/>
      <c r="C70" s="77"/>
      <c r="D70" s="77"/>
      <c r="E70" s="77"/>
      <c r="F70" s="77"/>
      <c r="G70" s="77"/>
      <c r="H70" s="1"/>
    </row>
    <row r="71" spans="1:8" s="22" customFormat="1" ht="87" customHeight="1" x14ac:dyDescent="0.2">
      <c r="A71" s="79" t="s">
        <v>106</v>
      </c>
      <c r="B71" s="79"/>
      <c r="C71" s="79"/>
      <c r="D71" s="79"/>
      <c r="E71" s="79"/>
      <c r="F71" s="79"/>
      <c r="G71" s="79"/>
      <c r="H71" s="1"/>
    </row>
    <row r="72" spans="1:8" s="22" customFormat="1" x14ac:dyDescent="0.2">
      <c r="A72" s="46"/>
      <c r="B72" s="47"/>
      <c r="C72" s="48"/>
      <c r="D72" s="49"/>
      <c r="E72" s="49"/>
      <c r="F72" s="42"/>
      <c r="H72" s="1"/>
    </row>
    <row r="73" spans="1:8" s="22" customFormat="1" x14ac:dyDescent="0.2">
      <c r="A73" s="46"/>
      <c r="B73" s="47"/>
      <c r="C73" s="48"/>
      <c r="D73" s="49"/>
      <c r="E73" s="49"/>
      <c r="F73" s="42"/>
      <c r="H73" s="1"/>
    </row>
    <row r="74" spans="1:8" s="22" customFormat="1" x14ac:dyDescent="0.2">
      <c r="A74" s="50" t="s">
        <v>107</v>
      </c>
      <c r="B74" s="47"/>
      <c r="C74" s="48"/>
      <c r="D74" s="49"/>
      <c r="E74" s="49"/>
      <c r="F74" s="42"/>
      <c r="H74" s="1"/>
    </row>
    <row r="75" spans="1:8" s="22" customFormat="1" ht="38.25" x14ac:dyDescent="0.2">
      <c r="A75" s="51" t="s">
        <v>108</v>
      </c>
      <c r="B75" s="52" t="s">
        <v>109</v>
      </c>
      <c r="C75" s="53" t="s">
        <v>4</v>
      </c>
      <c r="D75" s="51" t="s">
        <v>110</v>
      </c>
      <c r="E75" s="51" t="s">
        <v>111</v>
      </c>
      <c r="F75" s="51" t="s">
        <v>112</v>
      </c>
      <c r="H75" s="1"/>
    </row>
    <row r="76" spans="1:8" s="22" customFormat="1" x14ac:dyDescent="0.2">
      <c r="A76" s="18" t="s">
        <v>113</v>
      </c>
      <c r="B76" s="19" t="s">
        <v>114</v>
      </c>
      <c r="C76" s="20">
        <v>10800</v>
      </c>
      <c r="D76" s="21">
        <v>532.37685925999995</v>
      </c>
      <c r="E76" s="21">
        <v>531.45000000000005</v>
      </c>
      <c r="F76" s="21">
        <v>19.907297855172416</v>
      </c>
      <c r="H76" s="1"/>
    </row>
    <row r="77" spans="1:8" s="22" customFormat="1" x14ac:dyDescent="0.2">
      <c r="A77" s="18" t="s">
        <v>115</v>
      </c>
      <c r="B77" s="19" t="s">
        <v>114</v>
      </c>
      <c r="C77" s="20">
        <v>41400</v>
      </c>
      <c r="D77" s="21">
        <v>514.80344155</v>
      </c>
      <c r="E77" s="21">
        <v>527.79999999999995</v>
      </c>
      <c r="F77" s="21">
        <v>76.311308444827603</v>
      </c>
      <c r="H77" s="1"/>
    </row>
    <row r="78" spans="1:8" s="22" customFormat="1" x14ac:dyDescent="0.2">
      <c r="A78" s="18" t="s">
        <v>116</v>
      </c>
      <c r="B78" s="19" t="s">
        <v>114</v>
      </c>
      <c r="C78" s="20">
        <v>30000</v>
      </c>
      <c r="D78" s="21">
        <v>147.32053167000001</v>
      </c>
      <c r="E78" s="21">
        <v>144.35</v>
      </c>
      <c r="F78" s="21">
        <v>9.787725</v>
      </c>
      <c r="H78" s="1"/>
    </row>
    <row r="79" spans="1:8" s="22" customFormat="1" x14ac:dyDescent="0.2">
      <c r="A79" s="18" t="s">
        <v>117</v>
      </c>
      <c r="B79" s="19" t="s">
        <v>114</v>
      </c>
      <c r="C79" s="20">
        <v>5000</v>
      </c>
      <c r="D79" s="21">
        <v>1534.6232</v>
      </c>
      <c r="E79" s="21">
        <v>1567.75</v>
      </c>
      <c r="F79" s="21">
        <v>16.884325806451614</v>
      </c>
      <c r="H79" s="1"/>
    </row>
    <row r="80" spans="1:8" s="22" customFormat="1" x14ac:dyDescent="0.2">
      <c r="A80" s="18" t="s">
        <v>118</v>
      </c>
      <c r="B80" s="19" t="s">
        <v>114</v>
      </c>
      <c r="C80" s="20">
        <v>10500</v>
      </c>
      <c r="D80" s="21">
        <v>1577.6391304799999</v>
      </c>
      <c r="E80" s="21">
        <v>1557.05</v>
      </c>
      <c r="F80" s="21">
        <v>35.45708419354839</v>
      </c>
      <c r="H80" s="1"/>
    </row>
    <row r="81" spans="1:8" s="22" customFormat="1" x14ac:dyDescent="0.2">
      <c r="A81" s="18" t="s">
        <v>119</v>
      </c>
      <c r="B81" s="19" t="s">
        <v>114</v>
      </c>
      <c r="C81" s="20">
        <v>1000</v>
      </c>
      <c r="D81" s="21">
        <v>6661.174</v>
      </c>
      <c r="E81" s="21">
        <v>6664.9</v>
      </c>
      <c r="F81" s="21">
        <v>14.010518726530613</v>
      </c>
      <c r="H81" s="1"/>
    </row>
    <row r="82" spans="1:8" s="22" customFormat="1" x14ac:dyDescent="0.2">
      <c r="A82" s="18" t="s">
        <v>120</v>
      </c>
      <c r="B82" s="19" t="s">
        <v>114</v>
      </c>
      <c r="C82" s="20">
        <v>5125</v>
      </c>
      <c r="D82" s="21">
        <v>6665.1898302400004</v>
      </c>
      <c r="E82" s="21">
        <v>6621.9</v>
      </c>
      <c r="F82" s="21">
        <v>71.803908473469392</v>
      </c>
      <c r="H82" s="1"/>
    </row>
    <row r="83" spans="1:8" s="22" customFormat="1" x14ac:dyDescent="0.2">
      <c r="A83" s="18" t="s">
        <v>121</v>
      </c>
      <c r="B83" s="19" t="s">
        <v>114</v>
      </c>
      <c r="C83" s="20">
        <v>550</v>
      </c>
      <c r="D83" s="21">
        <v>1660.1935454500001</v>
      </c>
      <c r="E83" s="21">
        <v>1660.35</v>
      </c>
      <c r="F83" s="21">
        <v>1.629815</v>
      </c>
      <c r="H83" s="1"/>
    </row>
    <row r="84" spans="1:8" s="22" customFormat="1" x14ac:dyDescent="0.2">
      <c r="A84" s="18" t="s">
        <v>122</v>
      </c>
      <c r="B84" s="19" t="s">
        <v>114</v>
      </c>
      <c r="C84" s="20">
        <v>74100</v>
      </c>
      <c r="D84" s="21">
        <v>107.58619852</v>
      </c>
      <c r="E84" s="21">
        <v>100.5</v>
      </c>
      <c r="F84" s="21">
        <v>15.679004299999999</v>
      </c>
      <c r="H84" s="1"/>
    </row>
    <row r="85" spans="1:8" s="22" customFormat="1" x14ac:dyDescent="0.2">
      <c r="A85" s="18" t="s">
        <v>123</v>
      </c>
      <c r="B85" s="19" t="s">
        <v>114</v>
      </c>
      <c r="C85" s="20">
        <v>14850</v>
      </c>
      <c r="D85" s="21">
        <v>412.86742558999998</v>
      </c>
      <c r="E85" s="21">
        <v>377.25</v>
      </c>
      <c r="F85" s="21">
        <v>13.308946299999999</v>
      </c>
      <c r="H85" s="1"/>
    </row>
    <row r="86" spans="1:8" s="22" customFormat="1" x14ac:dyDescent="0.2">
      <c r="A86" s="18" t="s">
        <v>124</v>
      </c>
      <c r="B86" s="19" t="s">
        <v>114</v>
      </c>
      <c r="C86" s="20">
        <v>54000</v>
      </c>
      <c r="D86" s="21">
        <v>332.42055481</v>
      </c>
      <c r="E86" s="21">
        <v>320.55</v>
      </c>
      <c r="F86" s="21">
        <v>40.344479999999997</v>
      </c>
      <c r="H86" s="1"/>
    </row>
    <row r="87" spans="1:8" s="22" customFormat="1" x14ac:dyDescent="0.2">
      <c r="A87" s="18" t="s">
        <v>125</v>
      </c>
      <c r="B87" s="19" t="s">
        <v>114</v>
      </c>
      <c r="C87" s="20">
        <v>2200</v>
      </c>
      <c r="D87" s="21">
        <v>1630.4282843000001</v>
      </c>
      <c r="E87" s="21">
        <v>1632.45</v>
      </c>
      <c r="F87" s="21">
        <v>6.3551950000000001</v>
      </c>
      <c r="H87" s="1"/>
    </row>
    <row r="88" spans="1:8" s="22" customFormat="1" x14ac:dyDescent="0.2">
      <c r="A88" s="18" t="s">
        <v>126</v>
      </c>
      <c r="B88" s="19" t="s">
        <v>114</v>
      </c>
      <c r="C88" s="20">
        <v>3000</v>
      </c>
      <c r="D88" s="21">
        <v>2737.4525333299998</v>
      </c>
      <c r="E88" s="21">
        <v>2656.45</v>
      </c>
      <c r="F88" s="21">
        <v>14.3734275</v>
      </c>
      <c r="H88" s="1"/>
    </row>
    <row r="89" spans="1:8" s="22" customFormat="1" x14ac:dyDescent="0.2">
      <c r="A89" s="18" t="s">
        <v>127</v>
      </c>
      <c r="B89" s="19" t="s">
        <v>114</v>
      </c>
      <c r="C89" s="20">
        <v>2100</v>
      </c>
      <c r="D89" s="21">
        <v>909.55144761999998</v>
      </c>
      <c r="E89" s="21">
        <v>902.5</v>
      </c>
      <c r="F89" s="21">
        <v>3.3234904838709678</v>
      </c>
      <c r="H89" s="1"/>
    </row>
    <row r="90" spans="1:8" s="22" customFormat="1" x14ac:dyDescent="0.2">
      <c r="A90" s="18" t="s">
        <v>128</v>
      </c>
      <c r="B90" s="19" t="s">
        <v>114</v>
      </c>
      <c r="C90" s="20">
        <v>19600</v>
      </c>
      <c r="D90" s="21">
        <v>928.51245714000004</v>
      </c>
      <c r="E90" s="21">
        <v>897.1</v>
      </c>
      <c r="F90" s="21">
        <v>31.019244516129032</v>
      </c>
      <c r="H90" s="1"/>
    </row>
    <row r="91" spans="1:8" s="22" customFormat="1" x14ac:dyDescent="0.2">
      <c r="A91" s="18" t="s">
        <v>129</v>
      </c>
      <c r="B91" s="19" t="s">
        <v>114</v>
      </c>
      <c r="C91" s="20">
        <v>11600</v>
      </c>
      <c r="D91" s="21">
        <v>1880.82032845</v>
      </c>
      <c r="E91" s="21">
        <v>1840.15</v>
      </c>
      <c r="F91" s="21">
        <v>37.617640000000002</v>
      </c>
      <c r="H91" s="1"/>
    </row>
    <row r="92" spans="1:8" s="22" customFormat="1" x14ac:dyDescent="0.2">
      <c r="A92" s="18" t="s">
        <v>130</v>
      </c>
      <c r="B92" s="19" t="s">
        <v>114</v>
      </c>
      <c r="C92" s="20">
        <v>8924</v>
      </c>
      <c r="D92" s="21">
        <v>94.681074629999998</v>
      </c>
      <c r="E92" s="21">
        <v>87.8</v>
      </c>
      <c r="F92" s="21">
        <v>1.9479529999999998</v>
      </c>
      <c r="H92" s="1"/>
    </row>
    <row r="93" spans="1:8" s="22" customFormat="1" x14ac:dyDescent="0.2">
      <c r="A93" s="18" t="s">
        <v>131</v>
      </c>
      <c r="B93" s="19" t="s">
        <v>114</v>
      </c>
      <c r="C93" s="20">
        <v>1800</v>
      </c>
      <c r="D93" s="21">
        <v>8754.8543277799999</v>
      </c>
      <c r="E93" s="21">
        <v>8428.2999999999993</v>
      </c>
      <c r="F93" s="21">
        <v>27.545652</v>
      </c>
      <c r="H93" s="1"/>
    </row>
    <row r="94" spans="1:8" s="22" customFormat="1" x14ac:dyDescent="0.2">
      <c r="A94" s="18" t="s">
        <v>132</v>
      </c>
      <c r="B94" s="19" t="s">
        <v>114</v>
      </c>
      <c r="C94" s="20">
        <v>15000</v>
      </c>
      <c r="D94" s="21">
        <v>886.09991200000002</v>
      </c>
      <c r="E94" s="21">
        <v>882.95</v>
      </c>
      <c r="F94" s="21">
        <v>25.602337500000001</v>
      </c>
      <c r="H94" s="1"/>
    </row>
    <row r="95" spans="1:8" s="22" customFormat="1" x14ac:dyDescent="0.2">
      <c r="A95" s="18" t="s">
        <v>133</v>
      </c>
      <c r="B95" s="19" t="s">
        <v>114</v>
      </c>
      <c r="C95" s="20">
        <v>1200</v>
      </c>
      <c r="D95" s="21">
        <v>1610.79466667</v>
      </c>
      <c r="E95" s="21">
        <v>1562.2</v>
      </c>
      <c r="F95" s="21">
        <v>4.2044429999999995</v>
      </c>
      <c r="H95" s="1"/>
    </row>
    <row r="96" spans="1:8" s="22" customFormat="1" x14ac:dyDescent="0.2">
      <c r="A96" s="18" t="s">
        <v>134</v>
      </c>
      <c r="B96" s="19" t="s">
        <v>114</v>
      </c>
      <c r="C96" s="20">
        <v>11200</v>
      </c>
      <c r="D96" s="21">
        <v>865.24573213999997</v>
      </c>
      <c r="E96" s="21">
        <v>871</v>
      </c>
      <c r="F96" s="21">
        <v>23.411752000000003</v>
      </c>
      <c r="H96" s="1"/>
    </row>
    <row r="97" spans="1:8" s="22" customFormat="1" x14ac:dyDescent="0.2">
      <c r="A97" s="18" t="s">
        <v>135</v>
      </c>
      <c r="B97" s="19" t="s">
        <v>114</v>
      </c>
      <c r="C97" s="20">
        <v>8100</v>
      </c>
      <c r="D97" s="21">
        <v>221.38910122999999</v>
      </c>
      <c r="E97" s="21">
        <v>215.25</v>
      </c>
      <c r="F97" s="21">
        <v>3.073626</v>
      </c>
      <c r="H97" s="1"/>
    </row>
    <row r="98" spans="1:8" s="22" customFormat="1" x14ac:dyDescent="0.2">
      <c r="A98" s="18" t="s">
        <v>136</v>
      </c>
      <c r="B98" s="19" t="s">
        <v>114</v>
      </c>
      <c r="C98" s="20">
        <v>8000</v>
      </c>
      <c r="D98" s="21">
        <v>111.77777500000001</v>
      </c>
      <c r="E98" s="21">
        <v>117.4</v>
      </c>
      <c r="F98" s="21">
        <v>1.74834</v>
      </c>
      <c r="H98" s="1"/>
    </row>
    <row r="99" spans="1:8" s="22" customFormat="1" x14ac:dyDescent="0.2">
      <c r="A99" s="18" t="s">
        <v>137</v>
      </c>
      <c r="B99" s="19" t="s">
        <v>114</v>
      </c>
      <c r="C99" s="20">
        <v>3500</v>
      </c>
      <c r="D99" s="21">
        <v>2599.0122000000001</v>
      </c>
      <c r="E99" s="21">
        <v>2581.65</v>
      </c>
      <c r="F99" s="21">
        <v>15.868770708823529</v>
      </c>
      <c r="H99" s="1"/>
    </row>
    <row r="100" spans="1:8" s="22" customFormat="1" x14ac:dyDescent="0.2">
      <c r="A100" s="18" t="s">
        <v>138</v>
      </c>
      <c r="B100" s="19" t="s">
        <v>114</v>
      </c>
      <c r="C100" s="20">
        <v>13500</v>
      </c>
      <c r="D100" s="21">
        <v>2655.6974303699999</v>
      </c>
      <c r="E100" s="21">
        <v>2565.1</v>
      </c>
      <c r="F100" s="21">
        <v>61.208115591176465</v>
      </c>
      <c r="H100" s="1"/>
    </row>
    <row r="101" spans="1:8" s="22" customFormat="1" x14ac:dyDescent="0.2">
      <c r="A101" s="18" t="s">
        <v>139</v>
      </c>
      <c r="B101" s="19" t="s">
        <v>114</v>
      </c>
      <c r="C101" s="20">
        <v>2100</v>
      </c>
      <c r="D101" s="21">
        <v>1001.9498</v>
      </c>
      <c r="E101" s="21">
        <v>1005.7</v>
      </c>
      <c r="F101" s="21">
        <v>3.7311329999999998</v>
      </c>
      <c r="H101" s="1"/>
    </row>
    <row r="102" spans="1:8" s="22" customFormat="1" x14ac:dyDescent="0.2">
      <c r="A102" s="18" t="s">
        <v>140</v>
      </c>
      <c r="B102" s="19" t="s">
        <v>114</v>
      </c>
      <c r="C102" s="20">
        <v>500</v>
      </c>
      <c r="D102" s="21">
        <v>1045.3915</v>
      </c>
      <c r="E102" s="21">
        <v>940.65</v>
      </c>
      <c r="F102" s="21">
        <v>1.0865838000000001</v>
      </c>
      <c r="H102" s="1"/>
    </row>
    <row r="103" spans="1:8" s="22" customFormat="1" x14ac:dyDescent="0.2">
      <c r="A103" s="18" t="s">
        <v>141</v>
      </c>
      <c r="B103" s="19" t="s">
        <v>114</v>
      </c>
      <c r="C103" s="20">
        <v>30375</v>
      </c>
      <c r="D103" s="21">
        <v>210.97999737000001</v>
      </c>
      <c r="E103" s="21">
        <v>210.6</v>
      </c>
      <c r="F103" s="21">
        <v>15.217917627272726</v>
      </c>
      <c r="H103" s="1"/>
    </row>
    <row r="104" spans="1:8" s="22" customFormat="1" x14ac:dyDescent="0.2">
      <c r="A104" s="18" t="s">
        <v>142</v>
      </c>
      <c r="B104" s="19" t="s">
        <v>114</v>
      </c>
      <c r="C104" s="20">
        <v>118125</v>
      </c>
      <c r="D104" s="21">
        <v>225.46917332999999</v>
      </c>
      <c r="E104" s="21">
        <v>209.1</v>
      </c>
      <c r="F104" s="21">
        <v>59.180790772727271</v>
      </c>
      <c r="H104" s="1"/>
    </row>
    <row r="105" spans="1:8" s="22" customFormat="1" x14ac:dyDescent="0.2">
      <c r="A105" s="18" t="s">
        <v>143</v>
      </c>
      <c r="B105" s="19" t="s">
        <v>114</v>
      </c>
      <c r="C105" s="20">
        <v>44000</v>
      </c>
      <c r="D105" s="21">
        <v>109.23446817999999</v>
      </c>
      <c r="E105" s="21">
        <v>113.45</v>
      </c>
      <c r="F105" s="21">
        <v>12.11584</v>
      </c>
      <c r="H105" s="1"/>
    </row>
    <row r="106" spans="1:8" s="22" customFormat="1" x14ac:dyDescent="0.2">
      <c r="A106" s="18" t="s">
        <v>144</v>
      </c>
      <c r="B106" s="19" t="s">
        <v>114</v>
      </c>
      <c r="C106" s="20">
        <v>5250</v>
      </c>
      <c r="D106" s="21">
        <v>2543.4982799999998</v>
      </c>
      <c r="E106" s="21">
        <v>2610.65</v>
      </c>
      <c r="F106" s="21">
        <v>25.440345000000001</v>
      </c>
      <c r="H106" s="1"/>
    </row>
    <row r="107" spans="1:8" s="22" customFormat="1" x14ac:dyDescent="0.2">
      <c r="A107" s="18" t="s">
        <v>145</v>
      </c>
      <c r="B107" s="19" t="s">
        <v>114</v>
      </c>
      <c r="C107" s="20">
        <v>1300</v>
      </c>
      <c r="D107" s="21">
        <v>735.15265384999998</v>
      </c>
      <c r="E107" s="21">
        <v>726.05</v>
      </c>
      <c r="F107" s="21">
        <v>1.8965549904761905</v>
      </c>
      <c r="H107" s="1"/>
    </row>
    <row r="108" spans="1:8" s="22" customFormat="1" x14ac:dyDescent="0.2">
      <c r="A108" s="18" t="s">
        <v>146</v>
      </c>
      <c r="B108" s="19" t="s">
        <v>114</v>
      </c>
      <c r="C108" s="20">
        <v>26000</v>
      </c>
      <c r="D108" s="21">
        <v>782.05861769000001</v>
      </c>
      <c r="E108" s="21">
        <v>721.25</v>
      </c>
      <c r="F108" s="21">
        <v>37.931099809523815</v>
      </c>
      <c r="H108" s="1"/>
    </row>
    <row r="109" spans="1:8" s="22" customFormat="1" x14ac:dyDescent="0.2">
      <c r="A109" s="18" t="s">
        <v>147</v>
      </c>
      <c r="B109" s="19" t="s">
        <v>114</v>
      </c>
      <c r="C109" s="20">
        <v>5400</v>
      </c>
      <c r="D109" s="21">
        <v>412.4175037</v>
      </c>
      <c r="E109" s="21">
        <v>421.7</v>
      </c>
      <c r="F109" s="21">
        <v>4.0865985</v>
      </c>
      <c r="H109" s="1"/>
    </row>
    <row r="111" spans="1:8" x14ac:dyDescent="0.2">
      <c r="A111" s="54" t="s">
        <v>148</v>
      </c>
      <c r="C111" s="56"/>
      <c r="E111" s="57"/>
      <c r="G111" s="58"/>
      <c r="H111" s="58"/>
    </row>
    <row r="112" spans="1:8" x14ac:dyDescent="0.2">
      <c r="A112" s="46"/>
      <c r="B112" s="47"/>
      <c r="C112" s="59"/>
      <c r="E112" s="57"/>
      <c r="G112" s="58"/>
      <c r="H112" s="58"/>
    </row>
    <row r="113" spans="1:8" x14ac:dyDescent="0.2">
      <c r="A113" s="78" t="s">
        <v>149</v>
      </c>
      <c r="B113" s="78"/>
      <c r="C113" s="78"/>
      <c r="F113" s="60"/>
      <c r="G113" s="58"/>
      <c r="H113" s="61"/>
    </row>
    <row r="114" spans="1:8" x14ac:dyDescent="0.2">
      <c r="A114" s="80" t="s">
        <v>150</v>
      </c>
      <c r="B114" s="81"/>
      <c r="C114" s="81"/>
      <c r="D114" s="82"/>
      <c r="G114" s="58"/>
      <c r="H114" s="58"/>
    </row>
    <row r="115" spans="1:8" x14ac:dyDescent="0.2">
      <c r="A115" s="73" t="s">
        <v>151</v>
      </c>
      <c r="B115" s="73"/>
      <c r="C115" s="73"/>
      <c r="D115" s="27">
        <v>486</v>
      </c>
      <c r="F115" s="57"/>
      <c r="G115" s="58"/>
      <c r="H115" s="58"/>
    </row>
    <row r="116" spans="1:8" x14ac:dyDescent="0.2">
      <c r="A116" s="73" t="s">
        <v>152</v>
      </c>
      <c r="B116" s="73"/>
      <c r="C116" s="73"/>
      <c r="D116" s="27">
        <v>550</v>
      </c>
      <c r="G116" s="58"/>
      <c r="H116" s="58"/>
    </row>
    <row r="117" spans="1:8" x14ac:dyDescent="0.2">
      <c r="A117" s="73" t="s">
        <v>153</v>
      </c>
      <c r="B117" s="73"/>
      <c r="C117" s="73"/>
      <c r="D117" s="62">
        <v>3649.368588675</v>
      </c>
      <c r="G117" s="61"/>
      <c r="H117" s="58"/>
    </row>
    <row r="118" spans="1:8" x14ac:dyDescent="0.2">
      <c r="A118" s="73" t="s">
        <v>154</v>
      </c>
      <c r="B118" s="73"/>
      <c r="C118" s="73"/>
      <c r="D118" s="62">
        <v>4163.0300879000006</v>
      </c>
      <c r="G118" s="61"/>
      <c r="H118" s="58"/>
    </row>
    <row r="119" spans="1:8" x14ac:dyDescent="0.2">
      <c r="A119" s="73" t="s">
        <v>155</v>
      </c>
      <c r="B119" s="73"/>
      <c r="C119" s="73"/>
      <c r="D119" s="63">
        <v>32.090000000000003</v>
      </c>
      <c r="G119" s="61"/>
      <c r="H119" s="58"/>
    </row>
    <row r="120" spans="1:8" x14ac:dyDescent="0.2">
      <c r="A120" s="46"/>
      <c r="B120" s="47"/>
      <c r="C120" s="59"/>
      <c r="G120" s="58"/>
      <c r="H120" s="58"/>
    </row>
    <row r="121" spans="1:8" x14ac:dyDescent="0.2">
      <c r="A121" s="78" t="s">
        <v>156</v>
      </c>
      <c r="B121" s="78"/>
      <c r="C121" s="78"/>
      <c r="G121" s="58"/>
      <c r="H121" s="58"/>
    </row>
    <row r="122" spans="1:8" x14ac:dyDescent="0.2">
      <c r="A122" s="80" t="s">
        <v>157</v>
      </c>
      <c r="B122" s="81"/>
      <c r="C122" s="81"/>
      <c r="D122" s="82"/>
      <c r="G122" s="58"/>
      <c r="H122" s="58"/>
    </row>
    <row r="123" spans="1:8" x14ac:dyDescent="0.2">
      <c r="A123" s="73" t="s">
        <v>151</v>
      </c>
      <c r="B123" s="73"/>
      <c r="C123" s="73"/>
      <c r="D123" s="27" t="s">
        <v>158</v>
      </c>
      <c r="G123" s="58"/>
      <c r="H123" s="58"/>
    </row>
    <row r="124" spans="1:8" x14ac:dyDescent="0.2">
      <c r="A124" s="73" t="s">
        <v>152</v>
      </c>
      <c r="B124" s="73"/>
      <c r="C124" s="73"/>
      <c r="D124" s="27" t="s">
        <v>158</v>
      </c>
      <c r="G124" s="58"/>
      <c r="H124" s="58"/>
    </row>
    <row r="125" spans="1:8" x14ac:dyDescent="0.2">
      <c r="A125" s="73" t="s">
        <v>153</v>
      </c>
      <c r="B125" s="73"/>
      <c r="C125" s="73"/>
      <c r="D125" s="64" t="s">
        <v>158</v>
      </c>
      <c r="G125" s="58"/>
      <c r="H125" s="58"/>
    </row>
    <row r="126" spans="1:8" x14ac:dyDescent="0.2">
      <c r="A126" s="73" t="s">
        <v>154</v>
      </c>
      <c r="B126" s="73"/>
      <c r="C126" s="73"/>
      <c r="D126" s="64" t="s">
        <v>158</v>
      </c>
      <c r="G126" s="58"/>
      <c r="H126" s="58"/>
    </row>
    <row r="127" spans="1:8" x14ac:dyDescent="0.2">
      <c r="A127" s="73" t="s">
        <v>155</v>
      </c>
      <c r="B127" s="73"/>
      <c r="C127" s="73"/>
      <c r="D127" s="63" t="s">
        <v>158</v>
      </c>
      <c r="G127" s="58"/>
      <c r="H127" s="58"/>
    </row>
    <row r="130" spans="1:8" ht="15" x14ac:dyDescent="0.25">
      <c r="A130" s="65" t="s">
        <v>159</v>
      </c>
      <c r="B130" s="66"/>
      <c r="C130" s="66"/>
      <c r="G130" s="58"/>
      <c r="H130" s="58"/>
    </row>
    <row r="131" spans="1:8" ht="15" x14ac:dyDescent="0.25">
      <c r="A131" s="67" t="s">
        <v>160</v>
      </c>
      <c r="B131" s="66"/>
      <c r="C131" s="66"/>
      <c r="D131" s="66"/>
      <c r="G131" s="58"/>
      <c r="H131" s="58"/>
    </row>
    <row r="132" spans="1:8" ht="13.5" customHeight="1" x14ac:dyDescent="0.25">
      <c r="A132" s="83" t="s">
        <v>161</v>
      </c>
      <c r="B132" s="83"/>
      <c r="C132" s="83"/>
      <c r="D132" s="66"/>
      <c r="G132" s="58"/>
      <c r="H132" s="58"/>
    </row>
    <row r="133" spans="1:8" ht="15" x14ac:dyDescent="0.25">
      <c r="A133" s="67" t="s">
        <v>162</v>
      </c>
      <c r="B133" s="66"/>
      <c r="C133" s="66"/>
      <c r="D133" s="66"/>
      <c r="G133" s="58"/>
      <c r="H133" s="58"/>
    </row>
    <row r="134" spans="1:8" ht="15" x14ac:dyDescent="0.25">
      <c r="A134" s="67"/>
      <c r="B134" s="66"/>
      <c r="C134" s="66"/>
      <c r="D134" s="66"/>
      <c r="G134" s="58"/>
      <c r="H134" s="58"/>
    </row>
    <row r="135" spans="1:8" ht="14.25" x14ac:dyDescent="0.2">
      <c r="A135" s="68" t="s">
        <v>163</v>
      </c>
      <c r="B135" s="66"/>
      <c r="C135" s="66"/>
      <c r="D135" s="69" t="s">
        <v>164</v>
      </c>
      <c r="G135" s="58"/>
      <c r="H135" s="58"/>
    </row>
    <row r="136" spans="1:8" x14ac:dyDescent="0.2">
      <c r="A136" s="66"/>
      <c r="B136" s="66"/>
      <c r="C136" s="66"/>
      <c r="D136" s="66"/>
      <c r="G136" s="58"/>
      <c r="H136" s="58"/>
    </row>
    <row r="137" spans="1:8" x14ac:dyDescent="0.2">
      <c r="A137" s="66"/>
      <c r="B137" s="66"/>
      <c r="C137" s="66"/>
      <c r="D137" s="66"/>
      <c r="G137" s="58"/>
      <c r="H137" s="58"/>
    </row>
    <row r="138" spans="1:8" x14ac:dyDescent="0.2">
      <c r="A138" s="66"/>
      <c r="B138" s="66"/>
      <c r="C138" s="66"/>
      <c r="D138" s="66"/>
      <c r="G138" s="58"/>
      <c r="H138" s="58"/>
    </row>
    <row r="139" spans="1:8" x14ac:dyDescent="0.2">
      <c r="A139" s="66"/>
      <c r="B139" s="66"/>
      <c r="C139" s="66"/>
      <c r="D139" s="66"/>
      <c r="G139" s="58"/>
      <c r="H139" s="58"/>
    </row>
    <row r="140" spans="1:8" x14ac:dyDescent="0.2">
      <c r="A140" s="66"/>
      <c r="B140" s="66"/>
      <c r="C140" s="66"/>
      <c r="D140" s="66"/>
      <c r="G140" s="58"/>
      <c r="H140" s="58"/>
    </row>
    <row r="141" spans="1:8" x14ac:dyDescent="0.2">
      <c r="A141" s="66"/>
      <c r="B141" s="66"/>
      <c r="C141" s="66"/>
      <c r="D141" s="66"/>
      <c r="G141" s="58"/>
      <c r="H141" s="58"/>
    </row>
    <row r="142" spans="1:8" x14ac:dyDescent="0.2">
      <c r="A142" s="66"/>
      <c r="B142" s="66"/>
      <c r="C142" s="66"/>
      <c r="D142" s="66"/>
      <c r="G142" s="58"/>
      <c r="H142" s="58"/>
    </row>
    <row r="143" spans="1:8" x14ac:dyDescent="0.2">
      <c r="A143" s="66"/>
      <c r="B143" s="66"/>
      <c r="C143" s="66"/>
      <c r="D143" s="66"/>
      <c r="G143" s="58"/>
      <c r="H143" s="58"/>
    </row>
    <row r="144" spans="1:8" x14ac:dyDescent="0.2">
      <c r="A144" s="66"/>
      <c r="B144" s="66"/>
      <c r="C144" s="66"/>
      <c r="D144" s="66"/>
    </row>
    <row r="145" spans="1:4" x14ac:dyDescent="0.2">
      <c r="A145" s="66"/>
      <c r="B145" s="66"/>
      <c r="C145" s="66"/>
      <c r="D145" s="66"/>
    </row>
    <row r="146" spans="1:4" x14ac:dyDescent="0.2">
      <c r="A146" s="66"/>
      <c r="B146" s="66"/>
      <c r="C146" s="66"/>
      <c r="D146" s="66"/>
    </row>
    <row r="147" spans="1:4" x14ac:dyDescent="0.2">
      <c r="A147" s="66"/>
      <c r="B147" s="66"/>
      <c r="C147" s="66"/>
      <c r="D147" s="66"/>
    </row>
    <row r="148" spans="1:4" x14ac:dyDescent="0.2">
      <c r="A148" s="66"/>
      <c r="B148" s="66"/>
      <c r="C148" s="66"/>
      <c r="D148" s="66"/>
    </row>
    <row r="149" spans="1:4" x14ac:dyDescent="0.2">
      <c r="A149" s="66"/>
      <c r="B149" s="66"/>
      <c r="C149" s="66"/>
      <c r="D149" s="66"/>
    </row>
  </sheetData>
  <mergeCells count="20">
    <mergeCell ref="A127:C127"/>
    <mergeCell ref="A132:C132"/>
    <mergeCell ref="A121:C121"/>
    <mergeCell ref="A122:D122"/>
    <mergeCell ref="A123:C123"/>
    <mergeCell ref="A124:C124"/>
    <mergeCell ref="A125:C125"/>
    <mergeCell ref="A126:C126"/>
    <mergeCell ref="A119:C119"/>
    <mergeCell ref="A1:H1"/>
    <mergeCell ref="A66:G66"/>
    <mergeCell ref="A68:G68"/>
    <mergeCell ref="A70:G70"/>
    <mergeCell ref="A113:C113"/>
    <mergeCell ref="A71:G71"/>
    <mergeCell ref="A114:D114"/>
    <mergeCell ref="A115:C115"/>
    <mergeCell ref="A116:C116"/>
    <mergeCell ref="A117:C117"/>
    <mergeCell ref="A118:C118"/>
  </mergeCells>
  <pageMargins left="0.75" right="0.25" top="1" bottom="1" header="0.5" footer="0.5"/>
  <pageSetup paperSize="9" scale="7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2023-01-05T07:15:38Z</dcterms:created>
  <dcterms:modified xsi:type="dcterms:W3CDTF">2023-01-05T10:50:34Z</dcterms:modified>
</cp:coreProperties>
</file>