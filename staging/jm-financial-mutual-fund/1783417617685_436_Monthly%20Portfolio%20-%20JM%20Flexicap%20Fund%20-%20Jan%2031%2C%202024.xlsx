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Flexicap Fund" sheetId="1" r:id="rId1"/>
  </sheets>
  <definedNames>
    <definedName name="_xlnm._FilterDatabase" localSheetId="0" hidden="1">'JM Flexicap Fund'!$A$1:$I$158</definedName>
    <definedName name="AAAAA">#REF!</definedName>
    <definedName name="Afs">#REF!</definedName>
    <definedName name="_xlnm.Database">#REF!</definedName>
    <definedName name="EBLDB">#REF!</definedName>
    <definedName name="fl">#REF!</definedName>
    <definedName name="_xlnm.Print_Area" localSheetId="0">'JM Flexicap Fund'!$A$1:$E$78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0" i="1" l="1"/>
  <c r="E79" i="1"/>
  <c r="E80" i="1" s="1"/>
  <c r="D61" i="1"/>
  <c r="D65" i="1" s="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1" i="1" s="1"/>
  <c r="E65" i="1" s="1"/>
  <c r="E82" i="1" l="1"/>
  <c r="D82" i="1"/>
  <c r="D84" i="1" s="1"/>
  <c r="E84" i="1" s="1"/>
  <c r="E86" i="1" l="1"/>
</calcChain>
</file>

<file path=xl/sharedStrings.xml><?xml version="1.0" encoding="utf-8"?>
<sst xmlns="http://schemas.openxmlformats.org/spreadsheetml/2006/main" count="212" uniqueCount="174">
  <si>
    <t>JM Financial Mutual Fund</t>
  </si>
  <si>
    <t>JM Flexicap Fund (An open ended dynamic equity scheme investing across large cap, mid cap, small cap stocks).</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</si>
  <si>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</si>
  <si>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</si>
  <si>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</si>
  <si>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</si>
  <si>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</si>
  <si>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</si>
  <si>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</si>
  <si>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</si>
  <si>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</si>
  <si>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</si>
  <si>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</si>
  <si>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Bank of Baroda</t>
  </si>
  <si>
    <t>Banks</t>
  </si>
  <si>
    <t>INE028A01039</t>
  </si>
  <si>
    <t>State Bank of India</t>
  </si>
  <si>
    <t>INE062A01020</t>
  </si>
  <si>
    <t>Larsen &amp; Toubro Ltd.</t>
  </si>
  <si>
    <t>Construction</t>
  </si>
  <si>
    <t>INE018A01030</t>
  </si>
  <si>
    <t>Infosys Ltd.</t>
  </si>
  <si>
    <t>IT - Software</t>
  </si>
  <si>
    <t>INE009A01021</t>
  </si>
  <si>
    <t>ICICI Bank Ltd.</t>
  </si>
  <si>
    <t>INE090A01021</t>
  </si>
  <si>
    <t>NTPC Ltd.</t>
  </si>
  <si>
    <t>Power</t>
  </si>
  <si>
    <t>INE733E01010</t>
  </si>
  <si>
    <t>HDFC Bank Ltd.</t>
  </si>
  <si>
    <t>INE040A01034</t>
  </si>
  <si>
    <t>REC Ltd.</t>
  </si>
  <si>
    <t>Finance</t>
  </si>
  <si>
    <t>INE020B01018</t>
  </si>
  <si>
    <t>Hero MotoCorp Ltd.</t>
  </si>
  <si>
    <t>Automobiles</t>
  </si>
  <si>
    <t>INE158A01026</t>
  </si>
  <si>
    <t>Bharat Heavy Electricals Ltd.</t>
  </si>
  <si>
    <t>Electrical Equipment</t>
  </si>
  <si>
    <t>INE257A01026</t>
  </si>
  <si>
    <t>Ultratech Cement Ltd.</t>
  </si>
  <si>
    <t>Cement &amp; Cement Products</t>
  </si>
  <si>
    <t>INE481G01011</t>
  </si>
  <si>
    <t>HEG Ltd.</t>
  </si>
  <si>
    <t>Industrial Products</t>
  </si>
  <si>
    <t>INE545A01016</t>
  </si>
  <si>
    <t>CESC Ltd.</t>
  </si>
  <si>
    <t>INE486A01021</t>
  </si>
  <si>
    <t>Tata Motors Ltd.-DVR</t>
  </si>
  <si>
    <t>IN9155A01020</t>
  </si>
  <si>
    <t>Newgen Software Technologies Ltd.</t>
  </si>
  <si>
    <t>INE619B01017</t>
  </si>
  <si>
    <t>Samhi Hotels Ltd.</t>
  </si>
  <si>
    <t>Leisure Services</t>
  </si>
  <si>
    <t>INE08U801020</t>
  </si>
  <si>
    <t>Arvind Ltd.</t>
  </si>
  <si>
    <t>Textiles &amp; Apparels</t>
  </si>
  <si>
    <t>INE034A01011</t>
  </si>
  <si>
    <t>Oil &amp; Natural Gas Corporation Ltd.</t>
  </si>
  <si>
    <t>Oil</t>
  </si>
  <si>
    <t>INE213A01029</t>
  </si>
  <si>
    <t>DLF Ltd.</t>
  </si>
  <si>
    <t>Realty</t>
  </si>
  <si>
    <t>INE271C01023</t>
  </si>
  <si>
    <t>Sterling and Wilson Renewable Energy Ltd.</t>
  </si>
  <si>
    <t>INE00M201021</t>
  </si>
  <si>
    <t>Tata Steel Ltd.</t>
  </si>
  <si>
    <t>Ferrous Metals</t>
  </si>
  <si>
    <t>INE081A01020</t>
  </si>
  <si>
    <t>Kirloskar Oil Engines Ltd.</t>
  </si>
  <si>
    <t>INE146L01010</t>
  </si>
  <si>
    <t>Coal India Ltd.</t>
  </si>
  <si>
    <t>Consumable Fuels</t>
  </si>
  <si>
    <t>INE522F01014</t>
  </si>
  <si>
    <t>Punjab National Bank</t>
  </si>
  <si>
    <t>INE160A01022</t>
  </si>
  <si>
    <t>Thomas Cook  (India)  Ltd.</t>
  </si>
  <si>
    <t>INE332A01027</t>
  </si>
  <si>
    <t>KPI Green Energy Ltd.</t>
  </si>
  <si>
    <t>INE542W01017</t>
  </si>
  <si>
    <t>Birla Corporation Ltd.</t>
  </si>
  <si>
    <t>INE340A01012</t>
  </si>
  <si>
    <t>Birlasoft Ltd.</t>
  </si>
  <si>
    <t>INE836A01035</t>
  </si>
  <si>
    <t>Steel Authority of India Ltd.</t>
  </si>
  <si>
    <t>INE114A01011</t>
  </si>
  <si>
    <t>Zomato Ltd.</t>
  </si>
  <si>
    <t>Retailing</t>
  </si>
  <si>
    <t>INE758T01015</t>
  </si>
  <si>
    <t>InterGlobe Aviation Ltd.</t>
  </si>
  <si>
    <t>Transport Services</t>
  </si>
  <si>
    <t>INE646L01027</t>
  </si>
  <si>
    <t>Metropolis Healthcare Ltd.</t>
  </si>
  <si>
    <t>Healthcare Services</t>
  </si>
  <si>
    <t>INE112L01020</t>
  </si>
  <si>
    <t>ITC Ltd.</t>
  </si>
  <si>
    <t>Diversified FMCG</t>
  </si>
  <si>
    <t>INE154A01025</t>
  </si>
  <si>
    <t>Sun TV Network Ltd.</t>
  </si>
  <si>
    <t>Entertainment</t>
  </si>
  <si>
    <t>INE424H01027</t>
  </si>
  <si>
    <t>Schaeffler India Ltd.</t>
  </si>
  <si>
    <t>Auto Components</t>
  </si>
  <si>
    <t>INE513A01022</t>
  </si>
  <si>
    <t>Blue Star Ltd.</t>
  </si>
  <si>
    <t>Consumer Durables</t>
  </si>
  <si>
    <t>INE472A01039</t>
  </si>
  <si>
    <t>Poonawalla Fincorp Ltd.</t>
  </si>
  <si>
    <t>INE511C01022</t>
  </si>
  <si>
    <t>Gulf Oil Lubricants India Ltd.</t>
  </si>
  <si>
    <t>Petroleum Products</t>
  </si>
  <si>
    <t>INE635Q01029</t>
  </si>
  <si>
    <t>Suven Pharmaceuticals Ltd.</t>
  </si>
  <si>
    <t>Pharmaceuticals &amp; Biotechnology</t>
  </si>
  <si>
    <t>INE03QK01018</t>
  </si>
  <si>
    <t>Global Health Ltd.</t>
  </si>
  <si>
    <t>INE474Q01031</t>
  </si>
  <si>
    <t>Glenmark Pharmaceuticals Ltd.</t>
  </si>
  <si>
    <t>INE935A01035</t>
  </si>
  <si>
    <t>Varun Beverages Ltd.</t>
  </si>
  <si>
    <t>Beverages</t>
  </si>
  <si>
    <t>INE200M01021</t>
  </si>
  <si>
    <t>Godrej Consumer Products Ltd.</t>
  </si>
  <si>
    <t>Personal Products</t>
  </si>
  <si>
    <t>INE102D01028</t>
  </si>
  <si>
    <t>Ahluwalia Contracts (India) Ltd.</t>
  </si>
  <si>
    <t>INE758C01029</t>
  </si>
  <si>
    <t>GE T&amp;D India Ltd.</t>
  </si>
  <si>
    <t>INE200A01026</t>
  </si>
  <si>
    <t>Jyothy Labs Ltd.</t>
  </si>
  <si>
    <t>Household Products</t>
  </si>
  <si>
    <t>INE668F01031</t>
  </si>
  <si>
    <t>Equitas Small Finance Bank Ltd.</t>
  </si>
  <si>
    <t>INE063P01018</t>
  </si>
  <si>
    <t>TVS Motor Company Ltd.</t>
  </si>
  <si>
    <t>INE494B01023</t>
  </si>
  <si>
    <t>Dhanuka Agritech Ltd.</t>
  </si>
  <si>
    <t>Fertilizers &amp; Agrochemicals</t>
  </si>
  <si>
    <t>INE435G01025</t>
  </si>
  <si>
    <t>Thermax Ltd.</t>
  </si>
  <si>
    <t>INE152A01029</t>
  </si>
  <si>
    <t>Signatureglobal (India) Ltd.</t>
  </si>
  <si>
    <t>INE903U01023</t>
  </si>
  <si>
    <t>Trent Ltd.</t>
  </si>
  <si>
    <t>INE849A01020</t>
  </si>
  <si>
    <t>Spandana Sphoorty Financial Ltd.</t>
  </si>
  <si>
    <t>INE572J01011</t>
  </si>
  <si>
    <t>Orchid Pharma Ltd.</t>
  </si>
  <si>
    <t>INE191A01027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</si>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</sst>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6">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5" fillId="0" borderId="0" xfId="2" applyFont="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wrapText="1"/>
    </xf>
  </cellXfs>
  <cellStyles count="9">
    <cellStyle name="Comma" xfId="1" builtinId="3"/>
    <cellStyle name="Comma 4" xfId="6"/>
    <cellStyle name="Normal" xfId="0" builtinId="0"/>
    <cellStyle name="Normal 2 2" xfId="2"/>
    <cellStyle name="Normal 2 2 2" xfId="3"/>
    <cellStyle name="Normal 2 3 2" xfId="4"/>
    <cellStyle name="Normal 4_IF" xfId="8"/>
    <cellStyle name="Normal 4_LD" xfId="5"/>
    <cellStyle name="Normal 4_MS"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601980</xdr:colOff>
      <xdr:row>98</xdr:row>
      <xdr:rowOff>53340</xdr:rowOff>
    </xdr:from>
    <xdr:to>
      <xdr:col>0</xdr:col>
      <xdr:colOff>2659380</xdr:colOff>
      <xdr:row>104</xdr:row>
      <xdr:rowOff>60960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980" y="17084040"/>
          <a:ext cx="2057400" cy="1013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1127760</xdr:colOff>
      <xdr:row>98</xdr:row>
      <xdr:rowOff>60960</xdr:rowOff>
    </xdr:from>
    <xdr:to>
      <xdr:col>3</xdr:col>
      <xdr:colOff>388620</xdr:colOff>
      <xdr:row>104</xdr:row>
      <xdr:rowOff>76200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7160" y="17091660"/>
          <a:ext cx="2125980" cy="1021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8"/>
  <sheetViews>
    <sheetView tabSelected="1" topLeftCell="A85" zoomScaleNormal="85" workbookViewId="0">
      <selection activeCell="A97" sqref="A97"/>
    </sheetView>
  </sheetViews>
  <sheetFormatPr defaultColWidth="9.140625" defaultRowHeight="12.75" x14ac:dyDescent="0.2"/>
  <cols>
    <col min="1" max="1" width="41.140625" style="44" customWidth="1"/>
    <col min="2" max="2" width="28.28515625" style="45" customWidth="1"/>
    <col min="3" max="3" width="13.42578125" style="46" customWidth="1"/>
    <col min="4" max="4" width="13.140625" style="1" customWidth="1"/>
    <col min="5" max="5" width="10.140625" style="1" customWidth="1"/>
    <col min="6" max="6" width="14.140625" style="1" customWidth="1"/>
    <col min="7" max="7" width="9.5703125" style="1" bestFit="1" customWidth="1"/>
    <col min="8" max="8" width="12.28515625" style="1" customWidth="1"/>
    <col min="9" max="16384" width="9.140625" style="1"/>
  </cols>
  <sheetData>
    <row r="1" spans="1:8" x14ac:dyDescent="0.2">
      <c r="A1" s="52" t="s">
        <v>0</v>
      </c>
      <c r="B1" s="52"/>
      <c r="C1" s="52"/>
      <c r="D1" s="52"/>
      <c r="E1" s="52"/>
      <c r="F1" s="52"/>
      <c r="G1" s="52"/>
      <c r="H1" s="52"/>
    </row>
    <row r="2" spans="1:8" x14ac:dyDescent="0.2">
      <c r="A2" s="52" t="s">
        <v>1</v>
      </c>
      <c r="B2" s="52"/>
      <c r="C2" s="52"/>
      <c r="D2" s="52"/>
      <c r="E2" s="52"/>
      <c r="F2" s="52"/>
      <c r="G2" s="52"/>
      <c r="H2" s="52"/>
    </row>
    <row r="3" spans="1:8" ht="12.75" customHeight="1" x14ac:dyDescent="0.2">
      <c r="A3" s="53" t="s">
        <v>2</v>
      </c>
      <c r="B3" s="53"/>
      <c r="C3" s="53"/>
      <c r="D3" s="53"/>
      <c r="E3" s="53"/>
      <c r="F3" s="53"/>
      <c r="G3" s="53"/>
      <c r="H3" s="53"/>
    </row>
    <row r="4" spans="1:8" s="2" customFormat="1" ht="25.5" x14ac:dyDescent="0.2">
      <c r="A4" s="47" t="s">
        <v>3</v>
      </c>
      <c r="B4" s="47" t="s">
        <v>4</v>
      </c>
      <c r="C4" s="48" t="s">
        <v>5</v>
      </c>
      <c r="D4" s="47" t="s">
        <v>6</v>
      </c>
      <c r="E4" s="47" t="s">
        <v>7</v>
      </c>
      <c r="F4" s="47" t="s">
        <v>8</v>
      </c>
      <c r="G4" s="47" t="s">
        <v>9</v>
      </c>
      <c r="H4" s="47"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2943947</v>
      </c>
      <c r="D7" s="14">
        <v>7289.2127720000008</v>
      </c>
      <c r="E7" s="14">
        <f t="shared" ref="E7:E60" si="0">(+D7/$D$86*100)</f>
        <v>5.0690693074263864</v>
      </c>
      <c r="F7" s="14" t="s">
        <v>15</v>
      </c>
      <c r="G7" s="9"/>
      <c r="H7" s="9"/>
    </row>
    <row r="8" spans="1:8" s="15" customFormat="1" ht="14.25" x14ac:dyDescent="0.3">
      <c r="A8" s="11" t="s">
        <v>16</v>
      </c>
      <c r="B8" s="12" t="s">
        <v>14</v>
      </c>
      <c r="C8" s="13">
        <v>895700</v>
      </c>
      <c r="D8" s="14">
        <v>5736.9584999999997</v>
      </c>
      <c r="E8" s="14">
        <f t="shared" si="0"/>
        <v>3.9895995850248331</v>
      </c>
      <c r="F8" s="14" t="s">
        <v>17</v>
      </c>
      <c r="G8" s="9"/>
      <c r="H8" s="8"/>
    </row>
    <row r="9" spans="1:8" s="15" customFormat="1" ht="14.25" x14ac:dyDescent="0.3">
      <c r="A9" s="11" t="s">
        <v>18</v>
      </c>
      <c r="B9" s="12" t="s">
        <v>19</v>
      </c>
      <c r="C9" s="13">
        <v>162731</v>
      </c>
      <c r="D9" s="14">
        <v>5662.6319725000003</v>
      </c>
      <c r="E9" s="14">
        <f t="shared" si="0"/>
        <v>3.9379113806792145</v>
      </c>
      <c r="F9" s="14" t="s">
        <v>20</v>
      </c>
      <c r="G9" s="9"/>
      <c r="H9" s="16"/>
    </row>
    <row r="10" spans="1:8" s="15" customFormat="1" ht="14.25" x14ac:dyDescent="0.3">
      <c r="A10" s="11" t="s">
        <v>21</v>
      </c>
      <c r="B10" s="12" t="s">
        <v>22</v>
      </c>
      <c r="C10" s="13">
        <v>302250</v>
      </c>
      <c r="D10" s="14">
        <v>5020.0702499999998</v>
      </c>
      <c r="E10" s="14">
        <f t="shared" si="0"/>
        <v>3.4910606702480957</v>
      </c>
      <c r="F10" s="14" t="s">
        <v>23</v>
      </c>
      <c r="G10" s="9"/>
      <c r="H10" s="9"/>
    </row>
    <row r="11" spans="1:8" s="15" customFormat="1" ht="14.25" x14ac:dyDescent="0.3">
      <c r="A11" s="11" t="s">
        <v>24</v>
      </c>
      <c r="B11" s="12" t="s">
        <v>14</v>
      </c>
      <c r="C11" s="13">
        <v>473800</v>
      </c>
      <c r="D11" s="14">
        <v>4871.3747000000003</v>
      </c>
      <c r="E11" s="14">
        <f t="shared" si="0"/>
        <v>3.3876547096550329</v>
      </c>
      <c r="F11" s="14" t="s">
        <v>25</v>
      </c>
      <c r="G11" s="9"/>
      <c r="H11" s="9"/>
    </row>
    <row r="12" spans="1:8" s="15" customFormat="1" ht="14.25" x14ac:dyDescent="0.3">
      <c r="A12" s="11" t="s">
        <v>26</v>
      </c>
      <c r="B12" s="12" t="s">
        <v>27</v>
      </c>
      <c r="C12" s="13">
        <v>1445000</v>
      </c>
      <c r="D12" s="14">
        <v>4587.875</v>
      </c>
      <c r="E12" s="14">
        <f t="shared" si="0"/>
        <v>3.190503155312316</v>
      </c>
      <c r="F12" s="14" t="s">
        <v>28</v>
      </c>
      <c r="G12" s="9"/>
      <c r="H12" s="8"/>
    </row>
    <row r="13" spans="1:8" s="15" customFormat="1" ht="14.25" x14ac:dyDescent="0.3">
      <c r="A13" s="11" t="s">
        <v>29</v>
      </c>
      <c r="B13" s="12" t="s">
        <v>14</v>
      </c>
      <c r="C13" s="13">
        <v>305500</v>
      </c>
      <c r="D13" s="14">
        <v>4468.0902500000002</v>
      </c>
      <c r="E13" s="14">
        <f t="shared" si="0"/>
        <v>3.1072023629338625</v>
      </c>
      <c r="F13" s="14" t="s">
        <v>30</v>
      </c>
      <c r="G13" s="9"/>
      <c r="H13" s="9"/>
    </row>
    <row r="14" spans="1:8" s="15" customFormat="1" ht="14.25" x14ac:dyDescent="0.3">
      <c r="A14" s="11" t="s">
        <v>31</v>
      </c>
      <c r="B14" s="12" t="s">
        <v>32</v>
      </c>
      <c r="C14" s="13">
        <v>698063</v>
      </c>
      <c r="D14" s="14">
        <v>3483.6834014999999</v>
      </c>
      <c r="E14" s="14">
        <f t="shared" si="0"/>
        <v>2.4226254822973359</v>
      </c>
      <c r="F14" s="14" t="s">
        <v>33</v>
      </c>
      <c r="G14" s="9"/>
      <c r="H14" s="8"/>
    </row>
    <row r="15" spans="1:8" s="15" customFormat="1" ht="14.25" x14ac:dyDescent="0.3">
      <c r="A15" s="11" t="s">
        <v>34</v>
      </c>
      <c r="B15" s="12" t="s">
        <v>35</v>
      </c>
      <c r="C15" s="13">
        <v>74000</v>
      </c>
      <c r="D15" s="14">
        <v>3419.9470000000001</v>
      </c>
      <c r="E15" s="14">
        <f t="shared" si="0"/>
        <v>2.3783018705829795</v>
      </c>
      <c r="F15" s="14" t="s">
        <v>36</v>
      </c>
      <c r="G15" s="9"/>
      <c r="H15" s="9"/>
    </row>
    <row r="16" spans="1:8" s="15" customFormat="1" ht="14.25" x14ac:dyDescent="0.3">
      <c r="A16" s="11" t="s">
        <v>37</v>
      </c>
      <c r="B16" s="12" t="s">
        <v>38</v>
      </c>
      <c r="C16" s="13">
        <v>1457000</v>
      </c>
      <c r="D16" s="14">
        <v>3325.6025</v>
      </c>
      <c r="E16" s="14">
        <f t="shared" si="0"/>
        <v>2.3126927541758495</v>
      </c>
      <c r="F16" s="14" t="s">
        <v>39</v>
      </c>
      <c r="G16" s="9"/>
      <c r="H16" s="9"/>
    </row>
    <row r="17" spans="1:8" s="15" customFormat="1" ht="14.25" x14ac:dyDescent="0.3">
      <c r="A17" s="11" t="s">
        <v>40</v>
      </c>
      <c r="B17" s="12" t="s">
        <v>41</v>
      </c>
      <c r="C17" s="13">
        <v>32050</v>
      </c>
      <c r="D17" s="14">
        <v>3258.635675</v>
      </c>
      <c r="E17" s="14">
        <f t="shared" si="0"/>
        <v>2.2661226391522824</v>
      </c>
      <c r="F17" s="14" t="s">
        <v>42</v>
      </c>
      <c r="G17" s="9"/>
      <c r="H17" s="8"/>
    </row>
    <row r="18" spans="1:8" s="15" customFormat="1" ht="14.25" x14ac:dyDescent="0.3">
      <c r="A18" s="11" t="s">
        <v>43</v>
      </c>
      <c r="B18" s="12" t="s">
        <v>44</v>
      </c>
      <c r="C18" s="13">
        <v>179939</v>
      </c>
      <c r="D18" s="14">
        <v>3164.9470710000001</v>
      </c>
      <c r="E18" s="14">
        <f t="shared" si="0"/>
        <v>2.2009696463879185</v>
      </c>
      <c r="F18" s="14" t="s">
        <v>45</v>
      </c>
      <c r="G18" s="9"/>
      <c r="H18" s="9"/>
    </row>
    <row r="19" spans="1:8" s="15" customFormat="1" ht="14.25" x14ac:dyDescent="0.3">
      <c r="A19" s="11" t="s">
        <v>46</v>
      </c>
      <c r="B19" s="12" t="s">
        <v>27</v>
      </c>
      <c r="C19" s="13">
        <v>2075000</v>
      </c>
      <c r="D19" s="14">
        <v>2969.3249999999998</v>
      </c>
      <c r="E19" s="14">
        <f t="shared" si="0"/>
        <v>2.0649300126197296</v>
      </c>
      <c r="F19" s="14" t="s">
        <v>47</v>
      </c>
      <c r="G19" s="9"/>
      <c r="H19" s="9"/>
    </row>
    <row r="20" spans="1:8" s="15" customFormat="1" ht="14.25" x14ac:dyDescent="0.3">
      <c r="A20" s="11" t="s">
        <v>48</v>
      </c>
      <c r="B20" s="12" t="s">
        <v>35</v>
      </c>
      <c r="C20" s="13">
        <v>498000</v>
      </c>
      <c r="D20" s="14">
        <v>2908.32</v>
      </c>
      <c r="E20" s="14">
        <f t="shared" si="0"/>
        <v>2.0225058739956765</v>
      </c>
      <c r="F20" s="14" t="s">
        <v>49</v>
      </c>
      <c r="G20" s="9"/>
      <c r="H20" s="8"/>
    </row>
    <row r="21" spans="1:8" s="15" customFormat="1" ht="14.25" x14ac:dyDescent="0.3">
      <c r="A21" s="11" t="s">
        <v>50</v>
      </c>
      <c r="B21" s="12" t="s">
        <v>22</v>
      </c>
      <c r="C21" s="13">
        <v>329897</v>
      </c>
      <c r="D21" s="14">
        <v>2803.4647060000002</v>
      </c>
      <c r="E21" s="14">
        <f t="shared" si="0"/>
        <v>1.9495873340707219</v>
      </c>
      <c r="F21" s="14" t="s">
        <v>51</v>
      </c>
      <c r="G21" s="9"/>
      <c r="H21" s="8"/>
    </row>
    <row r="22" spans="1:8" s="15" customFormat="1" ht="14.25" x14ac:dyDescent="0.3">
      <c r="A22" s="11" t="s">
        <v>52</v>
      </c>
      <c r="B22" s="12" t="s">
        <v>53</v>
      </c>
      <c r="C22" s="13">
        <v>1413338</v>
      </c>
      <c r="D22" s="14">
        <v>2751.0624170000001</v>
      </c>
      <c r="E22" s="14">
        <f t="shared" si="0"/>
        <v>1.913145698585865</v>
      </c>
      <c r="F22" s="14" t="s">
        <v>54</v>
      </c>
      <c r="G22" s="9"/>
      <c r="H22" s="8"/>
    </row>
    <row r="23" spans="1:8" s="15" customFormat="1" ht="14.25" x14ac:dyDescent="0.3">
      <c r="A23" s="11" t="s">
        <v>55</v>
      </c>
      <c r="B23" s="12" t="s">
        <v>56</v>
      </c>
      <c r="C23" s="13">
        <v>869814</v>
      </c>
      <c r="D23" s="14">
        <v>2739.9141</v>
      </c>
      <c r="E23" s="14">
        <f t="shared" si="0"/>
        <v>1.9053929283894402</v>
      </c>
      <c r="F23" s="14" t="s">
        <v>57</v>
      </c>
      <c r="G23" s="9"/>
      <c r="H23" s="9"/>
    </row>
    <row r="24" spans="1:8" s="15" customFormat="1" ht="14.25" x14ac:dyDescent="0.3">
      <c r="A24" s="11" t="s">
        <v>58</v>
      </c>
      <c r="B24" s="12" t="s">
        <v>59</v>
      </c>
      <c r="C24" s="13">
        <v>1085658</v>
      </c>
      <c r="D24" s="14">
        <v>2738.5723050000001</v>
      </c>
      <c r="E24" s="14">
        <f t="shared" si="0"/>
        <v>1.9044598163972255</v>
      </c>
      <c r="F24" s="14" t="s">
        <v>60</v>
      </c>
      <c r="G24" s="9"/>
      <c r="H24" s="8"/>
    </row>
    <row r="25" spans="1:8" s="15" customFormat="1" ht="14.25" x14ac:dyDescent="0.3">
      <c r="A25" s="11" t="s">
        <v>61</v>
      </c>
      <c r="B25" s="12" t="s">
        <v>62</v>
      </c>
      <c r="C25" s="13">
        <v>340000</v>
      </c>
      <c r="D25" s="14">
        <v>2728.84</v>
      </c>
      <c r="E25" s="14">
        <f t="shared" si="0"/>
        <v>1.8976917702296727</v>
      </c>
      <c r="F25" s="14" t="s">
        <v>63</v>
      </c>
      <c r="G25" s="9"/>
      <c r="H25" s="9"/>
    </row>
    <row r="26" spans="1:8" s="15" customFormat="1" ht="14.25" x14ac:dyDescent="0.3">
      <c r="A26" s="11" t="s">
        <v>64</v>
      </c>
      <c r="B26" s="12" t="s">
        <v>19</v>
      </c>
      <c r="C26" s="13">
        <v>481000</v>
      </c>
      <c r="D26" s="14">
        <v>2725.8270000000002</v>
      </c>
      <c r="E26" s="14">
        <f t="shared" si="0"/>
        <v>1.8955964677188248</v>
      </c>
      <c r="F26" s="14" t="s">
        <v>65</v>
      </c>
      <c r="G26" s="9"/>
      <c r="H26" s="8"/>
    </row>
    <row r="27" spans="1:8" s="15" customFormat="1" ht="14.25" x14ac:dyDescent="0.3">
      <c r="A27" s="11" t="s">
        <v>66</v>
      </c>
      <c r="B27" s="12" t="s">
        <v>67</v>
      </c>
      <c r="C27" s="13">
        <v>2000000</v>
      </c>
      <c r="D27" s="14">
        <v>2719</v>
      </c>
      <c r="E27" s="14">
        <f t="shared" si="0"/>
        <v>1.8908488307319153</v>
      </c>
      <c r="F27" s="14" t="s">
        <v>68</v>
      </c>
      <c r="G27" s="9"/>
      <c r="H27" s="8"/>
    </row>
    <row r="28" spans="1:8" s="15" customFormat="1" ht="14.25" x14ac:dyDescent="0.3">
      <c r="A28" s="11" t="s">
        <v>69</v>
      </c>
      <c r="B28" s="12" t="s">
        <v>44</v>
      </c>
      <c r="C28" s="13">
        <v>370822</v>
      </c>
      <c r="D28" s="14">
        <v>2636.1735980000003</v>
      </c>
      <c r="E28" s="14">
        <f t="shared" si="0"/>
        <v>1.8332496378759273</v>
      </c>
      <c r="F28" s="14" t="s">
        <v>70</v>
      </c>
      <c r="G28" s="9"/>
      <c r="H28" s="9"/>
    </row>
    <row r="29" spans="1:8" s="15" customFormat="1" ht="14.25" x14ac:dyDescent="0.3">
      <c r="A29" s="11" t="s">
        <v>71</v>
      </c>
      <c r="B29" s="12" t="s">
        <v>72</v>
      </c>
      <c r="C29" s="13">
        <v>636090</v>
      </c>
      <c r="D29" s="14">
        <v>2583.4795349999999</v>
      </c>
      <c r="E29" s="14">
        <f t="shared" si="0"/>
        <v>1.7966050967173897</v>
      </c>
      <c r="F29" s="14" t="s">
        <v>73</v>
      </c>
      <c r="G29" s="9"/>
      <c r="H29" s="9"/>
    </row>
    <row r="30" spans="1:8" s="15" customFormat="1" ht="14.25" x14ac:dyDescent="0.3">
      <c r="A30" s="11" t="s">
        <v>74</v>
      </c>
      <c r="B30" s="12" t="s">
        <v>14</v>
      </c>
      <c r="C30" s="13">
        <v>2200000</v>
      </c>
      <c r="D30" s="14">
        <v>2516.8000000000002</v>
      </c>
      <c r="E30" s="14">
        <f t="shared" si="0"/>
        <v>1.7502347691011715</v>
      </c>
      <c r="F30" s="14" t="s">
        <v>75</v>
      </c>
      <c r="G30" s="9"/>
      <c r="H30" s="8"/>
    </row>
    <row r="31" spans="1:8" s="15" customFormat="1" ht="14.25" x14ac:dyDescent="0.3">
      <c r="A31" s="11" t="s">
        <v>76</v>
      </c>
      <c r="B31" s="12" t="s">
        <v>53</v>
      </c>
      <c r="C31" s="13">
        <v>1404630</v>
      </c>
      <c r="D31" s="14">
        <v>2427.902955</v>
      </c>
      <c r="E31" s="14">
        <f t="shared" si="0"/>
        <v>1.6884139255580406</v>
      </c>
      <c r="F31" s="14" t="s">
        <v>77</v>
      </c>
      <c r="G31" s="9"/>
      <c r="H31" s="8"/>
    </row>
    <row r="32" spans="1:8" s="15" customFormat="1" ht="14.25" x14ac:dyDescent="0.3">
      <c r="A32" s="11" t="s">
        <v>78</v>
      </c>
      <c r="B32" s="12" t="s">
        <v>27</v>
      </c>
      <c r="C32" s="13">
        <v>126796</v>
      </c>
      <c r="D32" s="14">
        <v>2309.081956</v>
      </c>
      <c r="E32" s="14">
        <f t="shared" si="0"/>
        <v>1.605783345556</v>
      </c>
      <c r="F32" s="14" t="s">
        <v>79</v>
      </c>
      <c r="G32" s="9"/>
      <c r="H32" s="9"/>
    </row>
    <row r="33" spans="1:8" s="15" customFormat="1" ht="14.25" x14ac:dyDescent="0.3">
      <c r="A33" s="11" t="s">
        <v>80</v>
      </c>
      <c r="B33" s="12" t="s">
        <v>41</v>
      </c>
      <c r="C33" s="13">
        <v>143000</v>
      </c>
      <c r="D33" s="14">
        <v>2191.9755</v>
      </c>
      <c r="E33" s="14">
        <f t="shared" si="0"/>
        <v>1.5243450942140513</v>
      </c>
      <c r="F33" s="14" t="s">
        <v>81</v>
      </c>
      <c r="G33" s="9"/>
      <c r="H33" s="9"/>
    </row>
    <row r="34" spans="1:8" s="15" customFormat="1" ht="14.25" x14ac:dyDescent="0.3">
      <c r="A34" s="11" t="s">
        <v>82</v>
      </c>
      <c r="B34" s="12" t="s">
        <v>22</v>
      </c>
      <c r="C34" s="13">
        <v>255121</v>
      </c>
      <c r="D34" s="14">
        <v>2164.5741244999999</v>
      </c>
      <c r="E34" s="14">
        <f t="shared" si="0"/>
        <v>1.5052896110126459</v>
      </c>
      <c r="F34" s="14" t="s">
        <v>83</v>
      </c>
      <c r="G34" s="9"/>
      <c r="H34" s="9"/>
    </row>
    <row r="35" spans="1:8" s="15" customFormat="1" ht="14.25" x14ac:dyDescent="0.3">
      <c r="A35" s="11" t="s">
        <v>84</v>
      </c>
      <c r="B35" s="12" t="s">
        <v>67</v>
      </c>
      <c r="C35" s="13">
        <v>1750000</v>
      </c>
      <c r="D35" s="14">
        <v>2143.75</v>
      </c>
      <c r="E35" s="14">
        <f t="shared" si="0"/>
        <v>1.4908080841785742</v>
      </c>
      <c r="F35" s="14" t="s">
        <v>85</v>
      </c>
      <c r="G35" s="9"/>
      <c r="H35" s="8"/>
    </row>
    <row r="36" spans="1:8" s="15" customFormat="1" ht="14.25" x14ac:dyDescent="0.3">
      <c r="A36" s="11" t="s">
        <v>86</v>
      </c>
      <c r="B36" s="12" t="s">
        <v>87</v>
      </c>
      <c r="C36" s="13">
        <v>1511000</v>
      </c>
      <c r="D36" s="14">
        <v>2108.6005</v>
      </c>
      <c r="E36" s="14">
        <f t="shared" si="0"/>
        <v>1.466364394963491</v>
      </c>
      <c r="F36" s="14" t="s">
        <v>88</v>
      </c>
      <c r="G36" s="9"/>
      <c r="H36" s="8"/>
    </row>
    <row r="37" spans="1:8" s="15" customFormat="1" ht="14.25" x14ac:dyDescent="0.3">
      <c r="A37" s="11" t="s">
        <v>89</v>
      </c>
      <c r="B37" s="12" t="s">
        <v>90</v>
      </c>
      <c r="C37" s="13">
        <v>70000</v>
      </c>
      <c r="D37" s="14">
        <v>2072.9450000000002</v>
      </c>
      <c r="E37" s="14">
        <f t="shared" si="0"/>
        <v>1.4415688228839907</v>
      </c>
      <c r="F37" s="14" t="s">
        <v>91</v>
      </c>
      <c r="G37" s="9"/>
      <c r="H37" s="9"/>
    </row>
    <row r="38" spans="1:8" s="15" customFormat="1" ht="14.25" x14ac:dyDescent="0.3">
      <c r="A38" s="11" t="s">
        <v>92</v>
      </c>
      <c r="B38" s="12" t="s">
        <v>93</v>
      </c>
      <c r="C38" s="13">
        <v>124950</v>
      </c>
      <c r="D38" s="14">
        <v>2039.6838</v>
      </c>
      <c r="E38" s="14">
        <f t="shared" si="0"/>
        <v>1.4184382965402096</v>
      </c>
      <c r="F38" s="14" t="s">
        <v>94</v>
      </c>
      <c r="G38" s="9"/>
      <c r="H38" s="8"/>
    </row>
    <row r="39" spans="1:8" s="15" customFormat="1" ht="14.25" x14ac:dyDescent="0.3">
      <c r="A39" s="11" t="s">
        <v>95</v>
      </c>
      <c r="B39" s="12" t="s">
        <v>96</v>
      </c>
      <c r="C39" s="13">
        <v>461500</v>
      </c>
      <c r="D39" s="14">
        <v>2037.75325</v>
      </c>
      <c r="E39" s="14">
        <f t="shared" si="0"/>
        <v>1.417095752145149</v>
      </c>
      <c r="F39" s="14" t="s">
        <v>97</v>
      </c>
      <c r="G39" s="9"/>
      <c r="H39" s="9"/>
    </row>
    <row r="40" spans="1:8" s="15" customFormat="1" ht="14.25" x14ac:dyDescent="0.3">
      <c r="A40" s="11" t="s">
        <v>98</v>
      </c>
      <c r="B40" s="12" t="s">
        <v>99</v>
      </c>
      <c r="C40" s="13">
        <v>305000</v>
      </c>
      <c r="D40" s="14">
        <v>2008.73</v>
      </c>
      <c r="E40" s="14">
        <f t="shared" si="0"/>
        <v>1.3969123838749982</v>
      </c>
      <c r="F40" s="14" t="s">
        <v>100</v>
      </c>
      <c r="G40" s="9"/>
      <c r="H40" s="8"/>
    </row>
    <row r="41" spans="1:8" s="15" customFormat="1" ht="14.25" x14ac:dyDescent="0.3">
      <c r="A41" s="11" t="s">
        <v>101</v>
      </c>
      <c r="B41" s="12" t="s">
        <v>102</v>
      </c>
      <c r="C41" s="13">
        <v>62841</v>
      </c>
      <c r="D41" s="14">
        <v>1967.6773919999998</v>
      </c>
      <c r="E41" s="14">
        <f t="shared" si="0"/>
        <v>1.3683635512765076</v>
      </c>
      <c r="F41" s="14" t="s">
        <v>103</v>
      </c>
      <c r="G41" s="9"/>
      <c r="H41" s="8"/>
    </row>
    <row r="42" spans="1:8" s="15" customFormat="1" ht="14.25" x14ac:dyDescent="0.3">
      <c r="A42" s="11" t="s">
        <v>104</v>
      </c>
      <c r="B42" s="12" t="s">
        <v>105</v>
      </c>
      <c r="C42" s="13">
        <v>171381</v>
      </c>
      <c r="D42" s="14">
        <v>1952.886495</v>
      </c>
      <c r="E42" s="14">
        <f t="shared" si="0"/>
        <v>1.3580776556171013</v>
      </c>
      <c r="F42" s="14" t="s">
        <v>106</v>
      </c>
      <c r="G42" s="9"/>
      <c r="H42" s="9"/>
    </row>
    <row r="43" spans="1:8" s="15" customFormat="1" ht="14.25" x14ac:dyDescent="0.3">
      <c r="A43" s="11" t="s">
        <v>107</v>
      </c>
      <c r="B43" s="12" t="s">
        <v>32</v>
      </c>
      <c r="C43" s="13">
        <v>406500</v>
      </c>
      <c r="D43" s="14">
        <v>1944.2895000000001</v>
      </c>
      <c r="E43" s="14">
        <f t="shared" si="0"/>
        <v>1.3520991275025158</v>
      </c>
      <c r="F43" s="14" t="s">
        <v>108</v>
      </c>
      <c r="G43" s="9"/>
      <c r="H43" s="8"/>
    </row>
    <row r="44" spans="1:8" s="15" customFormat="1" ht="14.25" x14ac:dyDescent="0.3">
      <c r="A44" s="11" t="s">
        <v>109</v>
      </c>
      <c r="B44" s="12" t="s">
        <v>110</v>
      </c>
      <c r="C44" s="13">
        <v>244038</v>
      </c>
      <c r="D44" s="14">
        <v>1943.5186319999998</v>
      </c>
      <c r="E44" s="14">
        <f t="shared" si="0"/>
        <v>1.3515630499532516</v>
      </c>
      <c r="F44" s="14" t="s">
        <v>111</v>
      </c>
      <c r="G44" s="9"/>
      <c r="H44" s="9"/>
    </row>
    <row r="45" spans="1:8" s="15" customFormat="1" ht="14.25" x14ac:dyDescent="0.3">
      <c r="A45" s="11" t="s">
        <v>112</v>
      </c>
      <c r="B45" s="12" t="s">
        <v>113</v>
      </c>
      <c r="C45" s="13">
        <v>280225</v>
      </c>
      <c r="D45" s="14">
        <v>1885.3538000000001</v>
      </c>
      <c r="E45" s="14">
        <f t="shared" si="0"/>
        <v>1.3111140228929656</v>
      </c>
      <c r="F45" s="14" t="s">
        <v>114</v>
      </c>
      <c r="G45" s="9"/>
      <c r="H45" s="8"/>
    </row>
    <row r="46" spans="1:8" s="15" customFormat="1" ht="14.25" x14ac:dyDescent="0.3">
      <c r="A46" s="11" t="s">
        <v>115</v>
      </c>
      <c r="B46" s="12" t="s">
        <v>93</v>
      </c>
      <c r="C46" s="13">
        <v>160974</v>
      </c>
      <c r="D46" s="14">
        <v>1848.464442</v>
      </c>
      <c r="E46" s="14">
        <f t="shared" si="0"/>
        <v>1.2854604004432593</v>
      </c>
      <c r="F46" s="14" t="s">
        <v>116</v>
      </c>
      <c r="G46" s="9"/>
      <c r="H46" s="16"/>
    </row>
    <row r="47" spans="1:8" s="15" customFormat="1" ht="14.25" x14ac:dyDescent="0.3">
      <c r="A47" s="11" t="s">
        <v>117</v>
      </c>
      <c r="B47" s="12" t="s">
        <v>113</v>
      </c>
      <c r="C47" s="13">
        <v>200000</v>
      </c>
      <c r="D47" s="14">
        <v>1820.4</v>
      </c>
      <c r="E47" s="14">
        <f t="shared" si="0"/>
        <v>1.265943807085097</v>
      </c>
      <c r="F47" s="14" t="s">
        <v>118</v>
      </c>
      <c r="G47" s="9"/>
      <c r="H47" s="9"/>
    </row>
    <row r="48" spans="1:8" s="15" customFormat="1" ht="14.25" x14ac:dyDescent="0.3">
      <c r="A48" s="11" t="s">
        <v>119</v>
      </c>
      <c r="B48" s="12" t="s">
        <v>120</v>
      </c>
      <c r="C48" s="13">
        <v>140000</v>
      </c>
      <c r="D48" s="14">
        <v>1792.56</v>
      </c>
      <c r="E48" s="14">
        <f t="shared" si="0"/>
        <v>1.2465832953353446</v>
      </c>
      <c r="F48" s="14" t="s">
        <v>121</v>
      </c>
      <c r="G48" s="9"/>
      <c r="H48" s="8"/>
    </row>
    <row r="49" spans="1:8" s="15" customFormat="1" ht="14.25" x14ac:dyDescent="0.3">
      <c r="A49" s="11" t="s">
        <v>122</v>
      </c>
      <c r="B49" s="12" t="s">
        <v>123</v>
      </c>
      <c r="C49" s="13">
        <v>147250</v>
      </c>
      <c r="D49" s="14">
        <v>1714.2845</v>
      </c>
      <c r="E49" s="14">
        <f t="shared" si="0"/>
        <v>1.1921488938458427</v>
      </c>
      <c r="F49" s="14" t="s">
        <v>124</v>
      </c>
      <c r="G49" s="9"/>
      <c r="H49" s="9"/>
    </row>
    <row r="50" spans="1:8" s="15" customFormat="1" ht="14.25" x14ac:dyDescent="0.3">
      <c r="A50" s="11" t="s">
        <v>125</v>
      </c>
      <c r="B50" s="12" t="s">
        <v>19</v>
      </c>
      <c r="C50" s="13">
        <v>193627</v>
      </c>
      <c r="D50" s="14">
        <v>1664.417692</v>
      </c>
      <c r="E50" s="14">
        <f t="shared" si="0"/>
        <v>1.1574704842838224</v>
      </c>
      <c r="F50" s="14" t="s">
        <v>126</v>
      </c>
      <c r="G50" s="9"/>
      <c r="H50" s="9"/>
    </row>
    <row r="51" spans="1:8" s="15" customFormat="1" ht="14.25" x14ac:dyDescent="0.3">
      <c r="A51" s="11" t="s">
        <v>127</v>
      </c>
      <c r="B51" s="12" t="s">
        <v>38</v>
      </c>
      <c r="C51" s="13">
        <v>243080</v>
      </c>
      <c r="D51" s="14">
        <v>1657.5625199999999</v>
      </c>
      <c r="E51" s="14">
        <f t="shared" si="0"/>
        <v>1.1527032559054973</v>
      </c>
      <c r="F51" s="14" t="s">
        <v>128</v>
      </c>
      <c r="G51" s="9"/>
      <c r="H51" s="9"/>
    </row>
    <row r="52" spans="1:8" s="15" customFormat="1" ht="14.25" x14ac:dyDescent="0.3">
      <c r="A52" s="11" t="s">
        <v>129</v>
      </c>
      <c r="B52" s="12" t="s">
        <v>130</v>
      </c>
      <c r="C52" s="13">
        <v>310000</v>
      </c>
      <c r="D52" s="14">
        <v>1596.9649999999999</v>
      </c>
      <c r="E52" s="14">
        <f t="shared" si="0"/>
        <v>1.1105624873004019</v>
      </c>
      <c r="F52" s="14" t="s">
        <v>131</v>
      </c>
      <c r="G52" s="9"/>
      <c r="H52" s="9"/>
    </row>
    <row r="53" spans="1:8" s="15" customFormat="1" ht="14.25" x14ac:dyDescent="0.3">
      <c r="A53" s="11" t="s">
        <v>132</v>
      </c>
      <c r="B53" s="12" t="s">
        <v>14</v>
      </c>
      <c r="C53" s="13">
        <v>1475000</v>
      </c>
      <c r="D53" s="14">
        <v>1530.3125</v>
      </c>
      <c r="E53" s="14">
        <f t="shared" si="0"/>
        <v>1.0642109603822856</v>
      </c>
      <c r="F53" s="14" t="s">
        <v>133</v>
      </c>
      <c r="G53" s="9"/>
      <c r="H53" s="9"/>
    </row>
    <row r="54" spans="1:8" s="15" customFormat="1" ht="14.25" x14ac:dyDescent="0.3">
      <c r="A54" s="11" t="s">
        <v>134</v>
      </c>
      <c r="B54" s="12" t="s">
        <v>35</v>
      </c>
      <c r="C54" s="13">
        <v>74150</v>
      </c>
      <c r="D54" s="14">
        <v>1484.001025</v>
      </c>
      <c r="E54" s="14">
        <f t="shared" si="0"/>
        <v>1.0320050029151211</v>
      </c>
      <c r="F54" s="14" t="s">
        <v>135</v>
      </c>
      <c r="G54" s="9"/>
      <c r="H54" s="8"/>
    </row>
    <row r="55" spans="1:8" s="15" customFormat="1" ht="14.25" x14ac:dyDescent="0.3">
      <c r="A55" s="11" t="s">
        <v>136</v>
      </c>
      <c r="B55" s="12" t="s">
        <v>137</v>
      </c>
      <c r="C55" s="13">
        <v>120075</v>
      </c>
      <c r="D55" s="14">
        <v>1440.3596625</v>
      </c>
      <c r="E55" s="14">
        <f t="shared" si="0"/>
        <v>1.0016558969001623</v>
      </c>
      <c r="F55" s="14" t="s">
        <v>138</v>
      </c>
      <c r="G55" s="9"/>
      <c r="H55" s="9"/>
    </row>
    <row r="56" spans="1:8" s="15" customFormat="1" ht="14.25" x14ac:dyDescent="0.3">
      <c r="A56" s="11" t="s">
        <v>139</v>
      </c>
      <c r="B56" s="12" t="s">
        <v>38</v>
      </c>
      <c r="C56" s="13">
        <v>45000</v>
      </c>
      <c r="D56" s="14">
        <v>1431.5625</v>
      </c>
      <c r="E56" s="14">
        <f t="shared" si="0"/>
        <v>0.99553816816647955</v>
      </c>
      <c r="F56" s="14" t="s">
        <v>140</v>
      </c>
      <c r="G56" s="9"/>
      <c r="H56" s="8"/>
    </row>
    <row r="57" spans="1:8" s="15" customFormat="1" ht="14.25" x14ac:dyDescent="0.3">
      <c r="A57" s="11" t="s">
        <v>141</v>
      </c>
      <c r="B57" s="12" t="s">
        <v>62</v>
      </c>
      <c r="C57" s="13">
        <v>125000</v>
      </c>
      <c r="D57" s="14">
        <v>1431.0625</v>
      </c>
      <c r="E57" s="14">
        <f t="shared" si="0"/>
        <v>0.99519045782614624</v>
      </c>
      <c r="F57" s="14" t="s">
        <v>142</v>
      </c>
      <c r="G57" s="9"/>
      <c r="H57" s="8"/>
    </row>
    <row r="58" spans="1:8" s="15" customFormat="1" ht="14.25" x14ac:dyDescent="0.3">
      <c r="A58" s="11" t="s">
        <v>143</v>
      </c>
      <c r="B58" s="12" t="s">
        <v>87</v>
      </c>
      <c r="C58" s="13">
        <v>42700</v>
      </c>
      <c r="D58" s="14">
        <v>1318.1276499999999</v>
      </c>
      <c r="E58" s="14">
        <f t="shared" si="0"/>
        <v>0.91665322756818957</v>
      </c>
      <c r="F58" s="14" t="s">
        <v>144</v>
      </c>
      <c r="G58" s="9"/>
      <c r="H58" s="8"/>
    </row>
    <row r="59" spans="1:8" s="15" customFormat="1" ht="14.25" x14ac:dyDescent="0.3">
      <c r="A59" s="11" t="s">
        <v>145</v>
      </c>
      <c r="B59" s="12" t="s">
        <v>32</v>
      </c>
      <c r="C59" s="13">
        <v>125000</v>
      </c>
      <c r="D59" s="14">
        <v>1307.625</v>
      </c>
      <c r="E59" s="14">
        <f t="shared" si="0"/>
        <v>0.90934946755638868</v>
      </c>
      <c r="F59" s="14" t="s">
        <v>146</v>
      </c>
      <c r="G59" s="9"/>
      <c r="H59" s="8"/>
    </row>
    <row r="60" spans="1:8" s="15" customFormat="1" ht="14.25" x14ac:dyDescent="0.3">
      <c r="A60" s="11" t="s">
        <v>147</v>
      </c>
      <c r="B60" s="12" t="s">
        <v>113</v>
      </c>
      <c r="C60" s="13">
        <v>100000</v>
      </c>
      <c r="D60" s="14">
        <v>844.9</v>
      </c>
      <c r="E60" s="14">
        <f t="shared" si="0"/>
        <v>0.58756093309503321</v>
      </c>
      <c r="F60" s="14" t="s">
        <v>148</v>
      </c>
      <c r="G60" s="9"/>
      <c r="H60" s="8"/>
    </row>
    <row r="61" spans="1:8" s="15" customFormat="1" ht="14.25" x14ac:dyDescent="0.3">
      <c r="A61" s="10" t="s">
        <v>149</v>
      </c>
      <c r="B61" s="12"/>
      <c r="C61" s="13"/>
      <c r="D61" s="17">
        <f>IF(ISERROR(SUM(D7:D60)),0,SUM(D7:D60))</f>
        <v>141191.13564899997</v>
      </c>
      <c r="E61" s="17">
        <f>IF(ISERROR(SUM(E7:E60)),0,SUM(E7:E60))</f>
        <v>98.187235657088181</v>
      </c>
      <c r="F61" s="17"/>
      <c r="G61" s="9"/>
      <c r="H61" s="8"/>
    </row>
    <row r="62" spans="1:8" s="15" customFormat="1" ht="14.25" x14ac:dyDescent="0.3">
      <c r="A62" s="10"/>
      <c r="B62" s="10"/>
      <c r="C62" s="18"/>
      <c r="D62" s="19"/>
      <c r="E62" s="19"/>
      <c r="F62" s="19"/>
      <c r="G62" s="9"/>
      <c r="H62" s="8"/>
    </row>
    <row r="63" spans="1:8" s="15" customFormat="1" ht="14.25" x14ac:dyDescent="0.3">
      <c r="A63" s="10" t="s">
        <v>150</v>
      </c>
      <c r="B63" s="10"/>
      <c r="C63" s="18"/>
      <c r="D63" s="20" t="s">
        <v>151</v>
      </c>
      <c r="E63" s="20" t="s">
        <v>151</v>
      </c>
      <c r="F63" s="20"/>
      <c r="G63" s="9"/>
      <c r="H63" s="8"/>
    </row>
    <row r="64" spans="1:8" s="15" customFormat="1" ht="14.25" x14ac:dyDescent="0.3">
      <c r="A64" s="10"/>
      <c r="B64" s="3"/>
      <c r="C64" s="18"/>
      <c r="D64" s="20"/>
      <c r="E64" s="20"/>
      <c r="F64" s="21"/>
      <c r="G64" s="9"/>
      <c r="H64" s="8"/>
    </row>
    <row r="65" spans="1:8" s="15" customFormat="1" ht="14.25" x14ac:dyDescent="0.3">
      <c r="A65" s="10" t="s">
        <v>152</v>
      </c>
      <c r="B65" s="10"/>
      <c r="C65" s="18"/>
      <c r="D65" s="17">
        <f>IF(ISERROR(+D61),0,D61)+IF(ISERROR(+#REF!),0,#REF!)</f>
        <v>141191.13564899997</v>
      </c>
      <c r="E65" s="17">
        <f>IF(ISERROR(+E61),0,E61)+IF(ISERROR(+#REF!),0,#REF!)</f>
        <v>98.187235657088181</v>
      </c>
      <c r="F65" s="22"/>
      <c r="G65" s="9"/>
      <c r="H65" s="8"/>
    </row>
    <row r="66" spans="1:8" s="15" customFormat="1" ht="14.25" x14ac:dyDescent="0.3">
      <c r="A66" s="10"/>
      <c r="B66" s="3"/>
      <c r="C66" s="18"/>
      <c r="D66" s="20"/>
      <c r="E66" s="20"/>
      <c r="F66" s="21"/>
      <c r="G66" s="9"/>
      <c r="H66" s="8"/>
    </row>
    <row r="67" spans="1:8" s="15" customFormat="1" ht="14.25" x14ac:dyDescent="0.3">
      <c r="A67" s="10" t="s">
        <v>153</v>
      </c>
      <c r="B67" s="3"/>
      <c r="C67" s="18"/>
      <c r="D67" s="20"/>
      <c r="E67" s="20"/>
      <c r="F67" s="21"/>
      <c r="G67" s="9"/>
      <c r="H67" s="8"/>
    </row>
    <row r="68" spans="1:8" s="15" customFormat="1" ht="14.25" x14ac:dyDescent="0.3">
      <c r="A68" s="10" t="s">
        <v>12</v>
      </c>
      <c r="B68" s="3"/>
      <c r="C68" s="18"/>
      <c r="D68" s="20" t="s">
        <v>151</v>
      </c>
      <c r="E68" s="20" t="s">
        <v>151</v>
      </c>
      <c r="F68" s="23"/>
      <c r="G68" s="9"/>
      <c r="H68" s="8"/>
    </row>
    <row r="69" spans="1:8" s="15" customFormat="1" ht="14.25" x14ac:dyDescent="0.3">
      <c r="A69" s="10"/>
      <c r="B69" s="3"/>
      <c r="C69" s="24"/>
      <c r="D69" s="23"/>
      <c r="E69" s="23"/>
      <c r="F69" s="23"/>
      <c r="G69" s="9"/>
      <c r="H69" s="8"/>
    </row>
    <row r="70" spans="1:8" s="15" customFormat="1" ht="14.25" x14ac:dyDescent="0.3">
      <c r="A70" s="10" t="s">
        <v>154</v>
      </c>
      <c r="B70" s="3"/>
      <c r="C70" s="24"/>
      <c r="D70" s="20" t="s">
        <v>151</v>
      </c>
      <c r="E70" s="20" t="s">
        <v>151</v>
      </c>
      <c r="F70" s="21"/>
      <c r="G70" s="9"/>
      <c r="H70" s="8"/>
    </row>
    <row r="71" spans="1:8" s="15" customFormat="1" ht="14.25" x14ac:dyDescent="0.3">
      <c r="A71" s="10"/>
      <c r="B71" s="3"/>
      <c r="C71" s="24"/>
      <c r="D71" s="20"/>
      <c r="E71" s="20"/>
      <c r="F71" s="20"/>
      <c r="G71" s="9"/>
      <c r="H71" s="8"/>
    </row>
    <row r="72" spans="1:8" s="15" customFormat="1" ht="14.25" x14ac:dyDescent="0.3">
      <c r="A72" s="10" t="s">
        <v>155</v>
      </c>
      <c r="B72" s="3"/>
      <c r="C72" s="24"/>
      <c r="D72" s="20"/>
      <c r="E72" s="20"/>
      <c r="F72" s="20"/>
      <c r="G72" s="9"/>
      <c r="H72" s="8"/>
    </row>
    <row r="73" spans="1:8" s="15" customFormat="1" ht="14.25" x14ac:dyDescent="0.3">
      <c r="A73" s="10"/>
      <c r="B73" s="3"/>
      <c r="C73" s="24"/>
      <c r="D73" s="14"/>
      <c r="E73" s="14"/>
      <c r="F73" s="25"/>
      <c r="G73" s="9"/>
      <c r="H73" s="8"/>
    </row>
    <row r="74" spans="1:8" s="15" customFormat="1" ht="14.25" x14ac:dyDescent="0.3">
      <c r="A74" s="10" t="s">
        <v>156</v>
      </c>
      <c r="B74" s="3"/>
      <c r="C74" s="24"/>
      <c r="D74" s="20" t="s">
        <v>151</v>
      </c>
      <c r="E74" s="20" t="s">
        <v>151</v>
      </c>
      <c r="F74" s="20"/>
      <c r="G74" s="9"/>
      <c r="H74" s="8"/>
    </row>
    <row r="75" spans="1:8" s="15" customFormat="1" ht="14.25" x14ac:dyDescent="0.3">
      <c r="A75" s="10"/>
      <c r="B75" s="3"/>
      <c r="C75" s="24"/>
      <c r="D75" s="20"/>
      <c r="E75" s="20"/>
      <c r="F75" s="20"/>
      <c r="G75" s="9"/>
      <c r="H75" s="8"/>
    </row>
    <row r="76" spans="1:8" s="15" customFormat="1" ht="14.25" x14ac:dyDescent="0.3">
      <c r="A76" s="10" t="s">
        <v>157</v>
      </c>
      <c r="B76" s="3"/>
      <c r="C76" s="24"/>
      <c r="D76" s="20" t="s">
        <v>151</v>
      </c>
      <c r="E76" s="20" t="s">
        <v>151</v>
      </c>
      <c r="F76" s="20"/>
      <c r="G76" s="9"/>
      <c r="H76" s="8"/>
    </row>
    <row r="77" spans="1:8" s="15" customFormat="1" ht="14.25" x14ac:dyDescent="0.3">
      <c r="A77" s="10"/>
      <c r="B77" s="3"/>
      <c r="C77" s="24"/>
      <c r="D77" s="20"/>
      <c r="E77" s="20"/>
      <c r="F77" s="20"/>
      <c r="G77" s="9"/>
      <c r="H77" s="8"/>
    </row>
    <row r="78" spans="1:8" s="15" customFormat="1" ht="14.25" x14ac:dyDescent="0.3">
      <c r="A78" s="10" t="s">
        <v>158</v>
      </c>
      <c r="B78" s="3"/>
      <c r="C78" s="24"/>
      <c r="D78" s="20"/>
      <c r="E78" s="20"/>
      <c r="F78" s="21"/>
      <c r="G78" s="9"/>
      <c r="H78" s="8"/>
    </row>
    <row r="79" spans="1:8" s="15" customFormat="1" ht="14.25" x14ac:dyDescent="0.3">
      <c r="A79" s="11" t="s">
        <v>159</v>
      </c>
      <c r="B79" s="12"/>
      <c r="C79" s="13">
        <v>0</v>
      </c>
      <c r="D79" s="14">
        <v>3098.0768420999998</v>
      </c>
      <c r="E79" s="14">
        <f>(+D79/$D$86*100)</f>
        <v>2.1544667062899632</v>
      </c>
      <c r="F79" s="14" t="s">
        <v>160</v>
      </c>
      <c r="G79" s="9">
        <v>6.6959999999999997</v>
      </c>
      <c r="H79" s="8"/>
    </row>
    <row r="80" spans="1:8" s="15" customFormat="1" ht="14.25" x14ac:dyDescent="0.3">
      <c r="A80" s="10" t="s">
        <v>149</v>
      </c>
      <c r="B80" s="3"/>
      <c r="C80" s="24"/>
      <c r="D80" s="20">
        <f>IF(ISERROR(SUM(D79:D79)),0,SUM(D79:D79))</f>
        <v>3098.0768420999998</v>
      </c>
      <c r="E80" s="20">
        <f>IF(ISERROR(SUM(E79:E79)),0,SUM(E79:E79))</f>
        <v>2.1544667062899632</v>
      </c>
      <c r="F80" s="14"/>
      <c r="G80" s="9"/>
      <c r="H80" s="8"/>
    </row>
    <row r="81" spans="1:8" s="15" customFormat="1" ht="14.25" x14ac:dyDescent="0.3">
      <c r="A81" s="10"/>
      <c r="B81" s="3"/>
      <c r="C81" s="24"/>
      <c r="D81" s="20"/>
      <c r="E81" s="20"/>
      <c r="F81" s="21"/>
      <c r="G81" s="9"/>
      <c r="H81" s="8"/>
    </row>
    <row r="82" spans="1:8" s="15" customFormat="1" ht="14.25" x14ac:dyDescent="0.3">
      <c r="A82" s="10" t="s">
        <v>152</v>
      </c>
      <c r="B82" s="3"/>
      <c r="C82" s="24" t="s">
        <v>161</v>
      </c>
      <c r="D82" s="20">
        <f>+IF(ISERROR(#REF!),0,#REF!)+IF(ISERROR(D80),0,D80)+IF(ISERROR(D65),0,D65)+IF(ISERROR(#REF!),0,#REF!)+IF(ISERROR(#REF!),0,#REF!)+IF(ISERROR(#REF!),0,#REF!)+IF(ISERROR(#REF!),0,#REF!)+IF(ISERROR(#REF!),0,#REF!)+IF(ISERROR(#REF!),0,#REF!)+IF(ISERROR(#REF!),0,#REF!)+IF(ISERROR(#REF!),0,#REF!)</f>
        <v>144289.21249109998</v>
      </c>
      <c r="E82" s="20">
        <f>+IF(ISERROR(#REF!),0,#REF!)+IF(ISERROR(E80),0,E80)+IF(ISERROR(E65),0,E65)+IF(ISERROR(#REF!),0,#REF!)+IF(ISERROR(#REF!),0,#REF!)+IF(ISERROR(#REF!),0,#REF!)+IF(ISERROR(#REF!),0,#REF!)+IF(ISERROR(#REF!),0,#REF!)+IF(ISERROR(#REF!),0,#REF!)+IF(ISERROR(#REF!),0,#REF!)+IF(ISERROR(#REF!),0,#REF!)</f>
        <v>100.34170236337815</v>
      </c>
      <c r="F82" s="20"/>
      <c r="G82" s="9"/>
      <c r="H82" s="8"/>
    </row>
    <row r="83" spans="1:8" s="15" customFormat="1" ht="14.25" x14ac:dyDescent="0.3">
      <c r="A83" s="10"/>
      <c r="B83" s="3"/>
      <c r="C83" s="24"/>
      <c r="D83" s="20"/>
      <c r="E83" s="20"/>
      <c r="F83" s="26"/>
      <c r="G83" s="27"/>
      <c r="H83" s="28"/>
    </row>
    <row r="84" spans="1:8" s="15" customFormat="1" ht="14.25" x14ac:dyDescent="0.3">
      <c r="A84" s="10" t="s">
        <v>162</v>
      </c>
      <c r="B84" s="3"/>
      <c r="C84" s="24"/>
      <c r="D84" s="20">
        <f>+D86-D82</f>
        <v>-491.36065820007934</v>
      </c>
      <c r="E84" s="20">
        <f>D84/$D$86*100</f>
        <v>-0.34170236337818477</v>
      </c>
      <c r="F84" s="26"/>
      <c r="G84" s="27"/>
      <c r="H84" s="28"/>
    </row>
    <row r="85" spans="1:8" s="15" customFormat="1" ht="14.25" x14ac:dyDescent="0.3">
      <c r="A85" s="10"/>
      <c r="B85" s="3"/>
      <c r="C85" s="24"/>
      <c r="D85" s="23"/>
      <c r="E85" s="23"/>
      <c r="F85" s="26"/>
      <c r="G85" s="27"/>
      <c r="H85" s="28"/>
    </row>
    <row r="86" spans="1:8" s="15" customFormat="1" ht="14.25" x14ac:dyDescent="0.3">
      <c r="A86" s="10" t="s">
        <v>163</v>
      </c>
      <c r="B86" s="3"/>
      <c r="C86" s="24"/>
      <c r="D86" s="20">
        <v>143797.85183289991</v>
      </c>
      <c r="E86" s="20">
        <f>+E82+E84</f>
        <v>99.999999999999957</v>
      </c>
      <c r="F86" s="26"/>
      <c r="G86" s="27"/>
      <c r="H86" s="28"/>
    </row>
    <row r="87" spans="1:8" s="15" customFormat="1" ht="14.25" x14ac:dyDescent="0.3">
      <c r="A87" s="29"/>
      <c r="B87" s="30"/>
      <c r="C87" s="31"/>
      <c r="D87" s="32"/>
      <c r="E87" s="32"/>
      <c r="F87" s="26"/>
      <c r="G87" s="27"/>
      <c r="H87" s="28"/>
    </row>
    <row r="88" spans="1:8" s="15" customFormat="1" ht="13.5" x14ac:dyDescent="0.2">
      <c r="A88" s="54" t="s">
        <v>164</v>
      </c>
      <c r="B88" s="54"/>
      <c r="C88" s="54"/>
      <c r="D88" s="54"/>
      <c r="E88" s="54"/>
      <c r="F88" s="54"/>
      <c r="G88" s="54"/>
      <c r="H88" s="54"/>
    </row>
    <row r="89" spans="1:8" s="15" customFormat="1" ht="27.75" customHeight="1" x14ac:dyDescent="0.2">
      <c r="A89" s="54" t="s">
        <v>165</v>
      </c>
      <c r="B89" s="54"/>
      <c r="C89" s="54"/>
      <c r="D89" s="54"/>
      <c r="E89" s="54"/>
      <c r="F89" s="50"/>
      <c r="G89" s="50"/>
      <c r="H89" s="50"/>
    </row>
    <row r="90" spans="1:8" s="15" customFormat="1" ht="13.5" x14ac:dyDescent="0.2">
      <c r="A90" s="55" t="s">
        <v>166</v>
      </c>
      <c r="B90" s="55"/>
      <c r="C90" s="55"/>
      <c r="D90" s="55"/>
      <c r="E90" s="55"/>
      <c r="F90" s="50"/>
      <c r="G90" s="50"/>
      <c r="H90" s="50"/>
    </row>
    <row r="91" spans="1:8" s="15" customFormat="1" ht="57.75" customHeight="1" x14ac:dyDescent="0.2">
      <c r="A91" s="49" t="s">
        <v>167</v>
      </c>
      <c r="B91" s="49"/>
      <c r="C91" s="49"/>
      <c r="D91" s="49"/>
      <c r="E91" s="49"/>
      <c r="F91" s="50"/>
      <c r="G91" s="50"/>
      <c r="H91" s="50"/>
    </row>
    <row r="92" spans="1:8" s="15" customFormat="1" ht="14.25" x14ac:dyDescent="0.3">
      <c r="A92" s="33"/>
      <c r="B92" s="34"/>
      <c r="C92" s="35"/>
      <c r="D92" s="26"/>
      <c r="E92" s="28"/>
      <c r="F92" s="28"/>
      <c r="G92" s="27"/>
      <c r="H92" s="28"/>
    </row>
    <row r="93" spans="1:8" s="15" customFormat="1" ht="14.25" x14ac:dyDescent="0.3">
      <c r="A93" s="36" t="s">
        <v>168</v>
      </c>
      <c r="B93" s="37"/>
      <c r="C93" s="37"/>
      <c r="D93" s="28"/>
      <c r="E93" s="28"/>
      <c r="F93" s="28"/>
      <c r="G93" s="28"/>
      <c r="H93" s="28"/>
    </row>
    <row r="94" spans="1:8" ht="14.25" x14ac:dyDescent="0.3">
      <c r="A94" s="38" t="s">
        <v>169</v>
      </c>
      <c r="B94" s="37"/>
      <c r="C94" s="37"/>
      <c r="D94" s="28"/>
      <c r="E94" s="28"/>
      <c r="F94" s="28"/>
      <c r="G94" s="28"/>
      <c r="H94" s="28"/>
    </row>
    <row r="95" spans="1:8" ht="14.25" x14ac:dyDescent="0.3">
      <c r="A95" s="38" t="s">
        <v>170</v>
      </c>
      <c r="B95" s="37"/>
      <c r="C95" s="37"/>
      <c r="D95" s="28"/>
      <c r="E95" s="28"/>
      <c r="F95" s="28"/>
      <c r="G95" s="28"/>
      <c r="H95" s="28"/>
    </row>
    <row r="96" spans="1:8" ht="14.25" x14ac:dyDescent="0.3">
      <c r="A96" s="38" t="s">
        <v>171</v>
      </c>
      <c r="B96" s="37"/>
      <c r="C96" s="37"/>
      <c r="D96" s="28"/>
      <c r="E96" s="28"/>
      <c r="F96" s="28"/>
      <c r="G96" s="28"/>
      <c r="H96" s="28"/>
    </row>
    <row r="97" spans="1:8" ht="14.25" x14ac:dyDescent="0.3">
      <c r="A97" s="38"/>
      <c r="B97" s="37"/>
      <c r="C97" s="37"/>
      <c r="D97" s="28"/>
      <c r="E97" s="28"/>
      <c r="F97" s="28"/>
      <c r="G97" s="28"/>
      <c r="H97" s="28"/>
    </row>
    <row r="98" spans="1:8" ht="14.25" x14ac:dyDescent="0.3">
      <c r="A98" s="39" t="s">
        <v>172</v>
      </c>
      <c r="B98" s="51" t="s">
        <v>173</v>
      </c>
      <c r="C98" s="51"/>
      <c r="D98" s="51"/>
      <c r="E98" s="51"/>
      <c r="F98" s="28"/>
      <c r="G98" s="28"/>
      <c r="H98" s="28"/>
    </row>
    <row r="99" spans="1:8" ht="14.25" x14ac:dyDescent="0.3">
      <c r="A99" s="37"/>
      <c r="B99" s="37"/>
      <c r="C99" s="37"/>
      <c r="D99" s="28"/>
      <c r="E99" s="28"/>
      <c r="F99" s="28"/>
      <c r="G99" s="28"/>
      <c r="H99" s="28"/>
    </row>
    <row r="100" spans="1:8" ht="14.25" x14ac:dyDescent="0.3">
      <c r="A100" s="37"/>
      <c r="B100" s="37"/>
      <c r="C100" s="37"/>
      <c r="D100" s="28"/>
      <c r="E100" s="28"/>
      <c r="F100" s="28"/>
      <c r="G100" s="28"/>
      <c r="H100" s="28"/>
    </row>
    <row r="101" spans="1:8" ht="14.25" x14ac:dyDescent="0.3">
      <c r="A101" s="37"/>
      <c r="B101" s="37"/>
      <c r="C101" s="37"/>
      <c r="D101" s="28"/>
      <c r="E101" s="28"/>
      <c r="F101" s="28"/>
      <c r="G101" s="28"/>
      <c r="H101" s="28"/>
    </row>
    <row r="102" spans="1:8" ht="14.25" x14ac:dyDescent="0.3">
      <c r="A102" s="37"/>
      <c r="B102" s="37"/>
      <c r="C102" s="37"/>
      <c r="D102" s="28"/>
      <c r="E102" s="28"/>
      <c r="F102" s="28"/>
      <c r="G102" s="28"/>
      <c r="H102" s="28"/>
    </row>
    <row r="103" spans="1:8" ht="14.25" x14ac:dyDescent="0.3">
      <c r="A103" s="37"/>
      <c r="B103" s="37"/>
      <c r="C103" s="37"/>
      <c r="D103" s="28"/>
      <c r="E103" s="28"/>
      <c r="F103" s="28"/>
      <c r="G103" s="28"/>
      <c r="H103" s="28"/>
    </row>
    <row r="104" spans="1:8" ht="14.25" x14ac:dyDescent="0.3">
      <c r="A104" s="37"/>
      <c r="B104" s="37"/>
      <c r="C104" s="37"/>
      <c r="D104" s="28"/>
      <c r="E104" s="28"/>
      <c r="F104" s="28"/>
      <c r="G104" s="28"/>
      <c r="H104" s="28"/>
    </row>
    <row r="105" spans="1:8" ht="14.25" x14ac:dyDescent="0.3">
      <c r="A105" s="37"/>
      <c r="B105" s="37"/>
      <c r="C105" s="37"/>
      <c r="D105" s="28"/>
      <c r="E105" s="28"/>
      <c r="F105" s="28"/>
      <c r="G105" s="28"/>
      <c r="H105" s="28"/>
    </row>
    <row r="106" spans="1:8" ht="14.25" x14ac:dyDescent="0.3">
      <c r="A106" s="40"/>
      <c r="B106" s="41"/>
      <c r="C106" s="42"/>
      <c r="D106" s="28"/>
      <c r="E106" s="43"/>
      <c r="F106" s="28"/>
      <c r="G106" s="28"/>
      <c r="H106" s="28"/>
    </row>
    <row r="107" spans="1:8" ht="14.25" x14ac:dyDescent="0.3">
      <c r="A107" s="40"/>
      <c r="B107" s="41"/>
      <c r="C107" s="42"/>
      <c r="D107" s="28"/>
      <c r="E107" s="43"/>
      <c r="F107" s="28"/>
      <c r="G107" s="28"/>
      <c r="H107" s="28"/>
    </row>
    <row r="108" spans="1:8" ht="14.25" x14ac:dyDescent="0.3">
      <c r="A108" s="40"/>
      <c r="B108" s="41"/>
      <c r="C108" s="42"/>
      <c r="D108" s="28"/>
      <c r="E108" s="43"/>
      <c r="F108" s="28"/>
      <c r="G108" s="28"/>
      <c r="H108" s="28"/>
    </row>
    <row r="109" spans="1:8" ht="14.25" x14ac:dyDescent="0.3">
      <c r="A109" s="40"/>
      <c r="B109" s="41"/>
      <c r="C109" s="42"/>
      <c r="D109" s="28"/>
      <c r="E109" s="43"/>
      <c r="F109" s="28"/>
      <c r="G109" s="28"/>
      <c r="H109" s="28"/>
    </row>
    <row r="110" spans="1:8" ht="14.25" x14ac:dyDescent="0.3">
      <c r="A110" s="40"/>
      <c r="B110" s="41"/>
      <c r="C110" s="42"/>
      <c r="D110" s="28"/>
      <c r="E110" s="43"/>
      <c r="F110" s="28"/>
      <c r="G110" s="28"/>
      <c r="H110" s="28"/>
    </row>
    <row r="111" spans="1:8" ht="14.25" x14ac:dyDescent="0.3">
      <c r="A111" s="40"/>
      <c r="B111" s="41"/>
      <c r="C111" s="42"/>
      <c r="D111" s="28"/>
      <c r="E111" s="43"/>
      <c r="F111" s="28"/>
      <c r="G111" s="28"/>
      <c r="H111" s="28"/>
    </row>
    <row r="112" spans="1:8" ht="14.25" x14ac:dyDescent="0.3">
      <c r="A112" s="40"/>
      <c r="B112" s="41"/>
      <c r="C112" s="42"/>
      <c r="D112" s="28"/>
      <c r="E112" s="43"/>
      <c r="F112" s="28"/>
      <c r="G112" s="28"/>
      <c r="H112" s="28"/>
    </row>
    <row r="113" spans="1:8" ht="14.25" x14ac:dyDescent="0.3">
      <c r="A113" s="40"/>
      <c r="B113" s="41"/>
      <c r="C113" s="42"/>
      <c r="D113" s="28"/>
      <c r="E113" s="43"/>
      <c r="F113" s="28"/>
      <c r="G113" s="28"/>
      <c r="H113" s="28"/>
    </row>
    <row r="114" spans="1:8" ht="14.25" x14ac:dyDescent="0.3">
      <c r="A114" s="40"/>
      <c r="B114" s="41"/>
      <c r="C114" s="42"/>
      <c r="D114" s="28"/>
      <c r="E114" s="43"/>
      <c r="F114" s="28"/>
      <c r="G114" s="28"/>
      <c r="H114" s="28"/>
    </row>
    <row r="115" spans="1:8" ht="14.25" x14ac:dyDescent="0.3">
      <c r="A115" s="40"/>
      <c r="B115" s="41"/>
      <c r="C115" s="42"/>
      <c r="D115" s="28"/>
      <c r="E115" s="43"/>
      <c r="F115" s="28"/>
      <c r="G115" s="28"/>
      <c r="H115" s="28"/>
    </row>
    <row r="116" spans="1:8" ht="14.25" x14ac:dyDescent="0.3">
      <c r="A116" s="40"/>
      <c r="B116" s="41"/>
      <c r="C116" s="42"/>
      <c r="D116" s="28"/>
      <c r="E116" s="43"/>
      <c r="F116" s="28"/>
      <c r="G116" s="28"/>
      <c r="H116" s="28"/>
    </row>
    <row r="117" spans="1:8" ht="14.25" x14ac:dyDescent="0.3">
      <c r="A117" s="40"/>
      <c r="B117" s="41"/>
      <c r="C117" s="42"/>
      <c r="D117" s="28"/>
      <c r="E117" s="43"/>
      <c r="F117" s="28"/>
      <c r="G117" s="28"/>
      <c r="H117" s="28"/>
    </row>
    <row r="118" spans="1:8" ht="14.25" x14ac:dyDescent="0.3">
      <c r="A118" s="40"/>
      <c r="B118" s="41"/>
      <c r="C118" s="42"/>
      <c r="D118" s="28"/>
      <c r="E118" s="28"/>
      <c r="F118" s="28"/>
      <c r="G118" s="28"/>
      <c r="H118" s="28"/>
    </row>
    <row r="119" spans="1:8" ht="14.25" x14ac:dyDescent="0.3">
      <c r="A119" s="40"/>
      <c r="B119" s="41"/>
      <c r="C119" s="42"/>
      <c r="D119" s="28"/>
      <c r="E119" s="28"/>
      <c r="F119" s="28"/>
      <c r="G119" s="28"/>
      <c r="H119" s="28"/>
    </row>
    <row r="120" spans="1:8" ht="14.25" x14ac:dyDescent="0.3">
      <c r="A120" s="40"/>
      <c r="B120" s="41"/>
      <c r="C120" s="42"/>
      <c r="D120" s="28"/>
      <c r="E120" s="28"/>
      <c r="F120" s="28"/>
      <c r="G120" s="28"/>
      <c r="H120" s="28"/>
    </row>
    <row r="121" spans="1:8" ht="14.25" x14ac:dyDescent="0.3">
      <c r="A121" s="40"/>
      <c r="B121" s="41"/>
      <c r="C121" s="42"/>
      <c r="D121" s="28"/>
      <c r="E121" s="28"/>
      <c r="F121" s="28"/>
      <c r="G121" s="28"/>
      <c r="H121" s="28"/>
    </row>
    <row r="122" spans="1:8" ht="14.25" x14ac:dyDescent="0.3">
      <c r="A122" s="40"/>
      <c r="B122" s="41"/>
      <c r="C122" s="42"/>
      <c r="D122" s="28"/>
      <c r="E122" s="28"/>
      <c r="F122" s="28"/>
      <c r="G122" s="28"/>
      <c r="H122" s="28"/>
    </row>
    <row r="123" spans="1:8" ht="14.25" x14ac:dyDescent="0.3">
      <c r="A123" s="40"/>
      <c r="B123" s="41"/>
      <c r="C123" s="42"/>
      <c r="D123" s="28"/>
      <c r="E123" s="28"/>
      <c r="F123" s="28"/>
      <c r="G123" s="28"/>
      <c r="H123" s="28"/>
    </row>
    <row r="124" spans="1:8" ht="14.25" x14ac:dyDescent="0.3">
      <c r="A124" s="40"/>
      <c r="B124" s="41"/>
      <c r="C124" s="42"/>
      <c r="D124" s="28"/>
      <c r="E124" s="28"/>
      <c r="F124" s="28"/>
      <c r="G124" s="28"/>
      <c r="H124" s="28"/>
    </row>
    <row r="125" spans="1:8" ht="14.25" x14ac:dyDescent="0.3">
      <c r="A125" s="40"/>
      <c r="B125" s="41"/>
      <c r="C125" s="42"/>
      <c r="D125" s="28"/>
      <c r="E125" s="28"/>
      <c r="F125" s="28"/>
      <c r="G125" s="28"/>
      <c r="H125" s="28"/>
    </row>
    <row r="126" spans="1:8" ht="14.25" x14ac:dyDescent="0.3">
      <c r="A126" s="40"/>
      <c r="B126" s="41"/>
      <c r="C126" s="42"/>
      <c r="D126" s="28"/>
      <c r="E126" s="28"/>
      <c r="F126" s="28"/>
      <c r="G126" s="28"/>
      <c r="H126" s="28"/>
    </row>
    <row r="127" spans="1:8" ht="14.25" x14ac:dyDescent="0.3">
      <c r="A127" s="40"/>
      <c r="B127" s="41"/>
      <c r="C127" s="42"/>
      <c r="D127" s="28"/>
      <c r="E127" s="28"/>
      <c r="F127" s="28"/>
      <c r="G127" s="28"/>
      <c r="H127" s="28"/>
    </row>
    <row r="128" spans="1:8" ht="14.25" x14ac:dyDescent="0.3">
      <c r="A128" s="40"/>
      <c r="B128" s="41"/>
      <c r="C128" s="42"/>
      <c r="D128" s="28"/>
      <c r="E128" s="28"/>
      <c r="F128" s="28"/>
      <c r="G128" s="28"/>
      <c r="H128" s="28"/>
    </row>
    <row r="129" spans="1:8" ht="14.25" x14ac:dyDescent="0.3">
      <c r="A129" s="40"/>
      <c r="B129" s="41"/>
      <c r="C129" s="42"/>
      <c r="D129" s="28"/>
      <c r="E129" s="28"/>
      <c r="F129" s="28"/>
      <c r="G129" s="28"/>
      <c r="H129" s="28"/>
    </row>
    <row r="130" spans="1:8" ht="14.25" x14ac:dyDescent="0.3">
      <c r="A130" s="40"/>
      <c r="B130" s="41"/>
      <c r="C130" s="42"/>
      <c r="D130" s="28"/>
      <c r="E130" s="28"/>
      <c r="F130" s="28"/>
      <c r="G130" s="28"/>
      <c r="H130" s="28"/>
    </row>
    <row r="131" spans="1:8" ht="14.25" x14ac:dyDescent="0.3">
      <c r="A131" s="40"/>
      <c r="B131" s="41"/>
      <c r="C131" s="42"/>
      <c r="D131" s="28"/>
      <c r="E131" s="28"/>
      <c r="F131" s="28"/>
      <c r="G131" s="28"/>
      <c r="H131" s="28"/>
    </row>
    <row r="132" spans="1:8" ht="14.25" x14ac:dyDescent="0.3">
      <c r="A132" s="40"/>
      <c r="B132" s="41"/>
      <c r="C132" s="42"/>
      <c r="D132" s="28"/>
      <c r="E132" s="28"/>
      <c r="F132" s="28"/>
      <c r="G132" s="28"/>
      <c r="H132" s="28"/>
    </row>
    <row r="133" spans="1:8" ht="14.25" x14ac:dyDescent="0.3">
      <c r="A133" s="40"/>
      <c r="B133" s="41"/>
      <c r="C133" s="42"/>
      <c r="D133" s="28"/>
      <c r="E133" s="28"/>
      <c r="F133" s="28"/>
      <c r="G133" s="28"/>
      <c r="H133" s="28"/>
    </row>
    <row r="134" spans="1:8" ht="14.25" x14ac:dyDescent="0.3">
      <c r="A134" s="40"/>
      <c r="B134" s="41"/>
      <c r="C134" s="42"/>
      <c r="D134" s="28"/>
      <c r="E134" s="28"/>
      <c r="F134" s="28"/>
      <c r="G134" s="28"/>
      <c r="H134" s="28"/>
    </row>
    <row r="135" spans="1:8" ht="14.25" x14ac:dyDescent="0.3">
      <c r="A135" s="40"/>
      <c r="B135" s="41"/>
      <c r="C135" s="42"/>
      <c r="D135" s="28"/>
      <c r="E135" s="28"/>
      <c r="F135" s="28"/>
      <c r="G135" s="28"/>
      <c r="H135" s="28"/>
    </row>
    <row r="136" spans="1:8" ht="14.25" x14ac:dyDescent="0.3">
      <c r="A136" s="40"/>
      <c r="B136" s="41"/>
      <c r="C136" s="42"/>
      <c r="D136" s="28"/>
      <c r="E136" s="28"/>
      <c r="F136" s="28"/>
      <c r="G136" s="28"/>
      <c r="H136" s="28"/>
    </row>
    <row r="137" spans="1:8" ht="14.25" x14ac:dyDescent="0.3">
      <c r="A137" s="40"/>
      <c r="B137" s="41"/>
      <c r="C137" s="42"/>
      <c r="D137" s="28"/>
      <c r="E137" s="28"/>
      <c r="F137" s="28"/>
      <c r="G137" s="28"/>
      <c r="H137" s="28"/>
    </row>
    <row r="138" spans="1:8" ht="14.25" x14ac:dyDescent="0.3">
      <c r="A138" s="40"/>
      <c r="B138" s="41"/>
      <c r="C138" s="42"/>
      <c r="D138" s="28"/>
      <c r="E138" s="28"/>
      <c r="F138" s="28"/>
      <c r="G138" s="28"/>
      <c r="H138" s="28"/>
    </row>
    <row r="139" spans="1:8" ht="14.25" x14ac:dyDescent="0.3">
      <c r="A139" s="40"/>
      <c r="B139" s="41"/>
      <c r="C139" s="42"/>
      <c r="D139" s="28"/>
      <c r="E139" s="28"/>
      <c r="F139" s="28"/>
      <c r="G139" s="28"/>
      <c r="H139" s="28"/>
    </row>
    <row r="140" spans="1:8" ht="14.25" x14ac:dyDescent="0.3">
      <c r="A140" s="40"/>
      <c r="B140" s="41"/>
      <c r="C140" s="42"/>
      <c r="D140" s="28"/>
      <c r="E140" s="28"/>
      <c r="F140" s="28"/>
      <c r="G140" s="28"/>
      <c r="H140" s="28"/>
    </row>
    <row r="141" spans="1:8" ht="14.25" x14ac:dyDescent="0.3">
      <c r="A141" s="40"/>
      <c r="B141" s="41"/>
      <c r="C141" s="42"/>
      <c r="D141" s="28"/>
      <c r="E141" s="28"/>
      <c r="F141" s="28"/>
      <c r="G141" s="28"/>
      <c r="H141" s="28"/>
    </row>
    <row r="142" spans="1:8" ht="14.25" x14ac:dyDescent="0.3">
      <c r="A142" s="40"/>
      <c r="B142" s="41"/>
      <c r="C142" s="42"/>
      <c r="D142" s="28"/>
      <c r="E142" s="28"/>
      <c r="F142" s="28"/>
      <c r="G142" s="28"/>
      <c r="H142" s="28"/>
    </row>
    <row r="143" spans="1:8" ht="14.25" x14ac:dyDescent="0.3">
      <c r="A143" s="40"/>
      <c r="B143" s="41"/>
      <c r="C143" s="42"/>
      <c r="D143" s="28"/>
      <c r="E143" s="28"/>
      <c r="F143" s="28"/>
      <c r="G143" s="28"/>
      <c r="H143" s="28"/>
    </row>
    <row r="144" spans="1:8" ht="14.25" x14ac:dyDescent="0.3">
      <c r="A144" s="40"/>
      <c r="B144" s="41"/>
      <c r="C144" s="42"/>
      <c r="D144" s="28"/>
      <c r="E144" s="28"/>
      <c r="F144" s="28"/>
      <c r="G144" s="28"/>
      <c r="H144" s="28"/>
    </row>
    <row r="145" spans="1:8" ht="14.25" x14ac:dyDescent="0.3">
      <c r="A145" s="40"/>
      <c r="B145" s="41"/>
      <c r="C145" s="42"/>
      <c r="D145" s="28"/>
      <c r="E145" s="28"/>
      <c r="F145" s="28"/>
      <c r="G145" s="28"/>
      <c r="H145" s="28"/>
    </row>
    <row r="146" spans="1:8" ht="14.25" x14ac:dyDescent="0.3">
      <c r="A146" s="40"/>
      <c r="B146" s="41"/>
      <c r="C146" s="42"/>
      <c r="D146" s="28"/>
      <c r="E146" s="28"/>
      <c r="F146" s="28"/>
      <c r="G146" s="28"/>
      <c r="H146" s="28"/>
    </row>
    <row r="147" spans="1:8" ht="14.25" x14ac:dyDescent="0.3">
      <c r="A147" s="40"/>
      <c r="B147" s="41"/>
      <c r="C147" s="42"/>
      <c r="D147" s="28"/>
      <c r="E147" s="28"/>
      <c r="F147" s="28"/>
      <c r="G147" s="28"/>
      <c r="H147" s="28"/>
    </row>
    <row r="148" spans="1:8" ht="14.25" x14ac:dyDescent="0.3">
      <c r="A148" s="40"/>
      <c r="B148" s="41"/>
      <c r="C148" s="42"/>
      <c r="D148" s="28"/>
      <c r="E148" s="28"/>
      <c r="F148" s="28"/>
      <c r="G148" s="28"/>
      <c r="H148" s="28"/>
    </row>
    <row r="149" spans="1:8" ht="14.25" x14ac:dyDescent="0.3">
      <c r="A149" s="40"/>
      <c r="B149" s="41"/>
      <c r="C149" s="42"/>
      <c r="D149" s="28"/>
      <c r="E149" s="28"/>
      <c r="F149" s="28"/>
      <c r="G149" s="28"/>
      <c r="H149" s="28"/>
    </row>
    <row r="150" spans="1:8" ht="14.25" x14ac:dyDescent="0.3">
      <c r="A150" s="40"/>
      <c r="B150" s="41"/>
      <c r="C150" s="42"/>
      <c r="D150" s="28"/>
      <c r="E150" s="28"/>
      <c r="F150" s="28"/>
      <c r="G150" s="28"/>
      <c r="H150" s="28"/>
    </row>
    <row r="151" spans="1:8" ht="14.25" x14ac:dyDescent="0.3">
      <c r="A151" s="40"/>
      <c r="B151" s="41"/>
      <c r="C151" s="42"/>
      <c r="D151" s="28"/>
      <c r="E151" s="28"/>
      <c r="F151" s="28"/>
      <c r="G151" s="28"/>
      <c r="H151" s="28"/>
    </row>
    <row r="152" spans="1:8" ht="14.25" x14ac:dyDescent="0.3">
      <c r="A152" s="40"/>
      <c r="B152" s="41"/>
      <c r="C152" s="42"/>
      <c r="D152" s="28"/>
      <c r="E152" s="28"/>
      <c r="F152" s="28"/>
      <c r="G152" s="28"/>
      <c r="H152" s="28"/>
    </row>
    <row r="153" spans="1:8" ht="14.25" x14ac:dyDescent="0.3">
      <c r="A153" s="40"/>
      <c r="B153" s="41"/>
      <c r="C153" s="42"/>
      <c r="D153" s="28"/>
      <c r="E153" s="28"/>
      <c r="F153" s="28"/>
      <c r="G153" s="28"/>
      <c r="H153" s="28"/>
    </row>
    <row r="154" spans="1:8" ht="14.25" x14ac:dyDescent="0.3">
      <c r="A154" s="40"/>
      <c r="B154" s="41"/>
      <c r="C154" s="42"/>
      <c r="D154" s="28"/>
      <c r="E154" s="28"/>
      <c r="F154" s="28"/>
      <c r="G154" s="28"/>
      <c r="H154" s="28"/>
    </row>
    <row r="155" spans="1:8" ht="14.25" x14ac:dyDescent="0.3">
      <c r="A155" s="40"/>
      <c r="B155" s="41"/>
      <c r="C155" s="42"/>
      <c r="D155" s="28"/>
      <c r="E155" s="28"/>
      <c r="F155" s="28"/>
      <c r="G155" s="28"/>
      <c r="H155" s="28"/>
    </row>
    <row r="156" spans="1:8" ht="14.25" x14ac:dyDescent="0.3">
      <c r="A156" s="40"/>
      <c r="B156" s="41"/>
      <c r="C156" s="42"/>
      <c r="D156" s="28"/>
      <c r="E156" s="28"/>
      <c r="F156" s="28"/>
      <c r="G156" s="28"/>
      <c r="H156" s="28"/>
    </row>
    <row r="157" spans="1:8" ht="14.25" x14ac:dyDescent="0.3">
      <c r="A157" s="40"/>
      <c r="B157" s="41"/>
      <c r="C157" s="42"/>
      <c r="D157" s="28"/>
      <c r="E157" s="28"/>
      <c r="F157" s="28"/>
      <c r="G157" s="28"/>
      <c r="H157" s="28"/>
    </row>
    <row r="158" spans="1:8" ht="14.25" x14ac:dyDescent="0.3">
      <c r="A158" s="40"/>
      <c r="B158" s="41"/>
      <c r="C158" s="42"/>
      <c r="D158" s="28"/>
      <c r="E158" s="28"/>
      <c r="F158" s="28"/>
      <c r="G158" s="28"/>
      <c r="H158" s="28"/>
    </row>
  </sheetData>
  <mergeCells count="8">
    <mergeCell ref="A91:H91"/>
    <mergeCell ref="B98:E98"/>
    <mergeCell ref="A1:H1"/>
    <mergeCell ref="A2:H2"/>
    <mergeCell ref="A3:H3"/>
    <mergeCell ref="A88:H88"/>
    <mergeCell ref="A89:H89"/>
    <mergeCell ref="A90:H9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2024-02-02T10:41:08Z</dcterms:created>
  <dcterms:modified xsi:type="dcterms:W3CDTF">2024-02-06T03:57:00Z</dcterms:modified>
</cp:coreProperties>
</file>