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4\Monthly\Monthly 31.03.2024\"/>
    </mc:Choice>
  </mc:AlternateContent>
  <bookViews>
    <workbookView xWindow="0" yWindow="0" windowWidth="20490" windowHeight="7770"/>
  </bookViews>
  <sheets>
    <sheet name="JM Short Duration Fund" sheetId="1" r:id="rId1"/>
  </sheets>
  <definedNames>
    <definedName name="_xlnm._FilterDatabase" localSheetId="0" hidden="1">'JM Short Duration Fund'!$A$1:$IM$81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Fund'!$A$1:$E$39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5" i="1" l="1"/>
  <c r="E44" i="1"/>
  <c r="E45" i="1" s="1"/>
  <c r="D42" i="1"/>
  <c r="E41" i="1"/>
  <c r="E42" i="1" s="1"/>
  <c r="D40" i="1"/>
  <c r="E39" i="1"/>
  <c r="E40" i="1" s="1"/>
  <c r="D35" i="1"/>
  <c r="E34" i="1"/>
  <c r="E33" i="1"/>
  <c r="E32" i="1"/>
  <c r="E31" i="1"/>
  <c r="F22" i="1"/>
  <c r="F47" i="1" s="1"/>
  <c r="D18" i="1"/>
  <c r="D22" i="1" s="1"/>
  <c r="D47" i="1" s="1"/>
  <c r="D49" i="1" s="1"/>
  <c r="E49" i="1" s="1"/>
  <c r="E17" i="1"/>
  <c r="E16" i="1"/>
  <c r="E15" i="1"/>
  <c r="E14" i="1"/>
  <c r="E13" i="1"/>
  <c r="E12" i="1"/>
  <c r="E11" i="1"/>
  <c r="E10" i="1"/>
  <c r="E9" i="1"/>
  <c r="E8" i="1"/>
  <c r="E7" i="1"/>
  <c r="E18" i="1" l="1"/>
  <c r="E22" i="1" s="1"/>
  <c r="E47" i="1" s="1"/>
  <c r="E51" i="1" s="1"/>
  <c r="E35" i="1"/>
</calcChain>
</file>

<file path=xl/sharedStrings.xml><?xml version="1.0" encoding="utf-8"?>
<sst xmlns="http://schemas.openxmlformats.org/spreadsheetml/2006/main" count="126" uniqueCount="100">
  <si>
    <t>JM Financial Mutual Fund</t>
  </si>
  <si>
    <t>JM Short Duration Fund (An open-ended short duration debt scheme investing in instruments such that the Macaulay duration of the portfolio is between 1 year and 3 years. A moderate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</si>
  <si>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</si>
  <si>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</si>
  <si>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</si>
  <si>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</si>
  <si>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</si>
  <si>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</si>
  <si>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</si>
  <si>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</si>
  <si>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</si>
  <si>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</si>
  <si>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</si>
  <si>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</si>
  <si>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INE514E08EK0</t>
  </si>
  <si>
    <t>HDFC Bank Ltd.</t>
  </si>
  <si>
    <t>CARE AAA</t>
  </si>
  <si>
    <t>INE040A08922</t>
  </si>
  <si>
    <t>LIC Housing Finance Ltd.**</t>
  </si>
  <si>
    <t>INE115A07QC7</t>
  </si>
  <si>
    <t>SIDBI Ltd.</t>
  </si>
  <si>
    <t>INE556F08KO7</t>
  </si>
  <si>
    <t>Sikka Ports &amp; Terminals Ltd.**</t>
  </si>
  <si>
    <t>INE941D07208</t>
  </si>
  <si>
    <t>ICICI Home Finance Ltd.**</t>
  </si>
  <si>
    <t>INE071G07637</t>
  </si>
  <si>
    <t>Bajaj Finance Ltd.**</t>
  </si>
  <si>
    <t>INE296A07SJ6</t>
  </si>
  <si>
    <t>REC Ltd.**</t>
  </si>
  <si>
    <t>INE020B08EL2</t>
  </si>
  <si>
    <t>NABARD**</t>
  </si>
  <si>
    <t>INE261F08DO9</t>
  </si>
  <si>
    <t>Jamnagar Utilities &amp; Power Ltd.**</t>
  </si>
  <si>
    <t>INE936D07174</t>
  </si>
  <si>
    <t>Power Finance Corporation Ltd.**</t>
  </si>
  <si>
    <t>INE134E08JP5</t>
  </si>
  <si>
    <t>Sub Total:</t>
  </si>
  <si>
    <t>b) Privately Placed / Unlisted</t>
  </si>
  <si>
    <t>NIL</t>
  </si>
  <si>
    <t>Total:</t>
  </si>
  <si>
    <t>TERM DEPOSITS</t>
  </si>
  <si>
    <t>Deposits (Maturity not exceeding 91 days)</t>
  </si>
  <si>
    <t>Deposits (Placed as F &amp; O margin)</t>
  </si>
  <si>
    <t>GOVERNMENT SECURITIES</t>
  </si>
  <si>
    <t>7.37% Government of India Securities 2028 23/10/2028</t>
  </si>
  <si>
    <t>Sovereign</t>
  </si>
  <si>
    <t>IN0020230101</t>
  </si>
  <si>
    <t>7.10% Government of India Securities 2029 18/04/2029</t>
  </si>
  <si>
    <t>IN0020220011</t>
  </si>
  <si>
    <t>7.06% Government of India Securities 2028 10/04/2028</t>
  </si>
  <si>
    <t>IN0020230010</t>
  </si>
  <si>
    <t>7.38% Government of India Securities 2027 20/06/2027</t>
  </si>
  <si>
    <t>IN0020220037</t>
  </si>
  <si>
    <t>MONEY MARKET INSTRUMENTS</t>
  </si>
  <si>
    <t>Certificate of Deposit (CD) / Commercial Paper (CP)</t>
  </si>
  <si>
    <t>AXIS Bank Ltd.CD**</t>
  </si>
  <si>
    <t>CRISIL A1+</t>
  </si>
  <si>
    <t>INE238AD6561</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</si>
  <si>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</si>
  <si>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</si>
  <si>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</si>
  <si>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</si>
  <si>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</si>
  <si>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</si>
  <si>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</si>
  <si>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</si>
  <si>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</si>
  <si>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March 28,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</si>
  <si>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</si>
  <si>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</si>
  <si>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</si>
  <si>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</si>
  <si>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</si>
  <si>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</si>
  <si>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</si>
  <si>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</si>
  <si>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</si>
  <si>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A-II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</si>
  <si>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</si>
  <si>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</si>
  <si>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</si>
  <si>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</si>
  <si>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</si>
  <si>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</si>
  <si>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</si>
  <si>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</si>
  <si>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</si>
  <si>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</si>
  <si>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</si>
  <si>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</si>
  <si>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</si>
  <si>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</si>
  <si>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</si>
  <si>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 ( Years )</t>
  </si>
  <si>
    <t>Residual Maturity ( Years )</t>
  </si>
  <si>
    <t xml:space="preserve">As on (Date) </t>
  </si>
  <si>
    <t>31.03.2024</t>
  </si>
  <si>
    <t xml:space="preserve">* in case of semi annual YTM,  it will be annualised </t>
  </si>
  <si>
    <t>Note : - The Benchmark and Riskometer of the Benchmark has been revised to CRISIL Short Duration Debt A-II Index with effect from March 12, 2024</t>
  </si>
  <si>
    <t>Monthly Portfolio Statement for the period ended 31.03.2024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</si>
</sst>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6">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horizontal="left" vertical="center" wrapText="1"/>
    </xf>
    <xf numFmtId="0" fontId="4" fillId="0" borderId="0" xfId="3" applyFont="1" applyFill="1" applyBorder="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3" applyFont="1" applyFill="1" applyAlignment="1">
      <alignment horizontal="left" vertical="center"/>
    </xf>
    <xf numFmtId="0" fontId="5" fillId="0" borderId="0" xfId="3" applyFont="1" applyAlignment="1">
      <alignment horizontal="left" vertical="center"/>
    </xf>
    <xf numFmtId="0" fontId="7" fillId="0" borderId="0" xfId="4" applyFont="1" applyBorder="1"/>
    <xf numFmtId="0" fontId="3" fillId="0" borderId="0" xfId="3" applyFont="1" applyFill="1" applyAlignment="1">
      <alignment wrapText="1"/>
    </xf>
    <xf numFmtId="0" fontId="3" fillId="0" borderId="0" xfId="3" applyFont="1" applyFill="1" applyAlignment="1">
      <alignment horizontal="left" wrapText="1"/>
    </xf>
    <xf numFmtId="165" fontId="3" fillId="0" borderId="0" xfId="1" applyNumberFormat="1" applyFont="1" applyFill="1"/>
    <xf numFmtId="0" fontId="9" fillId="0" borderId="0" xfId="6" applyFont="1" applyBorder="1"/>
    <xf numFmtId="0" fontId="5" fillId="0" borderId="0" xfId="3" applyFont="1" applyFill="1" applyAlignment="1">
      <alignment horizontal="left" wrapText="1"/>
    </xf>
    <xf numFmtId="165" fontId="5" fillId="0" borderId="0" xfId="7" applyNumberFormat="1" applyFont="1" applyFill="1"/>
    <xf numFmtId="0" fontId="7" fillId="0" borderId="0" xfId="6" applyFont="1" applyBorder="1"/>
    <xf numFmtId="0" fontId="10" fillId="0" borderId="0" xfId="3" applyFont="1" applyFill="1" applyBorder="1" applyAlignment="1">
      <alignment horizontal="left" wrapText="1"/>
    </xf>
    <xf numFmtId="0" fontId="7" fillId="0" borderId="0" xfId="3" applyFont="1" applyAlignment="1">
      <alignment vertical="top" wrapText="1"/>
    </xf>
    <xf numFmtId="0" fontId="9" fillId="0" borderId="0" xfId="4" applyFont="1" applyAlignment="1">
      <alignment horizontal="center"/>
    </xf>
    <xf numFmtId="0" fontId="4" fillId="0" borderId="0" xfId="3" applyFont="1" applyFill="1"/>
    <xf numFmtId="0" fontId="9" fillId="0" borderId="0" xfId="4" applyFont="1"/>
    <xf numFmtId="0" fontId="5" fillId="0" borderId="0" xfId="3" applyFont="1" applyAlignment="1">
      <alignment horizontal="left" wrapText="1"/>
    </xf>
    <xf numFmtId="0" fontId="4" fillId="0" borderId="0" xfId="3" applyFont="1"/>
    <xf numFmtId="0" fontId="5" fillId="0" borderId="0" xfId="8" applyFont="1" applyFill="1" applyAlignment="1">
      <alignment wrapText="1"/>
    </xf>
    <xf numFmtId="0" fontId="5" fillId="0" borderId="0" xfId="8" applyFont="1" applyFill="1" applyAlignment="1">
      <alignment horizontal="left" wrapText="1"/>
    </xf>
    <xf numFmtId="165" fontId="5" fillId="0" borderId="0" xfId="9" applyNumberFormat="1" applyFont="1" applyFill="1"/>
    <xf numFmtId="0" fontId="5" fillId="0" borderId="0" xfId="8" applyFont="1" applyFill="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165" fontId="5" fillId="0" borderId="0" xfId="10" applyNumberFormat="1" applyFont="1"/>
    <xf numFmtId="166" fontId="5" fillId="0" borderId="3" xfId="3" applyNumberFormat="1" applyFont="1" applyBorder="1" applyAlignment="1">
      <alignment horizontal="center"/>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3" fillId="0" borderId="0" xfId="3" applyFont="1" applyAlignment="1">
      <alignment vertical="top"/>
    </xf>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5" fillId="0" borderId="0" xfId="3" applyFont="1" applyAlignment="1">
      <alignment horizontal="left" vertical="top" wrapText="1"/>
    </xf>
    <xf numFmtId="0" fontId="4" fillId="0" borderId="0" xfId="3" applyFont="1" applyAlignment="1">
      <alignment horizontal="center" wrapText="1"/>
    </xf>
    <xf numFmtId="0" fontId="4" fillId="0" borderId="0" xfId="3"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7" fillId="0" borderId="0" xfId="6" applyFont="1" applyBorder="1" applyAlignment="1">
      <alignment horizontal="left" vertical="top" wrapText="1"/>
    </xf>
  </cellXfs>
  <cellStyles count="11">
    <cellStyle name="Comma" xfId="1" builtinId="3"/>
    <cellStyle name="Comma 3" xfId="10"/>
    <cellStyle name="Comma 4 2" xfId="7"/>
    <cellStyle name="Comma 5" xfId="9"/>
    <cellStyle name="Normal" xfId="0" builtinId="0"/>
    <cellStyle name="Normal 2 2 2" xfId="3"/>
    <cellStyle name="Normal 2 3 2" xfId="5"/>
    <cellStyle name="Normal 4_IF" xfId="4"/>
    <cellStyle name="Normal 4_LD" xfId="6"/>
    <cellStyle name="Normal 5"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771525</xdr:colOff>
      <xdr:row>66</xdr:row>
      <xdr:rowOff>28575</xdr:rowOff>
    </xdr:from>
    <xdr:to>
      <xdr:col>0</xdr:col>
      <xdr:colOff>2733675</xdr:colOff>
      <xdr:row>72</xdr:row>
      <xdr:rowOff>76200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5" y="18116550"/>
          <a:ext cx="19621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323850</xdr:colOff>
      <xdr:row>66</xdr:row>
      <xdr:rowOff>38100</xdr:rowOff>
    </xdr:from>
    <xdr:to>
      <xdr:col>3</xdr:col>
      <xdr:colOff>590550</xdr:colOff>
      <xdr:row>72</xdr:row>
      <xdr:rowOff>76200</xdr:rowOff>
    </xdr:to>
    <xdr:pic>
      <xdr:nvPicPr>
        <xdr:cNvPr id="3" name="Picture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05200" y="13211175"/>
          <a:ext cx="199072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3"/>
  <sheetViews>
    <sheetView tabSelected="1" zoomScaleNormal="100" workbookViewId="0">
      <selection sqref="A1:H1"/>
    </sheetView>
  </sheetViews>
  <sheetFormatPr defaultRowHeight="12.75" x14ac:dyDescent="0.2"/>
  <cols>
    <col min="1" max="1" width="47.7109375" style="72" customWidth="1"/>
    <col min="2" max="2" width="15.5703125" style="73" customWidth="1"/>
    <col min="3" max="3" width="10.28515625" style="74" customWidth="1"/>
    <col min="4" max="4" width="12.85546875" style="1" customWidth="1"/>
    <col min="5" max="5" width="10.85546875" style="1" customWidth="1"/>
    <col min="6" max="6" width="13.7109375" style="1" customWidth="1"/>
    <col min="7" max="7" width="9.5703125" style="1" bestFit="1" customWidth="1"/>
    <col min="8" max="8" width="13.7109375" style="1" customWidth="1"/>
    <col min="9" max="16384" width="9.140625" style="1"/>
  </cols>
  <sheetData>
    <row r="1" spans="1:8" x14ac:dyDescent="0.2">
      <c r="A1" s="91" t="s">
        <v>0</v>
      </c>
      <c r="B1" s="91"/>
      <c r="C1" s="91"/>
      <c r="D1" s="91"/>
      <c r="E1" s="91"/>
      <c r="F1" s="91"/>
      <c r="G1" s="91"/>
      <c r="H1" s="91"/>
    </row>
    <row r="2" spans="1:8" s="75" customFormat="1" ht="25.5" customHeight="1" x14ac:dyDescent="0.25">
      <c r="A2" s="92" t="s">
        <v>1</v>
      </c>
      <c r="B2" s="92"/>
      <c r="C2" s="92"/>
      <c r="D2" s="92"/>
      <c r="E2" s="92"/>
      <c r="F2" s="92"/>
      <c r="G2" s="92"/>
      <c r="H2" s="92"/>
    </row>
    <row r="3" spans="1:8" x14ac:dyDescent="0.2">
      <c r="A3" s="93" t="s">
        <v>99</v>
      </c>
      <c r="B3" s="93"/>
      <c r="C3" s="93"/>
      <c r="D3" s="93"/>
      <c r="E3" s="93"/>
      <c r="F3" s="93"/>
      <c r="G3" s="93"/>
      <c r="H3" s="93"/>
    </row>
    <row r="4" spans="1:8" s="2" customFormat="1" ht="35.25" customHeight="1" x14ac:dyDescent="0.2">
      <c r="A4" s="76" t="s">
        <v>2</v>
      </c>
      <c r="B4" s="76" t="s">
        <v>3</v>
      </c>
      <c r="C4" s="77" t="s">
        <v>4</v>
      </c>
      <c r="D4" s="76" t="s">
        <v>5</v>
      </c>
      <c r="E4" s="76" t="s">
        <v>6</v>
      </c>
      <c r="F4" s="76" t="s">
        <v>7</v>
      </c>
      <c r="G4" s="76" t="s">
        <v>8</v>
      </c>
      <c r="H4" s="76" t="s">
        <v>9</v>
      </c>
    </row>
    <row r="5" spans="1:8" s="10" customFormat="1" ht="14.25" x14ac:dyDescent="0.3">
      <c r="A5" s="3" t="s">
        <v>10</v>
      </c>
      <c r="B5" s="4"/>
      <c r="C5" s="5"/>
      <c r="D5" s="6"/>
      <c r="E5" s="6"/>
      <c r="F5" s="7"/>
      <c r="G5" s="8"/>
      <c r="H5" s="9"/>
    </row>
    <row r="6" spans="1:8" s="10" customFormat="1" ht="14.25" x14ac:dyDescent="0.3">
      <c r="A6" s="3" t="s">
        <v>11</v>
      </c>
      <c r="B6" s="4"/>
      <c r="C6" s="5"/>
      <c r="D6" s="11"/>
      <c r="E6" s="11"/>
      <c r="F6" s="11"/>
      <c r="G6" s="8"/>
      <c r="H6" s="9"/>
    </row>
    <row r="7" spans="1:8" s="10" customFormat="1" ht="14.25" x14ac:dyDescent="0.3">
      <c r="A7" s="12" t="s">
        <v>12</v>
      </c>
      <c r="B7" s="13" t="s">
        <v>13</v>
      </c>
      <c r="C7" s="14">
        <v>100</v>
      </c>
      <c r="D7" s="15">
        <v>1002.967</v>
      </c>
      <c r="E7" s="15">
        <f t="shared" ref="E7:E17" si="0">(+D7/$D$51*100)</f>
        <v>7.8565553279563884</v>
      </c>
      <c r="F7" s="15" t="s">
        <v>14</v>
      </c>
      <c r="G7" s="8">
        <v>7.64</v>
      </c>
      <c r="H7" s="9"/>
    </row>
    <row r="8" spans="1:8" s="10" customFormat="1" ht="14.25" x14ac:dyDescent="0.3">
      <c r="A8" s="12" t="s">
        <v>15</v>
      </c>
      <c r="B8" s="13" t="s">
        <v>16</v>
      </c>
      <c r="C8" s="14">
        <v>900</v>
      </c>
      <c r="D8" s="15">
        <v>896.51610000000005</v>
      </c>
      <c r="E8" s="15">
        <f t="shared" si="0"/>
        <v>7.022692014845636</v>
      </c>
      <c r="F8" s="15" t="s">
        <v>17</v>
      </c>
      <c r="G8" s="8">
        <v>8.1199999999999992</v>
      </c>
      <c r="H8" s="9"/>
    </row>
    <row r="9" spans="1:8" s="10" customFormat="1" ht="14.25" x14ac:dyDescent="0.3">
      <c r="A9" s="12" t="s">
        <v>18</v>
      </c>
      <c r="B9" s="13" t="s">
        <v>16</v>
      </c>
      <c r="C9" s="14">
        <v>80</v>
      </c>
      <c r="D9" s="15">
        <v>797.78160000000003</v>
      </c>
      <c r="E9" s="15">
        <f t="shared" si="0"/>
        <v>6.2492736850021711</v>
      </c>
      <c r="F9" s="15" t="s">
        <v>19</v>
      </c>
      <c r="G9" s="8">
        <v>7.87</v>
      </c>
      <c r="H9" s="9"/>
    </row>
    <row r="10" spans="1:8" s="10" customFormat="1" ht="14.25" x14ac:dyDescent="0.3">
      <c r="A10" s="12" t="s">
        <v>20</v>
      </c>
      <c r="B10" s="13" t="s">
        <v>16</v>
      </c>
      <c r="C10" s="14">
        <v>750</v>
      </c>
      <c r="D10" s="15">
        <v>750.88199999999995</v>
      </c>
      <c r="E10" s="15">
        <f t="shared" si="0"/>
        <v>5.881894397090381</v>
      </c>
      <c r="F10" s="15" t="s">
        <v>21</v>
      </c>
      <c r="G10" s="8">
        <v>7.6455000000000002</v>
      </c>
      <c r="H10" s="9"/>
    </row>
    <row r="11" spans="1:8" s="10" customFormat="1" ht="14.25" x14ac:dyDescent="0.3">
      <c r="A11" s="12" t="s">
        <v>22</v>
      </c>
      <c r="B11" s="13" t="s">
        <v>16</v>
      </c>
      <c r="C11" s="14">
        <v>60</v>
      </c>
      <c r="D11" s="15">
        <v>587.6472</v>
      </c>
      <c r="E11" s="15">
        <f t="shared" si="0"/>
        <v>4.6032249716278342</v>
      </c>
      <c r="F11" s="15" t="s">
        <v>23</v>
      </c>
      <c r="G11" s="8">
        <v>7.8650000000000002</v>
      </c>
      <c r="H11" s="9"/>
    </row>
    <row r="12" spans="1:8" s="10" customFormat="1" ht="14.25" x14ac:dyDescent="0.3">
      <c r="A12" s="12" t="s">
        <v>24</v>
      </c>
      <c r="B12" s="13" t="s">
        <v>16</v>
      </c>
      <c r="C12" s="14">
        <v>500</v>
      </c>
      <c r="D12" s="15">
        <v>499.81900000000002</v>
      </c>
      <c r="E12" s="15">
        <f t="shared" si="0"/>
        <v>3.9152391130155175</v>
      </c>
      <c r="F12" s="15" t="s">
        <v>25</v>
      </c>
      <c r="G12" s="8">
        <v>8.0782000000000007</v>
      </c>
      <c r="H12" s="9"/>
    </row>
    <row r="13" spans="1:8" s="10" customFormat="1" ht="14.25" x14ac:dyDescent="0.3">
      <c r="A13" s="12" t="s">
        <v>26</v>
      </c>
      <c r="B13" s="13" t="s">
        <v>16</v>
      </c>
      <c r="C13" s="14">
        <v>50</v>
      </c>
      <c r="D13" s="15">
        <v>499.274</v>
      </c>
      <c r="E13" s="15">
        <f t="shared" si="0"/>
        <v>3.9109699569478336</v>
      </c>
      <c r="F13" s="15" t="s">
        <v>27</v>
      </c>
      <c r="G13" s="8">
        <v>8.07</v>
      </c>
      <c r="H13" s="9"/>
    </row>
    <row r="14" spans="1:8" s="10" customFormat="1" ht="14.25" x14ac:dyDescent="0.3">
      <c r="A14" s="12" t="s">
        <v>28</v>
      </c>
      <c r="B14" s="13" t="s">
        <v>16</v>
      </c>
      <c r="C14" s="14">
        <v>500</v>
      </c>
      <c r="D14" s="15">
        <v>497.91750000000002</v>
      </c>
      <c r="E14" s="15">
        <f t="shared" si="0"/>
        <v>3.9003440666619391</v>
      </c>
      <c r="F14" s="15" t="s">
        <v>29</v>
      </c>
      <c r="G14" s="8">
        <v>7.6512000000000002</v>
      </c>
      <c r="H14" s="9"/>
    </row>
    <row r="15" spans="1:8" s="10" customFormat="1" ht="14.25" x14ac:dyDescent="0.3">
      <c r="A15" s="12" t="s">
        <v>30</v>
      </c>
      <c r="B15" s="13" t="s">
        <v>13</v>
      </c>
      <c r="C15" s="14">
        <v>50</v>
      </c>
      <c r="D15" s="15">
        <v>496.92349999999999</v>
      </c>
      <c r="E15" s="15">
        <f t="shared" si="0"/>
        <v>3.8925577526595956</v>
      </c>
      <c r="F15" s="15" t="s">
        <v>31</v>
      </c>
      <c r="G15" s="8">
        <v>7.75</v>
      </c>
      <c r="H15" s="9"/>
    </row>
    <row r="16" spans="1:8" s="10" customFormat="1" ht="14.25" x14ac:dyDescent="0.3">
      <c r="A16" s="12" t="s">
        <v>32</v>
      </c>
      <c r="B16" s="13" t="s">
        <v>16</v>
      </c>
      <c r="C16" s="14">
        <v>50</v>
      </c>
      <c r="D16" s="15">
        <v>483.62900000000002</v>
      </c>
      <c r="E16" s="15">
        <f t="shared" si="0"/>
        <v>3.7884177612067202</v>
      </c>
      <c r="F16" s="15" t="s">
        <v>33</v>
      </c>
      <c r="G16" s="8">
        <v>7.8686999999999996</v>
      </c>
      <c r="H16" s="9"/>
    </row>
    <row r="17" spans="1:8" s="10" customFormat="1" ht="14.25" x14ac:dyDescent="0.3">
      <c r="A17" s="12" t="s">
        <v>34</v>
      </c>
      <c r="B17" s="13" t="s">
        <v>16</v>
      </c>
      <c r="C17" s="14">
        <v>35</v>
      </c>
      <c r="D17" s="15">
        <v>355.39139999999998</v>
      </c>
      <c r="E17" s="15">
        <f t="shared" si="0"/>
        <v>2.7838923884633093</v>
      </c>
      <c r="F17" s="15" t="s">
        <v>35</v>
      </c>
      <c r="G17" s="8">
        <v>7.5327999999999999</v>
      </c>
      <c r="H17" s="9"/>
    </row>
    <row r="18" spans="1:8" s="10" customFormat="1" ht="14.25" x14ac:dyDescent="0.3">
      <c r="A18" s="3" t="s">
        <v>36</v>
      </c>
      <c r="B18" s="4"/>
      <c r="C18" s="16"/>
      <c r="D18" s="6">
        <f>IF(ISERROR(SUM(D7:D17)),0,SUM(D7:D17))</f>
        <v>6868.7483000000011</v>
      </c>
      <c r="E18" s="6">
        <f>IF(ISERROR(SUM(E7:E17)),0,SUM(E7:E17))</f>
        <v>53.805061435477327</v>
      </c>
      <c r="F18" s="6"/>
      <c r="G18" s="8"/>
      <c r="H18" s="9"/>
    </row>
    <row r="19" spans="1:8" s="10" customFormat="1" ht="14.25" x14ac:dyDescent="0.3">
      <c r="A19" s="3"/>
      <c r="B19" s="4"/>
      <c r="C19" s="16"/>
      <c r="D19" s="11"/>
      <c r="E19" s="11"/>
      <c r="F19" s="11"/>
      <c r="G19" s="8"/>
      <c r="H19" s="9"/>
    </row>
    <row r="20" spans="1:8" s="10" customFormat="1" ht="14.25" x14ac:dyDescent="0.3">
      <c r="A20" s="3" t="s">
        <v>37</v>
      </c>
      <c r="B20" s="4"/>
      <c r="C20" s="16"/>
      <c r="D20" s="6" t="s">
        <v>38</v>
      </c>
      <c r="E20" s="6" t="s">
        <v>38</v>
      </c>
      <c r="F20" s="7"/>
      <c r="G20" s="8"/>
      <c r="H20" s="9"/>
    </row>
    <row r="21" spans="1:8" s="10" customFormat="1" ht="14.25" x14ac:dyDescent="0.3">
      <c r="A21" s="3"/>
      <c r="B21" s="4"/>
      <c r="C21" s="16"/>
      <c r="D21" s="11"/>
      <c r="E21" s="11"/>
      <c r="F21" s="11"/>
      <c r="G21" s="8"/>
      <c r="H21" s="9"/>
    </row>
    <row r="22" spans="1:8" s="10" customFormat="1" ht="14.25" x14ac:dyDescent="0.3">
      <c r="A22" s="3" t="s">
        <v>39</v>
      </c>
      <c r="B22" s="4"/>
      <c r="C22" s="16"/>
      <c r="D22" s="6">
        <f>IF(ISERROR(+D18),0,D18)+IF(ISERROR(+#REF!),0,#REF!)+IF(ISERROR(+#REF!),0,#REF!)</f>
        <v>6868.7483000000011</v>
      </c>
      <c r="E22" s="6">
        <f>IF(ISERROR(+E18),0,E18)+IF(ISERROR(+#REF!),0,#REF!)+IF(ISERROR(+#REF!),0,#REF!)</f>
        <v>53.805061435477327</v>
      </c>
      <c r="F22" s="6">
        <f>IF(ISERROR(+F18),0,F18)+IF(ISERROR(+#REF!),0,#REF!)+IF(ISERROR(+#REF!),0,#REF!)</f>
        <v>0</v>
      </c>
      <c r="G22" s="8"/>
      <c r="H22" s="9"/>
    </row>
    <row r="23" spans="1:8" s="10" customFormat="1" ht="14.25" x14ac:dyDescent="0.3">
      <c r="A23" s="3"/>
      <c r="B23" s="4"/>
      <c r="C23" s="16"/>
      <c r="D23" s="6"/>
      <c r="E23" s="6"/>
      <c r="F23" s="6"/>
      <c r="G23" s="8"/>
      <c r="H23" s="9"/>
    </row>
    <row r="24" spans="1:8" s="10" customFormat="1" ht="14.25" x14ac:dyDescent="0.3">
      <c r="A24" s="3" t="s">
        <v>40</v>
      </c>
      <c r="B24" s="4"/>
      <c r="C24" s="16"/>
      <c r="D24" s="6"/>
      <c r="E24" s="6"/>
      <c r="F24" s="6"/>
      <c r="G24" s="8"/>
      <c r="H24" s="9"/>
    </row>
    <row r="25" spans="1:8" s="10" customFormat="1" ht="14.25" x14ac:dyDescent="0.3">
      <c r="A25" s="3"/>
      <c r="B25" s="4"/>
      <c r="C25" s="16"/>
      <c r="D25" s="15"/>
      <c r="E25" s="15"/>
      <c r="F25" s="17"/>
      <c r="G25" s="8"/>
      <c r="H25" s="9"/>
    </row>
    <row r="26" spans="1:8" s="10" customFormat="1" ht="14.25" x14ac:dyDescent="0.3">
      <c r="A26" s="3" t="s">
        <v>41</v>
      </c>
      <c r="B26" s="4"/>
      <c r="C26" s="16"/>
      <c r="D26" s="6" t="s">
        <v>38</v>
      </c>
      <c r="E26" s="6" t="s">
        <v>38</v>
      </c>
      <c r="F26" s="6"/>
      <c r="G26" s="8"/>
      <c r="H26" s="9"/>
    </row>
    <row r="27" spans="1:8" s="10" customFormat="1" ht="14.25" x14ac:dyDescent="0.3">
      <c r="A27" s="3"/>
      <c r="B27" s="4"/>
      <c r="C27" s="16"/>
      <c r="D27" s="6"/>
      <c r="E27" s="6"/>
      <c r="F27" s="6"/>
      <c r="G27" s="8"/>
      <c r="H27" s="9"/>
    </row>
    <row r="28" spans="1:8" s="10" customFormat="1" ht="14.25" x14ac:dyDescent="0.3">
      <c r="A28" s="3" t="s">
        <v>42</v>
      </c>
      <c r="B28" s="4"/>
      <c r="C28" s="16"/>
      <c r="D28" s="6" t="s">
        <v>38</v>
      </c>
      <c r="E28" s="6" t="s">
        <v>38</v>
      </c>
      <c r="F28" s="6"/>
      <c r="G28" s="8"/>
      <c r="H28" s="9"/>
    </row>
    <row r="29" spans="1:8" s="10" customFormat="1" ht="14.25" x14ac:dyDescent="0.3">
      <c r="A29" s="3"/>
      <c r="B29" s="4"/>
      <c r="C29" s="16"/>
      <c r="D29" s="6"/>
      <c r="E29" s="6"/>
      <c r="F29" s="6"/>
      <c r="G29" s="8"/>
      <c r="H29" s="9"/>
    </row>
    <row r="30" spans="1:8" s="10" customFormat="1" ht="14.25" x14ac:dyDescent="0.3">
      <c r="A30" s="3" t="s">
        <v>43</v>
      </c>
      <c r="B30" s="4"/>
      <c r="C30" s="16"/>
      <c r="D30" s="6"/>
      <c r="E30" s="6"/>
      <c r="F30" s="6"/>
      <c r="G30" s="8"/>
      <c r="H30" s="9"/>
    </row>
    <row r="31" spans="1:8" s="10" customFormat="1" ht="14.25" x14ac:dyDescent="0.3">
      <c r="A31" s="12" t="s">
        <v>44</v>
      </c>
      <c r="B31" s="13" t="s">
        <v>45</v>
      </c>
      <c r="C31" s="14">
        <v>1800000</v>
      </c>
      <c r="D31" s="15">
        <v>1821.9654</v>
      </c>
      <c r="E31" s="15">
        <f>(+D31/$D$51*100)</f>
        <v>14.272026867007781</v>
      </c>
      <c r="F31" s="15" t="s">
        <v>46</v>
      </c>
      <c r="G31" s="8">
        <v>7.0507</v>
      </c>
      <c r="H31" s="9"/>
    </row>
    <row r="32" spans="1:8" s="10" customFormat="1" ht="14.25" x14ac:dyDescent="0.3">
      <c r="A32" s="12" t="s">
        <v>47</v>
      </c>
      <c r="B32" s="13" t="s">
        <v>45</v>
      </c>
      <c r="C32" s="14">
        <v>1500000</v>
      </c>
      <c r="D32" s="15">
        <v>1502.7705000000001</v>
      </c>
      <c r="E32" s="15">
        <f>(+D32/$D$51*100)</f>
        <v>11.771673024606679</v>
      </c>
      <c r="F32" s="15" t="s">
        <v>48</v>
      </c>
      <c r="G32" s="8">
        <v>7.0545999999999998</v>
      </c>
      <c r="H32" s="9"/>
    </row>
    <row r="33" spans="1:8" s="10" customFormat="1" ht="14.25" x14ac:dyDescent="0.3">
      <c r="A33" s="12" t="s">
        <v>49</v>
      </c>
      <c r="B33" s="13" t="s">
        <v>45</v>
      </c>
      <c r="C33" s="14">
        <v>1000000</v>
      </c>
      <c r="D33" s="15">
        <v>1000.064</v>
      </c>
      <c r="E33" s="15">
        <f>(+D33/$D$51*100)</f>
        <v>7.8338152177463245</v>
      </c>
      <c r="F33" s="15" t="s">
        <v>50</v>
      </c>
      <c r="G33" s="8">
        <v>7.0572999999999997</v>
      </c>
      <c r="H33" s="9"/>
    </row>
    <row r="34" spans="1:8" s="10" customFormat="1" ht="14.25" x14ac:dyDescent="0.3">
      <c r="A34" s="12" t="s">
        <v>51</v>
      </c>
      <c r="B34" s="13" t="s">
        <v>45</v>
      </c>
      <c r="C34" s="14">
        <v>400000</v>
      </c>
      <c r="D34" s="15">
        <v>403.6404</v>
      </c>
      <c r="E34" s="15">
        <f>(+D34/$D$51*100)</f>
        <v>3.1618419501324055</v>
      </c>
      <c r="F34" s="15" t="s">
        <v>52</v>
      </c>
      <c r="G34" s="8">
        <v>7.0534999999999997</v>
      </c>
      <c r="H34" s="9"/>
    </row>
    <row r="35" spans="1:8" s="10" customFormat="1" ht="14.25" x14ac:dyDescent="0.3">
      <c r="A35" s="3" t="s">
        <v>36</v>
      </c>
      <c r="B35" s="4"/>
      <c r="C35" s="16"/>
      <c r="D35" s="6">
        <f>IF(ISERROR(SUM(D31:D34)),0,SUM(D31:D34))</f>
        <v>4728.4403000000002</v>
      </c>
      <c r="E35" s="6">
        <f>IF(ISERROR(SUM(E31:E34)),0,SUM(E31:E34))</f>
        <v>37.039357059493192</v>
      </c>
      <c r="F35" s="18"/>
      <c r="G35" s="8"/>
      <c r="H35" s="9"/>
    </row>
    <row r="36" spans="1:8" s="10" customFormat="1" ht="14.25" x14ac:dyDescent="0.3">
      <c r="A36" s="3"/>
      <c r="B36" s="4"/>
      <c r="C36" s="16"/>
      <c r="D36" s="6"/>
      <c r="E36" s="6"/>
      <c r="F36" s="6"/>
      <c r="G36" s="8"/>
      <c r="H36" s="9"/>
    </row>
    <row r="37" spans="1:8" s="10" customFormat="1" ht="14.25" x14ac:dyDescent="0.3">
      <c r="A37" s="3" t="s">
        <v>53</v>
      </c>
      <c r="B37" s="4"/>
      <c r="C37" s="16"/>
      <c r="D37" s="6"/>
      <c r="E37" s="6"/>
      <c r="F37" s="7"/>
      <c r="G37" s="8"/>
      <c r="H37" s="9"/>
    </row>
    <row r="38" spans="1:8" s="10" customFormat="1" ht="14.25" x14ac:dyDescent="0.3">
      <c r="A38" s="3" t="s">
        <v>54</v>
      </c>
      <c r="B38" s="4"/>
      <c r="C38" s="16"/>
      <c r="D38" s="6"/>
      <c r="E38" s="6"/>
      <c r="F38" s="7"/>
      <c r="G38" s="8"/>
      <c r="H38" s="9"/>
    </row>
    <row r="39" spans="1:8" s="10" customFormat="1" ht="14.25" x14ac:dyDescent="0.3">
      <c r="A39" s="12" t="s">
        <v>55</v>
      </c>
      <c r="B39" s="13" t="s">
        <v>56</v>
      </c>
      <c r="C39" s="14">
        <v>100</v>
      </c>
      <c r="D39" s="15">
        <v>491.76100000000002</v>
      </c>
      <c r="E39" s="15">
        <f>(+D39/$D$51*100)</f>
        <v>3.8521182697248886</v>
      </c>
      <c r="F39" s="15" t="s">
        <v>57</v>
      </c>
      <c r="G39" s="8">
        <v>7.5499000000000001</v>
      </c>
      <c r="H39" s="9"/>
    </row>
    <row r="40" spans="1:8" s="10" customFormat="1" ht="14.25" x14ac:dyDescent="0.3">
      <c r="A40" s="3" t="s">
        <v>36</v>
      </c>
      <c r="B40" s="19"/>
      <c r="C40" s="20"/>
      <c r="D40" s="6">
        <f>IF(ISERROR(SUM(D39:D39)),0,SUM(D39:D39))</f>
        <v>491.76100000000002</v>
      </c>
      <c r="E40" s="6">
        <f>IF(ISERROR(SUM(E39:E39)),0,SUM(E39:E39))</f>
        <v>3.8521182697248886</v>
      </c>
      <c r="F40" s="21"/>
      <c r="G40" s="8"/>
      <c r="H40" s="9"/>
    </row>
    <row r="41" spans="1:8" s="10" customFormat="1" ht="14.25" x14ac:dyDescent="0.3">
      <c r="A41" s="12" t="s">
        <v>58</v>
      </c>
      <c r="B41" s="13"/>
      <c r="C41" s="14">
        <v>0</v>
      </c>
      <c r="D41" s="15">
        <v>310.98000350000001</v>
      </c>
      <c r="E41" s="15">
        <f>(+D41/$D$51*100)</f>
        <v>2.4360039795784121</v>
      </c>
      <c r="F41" s="15" t="s">
        <v>59</v>
      </c>
      <c r="G41" s="8">
        <v>6.9439000000000002</v>
      </c>
      <c r="H41" s="9"/>
    </row>
    <row r="42" spans="1:8" s="10" customFormat="1" ht="14.25" x14ac:dyDescent="0.3">
      <c r="A42" s="3" t="s">
        <v>36</v>
      </c>
      <c r="B42" s="4"/>
      <c r="C42" s="16"/>
      <c r="D42" s="6">
        <f>IF(ISERROR(SUM(D41:D41)),0,SUM(D41:D41))</f>
        <v>310.98000350000001</v>
      </c>
      <c r="E42" s="6">
        <f>IF(ISERROR(SUM(E41:E41)),0,SUM(E41:E41))</f>
        <v>2.4360039795784121</v>
      </c>
      <c r="F42" s="15"/>
      <c r="G42" s="8"/>
      <c r="H42" s="9"/>
    </row>
    <row r="43" spans="1:8" s="10" customFormat="1" ht="14.25" x14ac:dyDescent="0.3">
      <c r="A43" s="3" t="s">
        <v>60</v>
      </c>
      <c r="B43" s="4"/>
      <c r="C43" s="16"/>
      <c r="D43" s="6"/>
      <c r="E43" s="6"/>
      <c r="F43" s="6"/>
      <c r="G43" s="8"/>
      <c r="H43" s="9"/>
    </row>
    <row r="44" spans="1:8" s="10" customFormat="1" ht="14.25" x14ac:dyDescent="0.3">
      <c r="A44" s="12" t="s">
        <v>61</v>
      </c>
      <c r="B44" s="13"/>
      <c r="C44" s="14">
        <v>325.18400000000003</v>
      </c>
      <c r="D44" s="15">
        <v>33.121914513728001</v>
      </c>
      <c r="E44" s="15">
        <f>(+D44/$D$51*100)</f>
        <v>0.259454352879951</v>
      </c>
      <c r="F44" s="15" t="s">
        <v>62</v>
      </c>
      <c r="G44" s="8">
        <v>6.95</v>
      </c>
      <c r="H44" s="9"/>
    </row>
    <row r="45" spans="1:8" s="10" customFormat="1" ht="14.25" x14ac:dyDescent="0.3">
      <c r="A45" s="3" t="s">
        <v>36</v>
      </c>
      <c r="B45" s="4"/>
      <c r="C45" s="16"/>
      <c r="D45" s="6">
        <f>IF(ISERROR(SUM(D44:D44)),0,SUM(D44:D44))</f>
        <v>33.121914513728001</v>
      </c>
      <c r="E45" s="6">
        <f>IF(ISERROR(SUM(E44:E44)),0,SUM(E44:E44))</f>
        <v>0.259454352879951</v>
      </c>
      <c r="F45" s="15"/>
      <c r="G45" s="8"/>
      <c r="H45" s="9"/>
    </row>
    <row r="46" spans="1:8" s="10" customFormat="1" ht="14.25" x14ac:dyDescent="0.3">
      <c r="A46" s="3"/>
      <c r="B46" s="4"/>
      <c r="C46" s="16"/>
      <c r="D46" s="6"/>
      <c r="E46" s="6"/>
      <c r="F46" s="7"/>
      <c r="G46" s="8"/>
      <c r="H46" s="9"/>
    </row>
    <row r="47" spans="1:8" s="10" customFormat="1" ht="14.25" x14ac:dyDescent="0.3">
      <c r="A47" s="3" t="s">
        <v>39</v>
      </c>
      <c r="B47" s="4"/>
      <c r="C47" s="16" t="s">
        <v>63</v>
      </c>
      <c r="D47" s="6">
        <f>+IF(ISERROR(D22),0,D22)+IF(ISERROR(D42),0,D42)+IF(ISERROR(#REF!),0,#REF!)+IF(ISERROR(#REF!),0,#REF!)+IF(ISERROR(D35),0,D35)+IF(ISERROR(#REF!),0,#REF!)+IF(ISERROR(#REF!),0,#REF!)+IF(ISERROR(#REF!),0,#REF!)+IF(ISERROR(D40),0,D40)+IF(ISERROR(D45),0,D45)+IF(ISERROR(#REF!),0,#REF!)</f>
        <v>12433.05151801373</v>
      </c>
      <c r="E47" s="6">
        <f>+IF(ISERROR(E22),0,E22)+IF(ISERROR(E42),0,E42)+IF(ISERROR(#REF!),0,#REF!)+IF(ISERROR(#REF!),0,#REF!)+IF(ISERROR(E35),0,E35)+IF(ISERROR(#REF!),0,#REF!)+IF(ISERROR(#REF!),0,#REF!)+IF(ISERROR(#REF!),0,#REF!)+IF(ISERROR(E40),0,E40)+IF(ISERROR(E45),0,E45)+IF(ISERROR(#REF!),0,#REF!)</f>
        <v>97.391995097153767</v>
      </c>
      <c r="F47" s="6">
        <f>+IF(ISERROR(F22),0,F22)+IF(ISERROR(F42),0,F42)+IF(ISERROR(#REF!),0,#REF!)+IF(ISERROR(#REF!),0,#REF!)+IF(ISERROR(F35),0,F35)+IF(ISERROR(#REF!),0,#REF!)+IF(ISERROR(#REF!),0,#REF!)+IF(ISERROR(#REF!),0,#REF!)+IF(ISERROR(#REF!),0,#REF!)+F40</f>
        <v>0</v>
      </c>
      <c r="G47" s="8"/>
      <c r="H47" s="9"/>
    </row>
    <row r="48" spans="1:8" s="10" customFormat="1" ht="14.25" x14ac:dyDescent="0.3">
      <c r="A48" s="3"/>
      <c r="B48" s="4"/>
      <c r="C48" s="16"/>
      <c r="D48" s="6"/>
      <c r="E48" s="6"/>
      <c r="F48" s="22"/>
      <c r="G48" s="23"/>
      <c r="H48" s="24"/>
    </row>
    <row r="49" spans="1:8" s="10" customFormat="1" ht="14.25" x14ac:dyDescent="0.3">
      <c r="A49" s="3" t="s">
        <v>64</v>
      </c>
      <c r="B49" s="4"/>
      <c r="C49" s="16"/>
      <c r="D49" s="6">
        <f>+D51-D47</f>
        <v>332.93762268627142</v>
      </c>
      <c r="E49" s="6">
        <f>D49/$D$51*100</f>
        <v>2.6080049028462149</v>
      </c>
      <c r="F49" s="22"/>
      <c r="G49" s="23"/>
      <c r="H49" s="24"/>
    </row>
    <row r="50" spans="1:8" s="10" customFormat="1" ht="14.25" x14ac:dyDescent="0.3">
      <c r="A50" s="3"/>
      <c r="B50" s="4"/>
      <c r="C50" s="16"/>
      <c r="D50" s="11"/>
      <c r="E50" s="11"/>
      <c r="F50" s="22"/>
      <c r="G50" s="23"/>
      <c r="H50" s="24"/>
    </row>
    <row r="51" spans="1:8" s="10" customFormat="1" ht="14.25" x14ac:dyDescent="0.3">
      <c r="A51" s="3" t="s">
        <v>65</v>
      </c>
      <c r="B51" s="4"/>
      <c r="C51" s="16"/>
      <c r="D51" s="6">
        <v>12765.989140700001</v>
      </c>
      <c r="E51" s="6">
        <f>+E47+E49</f>
        <v>99.999999999999986</v>
      </c>
      <c r="F51" s="22"/>
      <c r="G51" s="23"/>
      <c r="H51" s="24"/>
    </row>
    <row r="52" spans="1:8" s="10" customFormat="1" ht="14.25" x14ac:dyDescent="0.3">
      <c r="A52" s="25"/>
      <c r="B52" s="26"/>
      <c r="C52" s="27"/>
      <c r="D52" s="28"/>
      <c r="E52" s="28"/>
      <c r="F52" s="22"/>
      <c r="G52" s="23"/>
      <c r="H52" s="24"/>
    </row>
    <row r="53" spans="1:8" s="10" customFormat="1" ht="13.5" x14ac:dyDescent="0.2">
      <c r="A53" s="29" t="s">
        <v>66</v>
      </c>
      <c r="B53" s="30"/>
      <c r="C53" s="31"/>
      <c r="D53" s="32"/>
      <c r="E53" s="32"/>
      <c r="F53" s="33"/>
      <c r="G53" s="33"/>
      <c r="H53" s="34"/>
    </row>
    <row r="54" spans="1:8" s="10" customFormat="1" ht="13.5" x14ac:dyDescent="0.2">
      <c r="A54" s="29"/>
      <c r="B54" s="30"/>
      <c r="C54" s="31"/>
      <c r="D54" s="32"/>
      <c r="E54" s="32"/>
      <c r="F54" s="33"/>
      <c r="G54" s="33"/>
      <c r="H54" s="34"/>
    </row>
    <row r="55" spans="1:8" s="10" customFormat="1" ht="14.25" x14ac:dyDescent="0.3">
      <c r="A55" s="35" t="s">
        <v>67</v>
      </c>
      <c r="B55" s="30"/>
      <c r="C55" s="31"/>
      <c r="D55" s="32"/>
      <c r="E55" s="32"/>
      <c r="F55" s="33"/>
      <c r="G55" s="33"/>
      <c r="H55" s="34"/>
    </row>
    <row r="56" spans="1:8" ht="13.5" x14ac:dyDescent="0.2">
      <c r="A56" s="36"/>
      <c r="B56" s="37"/>
      <c r="C56" s="38"/>
      <c r="D56" s="10"/>
      <c r="E56" s="32"/>
      <c r="F56" s="33"/>
      <c r="G56" s="33"/>
      <c r="H56" s="34"/>
    </row>
    <row r="57" spans="1:8" ht="13.5" x14ac:dyDescent="0.2">
      <c r="A57" s="94" t="s">
        <v>68</v>
      </c>
      <c r="B57" s="94"/>
      <c r="C57" s="94"/>
      <c r="D57" s="94"/>
      <c r="E57" s="94"/>
      <c r="F57" s="94"/>
      <c r="G57" s="94"/>
      <c r="H57" s="94"/>
    </row>
    <row r="58" spans="1:8" ht="24.75" customHeight="1" x14ac:dyDescent="0.2">
      <c r="A58" s="94" t="s">
        <v>69</v>
      </c>
      <c r="B58" s="94"/>
      <c r="C58" s="94"/>
      <c r="D58" s="94"/>
      <c r="E58" s="94"/>
      <c r="F58" s="94"/>
      <c r="G58" s="81"/>
      <c r="H58" s="81"/>
    </row>
    <row r="59" spans="1:8" ht="13.5" x14ac:dyDescent="0.2">
      <c r="A59" s="95" t="s">
        <v>70</v>
      </c>
      <c r="B59" s="95"/>
      <c r="C59" s="95"/>
      <c r="D59" s="95"/>
      <c r="E59" s="95"/>
      <c r="F59" s="95"/>
      <c r="G59" s="95"/>
      <c r="H59" s="95"/>
    </row>
    <row r="60" spans="1:8" ht="66" customHeight="1" x14ac:dyDescent="0.2">
      <c r="A60" s="80" t="s">
        <v>71</v>
      </c>
      <c r="B60" s="80"/>
      <c r="C60" s="80"/>
      <c r="D60" s="80"/>
      <c r="E60" s="80"/>
      <c r="F60" s="80"/>
      <c r="G60" s="81"/>
      <c r="H60" s="81"/>
    </row>
    <row r="61" spans="1:8" ht="23.25" customHeight="1" x14ac:dyDescent="0.3">
      <c r="A61" s="39" t="s">
        <v>72</v>
      </c>
      <c r="B61" s="40"/>
      <c r="C61" s="41"/>
      <c r="D61" s="24"/>
      <c r="E61" s="23"/>
      <c r="F61" s="23"/>
      <c r="G61" s="24"/>
      <c r="H61" s="24"/>
    </row>
    <row r="62" spans="1:8" ht="14.25" x14ac:dyDescent="0.3">
      <c r="A62" s="42" t="s">
        <v>73</v>
      </c>
      <c r="B62" s="43"/>
      <c r="C62" s="43"/>
      <c r="D62" s="24"/>
      <c r="E62" s="23"/>
      <c r="F62" s="23"/>
      <c r="G62" s="24"/>
      <c r="H62" s="24"/>
    </row>
    <row r="63" spans="1:8" ht="14.25" x14ac:dyDescent="0.3">
      <c r="A63" s="42" t="s">
        <v>74</v>
      </c>
      <c r="B63" s="42"/>
      <c r="C63" s="42"/>
      <c r="D63" s="24"/>
      <c r="E63" s="23"/>
      <c r="F63" s="23"/>
      <c r="G63" s="24"/>
      <c r="H63" s="24"/>
    </row>
    <row r="64" spans="1:8" ht="14.25" x14ac:dyDescent="0.3">
      <c r="A64" s="35" t="s">
        <v>75</v>
      </c>
      <c r="B64" s="43"/>
      <c r="C64" s="43"/>
      <c r="D64" s="24"/>
      <c r="E64" s="23"/>
      <c r="F64" s="23"/>
      <c r="G64" s="24"/>
      <c r="H64" s="24"/>
    </row>
    <row r="65" spans="1:8" ht="14.25" x14ac:dyDescent="0.3">
      <c r="A65" s="44"/>
      <c r="B65" s="44"/>
      <c r="C65" s="44"/>
      <c r="D65" s="44"/>
      <c r="E65" s="23"/>
      <c r="F65" s="23"/>
      <c r="G65" s="24"/>
      <c r="H65" s="24"/>
    </row>
    <row r="66" spans="1:8" ht="14.25" x14ac:dyDescent="0.3">
      <c r="A66" s="45" t="s">
        <v>76</v>
      </c>
      <c r="B66" s="82" t="s">
        <v>77</v>
      </c>
      <c r="C66" s="83"/>
      <c r="D66" s="83"/>
      <c r="E66" s="46"/>
      <c r="F66" s="23"/>
      <c r="G66" s="24"/>
      <c r="H66" s="24"/>
    </row>
    <row r="67" spans="1:8" ht="14.25" x14ac:dyDescent="0.3">
      <c r="A67" s="47"/>
      <c r="B67" s="48"/>
      <c r="C67" s="49"/>
      <c r="D67" s="24"/>
      <c r="E67" s="23"/>
      <c r="F67" s="23"/>
      <c r="G67" s="24"/>
      <c r="H67" s="24"/>
    </row>
    <row r="68" spans="1:8" ht="14.25" x14ac:dyDescent="0.3">
      <c r="A68" s="47"/>
      <c r="B68" s="48"/>
      <c r="C68" s="49"/>
      <c r="D68" s="24"/>
      <c r="E68" s="23"/>
      <c r="F68" s="23"/>
      <c r="G68" s="24"/>
      <c r="H68" s="24"/>
    </row>
    <row r="69" spans="1:8" ht="14.25" x14ac:dyDescent="0.3">
      <c r="A69" s="47"/>
      <c r="B69" s="48"/>
      <c r="C69" s="49"/>
      <c r="D69" s="24"/>
      <c r="E69" s="23"/>
      <c r="F69" s="23"/>
      <c r="G69" s="24"/>
      <c r="H69" s="24"/>
    </row>
    <row r="70" spans="1:8" ht="14.25" x14ac:dyDescent="0.3">
      <c r="A70" s="47"/>
      <c r="B70" s="48"/>
      <c r="C70" s="49"/>
      <c r="D70" s="24"/>
      <c r="E70" s="23"/>
      <c r="F70" s="23"/>
      <c r="G70" s="24"/>
      <c r="H70" s="24"/>
    </row>
    <row r="71" spans="1:8" ht="14.25" x14ac:dyDescent="0.3">
      <c r="A71" s="47"/>
      <c r="B71" s="48"/>
      <c r="C71" s="49"/>
      <c r="D71" s="24"/>
      <c r="E71" s="23"/>
      <c r="F71" s="23"/>
      <c r="G71" s="24"/>
      <c r="H71" s="24"/>
    </row>
    <row r="72" spans="1:8" ht="14.25" x14ac:dyDescent="0.3">
      <c r="A72" s="47"/>
      <c r="B72" s="48"/>
      <c r="C72" s="49"/>
      <c r="D72" s="24"/>
      <c r="E72" s="23"/>
      <c r="F72" s="23"/>
      <c r="G72" s="24"/>
      <c r="H72" s="24"/>
    </row>
    <row r="73" spans="1:8" ht="14.25" x14ac:dyDescent="0.3">
      <c r="A73" s="47"/>
      <c r="B73" s="48"/>
      <c r="C73" s="49"/>
      <c r="D73" s="24"/>
      <c r="E73" s="23"/>
      <c r="F73" s="23"/>
      <c r="G73" s="24"/>
      <c r="H73" s="24"/>
    </row>
    <row r="74" spans="1:8" ht="14.25" x14ac:dyDescent="0.3">
      <c r="A74" s="35" t="s">
        <v>98</v>
      </c>
      <c r="B74" s="48"/>
      <c r="C74" s="49"/>
      <c r="D74" s="24"/>
      <c r="E74" s="23"/>
      <c r="F74" s="23"/>
      <c r="G74" s="24"/>
      <c r="H74" s="24"/>
    </row>
    <row r="75" spans="1:8" ht="15" thickBot="1" x14ac:dyDescent="0.35">
      <c r="A75" s="50"/>
      <c r="B75" s="51"/>
      <c r="C75" s="52"/>
      <c r="D75" s="53"/>
      <c r="E75" s="23"/>
      <c r="F75" s="23"/>
      <c r="G75" s="24"/>
      <c r="H75" s="24"/>
    </row>
    <row r="76" spans="1:8" ht="15" thickBot="1" x14ac:dyDescent="0.35">
      <c r="A76" s="84" t="s">
        <v>78</v>
      </c>
      <c r="B76" s="85"/>
      <c r="C76" s="85"/>
      <c r="D76" s="86"/>
      <c r="E76" s="23"/>
      <c r="F76" s="23"/>
      <c r="G76" s="24"/>
      <c r="H76" s="24"/>
    </row>
    <row r="77" spans="1:8" ht="15" thickBot="1" x14ac:dyDescent="0.35">
      <c r="A77" s="54" t="s">
        <v>79</v>
      </c>
      <c r="B77" s="87" t="s">
        <v>80</v>
      </c>
      <c r="C77" s="89" t="s">
        <v>81</v>
      </c>
      <c r="D77" s="87" t="s">
        <v>82</v>
      </c>
      <c r="E77" s="23"/>
      <c r="F77" s="23"/>
      <c r="G77" s="24"/>
      <c r="H77" s="24"/>
    </row>
    <row r="78" spans="1:8" ht="15" thickBot="1" x14ac:dyDescent="0.35">
      <c r="A78" s="54" t="s">
        <v>83</v>
      </c>
      <c r="B78" s="88"/>
      <c r="C78" s="90"/>
      <c r="D78" s="88"/>
      <c r="E78" s="23"/>
      <c r="F78" s="23"/>
      <c r="G78" s="24"/>
      <c r="H78" s="24"/>
    </row>
    <row r="79" spans="1:8" ht="15" thickBot="1" x14ac:dyDescent="0.35">
      <c r="A79" s="55" t="s">
        <v>84</v>
      </c>
      <c r="B79" s="56"/>
      <c r="C79" s="56"/>
      <c r="D79" s="56"/>
      <c r="E79" s="23"/>
      <c r="F79" s="23"/>
      <c r="G79" s="24"/>
      <c r="H79" s="24"/>
    </row>
    <row r="80" spans="1:8" ht="15" thickBot="1" x14ac:dyDescent="0.35">
      <c r="A80" s="55" t="s">
        <v>85</v>
      </c>
      <c r="B80" s="56"/>
      <c r="C80" s="57" t="s">
        <v>86</v>
      </c>
      <c r="D80" s="56"/>
      <c r="E80" s="23"/>
      <c r="F80" s="23"/>
      <c r="G80" s="24"/>
      <c r="H80" s="24"/>
    </row>
    <row r="81" spans="1:8" ht="15" thickBot="1" x14ac:dyDescent="0.35">
      <c r="A81" s="55" t="s">
        <v>87</v>
      </c>
      <c r="B81" s="56"/>
      <c r="C81" s="57"/>
      <c r="D81" s="56"/>
      <c r="E81" s="23"/>
      <c r="F81" s="23"/>
      <c r="G81" s="24"/>
      <c r="H81" s="24"/>
    </row>
    <row r="82" spans="1:8" ht="14.25" x14ac:dyDescent="0.3">
      <c r="A82" s="35"/>
      <c r="B82" s="58"/>
      <c r="C82" s="59"/>
      <c r="D82" s="58"/>
      <c r="E82" s="23"/>
      <c r="F82" s="23"/>
      <c r="G82" s="24"/>
      <c r="H82" s="24"/>
    </row>
    <row r="83" spans="1:8" ht="14.25" x14ac:dyDescent="0.3">
      <c r="A83" s="78" t="s">
        <v>88</v>
      </c>
      <c r="B83" s="79"/>
      <c r="C83" s="24"/>
      <c r="D83" s="24"/>
      <c r="E83" s="24"/>
      <c r="F83" s="24"/>
      <c r="G83" s="24"/>
      <c r="H83" s="24"/>
    </row>
    <row r="84" spans="1:8" ht="27" x14ac:dyDescent="0.3">
      <c r="A84" s="60" t="s">
        <v>89</v>
      </c>
      <c r="B84" s="61" t="s">
        <v>90</v>
      </c>
      <c r="C84" s="24"/>
      <c r="D84" s="24"/>
      <c r="E84" s="24"/>
      <c r="F84" s="24"/>
      <c r="G84" s="24"/>
      <c r="H84" s="24"/>
    </row>
    <row r="85" spans="1:8" ht="14.25" x14ac:dyDescent="0.3">
      <c r="A85" s="62" t="s">
        <v>91</v>
      </c>
      <c r="B85" s="63"/>
      <c r="C85" s="24"/>
      <c r="D85" s="24"/>
      <c r="E85" s="24"/>
      <c r="F85" s="24"/>
      <c r="G85" s="24"/>
      <c r="H85" s="24"/>
    </row>
    <row r="86" spans="1:8" ht="14.25" x14ac:dyDescent="0.3">
      <c r="A86" s="62"/>
      <c r="B86" s="63" t="s">
        <v>63</v>
      </c>
      <c r="C86" s="24"/>
      <c r="D86" s="24"/>
      <c r="E86" s="24"/>
      <c r="F86" s="24"/>
      <c r="G86" s="24"/>
      <c r="H86" s="24"/>
    </row>
    <row r="87" spans="1:8" ht="14.25" x14ac:dyDescent="0.3">
      <c r="A87" s="62" t="s">
        <v>92</v>
      </c>
      <c r="B87" s="64">
        <v>7.5494752239104623E-2</v>
      </c>
      <c r="C87" s="24"/>
      <c r="D87" s="24"/>
      <c r="E87" s="24"/>
      <c r="F87" s="24"/>
      <c r="G87" s="24"/>
      <c r="H87" s="24"/>
    </row>
    <row r="88" spans="1:8" ht="14.25" x14ac:dyDescent="0.3">
      <c r="A88" s="62" t="s">
        <v>63</v>
      </c>
      <c r="B88" s="65"/>
      <c r="C88" s="24"/>
      <c r="D88" s="24"/>
      <c r="E88" s="24"/>
      <c r="F88" s="24"/>
      <c r="G88" s="24"/>
      <c r="H88" s="24"/>
    </row>
    <row r="89" spans="1:8" ht="14.25" x14ac:dyDescent="0.3">
      <c r="A89" s="62" t="s">
        <v>93</v>
      </c>
      <c r="B89" s="66">
        <v>2.5754999999999999</v>
      </c>
      <c r="C89" s="67"/>
      <c r="D89" s="24"/>
      <c r="E89" s="24"/>
      <c r="F89" s="24"/>
      <c r="G89" s="24"/>
      <c r="H89" s="24"/>
    </row>
    <row r="90" spans="1:8" ht="14.25" x14ac:dyDescent="0.3">
      <c r="A90" s="62" t="s">
        <v>94</v>
      </c>
      <c r="B90" s="68">
        <v>2.9470999999999998</v>
      </c>
      <c r="C90" s="67"/>
      <c r="D90" s="24"/>
      <c r="E90" s="24"/>
      <c r="F90" s="24"/>
      <c r="G90" s="24"/>
      <c r="H90" s="24"/>
    </row>
    <row r="91" spans="1:8" ht="14.25" x14ac:dyDescent="0.3">
      <c r="A91" s="62" t="s">
        <v>63</v>
      </c>
      <c r="B91" s="19" t="s">
        <v>63</v>
      </c>
      <c r="C91" s="67"/>
      <c r="D91" s="24"/>
      <c r="E91" s="24"/>
      <c r="F91" s="24"/>
      <c r="G91" s="24"/>
      <c r="H91" s="24"/>
    </row>
    <row r="92" spans="1:8" ht="14.25" x14ac:dyDescent="0.3">
      <c r="A92" s="62" t="s">
        <v>95</v>
      </c>
      <c r="B92" s="69" t="s">
        <v>96</v>
      </c>
      <c r="C92" s="67"/>
      <c r="D92" s="24"/>
      <c r="E92" s="24"/>
      <c r="F92" s="24"/>
      <c r="G92" s="24"/>
      <c r="H92" s="24"/>
    </row>
    <row r="93" spans="1:8" ht="14.25" x14ac:dyDescent="0.3">
      <c r="A93" s="70" t="s">
        <v>97</v>
      </c>
      <c r="B93" s="71"/>
      <c r="C93" s="67"/>
      <c r="D93" s="24"/>
      <c r="E93" s="24"/>
      <c r="F93" s="24"/>
      <c r="G93" s="24"/>
      <c r="H93" s="24"/>
    </row>
  </sheetData>
  <mergeCells count="13">
    <mergeCell ref="A59:H59"/>
    <mergeCell ref="A1:H1"/>
    <mergeCell ref="A2:H2"/>
    <mergeCell ref="A3:H3"/>
    <mergeCell ref="A57:H57"/>
    <mergeCell ref="A58:H58"/>
    <mergeCell ref="A83:B83"/>
    <mergeCell ref="A60:H60"/>
    <mergeCell ref="B66:D66"/>
    <mergeCell ref="A76:D76"/>
    <mergeCell ref="B77:B78"/>
    <mergeCell ref="C77:C78"/>
    <mergeCell ref="D77:D7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2024-04-01T14:08:14Z</dcterms:created>
  <dcterms:modified xsi:type="dcterms:W3CDTF">2024-04-03T12:46:25Z</dcterms:modified>
</cp:coreProperties>
</file>