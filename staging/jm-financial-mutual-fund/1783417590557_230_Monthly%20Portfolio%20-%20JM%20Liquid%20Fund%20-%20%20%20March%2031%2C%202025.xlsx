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Liquid Fund" sheetId="1" r:id="rId1"/>
  </sheets>
  <definedNames>
    <definedName name="_xlnm._FilterDatabase" localSheetId="0" hidden="1">'JM Liquid Fund'!$A$4:$H$89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Fund'!$A$1:$E$64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9" i="1" l="1"/>
  <c r="I93" i="1" l="1"/>
  <c r="D75" i="1"/>
  <c r="E75" i="1" l="1"/>
  <c r="E59" i="1"/>
  <c r="E35" i="1"/>
  <c r="D35" i="1"/>
  <c r="E80" i="1"/>
  <c r="D80" i="1"/>
  <c r="E88" i="1"/>
  <c r="D88" i="1"/>
  <c r="E84" i="1"/>
  <c r="D84" i="1"/>
  <c r="E9" i="1"/>
  <c r="E23" i="1" s="1"/>
  <c r="D9" i="1"/>
  <c r="D23" i="1" s="1"/>
  <c r="D76" i="1" l="1"/>
  <c r="D89" i="1" s="1"/>
  <c r="E76" i="1"/>
  <c r="E89" i="1" s="1"/>
</calcChain>
</file>

<file path=xl/sharedStrings.xml><?xml version="1.0" encoding="utf-8"?>
<sst xmlns="http://schemas.openxmlformats.org/spreadsheetml/2006/main" count="260" uniqueCount="195">
  <si>
    <t>JM Financial Mutual Fund</t>
  </si>
  <si>
    <t>JM Liquid Fund (An Open-Ended Liquid Scheme A relatively low interest rate risk and moderate credit risk.)</t>
  </si>
  <si>
    <t>Name of the Instruments</t>
  </si>
  <si>
    <t>Industry/Rating</t>
  </si>
  <si>
    <t>Market Value (Rs. In Lakhs)</t>
  </si>
  <si>
    <t>% age to NAV</t>
  </si>
  <si>
    <t>ISIN</t>
  </si>
  <si>
    <t>Yield %</t>
  </si>
  <si>
    <t>^YTC (AT1/Tier 2 bonds)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</si>
  <si>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</si>
  <si>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</si>
  <si>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</si>
  <si>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</si>
  <si>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</si>
  <si>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</si>
  <si>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</si>
  <si>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</si>
  <si>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</si>
  <si>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</si>
  <si>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</si>
  <si>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The risk of the scheme is Low to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</si>
  <si>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</si>
  <si>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</si>
  <si>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</si>
  <si>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</si>
  <si>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</si>
  <si>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</si>
  <si>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</si>
  <si>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</si>
  <si>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</si>
  <si>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</si>
  <si>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</si>
  <si>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</si>
  <si>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</si>
  <si>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</si>
  <si>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</si>
  <si>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</si>
  <si>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</si>
  <si>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Macaulay Duration ( Years )</t>
  </si>
  <si>
    <t>Residual Maturity  ( Years )</t>
  </si>
  <si>
    <t xml:space="preserve">As on (Date) </t>
  </si>
  <si>
    <t xml:space="preserve">* in case of semi annual YTM,  it will be annualised </t>
  </si>
  <si>
    <t>DEBT INSTRUMENTS</t>
  </si>
  <si>
    <t>(a) Listed / awaiting listing on Stock Exchanges</t>
  </si>
  <si>
    <t>Non Convertible Debentures / Bonds</t>
  </si>
  <si>
    <t>Sub Total</t>
  </si>
  <si>
    <t>(b) Privately placed / Unlisted</t>
  </si>
  <si>
    <t>NIL</t>
  </si>
  <si>
    <t>(c) Securitized Debt Instruments</t>
  </si>
  <si>
    <t>(d) Government Securities / SDL</t>
  </si>
  <si>
    <t>SOVEREIGN</t>
  </si>
  <si>
    <t>Total</t>
  </si>
  <si>
    <t>MONEY MARKET INSTRUMENTS</t>
  </si>
  <si>
    <t>Treasury Bills</t>
  </si>
  <si>
    <t>91 Days Treasury Bill 24-Apr-2025</t>
  </si>
  <si>
    <t>IN002024X425</t>
  </si>
  <si>
    <t>91 Days Treasury Bill 17-Apr-2025</t>
  </si>
  <si>
    <t>IN002024X417</t>
  </si>
  <si>
    <t>364 Days Treasury Bill  11-Apr-2025</t>
  </si>
  <si>
    <t>IN002024Z024</t>
  </si>
  <si>
    <t>Commercial Papers</t>
  </si>
  <si>
    <t>NABARD 07-MAY-2025**</t>
  </si>
  <si>
    <t>CRISIL A1+</t>
  </si>
  <si>
    <t>INE261F14MZ4</t>
  </si>
  <si>
    <t>CARE A1+</t>
  </si>
  <si>
    <t>ICICI Securities Limited 06-MAY-2025**</t>
  </si>
  <si>
    <t>INE763G14WV5</t>
  </si>
  <si>
    <t>Birla Group Holdings Private Ltd 05-MAY-2025**</t>
  </si>
  <si>
    <t>INE09OL14GJ9</t>
  </si>
  <si>
    <t>ICICI Home Finance Company Limited 02-MAY-2025**</t>
  </si>
  <si>
    <t>INE071G14GK9</t>
  </si>
  <si>
    <t>360 ONE WAM LIMITED 29-APR-2025**</t>
  </si>
  <si>
    <t>INE466L14EC3</t>
  </si>
  <si>
    <t>ICRA A1+</t>
  </si>
  <si>
    <t>Certificate of Deposits</t>
  </si>
  <si>
    <t>IND A1+</t>
  </si>
  <si>
    <t>Alternative Investment Fund Units</t>
  </si>
  <si>
    <t>INF0RQ622028</t>
  </si>
  <si>
    <t>TREPS / Reverse Repo Investments / Corporate Debt Repo</t>
  </si>
  <si>
    <t>CCIL</t>
  </si>
  <si>
    <t>Cash &amp; Cash Equivalents</t>
  </si>
  <si>
    <t>Net Receivable/Payable</t>
  </si>
  <si>
    <t>Grand Total</t>
  </si>
  <si>
    <t>TERM DEPOSITS</t>
  </si>
  <si>
    <t>Deposits (Maturity not exceeding 91 days)</t>
  </si>
  <si>
    <t>Deposits (Placed as F &amp; O margin)</t>
  </si>
  <si>
    <t>Corporate Debt Market Development Fund - Class A2 Units</t>
  </si>
  <si>
    <t>Quantity/Face Value</t>
  </si>
  <si>
    <t>7.15% SIDBI 02-JUN-2025**</t>
  </si>
  <si>
    <t>ICRA AAA</t>
  </si>
  <si>
    <t>INE556F08JY8</t>
  </si>
  <si>
    <t>7.21%</t>
  </si>
  <si>
    <t>91 Days Treasury Bill 30-May-2025</t>
  </si>
  <si>
    <t>91 Days Treasury Bill 26-Jun-2025</t>
  </si>
  <si>
    <t>182 Days Treasury Bill 05-Jun-2025</t>
  </si>
  <si>
    <t>91 Days Treasury Bill 19-Jun-2025</t>
  </si>
  <si>
    <t>182 Days Treasury Bill 19-Jun-2025</t>
  </si>
  <si>
    <t>IN002024X474</t>
  </si>
  <si>
    <t>IN002024X516</t>
  </si>
  <si>
    <t>IN002024Y340</t>
  </si>
  <si>
    <t>IN002024X508</t>
  </si>
  <si>
    <t>IN002024Y365</t>
  </si>
  <si>
    <t>6.27%</t>
  </si>
  <si>
    <t>6.37%</t>
  </si>
  <si>
    <t>6.35%</t>
  </si>
  <si>
    <t>6.29%</t>
  </si>
  <si>
    <t>6.42%</t>
  </si>
  <si>
    <t>6.28%</t>
  </si>
  <si>
    <t>6.38%</t>
  </si>
  <si>
    <t>6.32%</t>
  </si>
  <si>
    <t>Standard Chartered Capital Limited 26-MAY-2025**</t>
  </si>
  <si>
    <t>Tata Housing Development Company Ltd. 29-MAY-2025**</t>
  </si>
  <si>
    <t>Godrej Industries Ltd 02-JUN-2025**</t>
  </si>
  <si>
    <t>Piramal Capital &amp; Housing Finance Ltd 26-MAY-2025**</t>
  </si>
  <si>
    <t>NABARD 22-MAY-2025**</t>
  </si>
  <si>
    <t>PNB Housing Finance Limited 20-MAY-2025**</t>
  </si>
  <si>
    <t>Aditya Birla Housing Finance Limited 03-JUN-2025**</t>
  </si>
  <si>
    <t>Kotak Mahindra Investments Ltd. 20-JUN-2025**</t>
  </si>
  <si>
    <t>Aditya Birla Housing Finance Limited 20-JUN-2025**</t>
  </si>
  <si>
    <t>Kotak Securities Ltd. 16-JUN-2025**</t>
  </si>
  <si>
    <t>Bajaj Finance Limited 11-JUN-2025**</t>
  </si>
  <si>
    <t>ICICI Securities Limited 10-JUN-2025**</t>
  </si>
  <si>
    <t>NABARD 10-JUN-2025**</t>
  </si>
  <si>
    <t>Kotak Securities Ltd. 10-JUN-2025**</t>
  </si>
  <si>
    <t>SIDBI 10-JUN-2025**</t>
  </si>
  <si>
    <t>Reliance Retail Ventures Ltd 06-JUN-2025**</t>
  </si>
  <si>
    <t>NABARD 17-APR-2025</t>
  </si>
  <si>
    <t>INE403G14SX2</t>
  </si>
  <si>
    <t>INE582L14IC8</t>
  </si>
  <si>
    <t>INE233A140H0</t>
  </si>
  <si>
    <t>INE516Y14ID7</t>
  </si>
  <si>
    <t>INE261F14NB3</t>
  </si>
  <si>
    <t>INE572E14JR0</t>
  </si>
  <si>
    <t>INE831R14ER3</t>
  </si>
  <si>
    <t>INE975F14ZY4</t>
  </si>
  <si>
    <t>INE831R14ES1</t>
  </si>
  <si>
    <t>INE028E14QP2</t>
  </si>
  <si>
    <t>INE296A14ZZ3</t>
  </si>
  <si>
    <t>INE763G14WH4</t>
  </si>
  <si>
    <t>INE261F14NI8</t>
  </si>
  <si>
    <t>INE028E14QM9</t>
  </si>
  <si>
    <t>INE556F14KZ1</t>
  </si>
  <si>
    <t>INE929O14DE2</t>
  </si>
  <si>
    <t>INE261F14MS9</t>
  </si>
  <si>
    <t>7.45%</t>
  </si>
  <si>
    <t>7.27%</t>
  </si>
  <si>
    <t>7.85%</t>
  </si>
  <si>
    <t>7.1%</t>
  </si>
  <si>
    <t>7.19%</t>
  </si>
  <si>
    <t>7.36%</t>
  </si>
  <si>
    <t>7.53%</t>
  </si>
  <si>
    <t>7.95%</t>
  </si>
  <si>
    <t>7.11%</t>
  </si>
  <si>
    <t>7.14%</t>
  </si>
  <si>
    <t>7.33%</t>
  </si>
  <si>
    <t>7.38%</t>
  </si>
  <si>
    <t>7.31%</t>
  </si>
  <si>
    <t>7.37%</t>
  </si>
  <si>
    <t>7.09%</t>
  </si>
  <si>
    <t>7.05%</t>
  </si>
  <si>
    <t>7.13%</t>
  </si>
  <si>
    <t>7.25%</t>
  </si>
  <si>
    <t>FITCH A1+</t>
  </si>
  <si>
    <t>INE160A16RC2</t>
  </si>
  <si>
    <t>INE084A16DD2</t>
  </si>
  <si>
    <t>INE040A16GO4</t>
  </si>
  <si>
    <t>INE028A16GS0</t>
  </si>
  <si>
    <t>INE040A16GH8</t>
  </si>
  <si>
    <t>INE261F16876</t>
  </si>
  <si>
    <t>INE092T16XN2</t>
  </si>
  <si>
    <t>INE476A16B15</t>
  </si>
  <si>
    <t>INE160A16RL3</t>
  </si>
  <si>
    <t>INE040A16GK2</t>
  </si>
  <si>
    <t>INE238AD6843</t>
  </si>
  <si>
    <t>INE692A16JA5</t>
  </si>
  <si>
    <t>INE028A16GP6</t>
  </si>
  <si>
    <t>INE028A16HA6</t>
  </si>
  <si>
    <t>31.03.2025</t>
  </si>
  <si>
    <t>Note - Aggregate market value of investments by other scheme (s) of JM Financial Mutual Fund at the end of the period is Rs.1,355.89 Lakhs.</t>
  </si>
  <si>
    <t>HDFC Bank Limited 02-APR-2025</t>
  </si>
  <si>
    <t>Punjab National Bank 18-JUN-2025**</t>
  </si>
  <si>
    <t>Punjab National Bank 26-MAY-2025**</t>
  </si>
  <si>
    <t>HDFC Bank Limited 27-MAY-2025</t>
  </si>
  <si>
    <t>Canara Bank 09-JUN-2025**</t>
  </si>
  <si>
    <t>NABARD 20-JUN-2025**</t>
  </si>
  <si>
    <t>IDFC First Bank Limited 29-MAY-2025**</t>
  </si>
  <si>
    <t>Union Bank of India 05-JUN-2025**</t>
  </si>
  <si>
    <t>Axis Bank Limited 05-JUN-2025**</t>
  </si>
  <si>
    <t>HDFC Bank Limited 11-JUN-2025**</t>
  </si>
  <si>
    <t>Bank of India 12-JUN-2025**</t>
  </si>
  <si>
    <t>Bank of Baroda 23-MAY-2025**</t>
  </si>
  <si>
    <t>Bank of Baroda 09-JUN-2025**</t>
  </si>
  <si>
    <t>Bank of Baroda 05-MAY-2025**</t>
  </si>
  <si>
    <t>Note - Traded Securities (Debt) as on March 28, 2025</t>
  </si>
  <si>
    <t>Monthly Portfolio Statement for the period ended 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</si>
</sst>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_(* #,##0.000_);_(* \(#,##0.000\);_(* &quot;-&quot;??_);_(@_)"/>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xf numFmtId="0" fontId="6" fillId="0" borderId="0"/>
    <xf numFmtId="0" fontId="1" fillId="0" borderId="0"/>
  </cellStyleXfs>
  <cellXfs count="92">
    <xf numFmtId="0" fontId="0" fillId="0" borderId="0" xfId="0"/>
    <xf numFmtId="0" fontId="3" fillId="0" borderId="0" xfId="0"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Border="1" applyAlignment="1">
      <alignment wrapText="1"/>
    </xf>
    <xf numFmtId="0" fontId="4" fillId="0" borderId="3" xfId="0" applyFont="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10" fontId="4" fillId="0" borderId="3" xfId="1" applyNumberFormat="1" applyFont="1" applyFill="1" applyBorder="1" applyAlignment="1">
      <alignment horizontal="right"/>
    </xf>
    <xf numFmtId="0" fontId="5" fillId="0" borderId="3" xfId="0" applyFont="1" applyBorder="1" applyAlignment="1">
      <alignment horizontal="right"/>
    </xf>
    <xf numFmtId="166" fontId="5" fillId="0" borderId="3" xfId="0" applyNumberFormat="1" applyFont="1" applyBorder="1" applyAlignment="1">
      <alignment horizontal="right"/>
    </xf>
    <xf numFmtId="0" fontId="5" fillId="0" borderId="3" xfId="0"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3" applyFont="1" applyAlignment="1">
      <alignment wrapText="1"/>
    </xf>
    <xf numFmtId="0" fontId="4" fillId="0" borderId="0" xfId="3" applyFont="1" applyAlignment="1">
      <alignment horizontal="left" wrapText="1"/>
    </xf>
    <xf numFmtId="4" fontId="5" fillId="0" borderId="0" xfId="3" applyNumberFormat="1" applyFont="1" applyAlignment="1">
      <alignment horizontal="right"/>
    </xf>
    <xf numFmtId="4" fontId="5" fillId="0" borderId="0" xfId="3" applyNumberFormat="1" applyFont="1"/>
    <xf numFmtId="0" fontId="5" fillId="0" borderId="0" xfId="3" applyFont="1"/>
    <xf numFmtId="0" fontId="7" fillId="0" borderId="0" xfId="4" applyFont="1"/>
    <xf numFmtId="0" fontId="5" fillId="0" borderId="0" xfId="5" applyFont="1" applyAlignment="1">
      <alignment horizontal="left" vertical="top" wrapText="1"/>
    </xf>
    <xf numFmtId="0" fontId="5" fillId="0" borderId="0" xfId="3" applyFont="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Alignment="1">
      <alignment horizontal="right"/>
    </xf>
    <xf numFmtId="0" fontId="7" fillId="0" borderId="0" xfId="6" applyFont="1" applyAlignment="1">
      <alignment horizontal="left" vertical="center" wrapText="1"/>
    </xf>
    <xf numFmtId="0" fontId="9" fillId="0" borderId="0" xfId="7" applyFont="1"/>
    <xf numFmtId="0" fontId="10" fillId="0" borderId="0" xfId="3" applyFont="1" applyAlignment="1">
      <alignment horizontal="left" wrapText="1"/>
    </xf>
    <xf numFmtId="164" fontId="5" fillId="0" borderId="0" xfId="1" applyFont="1" applyFill="1" applyBorder="1" applyAlignment="1">
      <alignment horizontal="right"/>
    </xf>
    <xf numFmtId="0" fontId="7" fillId="0" borderId="0" xfId="7" applyFont="1"/>
    <xf numFmtId="0" fontId="7" fillId="0" borderId="0" xfId="8" applyFont="1"/>
    <xf numFmtId="0" fontId="9" fillId="0" borderId="0" xfId="4" applyFont="1" applyAlignment="1">
      <alignment horizontal="center"/>
    </xf>
    <xf numFmtId="0" fontId="4" fillId="0" borderId="0" xfId="3" applyFont="1" applyAlignment="1">
      <alignment horizontal="center"/>
    </xf>
    <xf numFmtId="0" fontId="4" fillId="0" borderId="0" xfId="3" applyFont="1" applyAlignment="1">
      <alignment horizontal="left"/>
    </xf>
    <xf numFmtId="0" fontId="7" fillId="0" borderId="0" xfId="3" applyFont="1"/>
    <xf numFmtId="165" fontId="5" fillId="0" borderId="0" xfId="1" applyNumberFormat="1" applyFont="1"/>
    <xf numFmtId="0" fontId="11" fillId="0" borderId="0" xfId="3" applyFont="1" applyAlignment="1">
      <alignment horizontal="center" wrapText="1"/>
    </xf>
    <xf numFmtId="164" fontId="5" fillId="0" borderId="0" xfId="1" applyFont="1" applyFill="1" applyBorder="1"/>
    <xf numFmtId="0" fontId="9" fillId="0" borderId="7" xfId="3" applyFont="1" applyBorder="1" applyAlignment="1">
      <alignment vertical="center" wrapText="1"/>
    </xf>
    <xf numFmtId="0" fontId="5" fillId="0" borderId="7" xfId="3" applyFont="1" applyBorder="1" applyAlignment="1">
      <alignment vertical="center" wrapText="1"/>
    </xf>
    <xf numFmtId="0" fontId="7" fillId="3" borderId="9" xfId="3" applyFont="1" applyFill="1" applyBorder="1" applyAlignment="1">
      <alignment horizontal="center" vertical="center" wrapText="1"/>
    </xf>
    <xf numFmtId="0" fontId="7" fillId="0" borderId="9" xfId="3" applyFont="1" applyBorder="1" applyAlignment="1">
      <alignment vertical="center" wrapText="1"/>
    </xf>
    <xf numFmtId="0" fontId="7" fillId="0" borderId="7" xfId="3" applyFont="1" applyBorder="1" applyAlignment="1">
      <alignment vertical="center" wrapText="1"/>
    </xf>
    <xf numFmtId="0" fontId="7" fillId="0" borderId="0" xfId="3" applyFont="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Border="1" applyAlignment="1">
      <alignment horizontal="center" wrapText="1"/>
    </xf>
    <xf numFmtId="166" fontId="5" fillId="0" borderId="3" xfId="3" applyNumberFormat="1" applyFont="1" applyBorder="1" applyAlignment="1">
      <alignment horizontal="center"/>
    </xf>
    <xf numFmtId="4" fontId="5" fillId="0" borderId="0" xfId="1" applyNumberFormat="1" applyFont="1"/>
    <xf numFmtId="0" fontId="5" fillId="0" borderId="11" xfId="3" applyFont="1" applyBorder="1" applyAlignment="1">
      <alignment horizontal="left" wrapText="1"/>
    </xf>
    <xf numFmtId="0" fontId="5" fillId="0" borderId="10"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3" xfId="0" applyFont="1" applyBorder="1" applyAlignment="1">
      <alignment wrapText="1"/>
    </xf>
    <xf numFmtId="0" fontId="5" fillId="0" borderId="3" xfId="0" applyFont="1" applyBorder="1" applyAlignment="1">
      <alignment horizontal="left" wrapText="1"/>
    </xf>
    <xf numFmtId="165" fontId="5" fillId="0" borderId="3" xfId="1" applyNumberFormat="1" applyFont="1" applyFill="1" applyBorder="1"/>
    <xf numFmtId="164" fontId="5" fillId="0" borderId="3" xfId="1" applyFont="1" applyFill="1" applyBorder="1" applyAlignment="1">
      <alignment horizontal="right"/>
    </xf>
    <xf numFmtId="10" fontId="5" fillId="0" borderId="3" xfId="1" applyNumberFormat="1" applyFont="1" applyFill="1" applyBorder="1" applyAlignment="1">
      <alignment horizontal="right"/>
    </xf>
    <xf numFmtId="167" fontId="5" fillId="0" borderId="3" xfId="1" applyNumberFormat="1" applyFont="1" applyFill="1" applyBorder="1"/>
    <xf numFmtId="165" fontId="4" fillId="0" borderId="3" xfId="1" applyNumberFormat="1" applyFont="1" applyFill="1" applyBorder="1" applyAlignment="1">
      <alignment horizontal="right"/>
    </xf>
    <xf numFmtId="4" fontId="5" fillId="0" borderId="3" xfId="9" applyNumberFormat="1" applyFont="1" applyFill="1" applyBorder="1" applyAlignment="1">
      <alignment wrapText="1"/>
    </xf>
    <xf numFmtId="10" fontId="5" fillId="0" borderId="3" xfId="0" applyNumberFormat="1" applyFont="1" applyBorder="1" applyAlignment="1">
      <alignment horizontal="center"/>
    </xf>
    <xf numFmtId="166" fontId="5" fillId="0" borderId="3" xfId="0" applyNumberFormat="1" applyFont="1" applyBorder="1" applyAlignment="1">
      <alignment horizontal="center"/>
    </xf>
    <xf numFmtId="4" fontId="3" fillId="0" borderId="0" xfId="0" applyNumberFormat="1" applyFont="1"/>
    <xf numFmtId="10" fontId="4" fillId="0" borderId="3" xfId="2" applyNumberFormat="1" applyFont="1" applyFill="1" applyBorder="1" applyAlignment="1">
      <alignment horizontal="right"/>
    </xf>
    <xf numFmtId="4" fontId="5" fillId="0" borderId="0" xfId="5" applyNumberFormat="1" applyFont="1" applyAlignment="1">
      <alignment horizontal="left" vertical="top" wrapText="1"/>
    </xf>
    <xf numFmtId="0" fontId="5" fillId="0" borderId="0" xfId="5" applyFont="1" applyAlignment="1">
      <alignment horizontal="left" vertical="top" wrapText="1"/>
    </xf>
    <xf numFmtId="0" fontId="7" fillId="0" borderId="0" xfId="4" applyFont="1" applyBorder="1"/>
    <xf numFmtId="0" fontId="5" fillId="0" borderId="2" xfId="3" applyFont="1" applyBorder="1" applyAlignment="1">
      <alignment horizontal="center" wrapText="1"/>
    </xf>
    <xf numFmtId="0" fontId="5" fillId="0" borderId="10" xfId="3" applyFont="1" applyBorder="1" applyAlignment="1">
      <alignment horizontal="center" wrapText="1"/>
    </xf>
    <xf numFmtId="0" fontId="7" fillId="0" borderId="0" xfId="6" applyFont="1" applyAlignment="1">
      <alignment horizontal="left" vertical="top" wrapText="1"/>
    </xf>
    <xf numFmtId="0" fontId="8" fillId="0" borderId="0" xfId="6" applyFont="1" applyAlignment="1">
      <alignment horizontal="left" vertical="top" wrapText="1"/>
    </xf>
    <xf numFmtId="0" fontId="4" fillId="0" borderId="0" xfId="3" applyFont="1" applyAlignment="1">
      <alignment horizontal="center"/>
    </xf>
    <xf numFmtId="0" fontId="11" fillId="0" borderId="0" xfId="3" applyFont="1" applyAlignment="1">
      <alignment horizont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horizontal="left" vertical="top" wrapText="1"/>
    </xf>
    <xf numFmtId="0" fontId="9" fillId="0" borderId="7" xfId="3" applyFont="1" applyBorder="1" applyAlignment="1">
      <alignment horizontal="left" vertical="top" wrapText="1"/>
    </xf>
    <xf numFmtId="0" fontId="5" fillId="0" borderId="0" xfId="5" applyFont="1" applyAlignment="1">
      <alignment horizontal="left" vertical="top" wrapText="1"/>
    </xf>
    <xf numFmtId="0" fontId="2" fillId="2" borderId="1" xfId="3" applyFont="1" applyFill="1" applyBorder="1" applyAlignment="1">
      <alignment horizontal="center" vertical="center"/>
    </xf>
    <xf numFmtId="0" fontId="2" fillId="2" borderId="2" xfId="3" applyFont="1" applyFill="1" applyBorder="1" applyAlignment="1">
      <alignment horizontal="center" vertical="top" wrapText="1"/>
    </xf>
    <xf numFmtId="0" fontId="2" fillId="2" borderId="2" xfId="3" applyFont="1" applyFill="1" applyBorder="1" applyAlignment="1">
      <alignment horizontal="center" vertical="center" wrapText="1"/>
    </xf>
  </cellXfs>
  <cellStyles count="10">
    <cellStyle name="Comma" xfId="1" builtinId="3"/>
    <cellStyle name="Normal" xfId="0" builtinId="0"/>
    <cellStyle name="Normal 2 2 2" xfId="3"/>
    <cellStyle name="Normal 2 2_Template Portfolio Disclosure -31.01 2025" xfId="9"/>
    <cellStyle name="Normal 2 3 2" xfId="5"/>
    <cellStyle name="Normal 4_IF" xfId="4"/>
    <cellStyle name="Normal 4_LD" xfId="6"/>
    <cellStyle name="Normal 4_LF" xfId="7"/>
    <cellStyle name="Normal 4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112</xdr:row>
      <xdr:rowOff>104775</xdr:rowOff>
    </xdr:from>
    <xdr:to>
      <xdr:col>0</xdr:col>
      <xdr:colOff>3124200</xdr:colOff>
      <xdr:row>115</xdr:row>
      <xdr:rowOff>0</xdr:rowOff>
    </xdr:to>
    <xdr:sp macro="" textlink="">
      <xdr:nvSpPr>
        <xdr:cNvPr id="2" name="TextBox 1">
          <a:extLst>
            <a:ext uri="{FF2B5EF4-FFF2-40B4-BE49-F238E27FC236}">
              <a16:creationId xmlns:a16="http://schemas.microsoft.com/office/drawing/2014/main" id="{60DA4C9A-FB28-4564-A214-955439FA33C6}"/>
            </a:ext>
          </a:extLst>
        </xdr:cNvPr>
        <xdr:cNvSpPr txBox="1"/>
      </xdr:nvSpPr>
      <xdr:spPr>
        <a:xfrm>
          <a:off x="476250" y="193325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112</xdr:row>
      <xdr:rowOff>104775</xdr:rowOff>
    </xdr:from>
    <xdr:to>
      <xdr:col>3</xdr:col>
      <xdr:colOff>476250</xdr:colOff>
      <xdr:row>115</xdr:row>
      <xdr:rowOff>0</xdr:rowOff>
    </xdr:to>
    <xdr:sp macro="" textlink="">
      <xdr:nvSpPr>
        <xdr:cNvPr id="3" name="TextBox 2">
          <a:extLst>
            <a:ext uri="{FF2B5EF4-FFF2-40B4-BE49-F238E27FC236}">
              <a16:creationId xmlns:a16="http://schemas.microsoft.com/office/drawing/2014/main" id="{CCB1A9B1-D515-49B5-9B1C-4A85D9F64BE1}"/>
            </a:ext>
          </a:extLst>
        </xdr:cNvPr>
        <xdr:cNvSpPr txBox="1"/>
      </xdr:nvSpPr>
      <xdr:spPr>
        <a:xfrm>
          <a:off x="4064000" y="19332575"/>
          <a:ext cx="27051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638175</xdr:colOff>
      <xdr:row>107</xdr:row>
      <xdr:rowOff>85725</xdr:rowOff>
    </xdr:from>
    <xdr:to>
      <xdr:col>0</xdr:col>
      <xdr:colOff>3381375</xdr:colOff>
      <xdr:row>116</xdr:row>
      <xdr:rowOff>161925</xdr:rowOff>
    </xdr:to>
    <xdr:pic>
      <xdr:nvPicPr>
        <xdr:cNvPr id="4" name="Picture 7">
          <a:extLst>
            <a:ext uri="{FF2B5EF4-FFF2-40B4-BE49-F238E27FC236}">
              <a16:creationId xmlns:a16="http://schemas.microsoft.com/office/drawing/2014/main" id="{EF1A89A7-797D-43E3-85B3-68E977EB22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8175" y="18488025"/>
          <a:ext cx="274320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276225</xdr:colOff>
      <xdr:row>107</xdr:row>
      <xdr:rowOff>57150</xdr:rowOff>
    </xdr:from>
    <xdr:to>
      <xdr:col>3</xdr:col>
      <xdr:colOff>352425</xdr:colOff>
      <xdr:row>116</xdr:row>
      <xdr:rowOff>133350</xdr:rowOff>
    </xdr:to>
    <xdr:pic>
      <xdr:nvPicPr>
        <xdr:cNvPr id="5" name="Picture 8">
          <a:extLst>
            <a:ext uri="{FF2B5EF4-FFF2-40B4-BE49-F238E27FC236}">
              <a16:creationId xmlns:a16="http://schemas.microsoft.com/office/drawing/2014/main" id="{6F7437D4-8954-41BF-A8A0-DC15D86A2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30675" y="18459450"/>
          <a:ext cx="285750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501650</xdr:colOff>
      <xdr:row>112</xdr:row>
      <xdr:rowOff>92075</xdr:rowOff>
    </xdr:from>
    <xdr:to>
      <xdr:col>0</xdr:col>
      <xdr:colOff>3276600</xdr:colOff>
      <xdr:row>115</xdr:row>
      <xdr:rowOff>104</xdr:rowOff>
    </xdr:to>
    <xdr:sp macro="" textlink="">
      <xdr:nvSpPr>
        <xdr:cNvPr id="6" name="TextBox 5">
          <a:extLst>
            <a:ext uri="{FF2B5EF4-FFF2-40B4-BE49-F238E27FC236}">
              <a16:creationId xmlns:a16="http://schemas.microsoft.com/office/drawing/2014/main" id="{DAA06903-FBF0-4A1B-B624-B3BF48DE1883}"/>
            </a:ext>
          </a:extLst>
        </xdr:cNvPr>
        <xdr:cNvSpPr txBox="1"/>
      </xdr:nvSpPr>
      <xdr:spPr>
        <a:xfrm>
          <a:off x="501650" y="193198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112</xdr:row>
      <xdr:rowOff>92075</xdr:rowOff>
    </xdr:from>
    <xdr:to>
      <xdr:col>3</xdr:col>
      <xdr:colOff>501650</xdr:colOff>
      <xdr:row>115</xdr:row>
      <xdr:rowOff>104</xdr:rowOff>
    </xdr:to>
    <xdr:sp macro="" textlink="">
      <xdr:nvSpPr>
        <xdr:cNvPr id="7" name="TextBox 6">
          <a:extLst>
            <a:ext uri="{FF2B5EF4-FFF2-40B4-BE49-F238E27FC236}">
              <a16:creationId xmlns:a16="http://schemas.microsoft.com/office/drawing/2014/main" id="{1A506796-0F5A-44E1-B3DC-5B89433957FE}"/>
            </a:ext>
          </a:extLst>
        </xdr:cNvPr>
        <xdr:cNvSpPr txBox="1"/>
      </xdr:nvSpPr>
      <xdr:spPr>
        <a:xfrm>
          <a:off x="4076700" y="19319875"/>
          <a:ext cx="27178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39"/>
  <sheetViews>
    <sheetView tabSelected="1" topLeftCell="A112" zoomScaleNormal="100" workbookViewId="0">
      <selection activeCell="B128" sqref="B128"/>
    </sheetView>
  </sheetViews>
  <sheetFormatPr defaultColWidth="9.140625" defaultRowHeight="12.75" x14ac:dyDescent="0.2"/>
  <cols>
    <col min="1" max="1" width="55.140625" style="59" customWidth="1"/>
    <col min="2" max="2" width="21.42578125" style="60" bestFit="1" customWidth="1"/>
    <col min="3" max="3" width="18.5703125" style="61" customWidth="1"/>
    <col min="4" max="4" width="13.28515625" style="1" customWidth="1"/>
    <col min="5" max="5" width="15.7109375" style="1" customWidth="1"/>
    <col min="6" max="6" width="16.28515625" style="1" customWidth="1"/>
    <col min="7" max="7" width="10" style="1" bestFit="1" customWidth="1"/>
    <col min="8" max="8" width="12.28515625" style="1" customWidth="1"/>
    <col min="9" max="9" width="41.140625" style="1" bestFit="1" customWidth="1"/>
    <col min="10" max="16384" width="9.140625" style="1"/>
  </cols>
  <sheetData>
    <row r="1" spans="1:8" x14ac:dyDescent="0.2">
      <c r="A1" s="89" t="s">
        <v>0</v>
      </c>
      <c r="B1" s="89"/>
      <c r="C1" s="89"/>
      <c r="D1" s="89"/>
      <c r="E1" s="89"/>
      <c r="F1" s="89"/>
      <c r="G1" s="89"/>
      <c r="H1" s="89"/>
    </row>
    <row r="2" spans="1:8" ht="12.95" customHeight="1" x14ac:dyDescent="0.2">
      <c r="A2" s="90" t="s">
        <v>1</v>
      </c>
      <c r="B2" s="90"/>
      <c r="C2" s="90"/>
      <c r="D2" s="90"/>
      <c r="E2" s="90"/>
      <c r="F2" s="90"/>
      <c r="G2" s="90"/>
      <c r="H2" s="90"/>
    </row>
    <row r="3" spans="1:8" ht="12.75" customHeight="1" x14ac:dyDescent="0.2">
      <c r="A3" s="91" t="s">
        <v>194</v>
      </c>
      <c r="B3" s="91"/>
      <c r="C3" s="91"/>
      <c r="D3" s="91"/>
      <c r="E3" s="91"/>
      <c r="F3" s="91"/>
      <c r="G3" s="91"/>
      <c r="H3" s="91"/>
    </row>
    <row r="4" spans="1:8" s="5" customFormat="1" ht="25.5" x14ac:dyDescent="0.2">
      <c r="A4" s="2" t="s">
        <v>2</v>
      </c>
      <c r="B4" s="3" t="s">
        <v>3</v>
      </c>
      <c r="C4" s="4" t="s">
        <v>87</v>
      </c>
      <c r="D4" s="2" t="s">
        <v>4</v>
      </c>
      <c r="E4" s="2" t="s">
        <v>5</v>
      </c>
      <c r="F4" s="2" t="s">
        <v>6</v>
      </c>
      <c r="G4" s="2" t="s">
        <v>7</v>
      </c>
      <c r="H4" s="2" t="s">
        <v>8</v>
      </c>
    </row>
    <row r="5" spans="1:8" ht="14.25" x14ac:dyDescent="0.3">
      <c r="A5" s="6" t="s">
        <v>42</v>
      </c>
      <c r="B5" s="7"/>
      <c r="C5" s="8"/>
      <c r="D5" s="9"/>
      <c r="E5" s="10"/>
      <c r="F5" s="11"/>
      <c r="G5" s="12"/>
      <c r="H5" s="13"/>
    </row>
    <row r="6" spans="1:8" ht="29.25" customHeight="1" x14ac:dyDescent="0.3">
      <c r="A6" s="6" t="s">
        <v>43</v>
      </c>
      <c r="B6" s="7"/>
      <c r="C6" s="8"/>
      <c r="D6" s="9"/>
      <c r="E6" s="10"/>
      <c r="F6" s="11"/>
      <c r="G6" s="12"/>
      <c r="H6" s="13"/>
    </row>
    <row r="7" spans="1:8" ht="14.25" x14ac:dyDescent="0.3">
      <c r="A7" s="6" t="s">
        <v>44</v>
      </c>
      <c r="B7" s="7"/>
      <c r="C7" s="8"/>
      <c r="D7" s="9"/>
      <c r="E7" s="10"/>
      <c r="F7" s="11"/>
      <c r="G7" s="12"/>
      <c r="H7" s="13"/>
    </row>
    <row r="8" spans="1:8" ht="14.25" x14ac:dyDescent="0.3">
      <c r="A8" s="62" t="s">
        <v>88</v>
      </c>
      <c r="B8" s="63" t="s">
        <v>89</v>
      </c>
      <c r="C8" s="64">
        <v>2500000</v>
      </c>
      <c r="D8" s="65">
        <v>2497.9425000000001</v>
      </c>
      <c r="E8" s="66">
        <v>8.9021718501241694E-3</v>
      </c>
      <c r="F8" s="11" t="s">
        <v>90</v>
      </c>
      <c r="G8" s="70" t="s">
        <v>91</v>
      </c>
      <c r="H8" s="13"/>
    </row>
    <row r="9" spans="1:8" ht="14.25" x14ac:dyDescent="0.3">
      <c r="A9" s="6" t="s">
        <v>45</v>
      </c>
      <c r="B9" s="7"/>
      <c r="C9" s="8"/>
      <c r="D9" s="9">
        <f>+D8</f>
        <v>2497.9425000000001</v>
      </c>
      <c r="E9" s="73">
        <f>+E8</f>
        <v>8.9021718501241694E-3</v>
      </c>
      <c r="F9" s="11"/>
      <c r="G9" s="71"/>
      <c r="H9" s="13"/>
    </row>
    <row r="10" spans="1:8" ht="14.25" x14ac:dyDescent="0.3">
      <c r="A10" s="6" t="s">
        <v>46</v>
      </c>
      <c r="B10" s="7"/>
      <c r="C10" s="8"/>
      <c r="D10" s="9" t="s">
        <v>47</v>
      </c>
      <c r="E10" s="10" t="s">
        <v>47</v>
      </c>
      <c r="F10" s="11"/>
      <c r="G10" s="71"/>
      <c r="H10" s="13"/>
    </row>
    <row r="11" spans="1:8" ht="14.25" x14ac:dyDescent="0.3">
      <c r="A11" s="6" t="s">
        <v>45</v>
      </c>
      <c r="B11" s="7"/>
      <c r="C11" s="8"/>
      <c r="D11" s="9" t="s">
        <v>47</v>
      </c>
      <c r="E11" s="10" t="s">
        <v>47</v>
      </c>
      <c r="F11" s="11"/>
      <c r="G11" s="71"/>
      <c r="H11" s="13"/>
    </row>
    <row r="12" spans="1:8" ht="14.25" x14ac:dyDescent="0.3">
      <c r="A12" s="6"/>
      <c r="B12" s="7"/>
      <c r="C12" s="8"/>
      <c r="D12" s="9"/>
      <c r="E12" s="10"/>
      <c r="F12" s="11"/>
      <c r="G12" s="71"/>
      <c r="H12" s="13"/>
    </row>
    <row r="13" spans="1:8" ht="14.25" x14ac:dyDescent="0.3">
      <c r="A13" s="6" t="s">
        <v>83</v>
      </c>
      <c r="B13" s="7"/>
      <c r="C13" s="68"/>
      <c r="D13" s="9"/>
      <c r="E13" s="9"/>
      <c r="F13" s="9"/>
      <c r="G13" s="71"/>
      <c r="H13" s="13"/>
    </row>
    <row r="14" spans="1:8" ht="14.25" x14ac:dyDescent="0.3">
      <c r="A14" s="6"/>
      <c r="B14" s="7"/>
      <c r="C14" s="68"/>
      <c r="D14" s="9"/>
      <c r="E14" s="9"/>
      <c r="F14" s="9"/>
      <c r="G14" s="71"/>
      <c r="H14" s="13"/>
    </row>
    <row r="15" spans="1:8" ht="14.25" x14ac:dyDescent="0.3">
      <c r="A15" s="6" t="s">
        <v>84</v>
      </c>
      <c r="B15" s="7"/>
      <c r="C15" s="68"/>
      <c r="D15" s="9" t="s">
        <v>47</v>
      </c>
      <c r="E15" s="9" t="s">
        <v>47</v>
      </c>
      <c r="F15" s="9"/>
      <c r="G15" s="71"/>
      <c r="H15" s="13"/>
    </row>
    <row r="16" spans="1:8" ht="14.25" x14ac:dyDescent="0.3">
      <c r="A16" s="6"/>
      <c r="B16" s="7"/>
      <c r="C16" s="68"/>
      <c r="D16" s="9"/>
      <c r="E16" s="9"/>
      <c r="F16" s="9"/>
      <c r="G16" s="71"/>
      <c r="H16" s="13"/>
    </row>
    <row r="17" spans="1:8" ht="14.25" x14ac:dyDescent="0.3">
      <c r="A17" s="6" t="s">
        <v>85</v>
      </c>
      <c r="B17" s="7"/>
      <c r="C17" s="68"/>
      <c r="D17" s="9" t="s">
        <v>47</v>
      </c>
      <c r="E17" s="9" t="s">
        <v>47</v>
      </c>
      <c r="F17" s="9"/>
      <c r="G17" s="71"/>
      <c r="H17" s="13"/>
    </row>
    <row r="18" spans="1:8" ht="14.25" x14ac:dyDescent="0.3">
      <c r="A18" s="6"/>
      <c r="B18" s="7"/>
      <c r="C18" s="68"/>
      <c r="D18" s="9"/>
      <c r="E18" s="9"/>
      <c r="F18" s="9"/>
      <c r="G18" s="71"/>
      <c r="H18" s="13"/>
    </row>
    <row r="19" spans="1:8" ht="14.25" x14ac:dyDescent="0.3">
      <c r="A19" s="6" t="s">
        <v>48</v>
      </c>
      <c r="B19" s="7"/>
      <c r="C19" s="8"/>
      <c r="D19" s="9" t="s">
        <v>47</v>
      </c>
      <c r="E19" s="10" t="s">
        <v>47</v>
      </c>
      <c r="F19" s="11"/>
      <c r="G19" s="71"/>
      <c r="H19" s="13"/>
    </row>
    <row r="20" spans="1:8" ht="14.25" x14ac:dyDescent="0.3">
      <c r="A20" s="6" t="s">
        <v>45</v>
      </c>
      <c r="B20" s="7"/>
      <c r="C20" s="8"/>
      <c r="D20" s="9" t="s">
        <v>47</v>
      </c>
      <c r="E20" s="10" t="s">
        <v>47</v>
      </c>
      <c r="F20" s="11"/>
      <c r="G20" s="71"/>
      <c r="H20" s="13"/>
    </row>
    <row r="21" spans="1:8" ht="14.25" x14ac:dyDescent="0.3">
      <c r="A21" s="6" t="s">
        <v>49</v>
      </c>
      <c r="B21" s="7"/>
      <c r="C21" s="8"/>
      <c r="D21" s="9"/>
      <c r="E21" s="10"/>
      <c r="F21" s="11"/>
      <c r="G21" s="71"/>
      <c r="H21" s="13"/>
    </row>
    <row r="22" spans="1:8" ht="14.25" x14ac:dyDescent="0.3">
      <c r="A22" s="6" t="s">
        <v>45</v>
      </c>
      <c r="B22" s="7"/>
      <c r="C22" s="8"/>
      <c r="D22" s="9" t="s">
        <v>47</v>
      </c>
      <c r="E22" s="10" t="s">
        <v>47</v>
      </c>
      <c r="F22" s="11"/>
      <c r="G22" s="71"/>
      <c r="H22" s="13"/>
    </row>
    <row r="23" spans="1:8" ht="14.25" x14ac:dyDescent="0.3">
      <c r="A23" s="6" t="s">
        <v>51</v>
      </c>
      <c r="B23" s="7"/>
      <c r="C23" s="8"/>
      <c r="D23" s="9">
        <f>+D9</f>
        <v>2497.9425000000001</v>
      </c>
      <c r="E23" s="73">
        <f>+E9</f>
        <v>8.9021718501241694E-3</v>
      </c>
      <c r="F23" s="11"/>
      <c r="G23" s="71"/>
      <c r="H23" s="13"/>
    </row>
    <row r="24" spans="1:8" ht="14.25" x14ac:dyDescent="0.3">
      <c r="A24" s="6"/>
      <c r="B24" s="7"/>
      <c r="C24" s="8"/>
      <c r="D24" s="9"/>
      <c r="E24" s="10"/>
      <c r="F24" s="11"/>
      <c r="G24" s="71"/>
      <c r="H24" s="13"/>
    </row>
    <row r="25" spans="1:8" ht="14.25" x14ac:dyDescent="0.3">
      <c r="A25" s="6" t="s">
        <v>52</v>
      </c>
      <c r="B25" s="7"/>
      <c r="C25" s="8"/>
      <c r="D25" s="9"/>
      <c r="E25" s="10"/>
      <c r="F25" s="11"/>
      <c r="G25" s="71"/>
      <c r="H25" s="13"/>
    </row>
    <row r="26" spans="1:8" ht="14.25" x14ac:dyDescent="0.3">
      <c r="A26" s="6" t="s">
        <v>53</v>
      </c>
      <c r="B26" s="7"/>
      <c r="C26" s="8"/>
      <c r="D26" s="9"/>
      <c r="E26" s="10"/>
      <c r="F26" s="11"/>
      <c r="G26" s="71"/>
      <c r="H26" s="13"/>
    </row>
    <row r="27" spans="1:8" ht="14.25" x14ac:dyDescent="0.3">
      <c r="A27" s="62" t="s">
        <v>96</v>
      </c>
      <c r="B27" s="63" t="s">
        <v>50</v>
      </c>
      <c r="C27" s="64">
        <v>22500000</v>
      </c>
      <c r="D27" s="65">
        <v>22196.384999999998</v>
      </c>
      <c r="E27" s="66">
        <v>7.9103515682013639E-2</v>
      </c>
      <c r="F27" s="11" t="s">
        <v>101</v>
      </c>
      <c r="G27" s="70" t="s">
        <v>109</v>
      </c>
      <c r="H27" s="13"/>
    </row>
    <row r="28" spans="1:8" ht="14.25" x14ac:dyDescent="0.3">
      <c r="A28" s="62" t="s">
        <v>95</v>
      </c>
      <c r="B28" s="63" t="s">
        <v>50</v>
      </c>
      <c r="C28" s="64">
        <v>12800000</v>
      </c>
      <c r="D28" s="65">
        <v>12628.352000000001</v>
      </c>
      <c r="E28" s="66">
        <v>4.5004942943185938E-2</v>
      </c>
      <c r="F28" s="11" t="s">
        <v>100</v>
      </c>
      <c r="G28" s="70" t="s">
        <v>107</v>
      </c>
      <c r="H28" s="13"/>
    </row>
    <row r="29" spans="1:8" ht="14.25" x14ac:dyDescent="0.3">
      <c r="A29" s="62" t="s">
        <v>94</v>
      </c>
      <c r="B29" s="63" t="s">
        <v>50</v>
      </c>
      <c r="C29" s="64">
        <v>10000000</v>
      </c>
      <c r="D29" s="65">
        <v>9886.9599999999991</v>
      </c>
      <c r="E29" s="66">
        <v>3.5235165339195622E-2</v>
      </c>
      <c r="F29" s="11" t="s">
        <v>99</v>
      </c>
      <c r="G29" s="70" t="s">
        <v>106</v>
      </c>
      <c r="H29" s="13"/>
    </row>
    <row r="30" spans="1:8" ht="14.25" x14ac:dyDescent="0.3">
      <c r="A30" s="62" t="s">
        <v>92</v>
      </c>
      <c r="B30" s="63" t="s">
        <v>50</v>
      </c>
      <c r="C30" s="64">
        <v>5000000</v>
      </c>
      <c r="D30" s="65">
        <v>4949.2</v>
      </c>
      <c r="E30" s="66">
        <v>1.7637967615601456E-2</v>
      </c>
      <c r="F30" s="11" t="s">
        <v>97</v>
      </c>
      <c r="G30" s="70" t="s">
        <v>104</v>
      </c>
      <c r="H30" s="13"/>
    </row>
    <row r="31" spans="1:8" ht="14.25" x14ac:dyDescent="0.3">
      <c r="A31" s="62" t="s">
        <v>93</v>
      </c>
      <c r="B31" s="63" t="s">
        <v>50</v>
      </c>
      <c r="C31" s="64">
        <v>5000000</v>
      </c>
      <c r="D31" s="65">
        <v>4926.9799999999996</v>
      </c>
      <c r="E31" s="66">
        <v>1.7558779940741141E-2</v>
      </c>
      <c r="F31" s="11" t="s">
        <v>98</v>
      </c>
      <c r="G31" s="70" t="s">
        <v>105</v>
      </c>
      <c r="H31" s="13"/>
    </row>
    <row r="32" spans="1:8" ht="14.25" x14ac:dyDescent="0.3">
      <c r="A32" s="62" t="s">
        <v>58</v>
      </c>
      <c r="B32" s="63" t="s">
        <v>50</v>
      </c>
      <c r="C32" s="64">
        <v>290000</v>
      </c>
      <c r="D32" s="65">
        <v>289.50294000000002</v>
      </c>
      <c r="E32" s="66">
        <v>1.0317310838805081E-3</v>
      </c>
      <c r="F32" s="11" t="s">
        <v>59</v>
      </c>
      <c r="G32" s="70" t="s">
        <v>102</v>
      </c>
      <c r="H32" s="13"/>
    </row>
    <row r="33" spans="1:8" ht="14.25" x14ac:dyDescent="0.3">
      <c r="A33" s="62" t="s">
        <v>56</v>
      </c>
      <c r="B33" s="63" t="s">
        <v>50</v>
      </c>
      <c r="C33" s="64">
        <v>200000</v>
      </c>
      <c r="D33" s="65">
        <v>199.44300000000001</v>
      </c>
      <c r="E33" s="66">
        <v>7.1077531220366946E-4</v>
      </c>
      <c r="F33" s="11" t="s">
        <v>57</v>
      </c>
      <c r="G33" s="70" t="s">
        <v>103</v>
      </c>
      <c r="H33" s="13"/>
    </row>
    <row r="34" spans="1:8" ht="14.25" x14ac:dyDescent="0.3">
      <c r="A34" s="62" t="s">
        <v>54</v>
      </c>
      <c r="B34" s="63" t="s">
        <v>50</v>
      </c>
      <c r="C34" s="64">
        <v>200000</v>
      </c>
      <c r="D34" s="65">
        <v>199.19980000000001</v>
      </c>
      <c r="E34" s="66">
        <v>7.0990859561833968E-4</v>
      </c>
      <c r="F34" s="11" t="s">
        <v>55</v>
      </c>
      <c r="G34" s="70" t="s">
        <v>108</v>
      </c>
      <c r="H34" s="13"/>
    </row>
    <row r="35" spans="1:8" ht="14.25" x14ac:dyDescent="0.3">
      <c r="A35" s="6" t="s">
        <v>45</v>
      </c>
      <c r="B35" s="7"/>
      <c r="C35" s="8"/>
      <c r="D35" s="9">
        <f>SUM(D27:D34)</f>
        <v>55276.022739999993</v>
      </c>
      <c r="E35" s="73">
        <f>SUM(E27:E34)</f>
        <v>0.19699278651244034</v>
      </c>
      <c r="F35" s="11"/>
      <c r="G35" s="71"/>
      <c r="H35" s="13"/>
    </row>
    <row r="36" spans="1:8" ht="14.25" x14ac:dyDescent="0.3">
      <c r="A36" s="6" t="s">
        <v>60</v>
      </c>
      <c r="B36" s="7"/>
      <c r="C36" s="8"/>
      <c r="D36" s="9"/>
      <c r="E36" s="10"/>
      <c r="F36" s="11"/>
      <c r="G36" s="71"/>
      <c r="H36" s="13"/>
    </row>
    <row r="37" spans="1:8" ht="14.25" x14ac:dyDescent="0.3">
      <c r="A37" s="62" t="s">
        <v>121</v>
      </c>
      <c r="B37" s="63" t="s">
        <v>62</v>
      </c>
      <c r="C37" s="64">
        <v>10000000</v>
      </c>
      <c r="D37" s="65">
        <v>9860.7199999999993</v>
      </c>
      <c r="E37" s="66">
        <v>3.5141651181304773E-2</v>
      </c>
      <c r="F37" s="11" t="s">
        <v>138</v>
      </c>
      <c r="G37" s="70" t="s">
        <v>157</v>
      </c>
      <c r="H37" s="13"/>
    </row>
    <row r="38" spans="1:8" ht="14.25" x14ac:dyDescent="0.3">
      <c r="A38" s="62" t="s">
        <v>67</v>
      </c>
      <c r="B38" s="63" t="s">
        <v>62</v>
      </c>
      <c r="C38" s="64">
        <v>7500000</v>
      </c>
      <c r="D38" s="65">
        <v>7447.74</v>
      </c>
      <c r="E38" s="66">
        <v>2.6542268837270584E-2</v>
      </c>
      <c r="F38" s="11" t="s">
        <v>68</v>
      </c>
      <c r="G38" s="70" t="s">
        <v>150</v>
      </c>
      <c r="H38" s="13"/>
    </row>
    <row r="39" spans="1:8" ht="14.25" x14ac:dyDescent="0.3">
      <c r="A39" s="62" t="s">
        <v>115</v>
      </c>
      <c r="B39" s="63" t="s">
        <v>64</v>
      </c>
      <c r="C39" s="64">
        <v>7500000</v>
      </c>
      <c r="D39" s="65">
        <v>7428.3525</v>
      </c>
      <c r="E39" s="66">
        <v>2.6473175630863998E-2</v>
      </c>
      <c r="F39" s="11" t="s">
        <v>132</v>
      </c>
      <c r="G39" s="70" t="s">
        <v>148</v>
      </c>
      <c r="H39" s="13"/>
    </row>
    <row r="40" spans="1:8" ht="14.25" x14ac:dyDescent="0.3">
      <c r="A40" s="62" t="s">
        <v>117</v>
      </c>
      <c r="B40" s="63" t="s">
        <v>62</v>
      </c>
      <c r="C40" s="64">
        <v>7500000</v>
      </c>
      <c r="D40" s="65">
        <v>7381.4925000000003</v>
      </c>
      <c r="E40" s="66">
        <v>2.630617588091106E-2</v>
      </c>
      <c r="F40" s="11" t="s">
        <v>134</v>
      </c>
      <c r="G40" s="70" t="s">
        <v>154</v>
      </c>
      <c r="H40" s="13"/>
    </row>
    <row r="41" spans="1:8" ht="14.25" x14ac:dyDescent="0.3">
      <c r="A41" s="62" t="s">
        <v>111</v>
      </c>
      <c r="B41" s="63" t="s">
        <v>64</v>
      </c>
      <c r="C41" s="64">
        <v>6000000</v>
      </c>
      <c r="D41" s="65">
        <v>5931.48</v>
      </c>
      <c r="E41" s="66">
        <v>2.1138618797500144E-2</v>
      </c>
      <c r="F41" s="11" t="s">
        <v>128</v>
      </c>
      <c r="G41" s="70" t="s">
        <v>145</v>
      </c>
      <c r="H41" s="13"/>
    </row>
    <row r="42" spans="1:8" ht="14.25" x14ac:dyDescent="0.3">
      <c r="A42" s="62" t="s">
        <v>126</v>
      </c>
      <c r="B42" s="63" t="s">
        <v>62</v>
      </c>
      <c r="C42" s="64">
        <v>5000000</v>
      </c>
      <c r="D42" s="65">
        <v>4984.16</v>
      </c>
      <c r="E42" s="66">
        <v>1.7762558124742613E-2</v>
      </c>
      <c r="F42" s="11" t="s">
        <v>143</v>
      </c>
      <c r="G42" s="70" t="s">
        <v>161</v>
      </c>
      <c r="H42" s="13"/>
    </row>
    <row r="43" spans="1:8" ht="14.25" x14ac:dyDescent="0.3">
      <c r="A43" s="62" t="s">
        <v>69</v>
      </c>
      <c r="B43" s="63" t="s">
        <v>64</v>
      </c>
      <c r="C43" s="64">
        <v>5000000</v>
      </c>
      <c r="D43" s="65">
        <v>4970.01</v>
      </c>
      <c r="E43" s="66">
        <v>1.7712130329995836E-2</v>
      </c>
      <c r="F43" s="11" t="s">
        <v>70</v>
      </c>
      <c r="G43" s="70" t="s">
        <v>152</v>
      </c>
      <c r="H43" s="13"/>
    </row>
    <row r="44" spans="1:8" ht="14.25" x14ac:dyDescent="0.3">
      <c r="A44" s="62" t="s">
        <v>71</v>
      </c>
      <c r="B44" s="63" t="s">
        <v>64</v>
      </c>
      <c r="C44" s="64">
        <v>5000000</v>
      </c>
      <c r="D44" s="65">
        <v>4969.71</v>
      </c>
      <c r="E44" s="66">
        <v>1.7711061189471168E-2</v>
      </c>
      <c r="F44" s="11" t="s">
        <v>72</v>
      </c>
      <c r="G44" s="70" t="s">
        <v>151</v>
      </c>
      <c r="H44" s="13"/>
    </row>
    <row r="45" spans="1:8" ht="14.25" x14ac:dyDescent="0.3">
      <c r="A45" s="62" t="s">
        <v>61</v>
      </c>
      <c r="B45" s="63" t="s">
        <v>62</v>
      </c>
      <c r="C45" s="64">
        <v>5000000</v>
      </c>
      <c r="D45" s="65">
        <v>4965.2299999999996</v>
      </c>
      <c r="E45" s="66">
        <v>1.7695095357636144E-2</v>
      </c>
      <c r="F45" s="11" t="s">
        <v>63</v>
      </c>
      <c r="G45" s="70" t="s">
        <v>147</v>
      </c>
      <c r="H45" s="13"/>
    </row>
    <row r="46" spans="1:8" ht="14.25" x14ac:dyDescent="0.3">
      <c r="A46" s="62" t="s">
        <v>65</v>
      </c>
      <c r="B46" s="63" t="s">
        <v>62</v>
      </c>
      <c r="C46" s="64">
        <v>5000000</v>
      </c>
      <c r="D46" s="65">
        <v>4964.9750000000004</v>
      </c>
      <c r="E46" s="66">
        <v>1.7694186588190178E-2</v>
      </c>
      <c r="F46" s="11" t="s">
        <v>66</v>
      </c>
      <c r="G46" s="70" t="s">
        <v>149</v>
      </c>
      <c r="H46" s="13"/>
    </row>
    <row r="47" spans="1:8" ht="14.25" x14ac:dyDescent="0.3">
      <c r="A47" s="62" t="s">
        <v>114</v>
      </c>
      <c r="B47" s="63" t="s">
        <v>62</v>
      </c>
      <c r="C47" s="64">
        <v>5000000</v>
      </c>
      <c r="D47" s="65">
        <v>4950.8850000000002</v>
      </c>
      <c r="E47" s="66">
        <v>1.7643972621548331E-2</v>
      </c>
      <c r="F47" s="11" t="s">
        <v>131</v>
      </c>
      <c r="G47" s="70" t="s">
        <v>147</v>
      </c>
      <c r="H47" s="13"/>
    </row>
    <row r="48" spans="1:8" ht="14.25" x14ac:dyDescent="0.3">
      <c r="A48" s="62" t="s">
        <v>110</v>
      </c>
      <c r="B48" s="63" t="s">
        <v>62</v>
      </c>
      <c r="C48" s="64">
        <v>5000000</v>
      </c>
      <c r="D48" s="65">
        <v>4944.4949999999999</v>
      </c>
      <c r="E48" s="66">
        <v>1.7621199928372931E-2</v>
      </c>
      <c r="F48" s="11" t="s">
        <v>127</v>
      </c>
      <c r="G48" s="70" t="s">
        <v>144</v>
      </c>
      <c r="H48" s="13"/>
    </row>
    <row r="49" spans="1:8" ht="14.25" x14ac:dyDescent="0.3">
      <c r="A49" s="62" t="s">
        <v>113</v>
      </c>
      <c r="B49" s="63" t="s">
        <v>64</v>
      </c>
      <c r="C49" s="64">
        <v>5000000</v>
      </c>
      <c r="D49" s="65">
        <v>4941.55</v>
      </c>
      <c r="E49" s="66">
        <v>1.7610704532222455E-2</v>
      </c>
      <c r="F49" s="11" t="s">
        <v>130</v>
      </c>
      <c r="G49" s="70" t="s">
        <v>146</v>
      </c>
      <c r="H49" s="13"/>
    </row>
    <row r="50" spans="1:8" ht="14.25" x14ac:dyDescent="0.3">
      <c r="A50" s="62" t="s">
        <v>116</v>
      </c>
      <c r="B50" s="63" t="s">
        <v>62</v>
      </c>
      <c r="C50" s="64">
        <v>5000000</v>
      </c>
      <c r="D50" s="65">
        <v>4939.1750000000002</v>
      </c>
      <c r="E50" s="66">
        <v>1.7602240503068842E-2</v>
      </c>
      <c r="F50" s="11" t="s">
        <v>133</v>
      </c>
      <c r="G50" s="70" t="s">
        <v>153</v>
      </c>
      <c r="H50" s="13"/>
    </row>
    <row r="51" spans="1:8" ht="14.25" x14ac:dyDescent="0.3">
      <c r="A51" s="62" t="s">
        <v>125</v>
      </c>
      <c r="B51" s="63" t="s">
        <v>64</v>
      </c>
      <c r="C51" s="64">
        <v>5000000</v>
      </c>
      <c r="D51" s="65">
        <v>4936.3599999999997</v>
      </c>
      <c r="E51" s="66">
        <v>1.7592208401145719E-2</v>
      </c>
      <c r="F51" s="11" t="s">
        <v>142</v>
      </c>
      <c r="G51" s="70" t="s">
        <v>160</v>
      </c>
      <c r="H51" s="13"/>
    </row>
    <row r="52" spans="1:8" ht="14.25" x14ac:dyDescent="0.3">
      <c r="A52" s="62" t="s">
        <v>124</v>
      </c>
      <c r="B52" s="63" t="s">
        <v>64</v>
      </c>
      <c r="C52" s="64">
        <v>5000000</v>
      </c>
      <c r="D52" s="65">
        <v>4933.3</v>
      </c>
      <c r="E52" s="66">
        <v>1.7581303167794118E-2</v>
      </c>
      <c r="F52" s="11" t="s">
        <v>141</v>
      </c>
      <c r="G52" s="70" t="s">
        <v>159</v>
      </c>
      <c r="H52" s="13"/>
    </row>
    <row r="53" spans="1:8" ht="14.25" x14ac:dyDescent="0.3">
      <c r="A53" s="62" t="s">
        <v>122</v>
      </c>
      <c r="B53" s="63" t="s">
        <v>62</v>
      </c>
      <c r="C53" s="64">
        <v>5000000</v>
      </c>
      <c r="D53" s="65">
        <v>4932.9250000000002</v>
      </c>
      <c r="E53" s="66">
        <v>1.7579966742138287E-2</v>
      </c>
      <c r="F53" s="11" t="s">
        <v>139</v>
      </c>
      <c r="G53" s="70" t="s">
        <v>158</v>
      </c>
      <c r="H53" s="13"/>
    </row>
    <row r="54" spans="1:8" ht="14.25" x14ac:dyDescent="0.3">
      <c r="A54" s="62" t="s">
        <v>123</v>
      </c>
      <c r="B54" s="63" t="s">
        <v>62</v>
      </c>
      <c r="C54" s="64">
        <v>5000000</v>
      </c>
      <c r="D54" s="65">
        <v>4930.2700000000004</v>
      </c>
      <c r="E54" s="66">
        <v>1.7570504848494987E-2</v>
      </c>
      <c r="F54" s="11" t="s">
        <v>140</v>
      </c>
      <c r="G54" s="70" t="s">
        <v>155</v>
      </c>
      <c r="H54" s="13"/>
    </row>
    <row r="55" spans="1:8" ht="14.25" x14ac:dyDescent="0.3">
      <c r="A55" s="62" t="s">
        <v>120</v>
      </c>
      <c r="B55" s="63"/>
      <c r="C55" s="64">
        <v>5000000</v>
      </c>
      <c r="D55" s="65">
        <v>4929.9250000000002</v>
      </c>
      <c r="E55" s="66">
        <v>1.7569275336891618E-2</v>
      </c>
      <c r="F55" s="11" t="s">
        <v>137</v>
      </c>
      <c r="G55" s="70" t="s">
        <v>156</v>
      </c>
      <c r="H55" s="13"/>
    </row>
    <row r="56" spans="1:8" ht="14.25" x14ac:dyDescent="0.3">
      <c r="A56" s="62" t="s">
        <v>119</v>
      </c>
      <c r="B56" s="63" t="s">
        <v>62</v>
      </c>
      <c r="C56" s="64">
        <v>5000000</v>
      </c>
      <c r="D56" s="65">
        <v>4924.38</v>
      </c>
      <c r="E56" s="66">
        <v>1.7549514056194031E-2</v>
      </c>
      <c r="F56" s="11" t="s">
        <v>136</v>
      </c>
      <c r="G56" s="70" t="s">
        <v>155</v>
      </c>
      <c r="H56" s="13"/>
    </row>
    <row r="57" spans="1:8" ht="14.25" x14ac:dyDescent="0.3">
      <c r="A57" s="62" t="s">
        <v>118</v>
      </c>
      <c r="B57" s="63" t="s">
        <v>62</v>
      </c>
      <c r="C57" s="64">
        <v>5000000</v>
      </c>
      <c r="D57" s="65">
        <v>4923.0150000000003</v>
      </c>
      <c r="E57" s="66">
        <v>1.7544649466806797E-2</v>
      </c>
      <c r="F57" s="11" t="s">
        <v>135</v>
      </c>
      <c r="G57" s="70" t="s">
        <v>153</v>
      </c>
      <c r="H57" s="13"/>
    </row>
    <row r="58" spans="1:8" ht="14.25" x14ac:dyDescent="0.3">
      <c r="A58" s="62" t="s">
        <v>112</v>
      </c>
      <c r="B58" s="63" t="s">
        <v>62</v>
      </c>
      <c r="C58" s="64">
        <v>2500000</v>
      </c>
      <c r="D58" s="65">
        <v>2469.5149999999999</v>
      </c>
      <c r="E58" s="66">
        <v>8.800861875907626E-3</v>
      </c>
      <c r="F58" s="11" t="s">
        <v>129</v>
      </c>
      <c r="G58" s="70" t="s">
        <v>145</v>
      </c>
      <c r="H58" s="13"/>
    </row>
    <row r="59" spans="1:8" ht="14.25" x14ac:dyDescent="0.3">
      <c r="A59" s="6" t="s">
        <v>45</v>
      </c>
      <c r="B59" s="7"/>
      <c r="C59" s="8"/>
      <c r="D59" s="9">
        <f>SUM(D37:D58)</f>
        <v>119659.66500000002</v>
      </c>
      <c r="E59" s="73">
        <f>SUM(E37:E58)</f>
        <v>0.42644332339847218</v>
      </c>
      <c r="F59" s="11"/>
      <c r="G59" s="71"/>
      <c r="H59" s="13"/>
    </row>
    <row r="60" spans="1:8" ht="14.25" x14ac:dyDescent="0.3">
      <c r="A60" s="6" t="s">
        <v>74</v>
      </c>
      <c r="B60" s="7"/>
      <c r="C60" s="8"/>
      <c r="D60" s="9"/>
      <c r="E60" s="10"/>
      <c r="F60" s="11"/>
      <c r="G60" s="71"/>
      <c r="H60" s="13"/>
    </row>
    <row r="61" spans="1:8" ht="14.25" x14ac:dyDescent="0.3">
      <c r="A61" s="62" t="s">
        <v>179</v>
      </c>
      <c r="B61" s="63" t="s">
        <v>64</v>
      </c>
      <c r="C61" s="64">
        <v>12500000</v>
      </c>
      <c r="D61" s="65">
        <v>12497.3375</v>
      </c>
      <c r="E61" s="66">
        <v>4.4538033238956123E-2</v>
      </c>
      <c r="F61" s="11" t="s">
        <v>167</v>
      </c>
      <c r="G61" s="70">
        <v>7.8E-2</v>
      </c>
      <c r="H61" s="13"/>
    </row>
    <row r="62" spans="1:8" ht="14.25" x14ac:dyDescent="0.3">
      <c r="A62" s="62" t="s">
        <v>180</v>
      </c>
      <c r="B62" s="63" t="s">
        <v>64</v>
      </c>
      <c r="C62" s="64">
        <v>12500000</v>
      </c>
      <c r="D62" s="65">
        <v>12315.775</v>
      </c>
      <c r="E62" s="66">
        <v>4.3890980483923467E-2</v>
      </c>
      <c r="F62" s="11" t="s">
        <v>171</v>
      </c>
      <c r="G62" s="70">
        <v>7.0000000000000007E-2</v>
      </c>
      <c r="H62" s="13"/>
    </row>
    <row r="63" spans="1:8" ht="14.25" x14ac:dyDescent="0.3">
      <c r="A63" s="62" t="s">
        <v>181</v>
      </c>
      <c r="B63" s="63" t="s">
        <v>64</v>
      </c>
      <c r="C63" s="64">
        <v>10000000</v>
      </c>
      <c r="D63" s="65">
        <v>9895.6200000000008</v>
      </c>
      <c r="E63" s="66">
        <v>3.5266027862340996E-2</v>
      </c>
      <c r="F63" s="11" t="s">
        <v>163</v>
      </c>
      <c r="G63" s="70">
        <v>7.0000000000000007E-2</v>
      </c>
      <c r="H63" s="13"/>
    </row>
    <row r="64" spans="1:8" ht="14.25" x14ac:dyDescent="0.3">
      <c r="A64" s="62" t="s">
        <v>182</v>
      </c>
      <c r="B64" s="63" t="s">
        <v>64</v>
      </c>
      <c r="C64" s="64">
        <v>10000000</v>
      </c>
      <c r="D64" s="65">
        <v>9894.1200000000008</v>
      </c>
      <c r="E64" s="66">
        <v>3.5260682159717664E-2</v>
      </c>
      <c r="F64" s="11" t="s">
        <v>172</v>
      </c>
      <c r="G64" s="70">
        <v>6.9800000000000001E-2</v>
      </c>
      <c r="H64" s="13"/>
    </row>
    <row r="65" spans="1:8" ht="14.25" x14ac:dyDescent="0.3">
      <c r="A65" s="62" t="s">
        <v>183</v>
      </c>
      <c r="B65" s="63" t="s">
        <v>62</v>
      </c>
      <c r="C65" s="64">
        <v>7500000</v>
      </c>
      <c r="D65" s="65">
        <v>7402.3275000000003</v>
      </c>
      <c r="E65" s="66">
        <v>2.6380427690349165E-2</v>
      </c>
      <c r="F65" s="11" t="s">
        <v>170</v>
      </c>
      <c r="G65" s="70">
        <v>6.9800000000000001E-2</v>
      </c>
      <c r="H65" s="13"/>
    </row>
    <row r="66" spans="1:8" ht="14.25" x14ac:dyDescent="0.3">
      <c r="A66" s="62" t="s">
        <v>184</v>
      </c>
      <c r="B66" s="63" t="s">
        <v>73</v>
      </c>
      <c r="C66" s="64">
        <v>7500000</v>
      </c>
      <c r="D66" s="65">
        <v>7386.4350000000004</v>
      </c>
      <c r="E66" s="66">
        <v>2.6323789971054945E-2</v>
      </c>
      <c r="F66" s="11" t="s">
        <v>168</v>
      </c>
      <c r="G66" s="70">
        <v>7.0199999999999999E-2</v>
      </c>
      <c r="H66" s="13"/>
    </row>
    <row r="67" spans="1:8" ht="14.25" x14ac:dyDescent="0.3">
      <c r="A67" s="62" t="s">
        <v>185</v>
      </c>
      <c r="B67" s="63" t="s">
        <v>62</v>
      </c>
      <c r="C67" s="64">
        <v>5000000</v>
      </c>
      <c r="D67" s="65">
        <v>4943.5600000000004</v>
      </c>
      <c r="E67" s="66">
        <v>1.7617867773737722E-2</v>
      </c>
      <c r="F67" s="11" t="s">
        <v>169</v>
      </c>
      <c r="G67" s="70">
        <v>7.1900000000000006E-2</v>
      </c>
      <c r="H67" s="13"/>
    </row>
    <row r="68" spans="1:8" ht="14.25" x14ac:dyDescent="0.3">
      <c r="A68" s="62" t="s">
        <v>186</v>
      </c>
      <c r="B68" s="63" t="s">
        <v>73</v>
      </c>
      <c r="C68" s="64">
        <v>5000000</v>
      </c>
      <c r="D68" s="65">
        <v>4938.375</v>
      </c>
      <c r="E68" s="66">
        <v>1.759938946166973E-2</v>
      </c>
      <c r="F68" s="11" t="s">
        <v>174</v>
      </c>
      <c r="G68" s="70">
        <v>7.0099999999999996E-2</v>
      </c>
      <c r="H68" s="13"/>
    </row>
    <row r="69" spans="1:8" ht="14.25" x14ac:dyDescent="0.3">
      <c r="A69" s="62" t="s">
        <v>187</v>
      </c>
      <c r="B69" s="63" t="s">
        <v>62</v>
      </c>
      <c r="C69" s="64">
        <v>5000000</v>
      </c>
      <c r="D69" s="65">
        <v>4938.2250000000004</v>
      </c>
      <c r="E69" s="66">
        <v>1.7598854891407396E-2</v>
      </c>
      <c r="F69" s="11" t="s">
        <v>173</v>
      </c>
      <c r="G69" s="70">
        <v>7.0300000000000001E-2</v>
      </c>
      <c r="H69" s="13"/>
    </row>
    <row r="70" spans="1:8" ht="14.25" x14ac:dyDescent="0.3">
      <c r="A70" s="62" t="s">
        <v>188</v>
      </c>
      <c r="B70" s="63" t="s">
        <v>64</v>
      </c>
      <c r="C70" s="64">
        <v>5000000</v>
      </c>
      <c r="D70" s="65">
        <v>4932.83</v>
      </c>
      <c r="E70" s="66">
        <v>1.7579628180972143E-2</v>
      </c>
      <c r="F70" s="11" t="s">
        <v>165</v>
      </c>
      <c r="G70" s="70">
        <v>7.0000000000000007E-2</v>
      </c>
      <c r="H70" s="13"/>
    </row>
    <row r="71" spans="1:8" ht="14.25" x14ac:dyDescent="0.3">
      <c r="A71" s="62" t="s">
        <v>189</v>
      </c>
      <c r="B71" s="63" t="s">
        <v>62</v>
      </c>
      <c r="C71" s="64">
        <v>5000000</v>
      </c>
      <c r="D71" s="65">
        <v>4931.1350000000002</v>
      </c>
      <c r="E71" s="66">
        <v>1.7573587537007773E-2</v>
      </c>
      <c r="F71" s="11" t="s">
        <v>164</v>
      </c>
      <c r="G71" s="70">
        <v>7.0800000000000002E-2</v>
      </c>
      <c r="H71" s="13"/>
    </row>
    <row r="72" spans="1:8" ht="14.25" x14ac:dyDescent="0.3">
      <c r="A72" s="62" t="s">
        <v>190</v>
      </c>
      <c r="B72" s="63" t="s">
        <v>75</v>
      </c>
      <c r="C72" s="64">
        <v>4500000</v>
      </c>
      <c r="D72" s="65">
        <v>4455.5985000000001</v>
      </c>
      <c r="E72" s="66">
        <v>1.5878869726647218E-2</v>
      </c>
      <c r="F72" s="11" t="s">
        <v>166</v>
      </c>
      <c r="G72" s="70">
        <v>7.0000000000000007E-2</v>
      </c>
      <c r="H72" s="13"/>
    </row>
    <row r="73" spans="1:8" ht="14.25" x14ac:dyDescent="0.3">
      <c r="A73" s="62" t="s">
        <v>191</v>
      </c>
      <c r="B73" s="63" t="s">
        <v>75</v>
      </c>
      <c r="C73" s="64">
        <v>900000</v>
      </c>
      <c r="D73" s="65">
        <v>888.24599999999998</v>
      </c>
      <c r="E73" s="66">
        <v>3.1655326482436614E-3</v>
      </c>
      <c r="F73" s="11" t="s">
        <v>176</v>
      </c>
      <c r="G73" s="70">
        <v>7.0000000000000007E-2</v>
      </c>
      <c r="H73" s="13"/>
    </row>
    <row r="74" spans="1:8" ht="14.25" x14ac:dyDescent="0.3">
      <c r="A74" s="62" t="s">
        <v>192</v>
      </c>
      <c r="B74" s="63" t="s">
        <v>162</v>
      </c>
      <c r="C74" s="64">
        <v>500000</v>
      </c>
      <c r="D74" s="65">
        <v>496.76299999999998</v>
      </c>
      <c r="E74" s="66">
        <v>1.770364848183348E-3</v>
      </c>
      <c r="F74" s="11" t="s">
        <v>175</v>
      </c>
      <c r="G74" s="70">
        <v>7.0000000000000007E-2</v>
      </c>
      <c r="H74" s="13"/>
    </row>
    <row r="75" spans="1:8" ht="14.25" x14ac:dyDescent="0.3">
      <c r="A75" s="6" t="s">
        <v>45</v>
      </c>
      <c r="B75" s="7"/>
      <c r="C75" s="8"/>
      <c r="D75" s="9">
        <f>SUM(D61:D74)</f>
        <v>89916.347499999989</v>
      </c>
      <c r="E75" s="73">
        <f>SUM(E61:E74)</f>
        <v>0.32044403647421132</v>
      </c>
      <c r="F75" s="11"/>
      <c r="G75" s="71"/>
      <c r="H75" s="13"/>
    </row>
    <row r="76" spans="1:8" ht="14.25" x14ac:dyDescent="0.3">
      <c r="A76" s="6" t="s">
        <v>51</v>
      </c>
      <c r="B76" s="7"/>
      <c r="C76" s="8"/>
      <c r="D76" s="9">
        <f>+D75+D59+D35</f>
        <v>264852.03524</v>
      </c>
      <c r="E76" s="73">
        <f>+E75+E59+E35</f>
        <v>0.94388014638512385</v>
      </c>
      <c r="F76" s="11"/>
      <c r="G76" s="71"/>
      <c r="H76" s="13"/>
    </row>
    <row r="77" spans="1:8" ht="14.25" x14ac:dyDescent="0.3">
      <c r="A77" s="6"/>
      <c r="B77" s="7"/>
      <c r="C77" s="8"/>
      <c r="D77" s="9"/>
      <c r="E77" s="10"/>
      <c r="F77" s="11"/>
      <c r="G77" s="71"/>
      <c r="H77" s="13"/>
    </row>
    <row r="78" spans="1:8" ht="14.25" x14ac:dyDescent="0.3">
      <c r="A78" s="6" t="s">
        <v>76</v>
      </c>
      <c r="B78" s="7"/>
      <c r="C78" s="8"/>
      <c r="D78" s="9"/>
      <c r="E78" s="10"/>
      <c r="F78" s="11"/>
      <c r="G78" s="71"/>
      <c r="H78" s="13"/>
    </row>
    <row r="79" spans="1:8" ht="14.25" x14ac:dyDescent="0.3">
      <c r="A79" s="69" t="s">
        <v>86</v>
      </c>
      <c r="B79" s="63"/>
      <c r="C79" s="67">
        <v>7050.085</v>
      </c>
      <c r="D79" s="65">
        <v>777.950872</v>
      </c>
      <c r="E79" s="66">
        <v>2.7724626781833249E-3</v>
      </c>
      <c r="F79" s="11" t="s">
        <v>77</v>
      </c>
      <c r="G79" s="70">
        <v>6.4600000000000005E-2</v>
      </c>
      <c r="H79" s="13"/>
    </row>
    <row r="80" spans="1:8" ht="14.25" x14ac:dyDescent="0.3">
      <c r="A80" s="6" t="s">
        <v>51</v>
      </c>
      <c r="B80" s="7"/>
      <c r="C80" s="8"/>
      <c r="D80" s="9">
        <f>+D79</f>
        <v>777.950872</v>
      </c>
      <c r="E80" s="73">
        <f>+E79</f>
        <v>2.7724626781833249E-3</v>
      </c>
      <c r="F80" s="11"/>
      <c r="G80" s="71"/>
      <c r="H80" s="13"/>
    </row>
    <row r="81" spans="1:10" ht="14.25" x14ac:dyDescent="0.3">
      <c r="A81" s="6"/>
      <c r="B81" s="7"/>
      <c r="C81" s="8"/>
      <c r="D81" s="9"/>
      <c r="E81" s="10"/>
      <c r="F81" s="11"/>
      <c r="G81" s="71"/>
      <c r="H81" s="13"/>
    </row>
    <row r="82" spans="1:10" ht="14.25" x14ac:dyDescent="0.3">
      <c r="A82" s="6" t="s">
        <v>78</v>
      </c>
      <c r="B82" s="7"/>
      <c r="C82" s="8"/>
      <c r="D82" s="9"/>
      <c r="E82" s="10"/>
      <c r="F82" s="11"/>
      <c r="G82" s="71"/>
      <c r="H82" s="13"/>
    </row>
    <row r="83" spans="1:10" ht="14.25" x14ac:dyDescent="0.3">
      <c r="A83" s="62" t="s">
        <v>79</v>
      </c>
      <c r="B83" s="63"/>
      <c r="C83" s="64">
        <v>418329.90500000003</v>
      </c>
      <c r="D83" s="65">
        <v>41825.352557300001</v>
      </c>
      <c r="E83" s="66">
        <v>0.14905726459160487</v>
      </c>
      <c r="F83" s="11"/>
      <c r="G83" s="70">
        <v>6.6703239999999997E-2</v>
      </c>
      <c r="H83" s="13"/>
    </row>
    <row r="84" spans="1:10" ht="14.25" x14ac:dyDescent="0.3">
      <c r="A84" s="6" t="s">
        <v>51</v>
      </c>
      <c r="B84" s="7"/>
      <c r="C84" s="8"/>
      <c r="D84" s="9">
        <f>+D83</f>
        <v>41825.352557300001</v>
      </c>
      <c r="E84" s="73">
        <f>+E83</f>
        <v>0.14905726459160487</v>
      </c>
      <c r="F84" s="11"/>
      <c r="G84" s="71"/>
      <c r="H84" s="13"/>
    </row>
    <row r="85" spans="1:10" ht="14.25" x14ac:dyDescent="0.3">
      <c r="A85" s="6"/>
      <c r="B85" s="7"/>
      <c r="C85" s="8"/>
      <c r="D85" s="9"/>
      <c r="E85" s="10"/>
      <c r="F85" s="11"/>
      <c r="G85" s="71"/>
      <c r="H85" s="13"/>
    </row>
    <row r="86" spans="1:10" ht="14.25" x14ac:dyDescent="0.3">
      <c r="A86" s="6" t="s">
        <v>80</v>
      </c>
      <c r="B86" s="63"/>
      <c r="C86" s="64"/>
      <c r="D86" s="65"/>
      <c r="E86" s="66"/>
      <c r="F86" s="11"/>
      <c r="G86" s="71"/>
      <c r="H86" s="13"/>
    </row>
    <row r="87" spans="1:10" ht="14.25" x14ac:dyDescent="0.3">
      <c r="A87" s="62" t="s">
        <v>81</v>
      </c>
      <c r="B87" s="63"/>
      <c r="C87" s="64"/>
      <c r="D87" s="65">
        <v>-29354.0586363</v>
      </c>
      <c r="E87" s="66">
        <v>-0.10461204550503629</v>
      </c>
      <c r="F87" s="11"/>
      <c r="G87" s="71"/>
      <c r="H87" s="13"/>
    </row>
    <row r="88" spans="1:10" ht="14.25" x14ac:dyDescent="0.3">
      <c r="A88" s="6" t="s">
        <v>51</v>
      </c>
      <c r="B88" s="7"/>
      <c r="C88" s="8"/>
      <c r="D88" s="9">
        <f>+D87</f>
        <v>-29354.0586363</v>
      </c>
      <c r="E88" s="73">
        <f>+E87</f>
        <v>-0.10461204550503629</v>
      </c>
      <c r="F88" s="11"/>
      <c r="G88" s="71"/>
      <c r="H88" s="13"/>
    </row>
    <row r="89" spans="1:10" ht="14.25" x14ac:dyDescent="0.3">
      <c r="A89" s="6" t="s">
        <v>82</v>
      </c>
      <c r="B89" s="7"/>
      <c r="C89" s="8"/>
      <c r="D89" s="9">
        <f>+D88+D84+D80+D76+D23</f>
        <v>280599.22253299999</v>
      </c>
      <c r="E89" s="73">
        <f>+E88+E84+E80+E76+E23</f>
        <v>1</v>
      </c>
      <c r="F89" s="11"/>
      <c r="G89" s="71"/>
      <c r="H89" s="13"/>
    </row>
    <row r="90" spans="1:10" ht="14.25" x14ac:dyDescent="0.3">
      <c r="A90" s="14"/>
      <c r="B90" s="15"/>
      <c r="C90" s="16"/>
      <c r="D90" s="17"/>
      <c r="E90" s="17"/>
      <c r="F90" s="18"/>
      <c r="G90" s="19"/>
      <c r="H90" s="19"/>
    </row>
    <row r="91" spans="1:10" ht="14.25" x14ac:dyDescent="0.3">
      <c r="A91" s="20" t="s">
        <v>9</v>
      </c>
      <c r="B91" s="21"/>
      <c r="C91" s="16"/>
      <c r="D91" s="17"/>
      <c r="E91" s="17"/>
      <c r="F91" s="22"/>
      <c r="G91" s="23"/>
      <c r="H91" s="24"/>
    </row>
    <row r="92" spans="1:10" ht="14.25" x14ac:dyDescent="0.3">
      <c r="A92" s="20"/>
      <c r="B92" s="21"/>
      <c r="C92" s="16"/>
      <c r="D92" s="17"/>
      <c r="E92" s="17"/>
      <c r="F92" s="22"/>
      <c r="G92" s="23"/>
      <c r="H92" s="24"/>
    </row>
    <row r="93" spans="1:10" ht="14.25" x14ac:dyDescent="0.3">
      <c r="A93" s="76" t="s">
        <v>193</v>
      </c>
      <c r="B93" s="26"/>
      <c r="C93" s="26"/>
      <c r="D93" s="26"/>
      <c r="E93" s="26"/>
      <c r="F93" s="74"/>
      <c r="G93" s="26"/>
      <c r="H93" s="26"/>
      <c r="I93" s="72">
        <f>+H93/100000</f>
        <v>0</v>
      </c>
    </row>
    <row r="94" spans="1:10" ht="14.25" x14ac:dyDescent="0.3">
      <c r="A94" s="76"/>
      <c r="B94" s="75"/>
      <c r="C94" s="75"/>
      <c r="D94" s="75"/>
      <c r="E94" s="75"/>
      <c r="F94" s="74"/>
      <c r="G94" s="75"/>
      <c r="H94" s="75"/>
      <c r="I94" s="72"/>
    </row>
    <row r="95" spans="1:10" ht="12.95" customHeight="1" x14ac:dyDescent="0.2">
      <c r="A95" s="88" t="s">
        <v>178</v>
      </c>
      <c r="B95" s="88"/>
      <c r="C95" s="88"/>
      <c r="D95" s="88"/>
      <c r="E95" s="88"/>
      <c r="F95" s="88"/>
      <c r="G95" s="88"/>
      <c r="H95" s="88"/>
      <c r="J95" s="72"/>
    </row>
    <row r="96" spans="1:10" ht="14.25" x14ac:dyDescent="0.3">
      <c r="A96" s="20"/>
      <c r="B96" s="27"/>
      <c r="C96" s="28"/>
      <c r="D96" s="29"/>
      <c r="E96" s="29"/>
      <c r="F96" s="30"/>
      <c r="G96" s="24"/>
      <c r="H96" s="24"/>
    </row>
    <row r="97" spans="1:8" ht="12.95" customHeight="1" x14ac:dyDescent="0.2">
      <c r="A97" s="88" t="s">
        <v>10</v>
      </c>
      <c r="B97" s="88"/>
      <c r="C97" s="88"/>
      <c r="D97" s="88"/>
      <c r="E97" s="88"/>
      <c r="F97" s="88"/>
      <c r="G97" s="88"/>
      <c r="H97" s="88"/>
    </row>
    <row r="98" spans="1:8" ht="12.95" customHeight="1" x14ac:dyDescent="0.2">
      <c r="A98" s="88" t="s">
        <v>11</v>
      </c>
      <c r="B98" s="88"/>
      <c r="C98" s="88"/>
      <c r="D98" s="88"/>
      <c r="E98" s="88"/>
      <c r="F98" s="88"/>
      <c r="G98" s="88"/>
      <c r="H98" s="88"/>
    </row>
    <row r="99" spans="1:8" ht="12.95" customHeight="1" x14ac:dyDescent="0.2">
      <c r="A99" s="79" t="s">
        <v>12</v>
      </c>
      <c r="B99" s="79"/>
      <c r="C99" s="79"/>
      <c r="D99" s="79"/>
      <c r="E99" s="79"/>
      <c r="F99" s="79"/>
      <c r="G99" s="79"/>
      <c r="H99" s="79"/>
    </row>
    <row r="100" spans="1:8" ht="61.5" customHeight="1" x14ac:dyDescent="0.2">
      <c r="A100" s="80" t="s">
        <v>13</v>
      </c>
      <c r="B100" s="80"/>
      <c r="C100" s="80"/>
      <c r="D100" s="80"/>
      <c r="E100" s="80"/>
      <c r="F100" s="80"/>
      <c r="G100" s="80"/>
      <c r="H100" s="80"/>
    </row>
    <row r="101" spans="1:8" ht="14.25" x14ac:dyDescent="0.3">
      <c r="A101" s="31"/>
      <c r="B101" s="31"/>
      <c r="C101" s="31"/>
      <c r="D101" s="31"/>
      <c r="E101" s="31"/>
      <c r="F101" s="31"/>
      <c r="G101" s="29"/>
      <c r="H101" s="29"/>
    </row>
    <row r="102" spans="1:8" ht="14.25" x14ac:dyDescent="0.3">
      <c r="A102" s="32" t="s">
        <v>14</v>
      </c>
      <c r="B102" s="33"/>
      <c r="C102" s="33"/>
      <c r="D102" s="24"/>
      <c r="E102" s="24"/>
      <c r="F102" s="34"/>
      <c r="G102" s="24"/>
      <c r="H102" s="24"/>
    </row>
    <row r="103" spans="1:8" ht="14.25" x14ac:dyDescent="0.3">
      <c r="A103" s="35" t="s">
        <v>15</v>
      </c>
      <c r="B103" s="33"/>
      <c r="C103" s="33"/>
      <c r="D103" s="24"/>
      <c r="E103" s="24"/>
      <c r="F103" s="24"/>
      <c r="G103" s="24"/>
      <c r="H103" s="23"/>
    </row>
    <row r="104" spans="1:8" ht="14.25" x14ac:dyDescent="0.3">
      <c r="A104" s="35" t="s">
        <v>16</v>
      </c>
      <c r="B104" s="33"/>
      <c r="C104" s="33"/>
      <c r="D104" s="24"/>
      <c r="E104" s="24"/>
      <c r="F104" s="24"/>
      <c r="G104" s="24"/>
      <c r="H104" s="23"/>
    </row>
    <row r="105" spans="1:8" ht="14.25" x14ac:dyDescent="0.3">
      <c r="A105" s="35" t="s">
        <v>17</v>
      </c>
      <c r="B105" s="33"/>
      <c r="C105" s="33"/>
      <c r="D105" s="24"/>
      <c r="E105" s="24"/>
      <c r="F105" s="24"/>
      <c r="G105" s="24"/>
      <c r="H105" s="24"/>
    </row>
    <row r="106" spans="1:8" ht="14.25" x14ac:dyDescent="0.3">
      <c r="A106" s="36"/>
      <c r="B106" s="33"/>
      <c r="C106" s="33"/>
      <c r="D106" s="24"/>
      <c r="E106" s="24"/>
      <c r="F106" s="24"/>
      <c r="G106" s="24"/>
      <c r="H106" s="24"/>
    </row>
    <row r="107" spans="1:8" ht="14.25" x14ac:dyDescent="0.3">
      <c r="A107" s="37" t="s">
        <v>18</v>
      </c>
      <c r="B107" s="81" t="s">
        <v>19</v>
      </c>
      <c r="C107" s="81"/>
      <c r="D107" s="81"/>
      <c r="E107" s="39"/>
      <c r="F107" s="24"/>
      <c r="G107" s="24"/>
      <c r="H107" s="24"/>
    </row>
    <row r="108" spans="1:8" ht="14.25" x14ac:dyDescent="0.3">
      <c r="A108" s="37"/>
      <c r="B108" s="38"/>
      <c r="C108" s="38"/>
      <c r="D108" s="38"/>
      <c r="E108" s="39"/>
      <c r="F108" s="24"/>
      <c r="G108" s="24"/>
      <c r="H108" s="24"/>
    </row>
    <row r="109" spans="1:8" ht="14.25" x14ac:dyDescent="0.3">
      <c r="A109" s="40"/>
      <c r="B109" s="33"/>
      <c r="C109" s="33"/>
      <c r="D109" s="24"/>
      <c r="E109" s="24"/>
      <c r="F109" s="24"/>
      <c r="G109" s="24"/>
      <c r="H109" s="24"/>
    </row>
    <row r="110" spans="1:8" ht="14.25" x14ac:dyDescent="0.3">
      <c r="A110" s="33"/>
      <c r="B110" s="33"/>
      <c r="C110" s="33"/>
      <c r="D110" s="24"/>
      <c r="E110" s="24"/>
      <c r="F110" s="24"/>
      <c r="G110" s="24"/>
      <c r="H110" s="24"/>
    </row>
    <row r="111" spans="1:8" ht="14.25" x14ac:dyDescent="0.3">
      <c r="A111" s="20"/>
      <c r="B111" s="27"/>
      <c r="C111" s="41"/>
      <c r="D111" s="24"/>
      <c r="E111" s="24"/>
      <c r="F111" s="24"/>
      <c r="G111" s="24"/>
      <c r="H111" s="24"/>
    </row>
    <row r="112" spans="1:8" ht="14.25" x14ac:dyDescent="0.3">
      <c r="A112" s="20"/>
      <c r="B112" s="27"/>
      <c r="C112" s="41"/>
      <c r="D112" s="24"/>
      <c r="E112" s="24"/>
      <c r="F112" s="24"/>
      <c r="G112" s="24"/>
      <c r="H112" s="24"/>
    </row>
    <row r="113" spans="1:8" ht="14.25" x14ac:dyDescent="0.3">
      <c r="A113" s="20"/>
      <c r="B113" s="27"/>
      <c r="C113" s="41"/>
      <c r="D113" s="24"/>
      <c r="E113" s="24"/>
      <c r="F113" s="24"/>
      <c r="G113" s="24"/>
      <c r="H113" s="24"/>
    </row>
    <row r="114" spans="1:8" ht="14.25" x14ac:dyDescent="0.3">
      <c r="A114" s="20"/>
      <c r="B114" s="27"/>
      <c r="C114" s="41"/>
      <c r="D114" s="24"/>
      <c r="E114" s="24"/>
      <c r="F114" s="24"/>
      <c r="G114" s="24"/>
      <c r="H114" s="24"/>
    </row>
    <row r="115" spans="1:8" ht="14.25" x14ac:dyDescent="0.3">
      <c r="A115" s="20"/>
      <c r="B115" s="27"/>
      <c r="C115" s="41"/>
      <c r="D115" s="24"/>
      <c r="E115" s="24"/>
      <c r="F115" s="24"/>
      <c r="G115" s="24"/>
      <c r="H115" s="24"/>
    </row>
    <row r="116" spans="1:8" ht="14.25" x14ac:dyDescent="0.3">
      <c r="A116" s="20"/>
      <c r="B116" s="27"/>
      <c r="C116" s="41"/>
      <c r="D116" s="24"/>
      <c r="E116" s="24"/>
      <c r="F116" s="24"/>
      <c r="G116" s="24"/>
      <c r="H116" s="24"/>
    </row>
    <row r="117" spans="1:8" ht="14.25" x14ac:dyDescent="0.3">
      <c r="A117" s="20"/>
      <c r="B117" s="27"/>
      <c r="C117" s="41"/>
      <c r="D117" s="24"/>
      <c r="E117" s="24"/>
      <c r="F117" s="24"/>
      <c r="G117" s="24"/>
      <c r="H117" s="24"/>
    </row>
    <row r="118" spans="1:8" ht="14.25" x14ac:dyDescent="0.3">
      <c r="A118" s="20"/>
      <c r="B118" s="27"/>
      <c r="C118" s="41"/>
      <c r="D118" s="24"/>
      <c r="E118" s="24"/>
      <c r="F118" s="24"/>
      <c r="G118" s="24"/>
      <c r="H118" s="24"/>
    </row>
    <row r="119" spans="1:8" ht="12.95" customHeight="1" x14ac:dyDescent="0.3">
      <c r="A119" s="42" t="s">
        <v>20</v>
      </c>
      <c r="B119" s="82" t="s">
        <v>21</v>
      </c>
      <c r="C119" s="82"/>
      <c r="D119" s="82"/>
      <c r="E119" s="82"/>
      <c r="F119" s="24"/>
      <c r="G119" s="24"/>
      <c r="H119" s="24"/>
    </row>
    <row r="120" spans="1:8" ht="14.25" x14ac:dyDescent="0.3">
      <c r="A120" s="42"/>
      <c r="B120" s="42"/>
      <c r="C120" s="42"/>
      <c r="D120" s="42"/>
      <c r="E120" s="42"/>
      <c r="F120" s="24"/>
      <c r="G120" s="24"/>
      <c r="H120" s="24"/>
    </row>
    <row r="121" spans="1:8" ht="13.5" customHeight="1" thickBot="1" x14ac:dyDescent="0.35">
      <c r="A121" s="25"/>
      <c r="B121" s="27"/>
      <c r="C121" s="41"/>
      <c r="D121" s="24"/>
      <c r="E121" s="43"/>
      <c r="F121" s="24"/>
      <c r="G121" s="24"/>
      <c r="H121" s="24"/>
    </row>
    <row r="122" spans="1:8" ht="15" thickBot="1" x14ac:dyDescent="0.35">
      <c r="A122" s="83" t="s">
        <v>22</v>
      </c>
      <c r="B122" s="84"/>
      <c r="C122" s="84"/>
      <c r="D122" s="85"/>
      <c r="E122" s="43"/>
      <c r="F122" s="24"/>
      <c r="G122" s="24"/>
      <c r="H122" s="24"/>
    </row>
    <row r="123" spans="1:8" ht="15" thickBot="1" x14ac:dyDescent="0.35">
      <c r="A123" s="44" t="s">
        <v>23</v>
      </c>
      <c r="B123" s="86" t="s">
        <v>24</v>
      </c>
      <c r="C123" s="86" t="s">
        <v>25</v>
      </c>
      <c r="D123" s="86" t="s">
        <v>26</v>
      </c>
      <c r="E123" s="43"/>
      <c r="F123" s="24"/>
      <c r="G123" s="24"/>
      <c r="H123" s="24"/>
    </row>
    <row r="124" spans="1:8" ht="15" thickBot="1" x14ac:dyDescent="0.35">
      <c r="A124" s="44" t="s">
        <v>27</v>
      </c>
      <c r="B124" s="87"/>
      <c r="C124" s="87"/>
      <c r="D124" s="87"/>
      <c r="E124" s="43"/>
      <c r="F124" s="24"/>
      <c r="G124" s="24"/>
      <c r="H124" s="24"/>
    </row>
    <row r="125" spans="1:8" ht="15" thickBot="1" x14ac:dyDescent="0.35">
      <c r="A125" s="45" t="s">
        <v>28</v>
      </c>
      <c r="B125" s="46"/>
      <c r="C125" s="46" t="s">
        <v>29</v>
      </c>
      <c r="D125" s="47"/>
      <c r="E125" s="43"/>
      <c r="F125" s="24"/>
      <c r="G125" s="24"/>
      <c r="H125" s="24"/>
    </row>
    <row r="126" spans="1:8" ht="15" thickBot="1" x14ac:dyDescent="0.35">
      <c r="A126" s="48" t="s">
        <v>30</v>
      </c>
      <c r="B126" s="47"/>
      <c r="C126" s="47"/>
      <c r="D126" s="47"/>
      <c r="E126" s="43"/>
      <c r="F126" s="24"/>
      <c r="G126" s="24"/>
      <c r="H126" s="24"/>
    </row>
    <row r="127" spans="1:8" ht="15" thickBot="1" x14ac:dyDescent="0.35">
      <c r="A127" s="48" t="s">
        <v>31</v>
      </c>
      <c r="B127" s="47"/>
      <c r="C127" s="47"/>
      <c r="D127" s="47"/>
      <c r="E127" s="43"/>
      <c r="F127" s="24"/>
      <c r="G127" s="24"/>
      <c r="H127" s="24"/>
    </row>
    <row r="128" spans="1:8" ht="14.25" x14ac:dyDescent="0.3">
      <c r="A128" s="25"/>
      <c r="B128" s="49"/>
      <c r="C128" s="49"/>
      <c r="D128" s="49"/>
      <c r="E128" s="43"/>
      <c r="F128" s="24"/>
      <c r="G128" s="24"/>
      <c r="H128" s="24"/>
    </row>
    <row r="129" spans="1:8" ht="14.25" x14ac:dyDescent="0.3">
      <c r="A129" s="77" t="s">
        <v>32</v>
      </c>
      <c r="B129" s="78"/>
      <c r="C129" s="41"/>
      <c r="D129" s="24"/>
      <c r="E129" s="43"/>
      <c r="F129" s="24"/>
      <c r="G129" s="24"/>
      <c r="H129" s="24"/>
    </row>
    <row r="130" spans="1:8" ht="14.25" x14ac:dyDescent="0.3">
      <c r="A130" s="50" t="s">
        <v>33</v>
      </c>
      <c r="B130" s="51" t="s">
        <v>34</v>
      </c>
      <c r="C130" s="41"/>
      <c r="D130" s="24"/>
      <c r="E130" s="43"/>
      <c r="F130" s="24"/>
      <c r="G130" s="24"/>
      <c r="H130" s="24"/>
    </row>
    <row r="131" spans="1:8" ht="14.25" x14ac:dyDescent="0.3">
      <c r="A131" s="50" t="s">
        <v>35</v>
      </c>
      <c r="B131" s="52"/>
      <c r="C131" s="41"/>
      <c r="D131" s="24"/>
      <c r="E131" s="43"/>
      <c r="F131" s="24"/>
      <c r="G131" s="24"/>
      <c r="H131" s="24"/>
    </row>
    <row r="132" spans="1:8" ht="14.25" x14ac:dyDescent="0.3">
      <c r="A132" s="50"/>
      <c r="B132" s="52"/>
      <c r="C132" s="41"/>
      <c r="D132" s="24"/>
      <c r="E132" s="43"/>
      <c r="F132" s="24"/>
      <c r="G132" s="24"/>
      <c r="H132" s="24"/>
    </row>
    <row r="133" spans="1:8" ht="14.25" x14ac:dyDescent="0.3">
      <c r="A133" s="50" t="s">
        <v>36</v>
      </c>
      <c r="B133" s="53">
        <v>7.0300000000000001E-2</v>
      </c>
      <c r="C133" s="41"/>
      <c r="D133" s="24"/>
      <c r="E133" s="43"/>
      <c r="F133" s="24"/>
      <c r="G133" s="24"/>
      <c r="H133" s="24"/>
    </row>
    <row r="134" spans="1:8" ht="14.25" x14ac:dyDescent="0.3">
      <c r="A134" s="50" t="s">
        <v>37</v>
      </c>
      <c r="B134" s="54"/>
      <c r="C134" s="41"/>
      <c r="D134" s="24"/>
      <c r="E134" s="43"/>
      <c r="F134" s="24"/>
      <c r="G134" s="24"/>
      <c r="H134" s="24"/>
    </row>
    <row r="135" spans="1:8" ht="14.25" x14ac:dyDescent="0.3">
      <c r="A135" s="50" t="s">
        <v>38</v>
      </c>
      <c r="B135" s="55">
        <v>0.1603</v>
      </c>
      <c r="C135" s="56"/>
      <c r="D135" s="24"/>
      <c r="E135" s="43"/>
      <c r="F135" s="24"/>
      <c r="G135" s="24"/>
      <c r="H135" s="24"/>
    </row>
    <row r="136" spans="1:8" ht="14.25" x14ac:dyDescent="0.3">
      <c r="A136" s="50" t="s">
        <v>39</v>
      </c>
      <c r="B136" s="55">
        <v>0.16089999999999999</v>
      </c>
      <c r="C136" s="41"/>
      <c r="D136" s="24"/>
      <c r="E136" s="43"/>
      <c r="F136" s="24"/>
      <c r="G136" s="24"/>
      <c r="H136" s="24"/>
    </row>
    <row r="137" spans="1:8" ht="14.25" x14ac:dyDescent="0.3">
      <c r="A137" s="50" t="s">
        <v>37</v>
      </c>
      <c r="B137" s="52"/>
      <c r="C137" s="41"/>
      <c r="D137" s="24"/>
      <c r="E137" s="43"/>
      <c r="F137" s="24"/>
      <c r="G137" s="24"/>
      <c r="H137" s="24"/>
    </row>
    <row r="138" spans="1:8" ht="14.25" x14ac:dyDescent="0.3">
      <c r="A138" s="50" t="s">
        <v>40</v>
      </c>
      <c r="B138" s="51" t="s">
        <v>177</v>
      </c>
      <c r="C138" s="41"/>
      <c r="D138" s="24"/>
      <c r="E138" s="43"/>
      <c r="F138" s="24"/>
      <c r="G138" s="24"/>
      <c r="H138" s="24"/>
    </row>
    <row r="139" spans="1:8" ht="14.25" x14ac:dyDescent="0.3">
      <c r="A139" s="57" t="s">
        <v>41</v>
      </c>
      <c r="B139" s="58"/>
      <c r="C139" s="41"/>
      <c r="D139" s="24"/>
      <c r="E139" s="43"/>
      <c r="F139" s="24"/>
      <c r="G139" s="24"/>
      <c r="H139" s="24"/>
    </row>
  </sheetData>
  <sortState ref="A61:J74">
    <sortCondition descending="1" ref="D61:D74"/>
  </sortState>
  <mergeCells count="15">
    <mergeCell ref="A98:H98"/>
    <mergeCell ref="A1:H1"/>
    <mergeCell ref="A2:H2"/>
    <mergeCell ref="A3:H3"/>
    <mergeCell ref="A95:H95"/>
    <mergeCell ref="A97:H97"/>
    <mergeCell ref="A129:B129"/>
    <mergeCell ref="A99:H99"/>
    <mergeCell ref="A100:H100"/>
    <mergeCell ref="B107:D107"/>
    <mergeCell ref="B119:E119"/>
    <mergeCell ref="A122:D122"/>
    <mergeCell ref="B123:B124"/>
    <mergeCell ref="C123:C124"/>
    <mergeCell ref="D123:D124"/>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2025-02-17T08:29:36Z</dcterms:created>
  <dcterms:modified xsi:type="dcterms:W3CDTF">2025-04-04T13:58:46Z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2025-02-17T08:30:22Z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ce54d58b-29ec-4416-806d-888b50d90154</vt:lpwstr>
  </property>
  <property fmtid="{D5CDD505-2E9C-101B-9397-08002B2CF9AE}" pid="8" name="MSIP_Label_e3ba8fb0-bbb8-454c-aa98-661329b3f27f_ContentBits">
    <vt:lpwstr>3</vt:lpwstr>
  </property>
</Properties>
</file>