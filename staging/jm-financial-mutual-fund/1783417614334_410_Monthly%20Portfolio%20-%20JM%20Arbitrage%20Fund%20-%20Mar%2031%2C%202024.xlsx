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4\Monthly\Monthly 31.03.2024\"/>
    </mc:Choice>
  </mc:AlternateContent>
  <bookViews>
    <workbookView xWindow="0" yWindow="0" windowWidth="20490" windowHeight="7770"/>
  </bookViews>
  <sheets>
    <sheet name="JM Arbitrage Fund" sheetId="1" r:id="rId1"/>
  </sheets>
  <definedNames>
    <definedName name="_xlnm._FilterDatabase" localSheetId="0" hidden="1">'JM Arbitrage Fund'!$A$1:$IN$100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Fund'!$A$1:$E$79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93" i="1" l="1"/>
  <c r="E92" i="1"/>
  <c r="E93" i="1" s="1"/>
  <c r="D90" i="1"/>
  <c r="E89" i="1"/>
  <c r="E90" i="1" s="1"/>
  <c r="D88" i="1"/>
  <c r="E87" i="1"/>
  <c r="E86" i="1"/>
  <c r="E85" i="1"/>
  <c r="E84" i="1"/>
  <c r="E83" i="1"/>
  <c r="E82" i="1"/>
  <c r="E81" i="1"/>
  <c r="D62" i="1"/>
  <c r="D66" i="1" s="1"/>
  <c r="D95" i="1" s="1"/>
  <c r="D97" i="1" s="1"/>
  <c r="E97" i="1" s="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88" i="1" l="1"/>
  <c r="E62" i="1"/>
  <c r="E66" i="1" s="1"/>
  <c r="E95" i="1" l="1"/>
  <c r="E99" i="1" s="1"/>
</calcChain>
</file>

<file path=xl/sharedStrings.xml><?xml version="1.0" encoding="utf-8"?>
<sst xmlns="http://schemas.openxmlformats.org/spreadsheetml/2006/main" count="379" uniqueCount="268">
  <si>
    <t>JM Financial Mutual Fund</t>
  </si>
  <si>
    <t>JM Arbitrage Fund (An open ended scheme investing in arbitrage opportunities)</t>
  </si>
  <si>
    <t>Monthly Portfolio Statement for the period ended 31.03.2024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</si>
  <si>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</si>
  <si>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</si>
  <si>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</si>
  <si>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</si>
  <si>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</si>
  <si>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</si>
  <si>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</si>
  <si>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</si>
  <si>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</si>
  <si>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</si>
  <si>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</si>
  <si>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</si>
  <si>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</si>
  <si>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Larsen &amp; Toubro Ltd.</t>
  </si>
  <si>
    <t>Construction</t>
  </si>
  <si>
    <t>INE018A01030</t>
  </si>
  <si>
    <t>Reliance Industries Ltd.</t>
  </si>
  <si>
    <t>Petroleum Products</t>
  </si>
  <si>
    <t>INE002A01018</t>
  </si>
  <si>
    <t>Vedanta Ltd.</t>
  </si>
  <si>
    <t>Diversified Metals</t>
  </si>
  <si>
    <t>INE205A01025</t>
  </si>
  <si>
    <t>Glenmark Pharmaceuticals Ltd.</t>
  </si>
  <si>
    <t>Pharmaceuticals &amp; Biotechnology</t>
  </si>
  <si>
    <t>INE935A01035</t>
  </si>
  <si>
    <t>IndusInd Bank Ltd.</t>
  </si>
  <si>
    <t>INE095A01012</t>
  </si>
  <si>
    <t>Aditya Birla Fashion and Retail Ltd.</t>
  </si>
  <si>
    <t>Retailing</t>
  </si>
  <si>
    <t>INE647O01011</t>
  </si>
  <si>
    <t>Hindustan Petroleum Corporation Ltd.</t>
  </si>
  <si>
    <t>INE094A01015</t>
  </si>
  <si>
    <t>Hindustan Unilever Ltd.</t>
  </si>
  <si>
    <t>Diversified FMCG</t>
  </si>
  <si>
    <t>INE030A01027</t>
  </si>
  <si>
    <t>Bajaj Finance Ltd.</t>
  </si>
  <si>
    <t>Finance</t>
  </si>
  <si>
    <t>INE296A01024</t>
  </si>
  <si>
    <t>Tata Consultancy Services Ltd.</t>
  </si>
  <si>
    <t>IT - Software</t>
  </si>
  <si>
    <t>INE467B01029</t>
  </si>
  <si>
    <t>Container Corporation of India Ltd.</t>
  </si>
  <si>
    <t>Transport Services</t>
  </si>
  <si>
    <t>INE111A01025</t>
  </si>
  <si>
    <t>Bank of Baroda</t>
  </si>
  <si>
    <t>INE028A01039</t>
  </si>
  <si>
    <t>Indus Towers Ltd.</t>
  </si>
  <si>
    <t>Telecom - Services</t>
  </si>
  <si>
    <t>INE121J01017</t>
  </si>
  <si>
    <t>State Bank of India</t>
  </si>
  <si>
    <t>INE062A01020</t>
  </si>
  <si>
    <t>Tata Communications Ltd.</t>
  </si>
  <si>
    <t>INE151A01013</t>
  </si>
  <si>
    <t>Bandhan Bank Ltd.</t>
  </si>
  <si>
    <t>INE545U01014</t>
  </si>
  <si>
    <t>Canara Bank</t>
  </si>
  <si>
    <t>INE476A01014</t>
  </si>
  <si>
    <t>Dixon Technologies (India) Ltd.</t>
  </si>
  <si>
    <t>Consumer Durables</t>
  </si>
  <si>
    <t>INE935N01020</t>
  </si>
  <si>
    <t>Power Grid Corporation of India Ltd.</t>
  </si>
  <si>
    <t>Power</t>
  </si>
  <si>
    <t>INE752E01010</t>
  </si>
  <si>
    <t>Multi Commodity Exchange of India Ltd.</t>
  </si>
  <si>
    <t>Capital Markets</t>
  </si>
  <si>
    <t>INE745G01035</t>
  </si>
  <si>
    <t>Dr. Lal Path Labs Ltd.</t>
  </si>
  <si>
    <t>Healthcare Services</t>
  </si>
  <si>
    <t>INE600L01024</t>
  </si>
  <si>
    <t>Divi's Laboratories Ltd.</t>
  </si>
  <si>
    <t>INE361B01024</t>
  </si>
  <si>
    <t>LIC Housing Finance Ltd.</t>
  </si>
  <si>
    <t>INE115A01026</t>
  </si>
  <si>
    <t>Indian Oil Corporation Ltd.</t>
  </si>
  <si>
    <t>INE242A01010</t>
  </si>
  <si>
    <t>Godrej Properties Ltd.</t>
  </si>
  <si>
    <t>Realty</t>
  </si>
  <si>
    <t>INE484J01027</t>
  </si>
  <si>
    <t>Tata Steel Ltd.</t>
  </si>
  <si>
    <t>Ferrous Metals</t>
  </si>
  <si>
    <t>INE081A01020</t>
  </si>
  <si>
    <t>Escorts Kubota Ltd.</t>
  </si>
  <si>
    <t>Agricultural, Commercial &amp; Construction Vehicles</t>
  </si>
  <si>
    <t>INE042A01014</t>
  </si>
  <si>
    <t>Piramal Enterprises Ltd.</t>
  </si>
  <si>
    <t>INE140A01024</t>
  </si>
  <si>
    <t>Petronet LNG Ltd.</t>
  </si>
  <si>
    <t>Gas</t>
  </si>
  <si>
    <t>INE347G01014</t>
  </si>
  <si>
    <t>Info Edge (India) Ltd.</t>
  </si>
  <si>
    <t>INE663F01024</t>
  </si>
  <si>
    <t>TVS Motor Company Ltd.</t>
  </si>
  <si>
    <t>Automobiles</t>
  </si>
  <si>
    <t>INE494B01023</t>
  </si>
  <si>
    <t>Gujarat Narmada Valley Fertilizers &amp; Chemicals Ltd</t>
  </si>
  <si>
    <t>Chemicals &amp; Petrochemicals</t>
  </si>
  <si>
    <t>INE113A01013</t>
  </si>
  <si>
    <t>Tata Power Company Ltd.</t>
  </si>
  <si>
    <t>INE245A01021</t>
  </si>
  <si>
    <t>Granules India Ltd.</t>
  </si>
  <si>
    <t>INE101D01020</t>
  </si>
  <si>
    <t>United Spirits Ltd.</t>
  </si>
  <si>
    <t>Beverages</t>
  </si>
  <si>
    <t>INE854D01024</t>
  </si>
  <si>
    <t>Trent Ltd.</t>
  </si>
  <si>
    <t>INE849A01020</t>
  </si>
  <si>
    <t>Bosch Ltd.</t>
  </si>
  <si>
    <t>Auto Components</t>
  </si>
  <si>
    <t>INE323A01026</t>
  </si>
  <si>
    <t>Hindustan Copper Ltd.</t>
  </si>
  <si>
    <t>Non - Ferrous Metals</t>
  </si>
  <si>
    <t>INE531E01026</t>
  </si>
  <si>
    <t>Hindalco Industries Ltd.</t>
  </si>
  <si>
    <t>INE038A01020</t>
  </si>
  <si>
    <t>ACC Ltd.</t>
  </si>
  <si>
    <t>Cement &amp; Cement Products</t>
  </si>
  <si>
    <t>INE012A01025</t>
  </si>
  <si>
    <t>HDFC Life Insurance Company Ltd.</t>
  </si>
  <si>
    <t>Insurance</t>
  </si>
  <si>
    <t>INE795G01014</t>
  </si>
  <si>
    <t>JSW Steel Ltd.</t>
  </si>
  <si>
    <t>INE019A01038</t>
  </si>
  <si>
    <t>City Union Bank Ltd.</t>
  </si>
  <si>
    <t>INE491A01021</t>
  </si>
  <si>
    <t>AXIS Bank Ltd.</t>
  </si>
  <si>
    <t>INE238A01034</t>
  </si>
  <si>
    <t>Asian Paints Ltd.</t>
  </si>
  <si>
    <t>INE021A01026</t>
  </si>
  <si>
    <t>SBI Life Insurance Company Ltd.</t>
  </si>
  <si>
    <t>INE123W01016</t>
  </si>
  <si>
    <t>LTIMindtree Ltd.</t>
  </si>
  <si>
    <t>INE214T01019</t>
  </si>
  <si>
    <t>Samvardhana Motherson International Ltd.</t>
  </si>
  <si>
    <t>INE775A01035</t>
  </si>
  <si>
    <t>Bharti Airtel Ltd.</t>
  </si>
  <si>
    <t>INE397D01024</t>
  </si>
  <si>
    <t>Abbott India Ltd.</t>
  </si>
  <si>
    <t>INE358A01014</t>
  </si>
  <si>
    <t>Hindustan Aeronautics Ltd.</t>
  </si>
  <si>
    <t>Aerospace &amp; Defense</t>
  </si>
  <si>
    <t>INE066F01020</t>
  </si>
  <si>
    <t>Crompton Greaves Consumer Electricals Ltd.</t>
  </si>
  <si>
    <t>INE299U01018</t>
  </si>
  <si>
    <t>The Ramco Cements Ltd.</t>
  </si>
  <si>
    <t>INE331A01037</t>
  </si>
  <si>
    <t>Marico Ltd.</t>
  </si>
  <si>
    <t>Agricultural Food &amp; other Products</t>
  </si>
  <si>
    <t>INE196A01026</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</si>
  <si>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</si>
  <si>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</si>
  <si>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</si>
  <si>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</si>
  <si>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</si>
  <si>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</si>
  <si>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</si>
  <si>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</si>
  <si>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</si>
  <si>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</si>
  <si>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</si>
  <si>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182 Days Treasury-Bill 06/06/2024</t>
  </si>
  <si>
    <t>Sovereign</t>
  </si>
  <si>
    <t>IN002023Y375</t>
  </si>
  <si>
    <t>182 Days Treasury-Bill 23/05/2024</t>
  </si>
  <si>
    <t>IN002023Y359</t>
  </si>
  <si>
    <t>182 Days Treasury-Bill 04/07/2024</t>
  </si>
  <si>
    <t>IN002023Y417</t>
  </si>
  <si>
    <t>364 Days Treasury-Bill 18/04/2024</t>
  </si>
  <si>
    <t>IN002023Z042</t>
  </si>
  <si>
    <t>91 Days Treasury-Bill 25/04/2024</t>
  </si>
  <si>
    <t>IN002023X443</t>
  </si>
  <si>
    <t>182 Days Treasury-Bill 30/05/2024</t>
  </si>
  <si>
    <t>IN002023Y367</t>
  </si>
  <si>
    <t>182 Days Treasury-Bill 13/06/2024</t>
  </si>
  <si>
    <t>IN002023Y383</t>
  </si>
  <si>
    <t>TREPS-Triparty Repo</t>
  </si>
  <si>
    <t/>
  </si>
  <si>
    <t>Mutual Fund Units</t>
  </si>
  <si>
    <t>JM Liquid Fund - Direct Growth</t>
  </si>
  <si>
    <t>INF192K01CM6</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</si>
  <si>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</si>
  <si>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</si>
  <si>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</si>
  <si>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</si>
  <si>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</si>
  <si>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</si>
  <si>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</si>
  <si>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Underlying</t>
  </si>
  <si>
    <t>Long / Short</t>
  </si>
  <si>
    <t>Futures price when purchased (Rs.)</t>
  </si>
  <si>
    <t>Current  price of the Contract (Rs.)</t>
  </si>
  <si>
    <t>Total Margin maintained in   (Rs. In Lakhs)</t>
  </si>
  <si>
    <t>Short</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</si>
  <si>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</si>
  <si>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</si>
  <si>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</si>
  <si>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</si>
  <si>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</si>
  <si>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</si>
  <si>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</si>
  <si>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</si>
  <si>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</si>
  <si>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</si>
  <si>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</si>
  <si>
    <t>HDFC Life Insurance Company Ltd.Apr-2024</t>
  </si>
  <si>
    <t>Hindalco Industries Ltd.Apr-2024</t>
  </si>
  <si>
    <t>Hindustan Copper Ltd.Apr-2024</t>
  </si>
  <si>
    <t>Hindustan Petroleum Corporation Ltd.Apr-2024</t>
  </si>
  <si>
    <t>Hindustan Unilever Ltd.Apr-2024</t>
  </si>
  <si>
    <t>IndusInd Bank Ltd.Apr-2024</t>
  </si>
  <si>
    <t>Indus Towers Ltd.Apr-2024</t>
  </si>
  <si>
    <t>Indian Oil Corporation Ltd.Apr-2024</t>
  </si>
  <si>
    <t>JSW Steel Ltd.Apr-2024</t>
  </si>
  <si>
    <t>Dr. Lal Path Labs Ltd.Apr-2024</t>
  </si>
  <si>
    <t>LIC Housing Finance Ltd.Apr-2024</t>
  </si>
  <si>
    <t>Larsen &amp; Toubro Ltd.Apr-2024</t>
  </si>
  <si>
    <t>LTIMindtree Ltd.Apr-2024</t>
  </si>
  <si>
    <t>Marico Ltd.Apr-2024</t>
  </si>
  <si>
    <t>United Spirits Ltd.Apr-2024</t>
  </si>
  <si>
    <t>Multi Commodity Exchange of India Ltd.Apr-2024</t>
  </si>
  <si>
    <t>Samvardhana Motherson International Ltd.Apr-2024</t>
  </si>
  <si>
    <t>Info Edge (India) Ltd.Apr-2024</t>
  </si>
  <si>
    <t>Piramal Enterprises Ltd.Apr-2024</t>
  </si>
  <si>
    <t>Petronet LNG Ltd.Apr-2024</t>
  </si>
  <si>
    <t>Power Grid Corporation of India Ltd.Apr-2024</t>
  </si>
  <si>
    <t>The Ramco Cements Ltd.Apr-2024</t>
  </si>
  <si>
    <t>Reliance Industries Ltd.Apr-2024</t>
  </si>
  <si>
    <t>SBI Life Insurance Company Ltd.Apr-2024</t>
  </si>
  <si>
    <t>State Bank of IndiaApr-2024</t>
  </si>
  <si>
    <t>Tata Communications Ltd.Apr-2024</t>
  </si>
  <si>
    <t>Tata Power Company Ltd.Apr-2024</t>
  </si>
  <si>
    <t>Tata Steel Ltd.Apr-2024</t>
  </si>
  <si>
    <t>Tata Consultancy Services Ltd.Apr-2024</t>
  </si>
  <si>
    <t>Trent Ltd.Apr-2024</t>
  </si>
  <si>
    <t>TVS Motor Company Ltd.Apr-2024</t>
  </si>
  <si>
    <t>Vedanta Ltd.Apr-2024</t>
  </si>
  <si>
    <t>Abbott India Ltd.Apr-2024</t>
  </si>
  <si>
    <t>Aditya Birla Fashion and Retail Ltd.Apr-2024</t>
  </si>
  <si>
    <t>ACC Ltd.Apr-2024</t>
  </si>
  <si>
    <t>Asian Paints Ltd.Apr-2024</t>
  </si>
  <si>
    <t>AXIS Bank Ltd.Apr-2024</t>
  </si>
  <si>
    <t>Bajaj Finance Ltd.Apr-2024</t>
  </si>
  <si>
    <t>Bandhan Bank Ltd.Apr-2024</t>
  </si>
  <si>
    <t>Bank of BarodaApr-2024</t>
  </si>
  <si>
    <t>Bharti Airtel Ltd.Apr-2024</t>
  </si>
  <si>
    <t>Bosch Ltd.Apr-2024</t>
  </si>
  <si>
    <t>Canara BankApr-2024</t>
  </si>
  <si>
    <t>Container Corporation of India Ltd.Apr-2024</t>
  </si>
  <si>
    <t>Crompton Greaves Consumer Electricals Ltd.Apr-2024</t>
  </si>
  <si>
    <t>City Union Bank Ltd.Apr-2024</t>
  </si>
  <si>
    <t>Divi's Laboratories Ltd.Apr-2024</t>
  </si>
  <si>
    <t>Dixon Technologies (India) Ltd.Apr-2024</t>
  </si>
  <si>
    <t>Escorts Kubota Ltd.Apr-2024</t>
  </si>
  <si>
    <t>Glenmark Pharmaceuticals Ltd.Apr-2024</t>
  </si>
  <si>
    <t>Gujarat Narmada Valley Fertilizers &amp; Chemicals LtdApr-2024</t>
  </si>
  <si>
    <t>Godrej Properties Ltd.Apr-2024</t>
  </si>
  <si>
    <t>Granules India Ltd.Apr-2024</t>
  </si>
  <si>
    <t>Hindustan Aeronautics Ltd.Apr-2024</t>
  </si>
  <si>
    <t>HDFC Bank Ltd.Apr-2024</t>
  </si>
  <si>
    <t>Total 63.70% of existing assets hedged through futures as on 31/03/2024</t>
  </si>
  <si>
    <t>Hedging Positions through futures as on March 31, 2024:</t>
  </si>
  <si>
    <t>Total outstanding exposure in derivative instruments at the end of the period - Short -(Rs in Lakhs) : (8,072.62)</t>
  </si>
  <si>
    <t>Total exposure due to futures (non hedging positions) was 0% of net assets as on 31/03/2024</t>
  </si>
  <si>
    <t>-</t>
  </si>
  <si>
    <t>For the period ended March 31, 2024, following are the hedging transactions through futures which have been squared off / expired :</t>
  </si>
  <si>
    <t>For the period ended March 31, 2024, following are the non-hedging transactions through futures which have been squared off / expired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</si>
</sst>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sz val="8"/>
      <name val="Arial"/>
      <family val="2"/>
    </font>
    <font>
      <b/>
      <sz val="8"/>
      <color indexed="8"/>
      <name val="Century Gothic"/>
      <family val="2"/>
    </font>
    <font>
      <b/>
      <sz val="8"/>
      <color indexed="9"/>
      <name val="Century Gothic"/>
      <family val="2"/>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xf numFmtId="0" fontId="6" fillId="0" borderId="0"/>
  </cellStyleXfs>
  <cellXfs count="96">
    <xf numFmtId="0" fontId="0" fillId="0" borderId="0" xfId="0"/>
    <xf numFmtId="0" fontId="3" fillId="0" borderId="0" xfId="2" applyFont="1"/>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2" fontId="5" fillId="0" borderId="3" xfId="2" applyNumberFormat="1" applyFont="1" applyFill="1" applyBorder="1" applyAlignment="1">
      <alignment horizontal="right"/>
    </xf>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Alignment="1">
      <alignment wrapText="1"/>
    </xf>
    <xf numFmtId="0" fontId="5" fillId="0" borderId="0" xfId="2" applyFont="1" applyAlignment="1">
      <alignment horizontal="left" wrapText="1"/>
    </xf>
    <xf numFmtId="0" fontId="5" fillId="0" borderId="0" xfId="2" applyFont="1" applyFill="1" applyAlignment="1">
      <alignment horizontal="left" wrapText="1"/>
    </xf>
    <xf numFmtId="0" fontId="5" fillId="0" borderId="0" xfId="2" applyFont="1" applyFill="1" applyAlignment="1">
      <alignment wrapText="1"/>
    </xf>
    <xf numFmtId="0" fontId="4" fillId="0" borderId="0" xfId="4" applyFont="1" applyFill="1" applyAlignment="1"/>
    <xf numFmtId="165" fontId="5" fillId="0" borderId="0" xfId="1" applyNumberFormat="1" applyFont="1" applyFill="1"/>
    <xf numFmtId="164" fontId="5" fillId="0" borderId="0" xfId="1" applyFont="1" applyFill="1" applyAlignment="1">
      <alignment horizontal="right"/>
    </xf>
    <xf numFmtId="0" fontId="5" fillId="0" borderId="0" xfId="2" applyFont="1" applyFill="1" applyAlignment="1">
      <alignment horizontal="right"/>
    </xf>
    <xf numFmtId="0" fontId="8" fillId="0" borderId="0" xfId="5" applyFont="1" applyBorder="1" applyAlignment="1">
      <alignment horizontal="left" vertical="top" wrapText="1"/>
    </xf>
    <xf numFmtId="0" fontId="9" fillId="0" borderId="0" xfId="2" applyFont="1" applyAlignment="1">
      <alignment horizontal="left" vertical="top" wrapText="1"/>
    </xf>
    <xf numFmtId="4" fontId="5" fillId="0" borderId="0" xfId="2" applyNumberFormat="1" applyFont="1" applyFill="1"/>
    <xf numFmtId="4" fontId="5" fillId="0" borderId="0" xfId="2" applyNumberFormat="1" applyFont="1"/>
    <xf numFmtId="165" fontId="5" fillId="0" borderId="0" xfId="1" applyNumberFormat="1" applyFont="1"/>
    <xf numFmtId="164" fontId="5" fillId="0" borderId="0" xfId="1" applyFont="1" applyFill="1" applyBorder="1"/>
    <xf numFmtId="0" fontId="5" fillId="0" borderId="0" xfId="4" applyFont="1" applyFill="1" applyBorder="1" applyAlignment="1"/>
    <xf numFmtId="165" fontId="5" fillId="0" borderId="0" xfId="7" applyNumberFormat="1" applyFont="1"/>
    <xf numFmtId="165" fontId="5" fillId="0" borderId="0" xfId="7" applyNumberFormat="1" applyFont="1" applyFill="1"/>
    <xf numFmtId="164" fontId="5" fillId="0" borderId="0" xfId="2" applyNumberFormat="1" applyFont="1"/>
    <xf numFmtId="0" fontId="4" fillId="4" borderId="4" xfId="2" applyFont="1" applyFill="1" applyBorder="1" applyAlignment="1"/>
    <xf numFmtId="0" fontId="4" fillId="4" borderId="2" xfId="2" applyFont="1" applyFill="1" applyBorder="1" applyAlignment="1"/>
    <xf numFmtId="0" fontId="4" fillId="4" borderId="5" xfId="2" applyFont="1" applyFill="1" applyBorder="1" applyAlignment="1"/>
    <xf numFmtId="0" fontId="5" fillId="4" borderId="3" xfId="2" applyFont="1" applyFill="1" applyBorder="1" applyAlignment="1"/>
    <xf numFmtId="165" fontId="5" fillId="0" borderId="3" xfId="1" applyNumberFormat="1" applyFont="1" applyBorder="1"/>
    <xf numFmtId="4" fontId="5" fillId="0" borderId="3" xfId="2" applyNumberFormat="1" applyFont="1" applyBorder="1"/>
    <xf numFmtId="164" fontId="5" fillId="0" borderId="3" xfId="1" applyFont="1" applyBorder="1"/>
    <xf numFmtId="0" fontId="4" fillId="0" borderId="0" xfId="2" applyFont="1"/>
    <xf numFmtId="0" fontId="5" fillId="0" borderId="3" xfId="2" applyFont="1" applyBorder="1" applyAlignment="1">
      <alignment horizontal="center" vertical="top"/>
    </xf>
    <xf numFmtId="0" fontId="10" fillId="0" borderId="0" xfId="8" applyFont="1"/>
    <xf numFmtId="0" fontId="11" fillId="0" borderId="0" xfId="2" applyFont="1" applyFill="1" applyBorder="1" applyAlignment="1">
      <alignment horizontal="left" wrapText="1"/>
    </xf>
    <xf numFmtId="0" fontId="7" fillId="0" borderId="0" xfId="8" applyFont="1" applyBorder="1"/>
    <xf numFmtId="0" fontId="10" fillId="0" borderId="0" xfId="9" applyFont="1" applyAlignment="1">
      <alignment horizontal="center"/>
    </xf>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5" fillId="0" borderId="0" xfId="2" applyFont="1" applyAlignment="1">
      <alignment horizontal="left" vertical="top" wrapText="1"/>
    </xf>
    <xf numFmtId="0" fontId="4" fillId="3" borderId="3" xfId="4" applyFont="1" applyFill="1" applyBorder="1" applyAlignment="1">
      <alignment horizontal="left" vertical="top" wrapText="1"/>
    </xf>
    <xf numFmtId="0" fontId="4" fillId="3" borderId="3" xfId="2" applyFont="1" applyFill="1" applyBorder="1" applyAlignment="1">
      <alignment horizontal="left" vertical="top" wrapText="1"/>
    </xf>
    <xf numFmtId="165" fontId="4" fillId="3" borderId="3" xfId="6" applyNumberFormat="1" applyFont="1" applyFill="1" applyBorder="1" applyAlignment="1">
      <alignment horizontal="left" vertical="top"/>
    </xf>
    <xf numFmtId="4" fontId="3" fillId="0" borderId="3" xfId="0" applyNumberFormat="1" applyFont="1" applyFill="1" applyBorder="1" applyAlignment="1">
      <alignment wrapText="1"/>
    </xf>
    <xf numFmtId="4" fontId="5" fillId="0" borderId="3" xfId="0" applyNumberFormat="1" applyFont="1" applyFill="1" applyBorder="1" applyAlignment="1">
      <alignment wrapText="1"/>
    </xf>
    <xf numFmtId="3" fontId="5" fillId="0" borderId="3" xfId="1" applyNumberFormat="1" applyFont="1" applyFill="1" applyBorder="1"/>
    <xf numFmtId="4" fontId="3" fillId="0" borderId="3" xfId="1" applyNumberFormat="1" applyFont="1" applyFill="1" applyBorder="1"/>
    <xf numFmtId="4" fontId="3" fillId="0" borderId="0" xfId="2" applyNumberFormat="1" applyFont="1"/>
    <xf numFmtId="4" fontId="3" fillId="0" borderId="0" xfId="2" applyNumberFormat="1" applyFont="1" applyFill="1"/>
    <xf numFmtId="0" fontId="5" fillId="0" borderId="4" xfId="2" applyFont="1" applyFill="1" applyBorder="1" applyAlignment="1">
      <alignment horizontal="left"/>
    </xf>
    <xf numFmtId="0" fontId="5" fillId="0" borderId="2" xfId="2" applyFont="1" applyFill="1" applyBorder="1" applyAlignment="1">
      <alignment horizontal="left"/>
    </xf>
    <xf numFmtId="0" fontId="5" fillId="0" borderId="5" xfId="2" applyFont="1" applyFill="1" applyBorder="1" applyAlignment="1">
      <alignment horizontal="left"/>
    </xf>
    <xf numFmtId="0" fontId="8" fillId="0" borderId="0" xfId="5" applyFont="1" applyBorder="1" applyAlignment="1">
      <alignment horizontal="left" vertical="top" wrapText="1"/>
    </xf>
    <xf numFmtId="0" fontId="5" fillId="0" borderId="0" xfId="2" applyFont="1" applyAlignment="1">
      <alignment horizontal="left" vertical="top" wrapText="1"/>
    </xf>
    <xf numFmtId="0" fontId="4" fillId="0" borderId="1" xfId="2" applyFont="1" applyFill="1" applyBorder="1" applyAlignment="1">
      <alignment horizontal="left"/>
    </xf>
    <xf numFmtId="0" fontId="7" fillId="0" borderId="0" xfId="5" applyFont="1" applyBorder="1" applyAlignment="1">
      <alignment horizontal="lef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4" applyFont="1" applyAlignment="1">
      <alignment horizontal="left" vertical="top" wrapText="1"/>
    </xf>
    <xf numFmtId="0" fontId="4" fillId="4" borderId="3" xfId="2" applyFont="1" applyFill="1" applyBorder="1" applyAlignment="1"/>
  </cellXfs>
  <cellStyles count="10">
    <cellStyle name="Comma" xfId="1" builtinId="3"/>
    <cellStyle name="Comma 2" xfId="6"/>
    <cellStyle name="Comma 3" xfId="3"/>
    <cellStyle name="Comma 4" xfId="7"/>
    <cellStyle name="Normal" xfId="0" builtinId="0"/>
    <cellStyle name="Normal 2 2 2" xfId="2"/>
    <cellStyle name="Normal 2 3 2" xfId="4"/>
    <cellStyle name="Normal 4_AA" xfId="8"/>
    <cellStyle name="Normal 4_IF" xfId="9"/>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666750</xdr:colOff>
      <xdr:row>187</xdr:row>
      <xdr:rowOff>76200</xdr:rowOff>
    </xdr:from>
    <xdr:to>
      <xdr:col>0</xdr:col>
      <xdr:colOff>2466542</xdr:colOff>
      <xdr:row>193</xdr:row>
      <xdr:rowOff>141718</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666750" y="35099625"/>
          <a:ext cx="1799792" cy="1151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419100</xdr:colOff>
      <xdr:row>187</xdr:row>
      <xdr:rowOff>85726</xdr:rowOff>
    </xdr:from>
    <xdr:to>
      <xdr:col>1</xdr:col>
      <xdr:colOff>2223049</xdr:colOff>
      <xdr:row>193</xdr:row>
      <xdr:rowOff>113314</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3152775" y="32946976"/>
          <a:ext cx="1803949" cy="1113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96"/>
  <sheetViews>
    <sheetView tabSelected="1" zoomScaleNormal="100" workbookViewId="0">
      <selection sqref="A1:H1"/>
    </sheetView>
  </sheetViews>
  <sheetFormatPr defaultRowHeight="12.75" x14ac:dyDescent="0.2"/>
  <cols>
    <col min="1" max="1" width="43.140625" style="70" customWidth="1"/>
    <col min="2" max="2" width="39.42578125" style="71" customWidth="1"/>
    <col min="3" max="3" width="12.28515625" style="72" customWidth="1"/>
    <col min="4" max="4" width="13.7109375" style="1" customWidth="1"/>
    <col min="5" max="5" width="10.28515625" style="1" customWidth="1"/>
    <col min="6" max="6" width="14.28515625" style="1" customWidth="1"/>
    <col min="7" max="7" width="9.5703125" style="1" bestFit="1" customWidth="1"/>
    <col min="8" max="8" width="12.28515625" style="1" customWidth="1"/>
    <col min="9" max="9" width="9.5703125" style="1" bestFit="1" customWidth="1"/>
    <col min="10" max="16384" width="9.140625" style="1"/>
  </cols>
  <sheetData>
    <row r="1" spans="1:8" x14ac:dyDescent="0.2">
      <c r="A1" s="92" t="s">
        <v>0</v>
      </c>
      <c r="B1" s="92"/>
      <c r="C1" s="92"/>
      <c r="D1" s="92"/>
      <c r="E1" s="92"/>
      <c r="F1" s="92"/>
      <c r="G1" s="92"/>
      <c r="H1" s="92"/>
    </row>
    <row r="2" spans="1:8" x14ac:dyDescent="0.2">
      <c r="A2" s="92" t="s">
        <v>1</v>
      </c>
      <c r="B2" s="92"/>
      <c r="C2" s="92"/>
      <c r="D2" s="92"/>
      <c r="E2" s="92"/>
      <c r="F2" s="92"/>
      <c r="G2" s="92"/>
      <c r="H2" s="92"/>
    </row>
    <row r="3" spans="1:8" x14ac:dyDescent="0.2">
      <c r="A3" s="93" t="s">
        <v>2</v>
      </c>
      <c r="B3" s="93"/>
      <c r="C3" s="93"/>
      <c r="D3" s="93"/>
      <c r="E3" s="93"/>
      <c r="F3" s="93"/>
      <c r="G3" s="93"/>
      <c r="H3" s="93"/>
    </row>
    <row r="4" spans="1:8" s="2" customFormat="1" ht="25.5" x14ac:dyDescent="0.2">
      <c r="A4" s="73" t="s">
        <v>3</v>
      </c>
      <c r="B4" s="73" t="s">
        <v>4</v>
      </c>
      <c r="C4" s="74" t="s">
        <v>5</v>
      </c>
      <c r="D4" s="73" t="s">
        <v>6</v>
      </c>
      <c r="E4" s="73" t="s">
        <v>7</v>
      </c>
      <c r="F4" s="73" t="s">
        <v>8</v>
      </c>
      <c r="G4" s="73" t="s">
        <v>9</v>
      </c>
      <c r="H4" s="73" t="s">
        <v>10</v>
      </c>
    </row>
    <row r="5" spans="1:8" ht="14.25" x14ac:dyDescent="0.3">
      <c r="A5" s="3" t="s">
        <v>11</v>
      </c>
      <c r="B5" s="4"/>
      <c r="C5" s="5"/>
      <c r="D5" s="6"/>
      <c r="E5" s="6"/>
      <c r="F5" s="7"/>
      <c r="G5" s="8"/>
      <c r="H5" s="9"/>
    </row>
    <row r="6" spans="1:8" ht="14.25" x14ac:dyDescent="0.3">
      <c r="A6" s="10" t="s">
        <v>12</v>
      </c>
      <c r="B6" s="4"/>
      <c r="C6" s="5"/>
      <c r="D6" s="6"/>
      <c r="E6" s="6"/>
      <c r="F6" s="7"/>
      <c r="G6" s="8"/>
      <c r="H6" s="9"/>
    </row>
    <row r="7" spans="1:8" s="15" customFormat="1" ht="14.25" x14ac:dyDescent="0.3">
      <c r="A7" s="11" t="s">
        <v>13</v>
      </c>
      <c r="B7" s="12" t="s">
        <v>14</v>
      </c>
      <c r="C7" s="13">
        <v>46200</v>
      </c>
      <c r="D7" s="14">
        <v>668.9298</v>
      </c>
      <c r="E7" s="14">
        <f t="shared" ref="E7:E61" si="0">(+D7/$D$99*100)</f>
        <v>5.2788148507585806</v>
      </c>
      <c r="F7" s="14" t="s">
        <v>15</v>
      </c>
      <c r="G7" s="9"/>
      <c r="H7" s="9"/>
    </row>
    <row r="8" spans="1:8" s="15" customFormat="1" ht="14.25" x14ac:dyDescent="0.3">
      <c r="A8" s="11" t="s">
        <v>16</v>
      </c>
      <c r="B8" s="12" t="s">
        <v>17</v>
      </c>
      <c r="C8" s="13">
        <v>14700</v>
      </c>
      <c r="D8" s="14">
        <v>553.29330000000004</v>
      </c>
      <c r="E8" s="14">
        <f t="shared" si="0"/>
        <v>4.3662771323167586</v>
      </c>
      <c r="F8" s="14" t="s">
        <v>18</v>
      </c>
      <c r="G8" s="9"/>
      <c r="H8" s="16"/>
    </row>
    <row r="9" spans="1:8" s="15" customFormat="1" ht="14.25" x14ac:dyDescent="0.3">
      <c r="A9" s="11" t="s">
        <v>19</v>
      </c>
      <c r="B9" s="12" t="s">
        <v>20</v>
      </c>
      <c r="C9" s="13">
        <v>17750</v>
      </c>
      <c r="D9" s="14">
        <v>527.47675000000004</v>
      </c>
      <c r="E9" s="14">
        <f t="shared" si="0"/>
        <v>4.1625475518206416</v>
      </c>
      <c r="F9" s="14" t="s">
        <v>21</v>
      </c>
      <c r="G9" s="9"/>
      <c r="H9" s="8"/>
    </row>
    <row r="10" spans="1:8" s="15" customFormat="1" ht="14.25" x14ac:dyDescent="0.3">
      <c r="A10" s="11" t="s">
        <v>22</v>
      </c>
      <c r="B10" s="12" t="s">
        <v>23</v>
      </c>
      <c r="C10" s="13">
        <v>158700</v>
      </c>
      <c r="D10" s="14">
        <v>431.10854999999998</v>
      </c>
      <c r="E10" s="14">
        <f t="shared" si="0"/>
        <v>3.402064336241259</v>
      </c>
      <c r="F10" s="14" t="s">
        <v>24</v>
      </c>
      <c r="G10" s="9"/>
      <c r="H10" s="8"/>
    </row>
    <row r="11" spans="1:8" s="15" customFormat="1" ht="14.25" x14ac:dyDescent="0.3">
      <c r="A11" s="11" t="s">
        <v>25</v>
      </c>
      <c r="B11" s="12" t="s">
        <v>26</v>
      </c>
      <c r="C11" s="13">
        <v>38425</v>
      </c>
      <c r="D11" s="14">
        <v>368.28441249999997</v>
      </c>
      <c r="E11" s="14">
        <f t="shared" si="0"/>
        <v>2.9062918500684214</v>
      </c>
      <c r="F11" s="14" t="s">
        <v>27</v>
      </c>
      <c r="G11" s="9"/>
      <c r="H11" s="9"/>
    </row>
    <row r="12" spans="1:8" s="15" customFormat="1" ht="14.25" x14ac:dyDescent="0.3">
      <c r="A12" s="11" t="s">
        <v>28</v>
      </c>
      <c r="B12" s="12" t="s">
        <v>14</v>
      </c>
      <c r="C12" s="13">
        <v>21000</v>
      </c>
      <c r="D12" s="14">
        <v>326.13</v>
      </c>
      <c r="E12" s="14">
        <f t="shared" si="0"/>
        <v>2.5736331185692367</v>
      </c>
      <c r="F12" s="14" t="s">
        <v>29</v>
      </c>
      <c r="G12" s="9"/>
      <c r="H12" s="9"/>
    </row>
    <row r="13" spans="1:8" s="15" customFormat="1" ht="14.25" x14ac:dyDescent="0.3">
      <c r="A13" s="11" t="s">
        <v>30</v>
      </c>
      <c r="B13" s="12" t="s">
        <v>31</v>
      </c>
      <c r="C13" s="13">
        <v>137800</v>
      </c>
      <c r="D13" s="14">
        <v>283.24790000000002</v>
      </c>
      <c r="E13" s="14">
        <f t="shared" si="0"/>
        <v>2.2352318897531269</v>
      </c>
      <c r="F13" s="14" t="s">
        <v>32</v>
      </c>
      <c r="G13" s="9"/>
      <c r="H13" s="9"/>
    </row>
    <row r="14" spans="1:8" s="15" customFormat="1" ht="14.25" x14ac:dyDescent="0.3">
      <c r="A14" s="11" t="s">
        <v>33</v>
      </c>
      <c r="B14" s="12" t="s">
        <v>20</v>
      </c>
      <c r="C14" s="13">
        <v>59400</v>
      </c>
      <c r="D14" s="14">
        <v>282.53609999999998</v>
      </c>
      <c r="E14" s="14">
        <f t="shared" si="0"/>
        <v>2.2296147675816074</v>
      </c>
      <c r="F14" s="14" t="s">
        <v>34</v>
      </c>
      <c r="G14" s="9"/>
      <c r="H14" s="9"/>
    </row>
    <row r="15" spans="1:8" s="15" customFormat="1" ht="14.25" x14ac:dyDescent="0.3">
      <c r="A15" s="11" t="s">
        <v>35</v>
      </c>
      <c r="B15" s="12" t="s">
        <v>36</v>
      </c>
      <c r="C15" s="13">
        <v>11400</v>
      </c>
      <c r="D15" s="14">
        <v>258.13589999999999</v>
      </c>
      <c r="E15" s="14">
        <f t="shared" si="0"/>
        <v>2.0370622185376281</v>
      </c>
      <c r="F15" s="14" t="s">
        <v>37</v>
      </c>
      <c r="G15" s="9"/>
      <c r="H15" s="9"/>
    </row>
    <row r="16" spans="1:8" s="15" customFormat="1" ht="14.25" x14ac:dyDescent="0.3">
      <c r="A16" s="11" t="s">
        <v>38</v>
      </c>
      <c r="B16" s="12" t="s">
        <v>39</v>
      </c>
      <c r="C16" s="13">
        <v>3125</v>
      </c>
      <c r="D16" s="14">
        <v>226.4140625</v>
      </c>
      <c r="E16" s="14">
        <f t="shared" si="0"/>
        <v>1.7867314560445375</v>
      </c>
      <c r="F16" s="14" t="s">
        <v>40</v>
      </c>
      <c r="G16" s="9"/>
      <c r="H16" s="9"/>
    </row>
    <row r="17" spans="1:8" s="15" customFormat="1" ht="14.25" x14ac:dyDescent="0.3">
      <c r="A17" s="11" t="s">
        <v>41</v>
      </c>
      <c r="B17" s="12" t="s">
        <v>42</v>
      </c>
      <c r="C17" s="13">
        <v>5775</v>
      </c>
      <c r="D17" s="14">
        <v>223.856325</v>
      </c>
      <c r="E17" s="14">
        <f t="shared" si="0"/>
        <v>1.766547241349151</v>
      </c>
      <c r="F17" s="14" t="s">
        <v>43</v>
      </c>
      <c r="G17" s="9"/>
      <c r="H17" s="8"/>
    </row>
    <row r="18" spans="1:8" s="15" customFormat="1" ht="14.25" x14ac:dyDescent="0.3">
      <c r="A18" s="11" t="s">
        <v>44</v>
      </c>
      <c r="B18" s="12" t="s">
        <v>45</v>
      </c>
      <c r="C18" s="13">
        <v>24000</v>
      </c>
      <c r="D18" s="14">
        <v>211.70400000000001</v>
      </c>
      <c r="E18" s="14">
        <f t="shared" si="0"/>
        <v>1.6706479800496177</v>
      </c>
      <c r="F18" s="14" t="s">
        <v>46</v>
      </c>
      <c r="G18" s="9"/>
      <c r="H18" s="9"/>
    </row>
    <row r="19" spans="1:8" s="15" customFormat="1" ht="14.25" x14ac:dyDescent="0.3">
      <c r="A19" s="11" t="s">
        <v>47</v>
      </c>
      <c r="B19" s="12" t="s">
        <v>14</v>
      </c>
      <c r="C19" s="13">
        <v>78975</v>
      </c>
      <c r="D19" s="14">
        <v>208.53348750000001</v>
      </c>
      <c r="E19" s="14">
        <f t="shared" si="0"/>
        <v>1.6456280923580904</v>
      </c>
      <c r="F19" s="14" t="s">
        <v>48</v>
      </c>
      <c r="G19" s="9"/>
      <c r="H19" s="9"/>
    </row>
    <row r="20" spans="1:8" s="15" customFormat="1" ht="14.25" x14ac:dyDescent="0.3">
      <c r="A20" s="11" t="s">
        <v>49</v>
      </c>
      <c r="B20" s="12" t="s">
        <v>50</v>
      </c>
      <c r="C20" s="13">
        <v>71400</v>
      </c>
      <c r="D20" s="14">
        <v>207.8811</v>
      </c>
      <c r="E20" s="14">
        <f t="shared" si="0"/>
        <v>1.6404798199632153</v>
      </c>
      <c r="F20" s="14" t="s">
        <v>51</v>
      </c>
      <c r="G20" s="9"/>
      <c r="H20" s="9"/>
    </row>
    <row r="21" spans="1:8" s="15" customFormat="1" ht="14.25" x14ac:dyDescent="0.3">
      <c r="A21" s="11" t="s">
        <v>52</v>
      </c>
      <c r="B21" s="12" t="s">
        <v>14</v>
      </c>
      <c r="C21" s="13">
        <v>27000</v>
      </c>
      <c r="D21" s="14">
        <v>203.1345</v>
      </c>
      <c r="E21" s="14">
        <f t="shared" si="0"/>
        <v>1.6030223430043318</v>
      </c>
      <c r="F21" s="14" t="s">
        <v>53</v>
      </c>
      <c r="G21" s="9"/>
      <c r="H21" s="8"/>
    </row>
    <row r="22" spans="1:8" s="15" customFormat="1" ht="14.25" x14ac:dyDescent="0.3">
      <c r="A22" s="11" t="s">
        <v>54</v>
      </c>
      <c r="B22" s="12" t="s">
        <v>50</v>
      </c>
      <c r="C22" s="13">
        <v>10000</v>
      </c>
      <c r="D22" s="14">
        <v>201.04</v>
      </c>
      <c r="E22" s="14">
        <f t="shared" si="0"/>
        <v>1.5864937361087892</v>
      </c>
      <c r="F22" s="14" t="s">
        <v>55</v>
      </c>
      <c r="G22" s="9"/>
      <c r="H22" s="8"/>
    </row>
    <row r="23" spans="1:8" s="15" customFormat="1" ht="14.25" x14ac:dyDescent="0.3">
      <c r="A23" s="11" t="s">
        <v>56</v>
      </c>
      <c r="B23" s="12" t="s">
        <v>14</v>
      </c>
      <c r="C23" s="13">
        <v>107500</v>
      </c>
      <c r="D23" s="14">
        <v>193.5</v>
      </c>
      <c r="E23" s="14">
        <f t="shared" si="0"/>
        <v>1.5269923295714816</v>
      </c>
      <c r="F23" s="14" t="s">
        <v>57</v>
      </c>
      <c r="G23" s="9"/>
      <c r="H23" s="9"/>
    </row>
    <row r="24" spans="1:8" s="15" customFormat="1" ht="14.25" x14ac:dyDescent="0.3">
      <c r="A24" s="11" t="s">
        <v>58</v>
      </c>
      <c r="B24" s="12" t="s">
        <v>14</v>
      </c>
      <c r="C24" s="13">
        <v>32400</v>
      </c>
      <c r="D24" s="14">
        <v>188.2602</v>
      </c>
      <c r="E24" s="14">
        <f t="shared" si="0"/>
        <v>1.4856427977446671</v>
      </c>
      <c r="F24" s="14" t="s">
        <v>59</v>
      </c>
      <c r="G24" s="9"/>
      <c r="H24" s="9"/>
    </row>
    <row r="25" spans="1:8" s="15" customFormat="1" ht="14.25" x14ac:dyDescent="0.3">
      <c r="A25" s="11" t="s">
        <v>60</v>
      </c>
      <c r="B25" s="12" t="s">
        <v>61</v>
      </c>
      <c r="C25" s="13">
        <v>2400</v>
      </c>
      <c r="D25" s="14">
        <v>179.50200000000001</v>
      </c>
      <c r="E25" s="14">
        <f t="shared" si="0"/>
        <v>1.4165280472493029</v>
      </c>
      <c r="F25" s="14" t="s">
        <v>62</v>
      </c>
      <c r="G25" s="9"/>
      <c r="H25" s="9"/>
    </row>
    <row r="26" spans="1:8" s="15" customFormat="1" ht="14.25" x14ac:dyDescent="0.3">
      <c r="A26" s="11" t="s">
        <v>63</v>
      </c>
      <c r="B26" s="12" t="s">
        <v>64</v>
      </c>
      <c r="C26" s="13">
        <v>64800</v>
      </c>
      <c r="D26" s="14">
        <v>179.43119999999999</v>
      </c>
      <c r="E26" s="14">
        <f t="shared" si="0"/>
        <v>1.4159693337767776</v>
      </c>
      <c r="F26" s="14" t="s">
        <v>65</v>
      </c>
      <c r="G26" s="9"/>
      <c r="H26" s="8"/>
    </row>
    <row r="27" spans="1:8" s="15" customFormat="1" ht="14.25" x14ac:dyDescent="0.3">
      <c r="A27" s="11" t="s">
        <v>66</v>
      </c>
      <c r="B27" s="12" t="s">
        <v>67</v>
      </c>
      <c r="C27" s="13">
        <v>5200</v>
      </c>
      <c r="D27" s="14">
        <v>174.17920000000001</v>
      </c>
      <c r="E27" s="14">
        <f t="shared" si="0"/>
        <v>1.3745235264645841</v>
      </c>
      <c r="F27" s="14" t="s">
        <v>68</v>
      </c>
      <c r="G27" s="9"/>
      <c r="H27" s="8"/>
    </row>
    <row r="28" spans="1:8" s="15" customFormat="1" ht="14.25" x14ac:dyDescent="0.3">
      <c r="A28" s="11" t="s">
        <v>69</v>
      </c>
      <c r="B28" s="12" t="s">
        <v>70</v>
      </c>
      <c r="C28" s="13">
        <v>6300</v>
      </c>
      <c r="D28" s="14">
        <v>142.55955</v>
      </c>
      <c r="E28" s="14">
        <f t="shared" si="0"/>
        <v>1.1249991698044555</v>
      </c>
      <c r="F28" s="14" t="s">
        <v>71</v>
      </c>
      <c r="G28" s="9"/>
      <c r="H28" s="16"/>
    </row>
    <row r="29" spans="1:8" s="15" customFormat="1" ht="14.25" x14ac:dyDescent="0.3">
      <c r="A29" s="11" t="s">
        <v>72</v>
      </c>
      <c r="B29" s="12" t="s">
        <v>26</v>
      </c>
      <c r="C29" s="13">
        <v>4000</v>
      </c>
      <c r="D29" s="14">
        <v>137.81200000000001</v>
      </c>
      <c r="E29" s="14">
        <f t="shared" si="0"/>
        <v>1.0875341959840055</v>
      </c>
      <c r="F29" s="14" t="s">
        <v>73</v>
      </c>
      <c r="G29" s="9"/>
      <c r="H29" s="9"/>
    </row>
    <row r="30" spans="1:8" s="15" customFormat="1" ht="14.25" x14ac:dyDescent="0.3">
      <c r="A30" s="11" t="s">
        <v>74</v>
      </c>
      <c r="B30" s="12" t="s">
        <v>39</v>
      </c>
      <c r="C30" s="13">
        <v>22000</v>
      </c>
      <c r="D30" s="14">
        <v>134.40899999999999</v>
      </c>
      <c r="E30" s="14">
        <f t="shared" si="0"/>
        <v>1.0606796487099395</v>
      </c>
      <c r="F30" s="14" t="s">
        <v>75</v>
      </c>
      <c r="G30" s="9"/>
      <c r="H30" s="16"/>
    </row>
    <row r="31" spans="1:8" s="15" customFormat="1" ht="14.25" x14ac:dyDescent="0.3">
      <c r="A31" s="11" t="s">
        <v>76</v>
      </c>
      <c r="B31" s="12" t="s">
        <v>20</v>
      </c>
      <c r="C31" s="13">
        <v>68250</v>
      </c>
      <c r="D31" s="14">
        <v>114.489375</v>
      </c>
      <c r="E31" s="14">
        <f t="shared" si="0"/>
        <v>0.90348525810042879</v>
      </c>
      <c r="F31" s="14" t="s">
        <v>77</v>
      </c>
      <c r="G31" s="9"/>
      <c r="H31" s="9"/>
    </row>
    <row r="32" spans="1:8" s="15" customFormat="1" ht="14.25" x14ac:dyDescent="0.3">
      <c r="A32" s="11" t="s">
        <v>78</v>
      </c>
      <c r="B32" s="12" t="s">
        <v>79</v>
      </c>
      <c r="C32" s="13">
        <v>4750</v>
      </c>
      <c r="D32" s="14">
        <v>109.25475</v>
      </c>
      <c r="E32" s="14">
        <f t="shared" si="0"/>
        <v>0.86217656444056767</v>
      </c>
      <c r="F32" s="14" t="s">
        <v>80</v>
      </c>
      <c r="G32" s="9"/>
      <c r="H32" s="9"/>
    </row>
    <row r="33" spans="1:8" s="15" customFormat="1" ht="14.25" x14ac:dyDescent="0.3">
      <c r="A33" s="11" t="s">
        <v>81</v>
      </c>
      <c r="B33" s="12" t="s">
        <v>82</v>
      </c>
      <c r="C33" s="13">
        <v>66000</v>
      </c>
      <c r="D33" s="14">
        <v>102.861</v>
      </c>
      <c r="E33" s="14">
        <f t="shared" si="0"/>
        <v>0.81172071324057982</v>
      </c>
      <c r="F33" s="14" t="s">
        <v>83</v>
      </c>
      <c r="G33" s="9"/>
      <c r="H33" s="8"/>
    </row>
    <row r="34" spans="1:8" s="15" customFormat="1" ht="14.25" x14ac:dyDescent="0.3">
      <c r="A34" s="11" t="s">
        <v>84</v>
      </c>
      <c r="B34" s="12" t="s">
        <v>85</v>
      </c>
      <c r="C34" s="13">
        <v>3575</v>
      </c>
      <c r="D34" s="14">
        <v>99.288475000000005</v>
      </c>
      <c r="E34" s="14">
        <f t="shared" si="0"/>
        <v>0.78352837074857806</v>
      </c>
      <c r="F34" s="14" t="s">
        <v>86</v>
      </c>
      <c r="G34" s="9"/>
      <c r="H34" s="9"/>
    </row>
    <row r="35" spans="1:8" s="15" customFormat="1" ht="14.25" x14ac:dyDescent="0.3">
      <c r="A35" s="11" t="s">
        <v>87</v>
      </c>
      <c r="B35" s="12" t="s">
        <v>39</v>
      </c>
      <c r="C35" s="13">
        <v>11250</v>
      </c>
      <c r="D35" s="14">
        <v>95.551874999999995</v>
      </c>
      <c r="E35" s="14">
        <f t="shared" si="0"/>
        <v>0.75404124134973138</v>
      </c>
      <c r="F35" s="14" t="s">
        <v>88</v>
      </c>
      <c r="G35" s="9"/>
      <c r="H35" s="8"/>
    </row>
    <row r="36" spans="1:8" s="15" customFormat="1" ht="14.25" x14ac:dyDescent="0.3">
      <c r="A36" s="11" t="s">
        <v>89</v>
      </c>
      <c r="B36" s="12" t="s">
        <v>90</v>
      </c>
      <c r="C36" s="13">
        <v>36000</v>
      </c>
      <c r="D36" s="14">
        <v>94.751999999999995</v>
      </c>
      <c r="E36" s="14">
        <f t="shared" si="0"/>
        <v>0.74772908119667714</v>
      </c>
      <c r="F36" s="14" t="s">
        <v>91</v>
      </c>
      <c r="G36" s="9"/>
      <c r="H36" s="8"/>
    </row>
    <row r="37" spans="1:8" s="15" customFormat="1" ht="14.25" x14ac:dyDescent="0.3">
      <c r="A37" s="11" t="s">
        <v>92</v>
      </c>
      <c r="B37" s="12" t="s">
        <v>31</v>
      </c>
      <c r="C37" s="13">
        <v>1500</v>
      </c>
      <c r="D37" s="14">
        <v>83.88</v>
      </c>
      <c r="E37" s="14">
        <f t="shared" si="0"/>
        <v>0.66193341914447479</v>
      </c>
      <c r="F37" s="14" t="s">
        <v>93</v>
      </c>
      <c r="G37" s="9"/>
      <c r="H37" s="8"/>
    </row>
    <row r="38" spans="1:8" s="15" customFormat="1" ht="14.25" x14ac:dyDescent="0.3">
      <c r="A38" s="11" t="s">
        <v>94</v>
      </c>
      <c r="B38" s="12" t="s">
        <v>95</v>
      </c>
      <c r="C38" s="13">
        <v>3850</v>
      </c>
      <c r="D38" s="14">
        <v>82.846225000000004</v>
      </c>
      <c r="E38" s="14">
        <f t="shared" si="0"/>
        <v>0.65377545275944771</v>
      </c>
      <c r="F38" s="14" t="s">
        <v>96</v>
      </c>
      <c r="G38" s="9"/>
      <c r="H38" s="8"/>
    </row>
    <row r="39" spans="1:8" s="15" customFormat="1" ht="14.25" x14ac:dyDescent="0.3">
      <c r="A39" s="11" t="s">
        <v>97</v>
      </c>
      <c r="B39" s="12" t="s">
        <v>98</v>
      </c>
      <c r="C39" s="13">
        <v>11700</v>
      </c>
      <c r="D39" s="14">
        <v>73.136700000000005</v>
      </c>
      <c r="E39" s="14">
        <f t="shared" si="0"/>
        <v>0.57715338454868526</v>
      </c>
      <c r="F39" s="14" t="s">
        <v>99</v>
      </c>
      <c r="G39" s="9"/>
      <c r="H39" s="9"/>
    </row>
    <row r="40" spans="1:8" s="15" customFormat="1" ht="14.25" x14ac:dyDescent="0.3">
      <c r="A40" s="11" t="s">
        <v>100</v>
      </c>
      <c r="B40" s="12" t="s">
        <v>64</v>
      </c>
      <c r="C40" s="13">
        <v>16875</v>
      </c>
      <c r="D40" s="14">
        <v>66.521249999999995</v>
      </c>
      <c r="E40" s="14">
        <f t="shared" si="0"/>
        <v>0.52494800260210295</v>
      </c>
      <c r="F40" s="14" t="s">
        <v>101</v>
      </c>
      <c r="G40" s="9"/>
      <c r="H40" s="8"/>
    </row>
    <row r="41" spans="1:8" s="15" customFormat="1" ht="14.25" x14ac:dyDescent="0.3">
      <c r="A41" s="11" t="s">
        <v>102</v>
      </c>
      <c r="B41" s="12" t="s">
        <v>26</v>
      </c>
      <c r="C41" s="13">
        <v>14000</v>
      </c>
      <c r="D41" s="14">
        <v>60.220999999999997</v>
      </c>
      <c r="E41" s="14">
        <f t="shared" si="0"/>
        <v>0.47523000040891061</v>
      </c>
      <c r="F41" s="14" t="s">
        <v>103</v>
      </c>
      <c r="G41" s="9"/>
      <c r="H41" s="9"/>
    </row>
    <row r="42" spans="1:8" s="15" customFormat="1" ht="14.25" x14ac:dyDescent="0.3">
      <c r="A42" s="11" t="s">
        <v>104</v>
      </c>
      <c r="B42" s="12" t="s">
        <v>105</v>
      </c>
      <c r="C42" s="13">
        <v>4200</v>
      </c>
      <c r="D42" s="14">
        <v>47.638500000000001</v>
      </c>
      <c r="E42" s="14">
        <f t="shared" si="0"/>
        <v>0.37593604182062551</v>
      </c>
      <c r="F42" s="14" t="s">
        <v>106</v>
      </c>
      <c r="G42" s="9"/>
      <c r="H42" s="8"/>
    </row>
    <row r="43" spans="1:8" s="15" customFormat="1" ht="14.25" x14ac:dyDescent="0.3">
      <c r="A43" s="11" t="s">
        <v>107</v>
      </c>
      <c r="B43" s="12" t="s">
        <v>31</v>
      </c>
      <c r="C43" s="13">
        <v>1200</v>
      </c>
      <c r="D43" s="14">
        <v>47.375999999999998</v>
      </c>
      <c r="E43" s="14">
        <f t="shared" si="0"/>
        <v>0.37386454059833857</v>
      </c>
      <c r="F43" s="14" t="s">
        <v>108</v>
      </c>
      <c r="G43" s="9"/>
      <c r="H43" s="8"/>
    </row>
    <row r="44" spans="1:8" s="15" customFormat="1" ht="14.25" x14ac:dyDescent="0.3">
      <c r="A44" s="11" t="s">
        <v>109</v>
      </c>
      <c r="B44" s="12" t="s">
        <v>110</v>
      </c>
      <c r="C44" s="13">
        <v>150</v>
      </c>
      <c r="D44" s="14">
        <v>45.046950000000002</v>
      </c>
      <c r="E44" s="14">
        <f t="shared" si="0"/>
        <v>0.35548499803922512</v>
      </c>
      <c r="F44" s="14" t="s">
        <v>111</v>
      </c>
      <c r="G44" s="9"/>
      <c r="H44" s="9"/>
    </row>
    <row r="45" spans="1:8" s="15" customFormat="1" ht="14.25" x14ac:dyDescent="0.3">
      <c r="A45" s="11" t="s">
        <v>112</v>
      </c>
      <c r="B45" s="12" t="s">
        <v>113</v>
      </c>
      <c r="C45" s="13">
        <v>15900</v>
      </c>
      <c r="D45" s="14">
        <v>44.209949999999999</v>
      </c>
      <c r="E45" s="14">
        <f t="shared" si="0"/>
        <v>0.34887986842759033</v>
      </c>
      <c r="F45" s="14" t="s">
        <v>114</v>
      </c>
      <c r="G45" s="9"/>
      <c r="H45" s="9"/>
    </row>
    <row r="46" spans="1:8" s="15" customFormat="1" ht="14.25" x14ac:dyDescent="0.3">
      <c r="A46" s="11" t="s">
        <v>115</v>
      </c>
      <c r="B46" s="12" t="s">
        <v>113</v>
      </c>
      <c r="C46" s="13">
        <v>7000</v>
      </c>
      <c r="D46" s="14">
        <v>39.217500000000001</v>
      </c>
      <c r="E46" s="14">
        <f t="shared" si="0"/>
        <v>0.30948228260966198</v>
      </c>
      <c r="F46" s="14" t="s">
        <v>116</v>
      </c>
      <c r="G46" s="9"/>
      <c r="H46" s="9"/>
    </row>
    <row r="47" spans="1:8" s="15" customFormat="1" ht="14.25" x14ac:dyDescent="0.3">
      <c r="A47" s="11" t="s">
        <v>117</v>
      </c>
      <c r="B47" s="12" t="s">
        <v>118</v>
      </c>
      <c r="C47" s="13">
        <v>1500</v>
      </c>
      <c r="D47" s="14">
        <v>37.375500000000002</v>
      </c>
      <c r="E47" s="14">
        <f t="shared" si="0"/>
        <v>0.29494626260412876</v>
      </c>
      <c r="F47" s="14" t="s">
        <v>119</v>
      </c>
      <c r="G47" s="9"/>
      <c r="H47" s="9"/>
    </row>
    <row r="48" spans="1:8" s="15" customFormat="1" ht="14.25" x14ac:dyDescent="0.3">
      <c r="A48" s="11" t="s">
        <v>120</v>
      </c>
      <c r="B48" s="12" t="s">
        <v>121</v>
      </c>
      <c r="C48" s="13">
        <v>5500</v>
      </c>
      <c r="D48" s="14">
        <v>34.834249999999997</v>
      </c>
      <c r="E48" s="14">
        <f t="shared" si="0"/>
        <v>0.27489215791408467</v>
      </c>
      <c r="F48" s="14" t="s">
        <v>122</v>
      </c>
      <c r="G48" s="9"/>
      <c r="H48" s="9"/>
    </row>
    <row r="49" spans="1:8" s="15" customFormat="1" ht="14.25" x14ac:dyDescent="0.3">
      <c r="A49" s="11" t="s">
        <v>123</v>
      </c>
      <c r="B49" s="12" t="s">
        <v>82</v>
      </c>
      <c r="C49" s="13">
        <v>4050</v>
      </c>
      <c r="D49" s="14">
        <v>33.623100000000001</v>
      </c>
      <c r="E49" s="14">
        <f t="shared" si="0"/>
        <v>0.26533444856028365</v>
      </c>
      <c r="F49" s="14" t="s">
        <v>124</v>
      </c>
      <c r="G49" s="9"/>
      <c r="H49" s="9"/>
    </row>
    <row r="50" spans="1:8" s="15" customFormat="1" ht="14.25" x14ac:dyDescent="0.3">
      <c r="A50" s="11" t="s">
        <v>125</v>
      </c>
      <c r="B50" s="12" t="s">
        <v>14</v>
      </c>
      <c r="C50" s="13">
        <v>20000</v>
      </c>
      <c r="D50" s="14">
        <v>27.03</v>
      </c>
      <c r="E50" s="14">
        <f t="shared" si="0"/>
        <v>0.21330544014634187</v>
      </c>
      <c r="F50" s="14" t="s">
        <v>126</v>
      </c>
      <c r="G50" s="9"/>
      <c r="H50" s="9"/>
    </row>
    <row r="51" spans="1:8" s="15" customFormat="1" ht="14.25" x14ac:dyDescent="0.3">
      <c r="A51" s="11" t="s">
        <v>127</v>
      </c>
      <c r="B51" s="12" t="s">
        <v>14</v>
      </c>
      <c r="C51" s="13">
        <v>2500</v>
      </c>
      <c r="D51" s="14">
        <v>26.18</v>
      </c>
      <c r="E51" s="14">
        <f t="shared" si="0"/>
        <v>0.2065977219027462</v>
      </c>
      <c r="F51" s="14" t="s">
        <v>128</v>
      </c>
      <c r="G51" s="9"/>
      <c r="H51" s="9"/>
    </row>
    <row r="52" spans="1:8" s="15" customFormat="1" ht="14.25" x14ac:dyDescent="0.3">
      <c r="A52" s="11" t="s">
        <v>129</v>
      </c>
      <c r="B52" s="12" t="s">
        <v>61</v>
      </c>
      <c r="C52" s="13">
        <v>800</v>
      </c>
      <c r="D52" s="14">
        <v>22.774000000000001</v>
      </c>
      <c r="E52" s="14">
        <f t="shared" si="0"/>
        <v>0.17971950032899703</v>
      </c>
      <c r="F52" s="14" t="s">
        <v>130</v>
      </c>
      <c r="G52" s="9"/>
      <c r="H52" s="9"/>
    </row>
    <row r="53" spans="1:8" s="15" customFormat="1" ht="14.25" x14ac:dyDescent="0.3">
      <c r="A53" s="11" t="s">
        <v>131</v>
      </c>
      <c r="B53" s="12" t="s">
        <v>121</v>
      </c>
      <c r="C53" s="13">
        <v>1500</v>
      </c>
      <c r="D53" s="14">
        <v>22.50375</v>
      </c>
      <c r="E53" s="14">
        <f t="shared" si="0"/>
        <v>0.17758684049919501</v>
      </c>
      <c r="F53" s="14" t="s">
        <v>132</v>
      </c>
      <c r="G53" s="9"/>
      <c r="H53" s="8"/>
    </row>
    <row r="54" spans="1:8" s="15" customFormat="1" ht="14.25" x14ac:dyDescent="0.3">
      <c r="A54" s="11" t="s">
        <v>133</v>
      </c>
      <c r="B54" s="12" t="s">
        <v>42</v>
      </c>
      <c r="C54" s="13">
        <v>450</v>
      </c>
      <c r="D54" s="14">
        <v>22.222799999999999</v>
      </c>
      <c r="E54" s="14">
        <f t="shared" si="0"/>
        <v>0.17536974233385594</v>
      </c>
      <c r="F54" s="14" t="s">
        <v>134</v>
      </c>
      <c r="G54" s="9"/>
      <c r="H54" s="16"/>
    </row>
    <row r="55" spans="1:8" s="15" customFormat="1" ht="14.25" x14ac:dyDescent="0.3">
      <c r="A55" s="11" t="s">
        <v>135</v>
      </c>
      <c r="B55" s="12" t="s">
        <v>110</v>
      </c>
      <c r="C55" s="13">
        <v>14200</v>
      </c>
      <c r="D55" s="14">
        <v>16.6282</v>
      </c>
      <c r="E55" s="14">
        <f t="shared" si="0"/>
        <v>0.13122032999783212</v>
      </c>
      <c r="F55" s="14" t="s">
        <v>136</v>
      </c>
      <c r="G55" s="9"/>
      <c r="H55" s="8"/>
    </row>
    <row r="56" spans="1:8" s="15" customFormat="1" ht="14.25" x14ac:dyDescent="0.3">
      <c r="A56" s="11" t="s">
        <v>137</v>
      </c>
      <c r="B56" s="12" t="s">
        <v>50</v>
      </c>
      <c r="C56" s="13">
        <v>950</v>
      </c>
      <c r="D56" s="14">
        <v>11.6717</v>
      </c>
      <c r="E56" s="14">
        <f t="shared" si="0"/>
        <v>9.2106441204441669E-2</v>
      </c>
      <c r="F56" s="14" t="s">
        <v>138</v>
      </c>
      <c r="G56" s="9"/>
      <c r="H56" s="9"/>
    </row>
    <row r="57" spans="1:8" s="15" customFormat="1" ht="14.25" x14ac:dyDescent="0.3">
      <c r="A57" s="11" t="s">
        <v>139</v>
      </c>
      <c r="B57" s="12" t="s">
        <v>26</v>
      </c>
      <c r="C57" s="13">
        <v>40</v>
      </c>
      <c r="D57" s="14">
        <v>10.848319999999999</v>
      </c>
      <c r="E57" s="14">
        <f t="shared" si="0"/>
        <v>8.5608792913368981E-2</v>
      </c>
      <c r="F57" s="14" t="s">
        <v>140</v>
      </c>
      <c r="G57" s="9"/>
      <c r="H57" s="9"/>
    </row>
    <row r="58" spans="1:8" s="15" customFormat="1" ht="14.25" x14ac:dyDescent="0.3">
      <c r="A58" s="11" t="s">
        <v>141</v>
      </c>
      <c r="B58" s="12" t="s">
        <v>142</v>
      </c>
      <c r="C58" s="13">
        <v>300</v>
      </c>
      <c r="D58" s="14">
        <v>9.9809999999999999</v>
      </c>
      <c r="E58" s="14">
        <f t="shared" si="0"/>
        <v>7.8764395046268518E-2</v>
      </c>
      <c r="F58" s="14" t="s">
        <v>143</v>
      </c>
      <c r="G58" s="9"/>
      <c r="H58" s="9"/>
    </row>
    <row r="59" spans="1:8" s="15" customFormat="1" ht="14.25" x14ac:dyDescent="0.3">
      <c r="A59" s="11" t="s">
        <v>144</v>
      </c>
      <c r="B59" s="12" t="s">
        <v>61</v>
      </c>
      <c r="C59" s="13">
        <v>3600</v>
      </c>
      <c r="D59" s="14">
        <v>9.6300000000000008</v>
      </c>
      <c r="E59" s="14">
        <f t="shared" si="0"/>
        <v>7.5994501983324914E-2</v>
      </c>
      <c r="F59" s="14" t="s">
        <v>145</v>
      </c>
      <c r="G59" s="9"/>
      <c r="H59" s="9"/>
    </row>
    <row r="60" spans="1:8" s="15" customFormat="1" ht="14.25" x14ac:dyDescent="0.3">
      <c r="A60" s="11" t="s">
        <v>146</v>
      </c>
      <c r="B60" s="12" t="s">
        <v>118</v>
      </c>
      <c r="C60" s="13">
        <v>850</v>
      </c>
      <c r="D60" s="14">
        <v>6.8896750000000004</v>
      </c>
      <c r="E60" s="14">
        <f t="shared" si="0"/>
        <v>5.4369410223464594E-2</v>
      </c>
      <c r="F60" s="14" t="s">
        <v>147</v>
      </c>
      <c r="G60" s="9"/>
      <c r="H60" s="8"/>
    </row>
    <row r="61" spans="1:8" s="15" customFormat="1" ht="14.25" x14ac:dyDescent="0.3">
      <c r="A61" s="11" t="s">
        <v>148</v>
      </c>
      <c r="B61" s="12" t="s">
        <v>149</v>
      </c>
      <c r="C61" s="13">
        <v>1200</v>
      </c>
      <c r="D61" s="14">
        <v>5.9664000000000001</v>
      </c>
      <c r="E61" s="14">
        <f t="shared" si="0"/>
        <v>4.7083447210104851E-2</v>
      </c>
      <c r="F61" s="14" t="s">
        <v>150</v>
      </c>
      <c r="G61" s="9"/>
      <c r="H61" s="16"/>
    </row>
    <row r="62" spans="1:8" s="15" customFormat="1" ht="14.25" x14ac:dyDescent="0.3">
      <c r="A62" s="10" t="s">
        <v>151</v>
      </c>
      <c r="B62" s="12"/>
      <c r="C62" s="13"/>
      <c r="D62" s="17">
        <f>IF(ISERROR(SUM(D7:D61)),0,SUM(D7:D61))</f>
        <v>8015.8095824999991</v>
      </c>
      <c r="E62" s="17">
        <f>IF(ISERROR(SUM(E7:E61)),0,SUM(E7:E61))</f>
        <v>63.256226086734287</v>
      </c>
      <c r="F62" s="17"/>
      <c r="G62" s="9"/>
      <c r="H62" s="8"/>
    </row>
    <row r="63" spans="1:8" s="15" customFormat="1" ht="14.25" x14ac:dyDescent="0.3">
      <c r="A63" s="10"/>
      <c r="B63" s="10"/>
      <c r="C63" s="18"/>
      <c r="D63" s="19"/>
      <c r="E63" s="19"/>
      <c r="F63" s="19"/>
      <c r="G63" s="9"/>
      <c r="H63" s="8"/>
    </row>
    <row r="64" spans="1:8" s="15" customFormat="1" ht="14.25" x14ac:dyDescent="0.3">
      <c r="A64" s="10" t="s">
        <v>152</v>
      </c>
      <c r="B64" s="10"/>
      <c r="C64" s="18"/>
      <c r="D64" s="20" t="s">
        <v>153</v>
      </c>
      <c r="E64" s="20" t="s">
        <v>153</v>
      </c>
      <c r="F64" s="20"/>
      <c r="G64" s="9"/>
      <c r="H64" s="8"/>
    </row>
    <row r="65" spans="1:8" s="15" customFormat="1" ht="14.25" x14ac:dyDescent="0.3">
      <c r="A65" s="10"/>
      <c r="B65" s="3"/>
      <c r="C65" s="18"/>
      <c r="D65" s="20"/>
      <c r="E65" s="20"/>
      <c r="F65" s="21"/>
      <c r="G65" s="9"/>
      <c r="H65" s="8"/>
    </row>
    <row r="66" spans="1:8" s="15" customFormat="1" ht="14.25" x14ac:dyDescent="0.3">
      <c r="A66" s="10" t="s">
        <v>154</v>
      </c>
      <c r="B66" s="10"/>
      <c r="C66" s="18"/>
      <c r="D66" s="17">
        <f>IF(ISERROR(+D62),0,D62)+IF(ISERROR(+#REF!),0,#REF!)</f>
        <v>8015.8095824999991</v>
      </c>
      <c r="E66" s="17">
        <f>IF(ISERROR(+E62),0,E62)+IF(ISERROR(+#REF!),0,#REF!)</f>
        <v>63.256226086734287</v>
      </c>
      <c r="F66" s="22"/>
      <c r="G66" s="9"/>
      <c r="H66" s="8"/>
    </row>
    <row r="67" spans="1:8" s="15" customFormat="1" ht="14.25" x14ac:dyDescent="0.3">
      <c r="A67" s="10"/>
      <c r="B67" s="3"/>
      <c r="C67" s="18"/>
      <c r="D67" s="20"/>
      <c r="E67" s="20"/>
      <c r="F67" s="21"/>
      <c r="G67" s="9"/>
      <c r="H67" s="8"/>
    </row>
    <row r="68" spans="1:8" s="15" customFormat="1" ht="14.25" x14ac:dyDescent="0.3">
      <c r="A68" s="10" t="s">
        <v>155</v>
      </c>
      <c r="B68" s="3"/>
      <c r="C68" s="18"/>
      <c r="D68" s="20"/>
      <c r="E68" s="20"/>
      <c r="F68" s="21"/>
      <c r="G68" s="9"/>
      <c r="H68" s="8"/>
    </row>
    <row r="69" spans="1:8" s="15" customFormat="1" ht="14.25" x14ac:dyDescent="0.3">
      <c r="A69" s="10" t="s">
        <v>12</v>
      </c>
      <c r="B69" s="3"/>
      <c r="C69" s="18"/>
      <c r="D69" s="20" t="s">
        <v>153</v>
      </c>
      <c r="E69" s="20" t="s">
        <v>153</v>
      </c>
      <c r="F69" s="23"/>
      <c r="G69" s="9"/>
      <c r="H69" s="8"/>
    </row>
    <row r="70" spans="1:8" s="15" customFormat="1" ht="14.25" x14ac:dyDescent="0.3">
      <c r="A70" s="10"/>
      <c r="B70" s="3"/>
      <c r="C70" s="24"/>
      <c r="D70" s="23"/>
      <c r="E70" s="23"/>
      <c r="F70" s="23"/>
      <c r="G70" s="9"/>
      <c r="H70" s="8"/>
    </row>
    <row r="71" spans="1:8" s="15" customFormat="1" ht="14.25" x14ac:dyDescent="0.3">
      <c r="A71" s="10" t="s">
        <v>156</v>
      </c>
      <c r="B71" s="3"/>
      <c r="C71" s="24"/>
      <c r="D71" s="20" t="s">
        <v>153</v>
      </c>
      <c r="E71" s="20" t="s">
        <v>153</v>
      </c>
      <c r="F71" s="21"/>
      <c r="G71" s="9"/>
      <c r="H71" s="8"/>
    </row>
    <row r="72" spans="1:8" s="15" customFormat="1" ht="14.25" x14ac:dyDescent="0.3">
      <c r="A72" s="10"/>
      <c r="B72" s="3"/>
      <c r="C72" s="24"/>
      <c r="D72" s="23"/>
      <c r="E72" s="23"/>
      <c r="F72" s="23"/>
      <c r="G72" s="9"/>
      <c r="H72" s="8"/>
    </row>
    <row r="73" spans="1:8" s="15" customFormat="1" ht="14.25" x14ac:dyDescent="0.3">
      <c r="A73" s="10" t="s">
        <v>157</v>
      </c>
      <c r="B73" s="3"/>
      <c r="C73" s="24"/>
      <c r="D73" s="20"/>
      <c r="E73" s="20"/>
      <c r="F73" s="20"/>
      <c r="G73" s="9"/>
      <c r="H73" s="8"/>
    </row>
    <row r="74" spans="1:8" s="15" customFormat="1" ht="14.25" x14ac:dyDescent="0.3">
      <c r="A74" s="10"/>
      <c r="B74" s="3"/>
      <c r="C74" s="24"/>
      <c r="D74" s="14"/>
      <c r="E74" s="14"/>
      <c r="F74" s="25"/>
      <c r="G74" s="9"/>
      <c r="H74" s="8"/>
    </row>
    <row r="75" spans="1:8" s="15" customFormat="1" ht="14.25" x14ac:dyDescent="0.3">
      <c r="A75" s="10" t="s">
        <v>158</v>
      </c>
      <c r="B75" s="3"/>
      <c r="C75" s="24"/>
      <c r="D75" s="20" t="s">
        <v>153</v>
      </c>
      <c r="E75" s="20" t="s">
        <v>153</v>
      </c>
      <c r="F75" s="20"/>
      <c r="G75" s="9"/>
      <c r="H75" s="8"/>
    </row>
    <row r="76" spans="1:8" s="15" customFormat="1" ht="14.25" x14ac:dyDescent="0.3">
      <c r="A76" s="10"/>
      <c r="B76" s="3"/>
      <c r="C76" s="24"/>
      <c r="D76" s="20"/>
      <c r="E76" s="20"/>
      <c r="F76" s="20"/>
      <c r="G76" s="9"/>
      <c r="H76" s="8"/>
    </row>
    <row r="77" spans="1:8" s="15" customFormat="1" ht="14.25" x14ac:dyDescent="0.3">
      <c r="A77" s="10" t="s">
        <v>159</v>
      </c>
      <c r="B77" s="3"/>
      <c r="C77" s="24"/>
      <c r="D77" s="20" t="s">
        <v>153</v>
      </c>
      <c r="E77" s="20" t="s">
        <v>153</v>
      </c>
      <c r="F77" s="20"/>
      <c r="G77" s="9"/>
      <c r="H77" s="8"/>
    </row>
    <row r="78" spans="1:8" s="15" customFormat="1" ht="14.25" x14ac:dyDescent="0.3">
      <c r="A78" s="10"/>
      <c r="B78" s="3"/>
      <c r="C78" s="24"/>
      <c r="D78" s="20"/>
      <c r="E78" s="20"/>
      <c r="F78" s="20"/>
      <c r="G78" s="9"/>
      <c r="H78" s="8"/>
    </row>
    <row r="79" spans="1:8" s="15" customFormat="1" ht="14.25" x14ac:dyDescent="0.3">
      <c r="A79" s="10" t="s">
        <v>160</v>
      </c>
      <c r="B79" s="3"/>
      <c r="C79" s="24"/>
      <c r="D79" s="20"/>
      <c r="E79" s="20"/>
      <c r="F79" s="21"/>
      <c r="G79" s="9"/>
      <c r="H79" s="8"/>
    </row>
    <row r="80" spans="1:8" s="15" customFormat="1" ht="14.25" x14ac:dyDescent="0.3">
      <c r="A80" s="10" t="s">
        <v>161</v>
      </c>
      <c r="B80" s="12"/>
      <c r="C80" s="13"/>
      <c r="D80" s="14"/>
      <c r="E80" s="23"/>
      <c r="F80" s="26"/>
      <c r="G80" s="9"/>
      <c r="H80" s="8"/>
    </row>
    <row r="81" spans="1:8" s="15" customFormat="1" ht="14.25" x14ac:dyDescent="0.3">
      <c r="A81" s="11" t="s">
        <v>162</v>
      </c>
      <c r="B81" s="12" t="s">
        <v>163</v>
      </c>
      <c r="C81" s="13">
        <v>400000</v>
      </c>
      <c r="D81" s="14">
        <v>395.08679999999998</v>
      </c>
      <c r="E81" s="14">
        <f t="shared" ref="E81:E87" si="1">(+D81/$D$99*100)</f>
        <v>3.11780110136921</v>
      </c>
      <c r="F81" s="14" t="s">
        <v>164</v>
      </c>
      <c r="G81" s="9">
        <v>6.8776000000000002</v>
      </c>
      <c r="H81" s="8"/>
    </row>
    <row r="82" spans="1:8" s="15" customFormat="1" ht="14.25" x14ac:dyDescent="0.3">
      <c r="A82" s="11" t="s">
        <v>165</v>
      </c>
      <c r="B82" s="12" t="s">
        <v>163</v>
      </c>
      <c r="C82" s="13">
        <v>300000</v>
      </c>
      <c r="D82" s="14">
        <v>297.15300000000002</v>
      </c>
      <c r="E82" s="14">
        <f t="shared" si="1"/>
        <v>2.3449630579284473</v>
      </c>
      <c r="F82" s="14" t="s">
        <v>166</v>
      </c>
      <c r="G82" s="9">
        <v>6.7251000000000003</v>
      </c>
      <c r="H82" s="8"/>
    </row>
    <row r="83" spans="1:8" s="15" customFormat="1" ht="14.25" x14ac:dyDescent="0.3">
      <c r="A83" s="11" t="s">
        <v>167</v>
      </c>
      <c r="B83" s="12" t="s">
        <v>163</v>
      </c>
      <c r="C83" s="13">
        <v>205000</v>
      </c>
      <c r="D83" s="14">
        <v>201.3715</v>
      </c>
      <c r="E83" s="14">
        <f t="shared" si="1"/>
        <v>1.5891097462237915</v>
      </c>
      <c r="F83" s="14" t="s">
        <v>168</v>
      </c>
      <c r="G83" s="9">
        <v>6.9969000000000001</v>
      </c>
      <c r="H83" s="8"/>
    </row>
    <row r="84" spans="1:8" s="15" customFormat="1" ht="14.25" x14ac:dyDescent="0.3">
      <c r="A84" s="11" t="s">
        <v>169</v>
      </c>
      <c r="B84" s="12" t="s">
        <v>163</v>
      </c>
      <c r="C84" s="13">
        <v>200000</v>
      </c>
      <c r="D84" s="14">
        <v>199.38239999999999</v>
      </c>
      <c r="E84" s="14">
        <f t="shared" si="1"/>
        <v>1.5734128963904546</v>
      </c>
      <c r="F84" s="14" t="s">
        <v>170</v>
      </c>
      <c r="G84" s="9">
        <v>6.6506999999999996</v>
      </c>
      <c r="H84" s="8"/>
    </row>
    <row r="85" spans="1:8" s="15" customFormat="1" ht="14.25" x14ac:dyDescent="0.3">
      <c r="A85" s="11" t="s">
        <v>171</v>
      </c>
      <c r="B85" s="12" t="s">
        <v>163</v>
      </c>
      <c r="C85" s="13">
        <v>200000</v>
      </c>
      <c r="D85" s="14">
        <v>199.1292</v>
      </c>
      <c r="E85" s="14">
        <f t="shared" si="1"/>
        <v>1.5714147854971863</v>
      </c>
      <c r="F85" s="14" t="s">
        <v>172</v>
      </c>
      <c r="G85" s="9">
        <v>6.6506999999999996</v>
      </c>
      <c r="H85" s="8"/>
    </row>
    <row r="86" spans="1:8" s="15" customFormat="1" ht="14.25" x14ac:dyDescent="0.3">
      <c r="A86" s="11" t="s">
        <v>173</v>
      </c>
      <c r="B86" s="12" t="s">
        <v>163</v>
      </c>
      <c r="C86" s="13">
        <v>200000</v>
      </c>
      <c r="D86" s="14">
        <v>197.8492</v>
      </c>
      <c r="E86" s="14">
        <f t="shared" si="1"/>
        <v>1.5613137509656536</v>
      </c>
      <c r="F86" s="14" t="s">
        <v>174</v>
      </c>
      <c r="G86" s="9">
        <v>6.7252000000000001</v>
      </c>
      <c r="H86" s="8"/>
    </row>
    <row r="87" spans="1:8" s="15" customFormat="1" ht="14.25" x14ac:dyDescent="0.3">
      <c r="A87" s="11" t="s">
        <v>175</v>
      </c>
      <c r="B87" s="12" t="s">
        <v>163</v>
      </c>
      <c r="C87" s="13">
        <v>200000</v>
      </c>
      <c r="D87" s="14">
        <v>197.28639999999999</v>
      </c>
      <c r="E87" s="14">
        <f t="shared" si="1"/>
        <v>1.5568724523450705</v>
      </c>
      <c r="F87" s="14" t="s">
        <v>176</v>
      </c>
      <c r="G87" s="9">
        <v>6.8776000000000002</v>
      </c>
      <c r="H87" s="8"/>
    </row>
    <row r="88" spans="1:8" s="15" customFormat="1" ht="14.25" x14ac:dyDescent="0.3">
      <c r="A88" s="10" t="s">
        <v>151</v>
      </c>
      <c r="B88" s="27"/>
      <c r="C88" s="28"/>
      <c r="D88" s="20">
        <f>IF(ISERROR(SUM(D81:D87)),0,SUM(D81:D87))</f>
        <v>1687.2584999999999</v>
      </c>
      <c r="E88" s="20">
        <f>IF(ISERROR(SUM(E81:E87)),0,SUM(E81:E87))</f>
        <v>13.314887790719816</v>
      </c>
      <c r="F88" s="29"/>
      <c r="G88" s="9"/>
      <c r="H88" s="8"/>
    </row>
    <row r="89" spans="1:8" s="15" customFormat="1" ht="14.25" x14ac:dyDescent="0.3">
      <c r="A89" s="11" t="s">
        <v>177</v>
      </c>
      <c r="B89" s="12"/>
      <c r="C89" s="13">
        <v>0</v>
      </c>
      <c r="D89" s="14">
        <v>1858.1865028</v>
      </c>
      <c r="E89" s="14">
        <f>(+D89/$D$99*100)</f>
        <v>14.663754711570318</v>
      </c>
      <c r="F89" s="14" t="s">
        <v>178</v>
      </c>
      <c r="G89" s="9">
        <v>6.9439000000000002</v>
      </c>
      <c r="H89" s="8"/>
    </row>
    <row r="90" spans="1:8" s="15" customFormat="1" ht="14.25" x14ac:dyDescent="0.3">
      <c r="A90" s="10" t="s">
        <v>151</v>
      </c>
      <c r="B90" s="3"/>
      <c r="C90" s="24"/>
      <c r="D90" s="20">
        <f>IF(ISERROR(SUM(D89:D89)),0,SUM(D89:D89))</f>
        <v>1858.1865028</v>
      </c>
      <c r="E90" s="20">
        <f>IF(ISERROR(SUM(E89:E89)),0,SUM(E89:E89))</f>
        <v>14.663754711570318</v>
      </c>
      <c r="F90" s="14"/>
      <c r="G90" s="9"/>
      <c r="H90" s="8"/>
    </row>
    <row r="91" spans="1:8" s="15" customFormat="1" ht="14.25" x14ac:dyDescent="0.3">
      <c r="A91" s="10" t="s">
        <v>179</v>
      </c>
      <c r="B91" s="3"/>
      <c r="C91" s="24"/>
      <c r="D91" s="20"/>
      <c r="E91" s="20"/>
      <c r="F91" s="20"/>
      <c r="G91" s="9"/>
      <c r="H91" s="8"/>
    </row>
    <row r="92" spans="1:8" s="15" customFormat="1" ht="14.25" x14ac:dyDescent="0.3">
      <c r="A92" s="11" t="s">
        <v>180</v>
      </c>
      <c r="B92" s="12"/>
      <c r="C92" s="13">
        <v>1236807.4369999999</v>
      </c>
      <c r="D92" s="14">
        <v>816.410405126515</v>
      </c>
      <c r="E92" s="14">
        <f>(+D92/$D$99*100)</f>
        <v>6.4426481985040525</v>
      </c>
      <c r="F92" s="14" t="s">
        <v>181</v>
      </c>
      <c r="G92" s="9"/>
      <c r="H92" s="8"/>
    </row>
    <row r="93" spans="1:8" s="15" customFormat="1" ht="14.25" x14ac:dyDescent="0.3">
      <c r="A93" s="10" t="s">
        <v>151</v>
      </c>
      <c r="B93" s="3"/>
      <c r="C93" s="24"/>
      <c r="D93" s="20">
        <f>IF(ISERROR(SUM(D92:D92)),0,SUM(D92:D92))</f>
        <v>816.410405126515</v>
      </c>
      <c r="E93" s="20">
        <f>IF(ISERROR(SUM(E92:E92)),0,SUM(E92:E92))</f>
        <v>6.4426481985040525</v>
      </c>
      <c r="F93" s="30"/>
      <c r="G93" s="9"/>
      <c r="H93" s="8"/>
    </row>
    <row r="94" spans="1:8" s="15" customFormat="1" ht="14.25" x14ac:dyDescent="0.3">
      <c r="A94" s="10"/>
      <c r="B94" s="3"/>
      <c r="C94" s="24"/>
      <c r="D94" s="20"/>
      <c r="E94" s="20"/>
      <c r="F94" s="21"/>
      <c r="G94" s="9"/>
      <c r="H94" s="8"/>
    </row>
    <row r="95" spans="1:8" s="15" customFormat="1" ht="14.25" x14ac:dyDescent="0.3">
      <c r="A95" s="10" t="s">
        <v>154</v>
      </c>
      <c r="B95" s="3"/>
      <c r="C95" s="24" t="s">
        <v>182</v>
      </c>
      <c r="D95" s="20">
        <f>+IF(ISERROR(#REF!),0,#REF!)+IF(ISERROR(D90),0,D90)+IF(ISERROR(D66),0,D66)+IF(ISERROR(#REF!),0,#REF!)+IF(ISERROR(#REF!),0,#REF!)+IF(ISERROR(D88),0,D88)+IF(ISERROR(D93),0,D93)+IF(ISERROR(#REF!),0,#REF!)+IF(ISERROR(#REF!),0,#REF!)+IF(ISERROR(#REF!),0,#REF!)+IF(ISERROR(#REF!),0,#REF!)</f>
        <v>12377.664990426514</v>
      </c>
      <c r="E95" s="20">
        <f>+IF(ISERROR(#REF!),0,#REF!)+IF(ISERROR(E90),0,E90)+IF(ISERROR(E66),0,E66)+IF(ISERROR(#REF!),0,#REF!)+IF(ISERROR(#REF!),0,#REF!)+IF(ISERROR(E88),0,E88)+IF(ISERROR(E93),0,E93)+IF(ISERROR(#REF!),0,#REF!)+IF(ISERROR(#REF!),0,#REF!)+IF(ISERROR(#REF!),0,#REF!)+IF(ISERROR(#REF!),0,#REF!)</f>
        <v>97.677516787528475</v>
      </c>
      <c r="F95" s="20"/>
      <c r="G95" s="9"/>
      <c r="H95" s="8"/>
    </row>
    <row r="96" spans="1:8" s="15" customFormat="1" ht="14.25" x14ac:dyDescent="0.3">
      <c r="A96" s="10"/>
      <c r="B96" s="3"/>
      <c r="C96" s="24"/>
      <c r="D96" s="20"/>
      <c r="E96" s="20"/>
      <c r="F96" s="31"/>
      <c r="G96" s="32"/>
      <c r="H96" s="33"/>
    </row>
    <row r="97" spans="1:10" s="15" customFormat="1" ht="14.25" x14ac:dyDescent="0.3">
      <c r="A97" s="10" t="s">
        <v>183</v>
      </c>
      <c r="B97" s="3"/>
      <c r="C97" s="24"/>
      <c r="D97" s="20">
        <f>+D99-D95</f>
        <v>294.30436087348244</v>
      </c>
      <c r="E97" s="20">
        <f>D97/$D$99*100</f>
        <v>2.3224832124715502</v>
      </c>
      <c r="F97" s="31"/>
      <c r="G97" s="32"/>
      <c r="H97" s="33"/>
    </row>
    <row r="98" spans="1:10" s="15" customFormat="1" ht="14.25" x14ac:dyDescent="0.3">
      <c r="A98" s="10"/>
      <c r="B98" s="3"/>
      <c r="C98" s="24"/>
      <c r="D98" s="23"/>
      <c r="E98" s="23"/>
      <c r="F98" s="31"/>
      <c r="G98" s="32"/>
      <c r="H98" s="33"/>
    </row>
    <row r="99" spans="1:10" s="15" customFormat="1" ht="14.25" x14ac:dyDescent="0.3">
      <c r="A99" s="10" t="s">
        <v>184</v>
      </c>
      <c r="B99" s="3"/>
      <c r="C99" s="24"/>
      <c r="D99" s="20">
        <v>12671.969351299997</v>
      </c>
      <c r="E99" s="20">
        <f>+E95+E97</f>
        <v>100.00000000000003</v>
      </c>
      <c r="F99" s="31"/>
      <c r="G99" s="32"/>
      <c r="H99" s="33"/>
      <c r="J99" s="84"/>
    </row>
    <row r="100" spans="1:10" s="15" customFormat="1" ht="14.25" x14ac:dyDescent="0.3">
      <c r="A100" s="34"/>
      <c r="B100" s="35"/>
      <c r="C100" s="36"/>
      <c r="D100" s="37"/>
      <c r="E100" s="37"/>
      <c r="F100" s="31"/>
      <c r="G100" s="32"/>
      <c r="H100" s="33"/>
    </row>
    <row r="101" spans="1:10" ht="13.5" x14ac:dyDescent="0.2">
      <c r="A101" s="94" t="s">
        <v>185</v>
      </c>
      <c r="B101" s="94"/>
      <c r="C101" s="94"/>
      <c r="D101" s="94"/>
      <c r="E101" s="94"/>
      <c r="F101" s="94"/>
      <c r="G101" s="94"/>
      <c r="H101" s="94"/>
      <c r="I101" s="83"/>
    </row>
    <row r="102" spans="1:10" ht="24.75" customHeight="1" x14ac:dyDescent="0.2">
      <c r="A102" s="94" t="s">
        <v>186</v>
      </c>
      <c r="B102" s="94"/>
      <c r="C102" s="94"/>
      <c r="D102" s="94"/>
      <c r="E102" s="94"/>
      <c r="F102" s="94"/>
      <c r="G102" s="94"/>
      <c r="H102" s="89"/>
    </row>
    <row r="103" spans="1:10" ht="13.5" x14ac:dyDescent="0.2">
      <c r="A103" s="91" t="s">
        <v>187</v>
      </c>
      <c r="B103" s="91"/>
      <c r="C103" s="91"/>
      <c r="D103" s="91"/>
      <c r="E103" s="91"/>
      <c r="F103" s="91"/>
      <c r="G103" s="91"/>
      <c r="H103" s="89"/>
    </row>
    <row r="104" spans="1:10" ht="55.5" customHeight="1" x14ac:dyDescent="0.2">
      <c r="A104" s="88" t="s">
        <v>188</v>
      </c>
      <c r="B104" s="88"/>
      <c r="C104" s="88"/>
      <c r="D104" s="88"/>
      <c r="E104" s="88"/>
      <c r="F104" s="88"/>
      <c r="G104" s="88"/>
      <c r="H104" s="89"/>
    </row>
    <row r="105" spans="1:10" ht="13.5" x14ac:dyDescent="0.2">
      <c r="A105" s="46"/>
      <c r="B105" s="46"/>
      <c r="C105" s="46"/>
      <c r="D105" s="46"/>
      <c r="E105" s="46"/>
      <c r="F105" s="46"/>
      <c r="G105" s="46"/>
      <c r="H105" s="75"/>
    </row>
    <row r="106" spans="1:10" ht="14.25" x14ac:dyDescent="0.3">
      <c r="A106" s="42" t="s">
        <v>262</v>
      </c>
      <c r="B106" s="40"/>
      <c r="C106" s="43"/>
      <c r="D106" s="44"/>
      <c r="E106" s="44"/>
      <c r="F106" s="45"/>
      <c r="G106" s="46"/>
      <c r="H106" s="47"/>
    </row>
    <row r="107" spans="1:10" ht="51" x14ac:dyDescent="0.2">
      <c r="A107" s="76" t="s">
        <v>189</v>
      </c>
      <c r="B107" s="77" t="s">
        <v>190</v>
      </c>
      <c r="C107" s="78" t="s">
        <v>5</v>
      </c>
      <c r="D107" s="76" t="s">
        <v>191</v>
      </c>
      <c r="E107" s="76" t="s">
        <v>192</v>
      </c>
      <c r="F107" s="76" t="s">
        <v>193</v>
      </c>
      <c r="G107" s="46"/>
      <c r="H107" s="47"/>
    </row>
    <row r="108" spans="1:10" ht="14.25" x14ac:dyDescent="0.3">
      <c r="A108" s="79" t="s">
        <v>238</v>
      </c>
      <c r="B108" s="80" t="s">
        <v>194</v>
      </c>
      <c r="C108" s="81">
        <v>40</v>
      </c>
      <c r="D108" s="82">
        <v>27927.95</v>
      </c>
      <c r="E108" s="82">
        <v>27342.3</v>
      </c>
      <c r="F108" s="82">
        <v>1.9267820999999998</v>
      </c>
      <c r="G108" s="48"/>
      <c r="H108" s="49"/>
    </row>
    <row r="109" spans="1:10" ht="14.25" x14ac:dyDescent="0.3">
      <c r="A109" s="79" t="s">
        <v>239</v>
      </c>
      <c r="B109" s="80" t="s">
        <v>194</v>
      </c>
      <c r="C109" s="81">
        <v>137800</v>
      </c>
      <c r="D109" s="82">
        <v>207.84903774</v>
      </c>
      <c r="E109" s="82">
        <v>207.5</v>
      </c>
      <c r="F109" s="82">
        <v>75.467892500000005</v>
      </c>
      <c r="G109" s="48"/>
      <c r="H109" s="49"/>
    </row>
    <row r="110" spans="1:10" ht="14.25" x14ac:dyDescent="0.3">
      <c r="A110" s="79" t="s">
        <v>240</v>
      </c>
      <c r="B110" s="80" t="s">
        <v>194</v>
      </c>
      <c r="C110" s="81">
        <v>1500</v>
      </c>
      <c r="D110" s="82">
        <v>2444.7399999999998</v>
      </c>
      <c r="E110" s="82">
        <v>2510.6</v>
      </c>
      <c r="F110" s="82">
        <v>7.5788250000000001</v>
      </c>
      <c r="G110" s="48"/>
      <c r="H110" s="49"/>
    </row>
    <row r="111" spans="1:10" ht="14.25" x14ac:dyDescent="0.3">
      <c r="A111" s="79" t="s">
        <v>241</v>
      </c>
      <c r="B111" s="80" t="s">
        <v>194</v>
      </c>
      <c r="C111" s="81">
        <v>800</v>
      </c>
      <c r="D111" s="82">
        <v>2908.45</v>
      </c>
      <c r="E111" s="82">
        <v>2867.15</v>
      </c>
      <c r="F111" s="82">
        <v>4.0442540000000005</v>
      </c>
      <c r="G111" s="48"/>
      <c r="H111" s="49"/>
    </row>
    <row r="112" spans="1:10" ht="14.25" x14ac:dyDescent="0.3">
      <c r="A112" s="79" t="s">
        <v>242</v>
      </c>
      <c r="B112" s="80" t="s">
        <v>194</v>
      </c>
      <c r="C112" s="81">
        <v>2500</v>
      </c>
      <c r="D112" s="82">
        <v>1044.5</v>
      </c>
      <c r="E112" s="82">
        <v>1054.55</v>
      </c>
      <c r="F112" s="82">
        <v>4.6483438000000001</v>
      </c>
      <c r="G112" s="48"/>
      <c r="H112" s="49"/>
    </row>
    <row r="113" spans="1:8" ht="14.25" x14ac:dyDescent="0.3">
      <c r="A113" s="79" t="s">
        <v>243</v>
      </c>
      <c r="B113" s="80" t="s">
        <v>194</v>
      </c>
      <c r="C113" s="81">
        <v>3125</v>
      </c>
      <c r="D113" s="82">
        <v>6849.1639599999999</v>
      </c>
      <c r="E113" s="82">
        <v>7279.95</v>
      </c>
      <c r="F113" s="82">
        <v>40.1866719</v>
      </c>
      <c r="G113" s="48"/>
      <c r="H113" s="49"/>
    </row>
    <row r="114" spans="1:8" ht="14.25" x14ac:dyDescent="0.3">
      <c r="A114" s="79" t="s">
        <v>244</v>
      </c>
      <c r="B114" s="80" t="s">
        <v>194</v>
      </c>
      <c r="C114" s="81">
        <v>107500</v>
      </c>
      <c r="D114" s="82">
        <v>182.68718372000001</v>
      </c>
      <c r="E114" s="82">
        <v>181.75</v>
      </c>
      <c r="F114" s="82">
        <v>54.547918799999998</v>
      </c>
      <c r="G114" s="48"/>
      <c r="H114" s="49"/>
    </row>
    <row r="115" spans="1:8" ht="14.25" x14ac:dyDescent="0.3">
      <c r="A115" s="79" t="s">
        <v>245</v>
      </c>
      <c r="B115" s="80" t="s">
        <v>194</v>
      </c>
      <c r="C115" s="81">
        <v>78975</v>
      </c>
      <c r="D115" s="82">
        <v>262.03511852000003</v>
      </c>
      <c r="E115" s="82">
        <v>265.39999999999998</v>
      </c>
      <c r="F115" s="82">
        <v>43.862320099999998</v>
      </c>
      <c r="G115" s="48"/>
      <c r="H115" s="49"/>
    </row>
    <row r="116" spans="1:8" ht="14.25" x14ac:dyDescent="0.3">
      <c r="A116" s="79" t="s">
        <v>246</v>
      </c>
      <c r="B116" s="80" t="s">
        <v>194</v>
      </c>
      <c r="C116" s="81">
        <v>950</v>
      </c>
      <c r="D116" s="82">
        <v>1235.3499999999999</v>
      </c>
      <c r="E116" s="82">
        <v>1239.1500000000001</v>
      </c>
      <c r="F116" s="82">
        <v>2.0745695999999998</v>
      </c>
      <c r="G116" s="48"/>
      <c r="H116" s="49"/>
    </row>
    <row r="117" spans="1:8" ht="14.25" x14ac:dyDescent="0.3">
      <c r="A117" s="79" t="s">
        <v>247</v>
      </c>
      <c r="B117" s="80" t="s">
        <v>194</v>
      </c>
      <c r="C117" s="81">
        <v>150</v>
      </c>
      <c r="D117" s="82">
        <v>30601.9</v>
      </c>
      <c r="E117" s="82">
        <v>30281.55</v>
      </c>
      <c r="F117" s="82">
        <v>8.0027624999999993</v>
      </c>
      <c r="G117" s="48"/>
      <c r="H117" s="49"/>
    </row>
    <row r="118" spans="1:8" ht="14.25" x14ac:dyDescent="0.3">
      <c r="A118" s="79" t="s">
        <v>248</v>
      </c>
      <c r="B118" s="80" t="s">
        <v>194</v>
      </c>
      <c r="C118" s="81">
        <v>32400</v>
      </c>
      <c r="D118" s="82">
        <v>574.88333333000003</v>
      </c>
      <c r="E118" s="82">
        <v>585.65</v>
      </c>
      <c r="F118" s="82">
        <v>47.187359999999998</v>
      </c>
      <c r="G118" s="48"/>
      <c r="H118" s="49"/>
    </row>
    <row r="119" spans="1:8" ht="14.25" x14ac:dyDescent="0.3">
      <c r="A119" s="79" t="s">
        <v>249</v>
      </c>
      <c r="B119" s="80" t="s">
        <v>194</v>
      </c>
      <c r="C119" s="81">
        <v>24000</v>
      </c>
      <c r="D119" s="82">
        <v>852.64790000000005</v>
      </c>
      <c r="E119" s="82">
        <v>887.3</v>
      </c>
      <c r="F119" s="82">
        <v>40.530299999999997</v>
      </c>
      <c r="G119" s="48"/>
      <c r="H119" s="49"/>
    </row>
    <row r="120" spans="1:8" ht="14.25" x14ac:dyDescent="0.3">
      <c r="A120" s="79" t="s">
        <v>250</v>
      </c>
      <c r="B120" s="80" t="s">
        <v>194</v>
      </c>
      <c r="C120" s="81">
        <v>3600</v>
      </c>
      <c r="D120" s="82">
        <v>266.45</v>
      </c>
      <c r="E120" s="82">
        <v>269.05</v>
      </c>
      <c r="F120" s="82">
        <v>1.7095050000000001</v>
      </c>
      <c r="G120" s="48"/>
      <c r="H120" s="49"/>
    </row>
    <row r="121" spans="1:8" ht="14.25" x14ac:dyDescent="0.3">
      <c r="A121" s="79" t="s">
        <v>251</v>
      </c>
      <c r="B121" s="80" t="s">
        <v>194</v>
      </c>
      <c r="C121" s="81">
        <v>20000</v>
      </c>
      <c r="D121" s="82">
        <v>136.98750000000001</v>
      </c>
      <c r="E121" s="82">
        <v>136.1</v>
      </c>
      <c r="F121" s="82">
        <v>5.5467000000000004</v>
      </c>
      <c r="G121" s="48"/>
      <c r="H121" s="49"/>
    </row>
    <row r="122" spans="1:8" ht="14.25" x14ac:dyDescent="0.3">
      <c r="A122" s="79" t="s">
        <v>252</v>
      </c>
      <c r="B122" s="80" t="s">
        <v>194</v>
      </c>
      <c r="C122" s="81">
        <v>4000</v>
      </c>
      <c r="D122" s="82">
        <v>3482.114955</v>
      </c>
      <c r="E122" s="82">
        <v>3471.2</v>
      </c>
      <c r="F122" s="82">
        <v>24.473210000000002</v>
      </c>
      <c r="G122" s="48"/>
      <c r="H122" s="49"/>
    </row>
    <row r="123" spans="1:8" ht="14.25" x14ac:dyDescent="0.3">
      <c r="A123" s="79" t="s">
        <v>253</v>
      </c>
      <c r="B123" s="80" t="s">
        <v>194</v>
      </c>
      <c r="C123" s="81">
        <v>2400</v>
      </c>
      <c r="D123" s="82">
        <v>7208.6854000000003</v>
      </c>
      <c r="E123" s="82">
        <v>7514.35</v>
      </c>
      <c r="F123" s="82">
        <v>39.133463999999996</v>
      </c>
      <c r="G123" s="48"/>
      <c r="H123" s="49"/>
    </row>
    <row r="124" spans="1:8" ht="14.25" x14ac:dyDescent="0.3">
      <c r="A124" s="79" t="s">
        <v>254</v>
      </c>
      <c r="B124" s="80" t="s">
        <v>194</v>
      </c>
      <c r="C124" s="81">
        <v>3575</v>
      </c>
      <c r="D124" s="82">
        <v>2757.5923076899999</v>
      </c>
      <c r="E124" s="82">
        <v>2795.8</v>
      </c>
      <c r="F124" s="82">
        <v>18.298995000000001</v>
      </c>
      <c r="G124" s="48"/>
      <c r="H124" s="49"/>
    </row>
    <row r="125" spans="1:8" ht="14.25" x14ac:dyDescent="0.3">
      <c r="A125" s="79" t="s">
        <v>255</v>
      </c>
      <c r="B125" s="80" t="s">
        <v>194</v>
      </c>
      <c r="C125" s="81">
        <v>38425</v>
      </c>
      <c r="D125" s="82">
        <v>956.56791697999995</v>
      </c>
      <c r="E125" s="82">
        <v>965.75</v>
      </c>
      <c r="F125" s="82">
        <v>134.0362944</v>
      </c>
      <c r="G125" s="48"/>
      <c r="H125" s="49"/>
    </row>
    <row r="126" spans="1:8" ht="14.25" x14ac:dyDescent="0.3">
      <c r="A126" s="79" t="s">
        <v>256</v>
      </c>
      <c r="B126" s="80" t="s">
        <v>194</v>
      </c>
      <c r="C126" s="81">
        <v>11700</v>
      </c>
      <c r="D126" s="82">
        <v>629.66110000000003</v>
      </c>
      <c r="E126" s="82">
        <v>630.1</v>
      </c>
      <c r="F126" s="82">
        <v>17.717193000000002</v>
      </c>
      <c r="G126" s="48"/>
      <c r="H126" s="49"/>
    </row>
    <row r="127" spans="1:8" ht="14.25" x14ac:dyDescent="0.3">
      <c r="A127" s="79" t="s">
        <v>257</v>
      </c>
      <c r="B127" s="80" t="s">
        <v>194</v>
      </c>
      <c r="C127" s="81">
        <v>4750</v>
      </c>
      <c r="D127" s="82">
        <v>2270.41</v>
      </c>
      <c r="E127" s="82">
        <v>2313.1999999999998</v>
      </c>
      <c r="F127" s="82">
        <v>23.6966456</v>
      </c>
      <c r="G127" s="48"/>
      <c r="H127" s="49"/>
    </row>
    <row r="128" spans="1:8" ht="14.25" x14ac:dyDescent="0.3">
      <c r="A128" s="79" t="s">
        <v>258</v>
      </c>
      <c r="B128" s="80" t="s">
        <v>194</v>
      </c>
      <c r="C128" s="81">
        <v>14000</v>
      </c>
      <c r="D128" s="82">
        <v>433.02142857000001</v>
      </c>
      <c r="E128" s="82">
        <v>433.2</v>
      </c>
      <c r="F128" s="82">
        <v>12.007379999999999</v>
      </c>
      <c r="G128" s="48"/>
      <c r="H128" s="49"/>
    </row>
    <row r="129" spans="1:8" ht="14.25" x14ac:dyDescent="0.3">
      <c r="A129" s="79" t="s">
        <v>259</v>
      </c>
      <c r="B129" s="80" t="s">
        <v>194</v>
      </c>
      <c r="C129" s="81">
        <v>300</v>
      </c>
      <c r="D129" s="82">
        <v>3072.75</v>
      </c>
      <c r="E129" s="82">
        <v>3346.95</v>
      </c>
      <c r="F129" s="82">
        <v>2.0924453000000001</v>
      </c>
      <c r="G129" s="48"/>
      <c r="H129" s="49"/>
    </row>
    <row r="130" spans="1:8" ht="14.25" x14ac:dyDescent="0.3">
      <c r="A130" s="79" t="s">
        <v>260</v>
      </c>
      <c r="B130" s="80" t="s">
        <v>194</v>
      </c>
      <c r="C130" s="81">
        <v>46200</v>
      </c>
      <c r="D130" s="82">
        <v>1460.85472035</v>
      </c>
      <c r="E130" s="82">
        <v>1461.1</v>
      </c>
      <c r="F130" s="82">
        <v>118.8255915</v>
      </c>
      <c r="G130" s="48"/>
      <c r="H130" s="49"/>
    </row>
    <row r="131" spans="1:8" ht="14.25" x14ac:dyDescent="0.3">
      <c r="A131" s="79" t="s">
        <v>206</v>
      </c>
      <c r="B131" s="80" t="s">
        <v>194</v>
      </c>
      <c r="C131" s="81">
        <v>5500</v>
      </c>
      <c r="D131" s="82">
        <v>621.89</v>
      </c>
      <c r="E131" s="82">
        <v>638.5</v>
      </c>
      <c r="F131" s="82">
        <v>6.1852175000000003</v>
      </c>
      <c r="G131" s="48"/>
      <c r="H131" s="49"/>
    </row>
    <row r="132" spans="1:8" ht="14.25" x14ac:dyDescent="0.3">
      <c r="A132" s="79" t="s">
        <v>207</v>
      </c>
      <c r="B132" s="80" t="s">
        <v>194</v>
      </c>
      <c r="C132" s="81">
        <v>7000</v>
      </c>
      <c r="D132" s="82">
        <v>554.69000000000005</v>
      </c>
      <c r="E132" s="82">
        <v>565</v>
      </c>
      <c r="F132" s="82">
        <v>8.2896099999999997</v>
      </c>
      <c r="G132" s="48"/>
      <c r="H132" s="49"/>
    </row>
    <row r="133" spans="1:8" ht="14.25" x14ac:dyDescent="0.3">
      <c r="A133" s="79" t="s">
        <v>208</v>
      </c>
      <c r="B133" s="80" t="s">
        <v>194</v>
      </c>
      <c r="C133" s="81">
        <v>15900</v>
      </c>
      <c r="D133" s="82">
        <v>271.58330000000001</v>
      </c>
      <c r="E133" s="82">
        <v>281.2</v>
      </c>
      <c r="F133" s="82">
        <v>20.374578</v>
      </c>
      <c r="G133" s="48"/>
      <c r="H133" s="49"/>
    </row>
    <row r="134" spans="1:8" ht="14.25" x14ac:dyDescent="0.3">
      <c r="A134" s="79" t="s">
        <v>209</v>
      </c>
      <c r="B134" s="80" t="s">
        <v>194</v>
      </c>
      <c r="C134" s="81">
        <v>59400</v>
      </c>
      <c r="D134" s="82">
        <v>517.92272727</v>
      </c>
      <c r="E134" s="82">
        <v>478.05</v>
      </c>
      <c r="F134" s="82">
        <v>70.065864000000005</v>
      </c>
      <c r="G134" s="48"/>
      <c r="H134" s="49"/>
    </row>
    <row r="135" spans="1:8" ht="14.25" x14ac:dyDescent="0.3">
      <c r="A135" s="79" t="s">
        <v>210</v>
      </c>
      <c r="B135" s="80" t="s">
        <v>194</v>
      </c>
      <c r="C135" s="81">
        <v>11400</v>
      </c>
      <c r="D135" s="82">
        <v>2268.8933999999999</v>
      </c>
      <c r="E135" s="82">
        <v>2282.6</v>
      </c>
      <c r="F135" s="82">
        <v>45.843105000000001</v>
      </c>
      <c r="G135" s="48"/>
      <c r="H135" s="49"/>
    </row>
    <row r="136" spans="1:8" ht="14.25" x14ac:dyDescent="0.3">
      <c r="A136" s="79" t="s">
        <v>211</v>
      </c>
      <c r="B136" s="80" t="s">
        <v>194</v>
      </c>
      <c r="C136" s="81">
        <v>21000</v>
      </c>
      <c r="D136" s="82">
        <v>1518.6082833299999</v>
      </c>
      <c r="E136" s="82">
        <v>1561.55</v>
      </c>
      <c r="F136" s="82">
        <v>61.174259999999997</v>
      </c>
      <c r="G136" s="48"/>
      <c r="H136" s="49"/>
    </row>
    <row r="137" spans="1:8" ht="14.25" x14ac:dyDescent="0.3">
      <c r="A137" s="79" t="s">
        <v>212</v>
      </c>
      <c r="B137" s="80" t="s">
        <v>194</v>
      </c>
      <c r="C137" s="81">
        <v>71400</v>
      </c>
      <c r="D137" s="82">
        <v>256.76424761999999</v>
      </c>
      <c r="E137" s="82">
        <v>293.10000000000002</v>
      </c>
      <c r="F137" s="82">
        <v>63.350988799999996</v>
      </c>
      <c r="G137" s="48"/>
      <c r="H137" s="49"/>
    </row>
    <row r="138" spans="1:8" ht="14.25" x14ac:dyDescent="0.3">
      <c r="A138" s="79" t="s">
        <v>213</v>
      </c>
      <c r="B138" s="80" t="s">
        <v>194</v>
      </c>
      <c r="C138" s="81">
        <v>68250</v>
      </c>
      <c r="D138" s="82">
        <v>167.96420000000001</v>
      </c>
      <c r="E138" s="82">
        <v>168.85</v>
      </c>
      <c r="F138" s="82">
        <v>23.6146706</v>
      </c>
      <c r="G138" s="48"/>
      <c r="H138" s="49"/>
    </row>
    <row r="139" spans="1:8" ht="14.25" x14ac:dyDescent="0.3">
      <c r="A139" s="79" t="s">
        <v>214</v>
      </c>
      <c r="B139" s="80" t="s">
        <v>194</v>
      </c>
      <c r="C139" s="81">
        <v>4050</v>
      </c>
      <c r="D139" s="82">
        <v>830.13333333000003</v>
      </c>
      <c r="E139" s="82">
        <v>837.1</v>
      </c>
      <c r="F139" s="82">
        <v>5.9759978</v>
      </c>
      <c r="G139" s="48"/>
      <c r="H139" s="49"/>
    </row>
    <row r="140" spans="1:8" ht="14.25" x14ac:dyDescent="0.3">
      <c r="A140" s="79" t="s">
        <v>215</v>
      </c>
      <c r="B140" s="80" t="s">
        <v>194</v>
      </c>
      <c r="C140" s="81">
        <v>6300</v>
      </c>
      <c r="D140" s="82">
        <v>2206.1713523799999</v>
      </c>
      <c r="E140" s="82">
        <v>2282.5500000000002</v>
      </c>
      <c r="F140" s="82">
        <v>28.859544</v>
      </c>
      <c r="G140" s="48"/>
      <c r="H140" s="49"/>
    </row>
    <row r="141" spans="1:8" ht="14.25" x14ac:dyDescent="0.3">
      <c r="A141" s="79" t="s">
        <v>216</v>
      </c>
      <c r="B141" s="80" t="s">
        <v>194</v>
      </c>
      <c r="C141" s="81">
        <v>22000</v>
      </c>
      <c r="D141" s="82">
        <v>598.84090908999997</v>
      </c>
      <c r="E141" s="82">
        <v>614.95000000000005</v>
      </c>
      <c r="F141" s="82">
        <v>26.127144999999999</v>
      </c>
      <c r="G141" s="48"/>
      <c r="H141" s="49"/>
    </row>
    <row r="142" spans="1:8" ht="14.25" x14ac:dyDescent="0.3">
      <c r="A142" s="79" t="s">
        <v>217</v>
      </c>
      <c r="B142" s="80" t="s">
        <v>194</v>
      </c>
      <c r="C142" s="81">
        <v>14700</v>
      </c>
      <c r="D142" s="82">
        <v>3665.3254938800001</v>
      </c>
      <c r="E142" s="82">
        <v>3789.85</v>
      </c>
      <c r="F142" s="82">
        <v>98.239695800000007</v>
      </c>
      <c r="G142" s="48"/>
      <c r="H142" s="49"/>
    </row>
    <row r="143" spans="1:8" ht="14.25" x14ac:dyDescent="0.3">
      <c r="A143" s="79" t="s">
        <v>218</v>
      </c>
      <c r="B143" s="80" t="s">
        <v>194</v>
      </c>
      <c r="C143" s="81">
        <v>450</v>
      </c>
      <c r="D143" s="82">
        <v>5181.55</v>
      </c>
      <c r="E143" s="82">
        <v>4980.6499999999996</v>
      </c>
      <c r="F143" s="82">
        <v>4.2190728999999996</v>
      </c>
      <c r="G143" s="48"/>
      <c r="H143" s="49"/>
    </row>
    <row r="144" spans="1:8" ht="14.25" x14ac:dyDescent="0.3">
      <c r="A144" s="79" t="s">
        <v>219</v>
      </c>
      <c r="B144" s="80" t="s">
        <v>194</v>
      </c>
      <c r="C144" s="81">
        <v>1200</v>
      </c>
      <c r="D144" s="82">
        <v>502.35</v>
      </c>
      <c r="E144" s="82">
        <v>499.9</v>
      </c>
      <c r="F144" s="82">
        <v>1.0590299999999999</v>
      </c>
      <c r="G144" s="48"/>
      <c r="H144" s="49"/>
    </row>
    <row r="145" spans="1:8" ht="14.25" x14ac:dyDescent="0.3">
      <c r="A145" s="79" t="s">
        <v>220</v>
      </c>
      <c r="B145" s="80" t="s">
        <v>194</v>
      </c>
      <c r="C145" s="81">
        <v>4200</v>
      </c>
      <c r="D145" s="82">
        <v>1140.34166667</v>
      </c>
      <c r="E145" s="82">
        <v>1138.95</v>
      </c>
      <c r="F145" s="82">
        <v>8.4571199999999997</v>
      </c>
      <c r="G145" s="48"/>
      <c r="H145" s="49"/>
    </row>
    <row r="146" spans="1:8" ht="14.25" x14ac:dyDescent="0.3">
      <c r="A146" s="79" t="s">
        <v>221</v>
      </c>
      <c r="B146" s="80" t="s">
        <v>194</v>
      </c>
      <c r="C146" s="81">
        <v>5200</v>
      </c>
      <c r="D146" s="82">
        <v>3399.4461384599999</v>
      </c>
      <c r="E146" s="82">
        <v>3375.5</v>
      </c>
      <c r="F146" s="82">
        <v>42.654910999999998</v>
      </c>
      <c r="G146" s="48"/>
      <c r="H146" s="49"/>
    </row>
    <row r="147" spans="1:8" ht="14.25" x14ac:dyDescent="0.3">
      <c r="A147" s="79" t="s">
        <v>222</v>
      </c>
      <c r="B147" s="80" t="s">
        <v>194</v>
      </c>
      <c r="C147" s="81">
        <v>14200</v>
      </c>
      <c r="D147" s="82">
        <v>116.55</v>
      </c>
      <c r="E147" s="82">
        <v>118.05</v>
      </c>
      <c r="F147" s="82">
        <v>3.4349799999999999</v>
      </c>
      <c r="G147" s="48"/>
      <c r="H147" s="49"/>
    </row>
    <row r="148" spans="1:8" ht="14.25" x14ac:dyDescent="0.3">
      <c r="A148" s="79" t="s">
        <v>223</v>
      </c>
      <c r="B148" s="80" t="s">
        <v>194</v>
      </c>
      <c r="C148" s="81">
        <v>1500</v>
      </c>
      <c r="D148" s="82">
        <v>5429.1599533299996</v>
      </c>
      <c r="E148" s="82">
        <v>5620.55</v>
      </c>
      <c r="F148" s="82">
        <v>16.931583799999999</v>
      </c>
      <c r="G148" s="48"/>
      <c r="H148" s="49"/>
    </row>
    <row r="149" spans="1:8" ht="14.25" x14ac:dyDescent="0.3">
      <c r="A149" s="79" t="s">
        <v>224</v>
      </c>
      <c r="B149" s="80" t="s">
        <v>194</v>
      </c>
      <c r="C149" s="81">
        <v>11250</v>
      </c>
      <c r="D149" s="82">
        <v>857.75330043999998</v>
      </c>
      <c r="E149" s="82">
        <v>856.65</v>
      </c>
      <c r="F149" s="82">
        <v>25.682512500000001</v>
      </c>
      <c r="G149" s="48"/>
      <c r="H149" s="49"/>
    </row>
    <row r="150" spans="1:8" ht="14.25" x14ac:dyDescent="0.3">
      <c r="A150" s="79" t="s">
        <v>225</v>
      </c>
      <c r="B150" s="80" t="s">
        <v>194</v>
      </c>
      <c r="C150" s="81">
        <v>36000</v>
      </c>
      <c r="D150" s="82">
        <v>277.45</v>
      </c>
      <c r="E150" s="82">
        <v>264.60000000000002</v>
      </c>
      <c r="F150" s="82">
        <v>17.045729999999999</v>
      </c>
      <c r="G150" s="48"/>
      <c r="H150" s="49"/>
    </row>
    <row r="151" spans="1:8" ht="14.25" x14ac:dyDescent="0.3">
      <c r="A151" s="79" t="s">
        <v>226</v>
      </c>
      <c r="B151" s="80" t="s">
        <v>194</v>
      </c>
      <c r="C151" s="81">
        <v>64800</v>
      </c>
      <c r="D151" s="82">
        <v>273.2638</v>
      </c>
      <c r="E151" s="82">
        <v>278.55</v>
      </c>
      <c r="F151" s="82">
        <v>32.239782000000005</v>
      </c>
      <c r="G151" s="48"/>
      <c r="H151" s="49"/>
    </row>
    <row r="152" spans="1:8" ht="14.25" x14ac:dyDescent="0.3">
      <c r="A152" s="79" t="s">
        <v>227</v>
      </c>
      <c r="B152" s="80" t="s">
        <v>194</v>
      </c>
      <c r="C152" s="81">
        <v>850</v>
      </c>
      <c r="D152" s="82">
        <v>818.25</v>
      </c>
      <c r="E152" s="82">
        <v>817.15</v>
      </c>
      <c r="F152" s="82">
        <v>1.2243378999999999</v>
      </c>
      <c r="G152" s="48"/>
      <c r="H152" s="49"/>
    </row>
    <row r="153" spans="1:8" ht="14.25" x14ac:dyDescent="0.3">
      <c r="A153" s="79" t="s">
        <v>228</v>
      </c>
      <c r="B153" s="80" t="s">
        <v>194</v>
      </c>
      <c r="C153" s="81">
        <v>17750</v>
      </c>
      <c r="D153" s="82">
        <v>2967.5450270400002</v>
      </c>
      <c r="E153" s="82">
        <v>2991.25</v>
      </c>
      <c r="F153" s="82">
        <v>93.672518800000006</v>
      </c>
      <c r="G153" s="48"/>
      <c r="H153" s="49"/>
    </row>
    <row r="154" spans="1:8" ht="14.25" x14ac:dyDescent="0.3">
      <c r="A154" s="79" t="s">
        <v>229</v>
      </c>
      <c r="B154" s="80" t="s">
        <v>194</v>
      </c>
      <c r="C154" s="81">
        <v>1500</v>
      </c>
      <c r="D154" s="82">
        <v>1490.125</v>
      </c>
      <c r="E154" s="82">
        <v>1512.8</v>
      </c>
      <c r="F154" s="82">
        <v>3.9987750000000002</v>
      </c>
      <c r="G154" s="48"/>
      <c r="H154" s="49"/>
    </row>
    <row r="155" spans="1:8" ht="14.25" x14ac:dyDescent="0.3">
      <c r="A155" s="79" t="s">
        <v>230</v>
      </c>
      <c r="B155" s="80" t="s">
        <v>194</v>
      </c>
      <c r="C155" s="81">
        <v>27000</v>
      </c>
      <c r="D155" s="82">
        <v>749.83611111000005</v>
      </c>
      <c r="E155" s="82">
        <v>756.55</v>
      </c>
      <c r="F155" s="82">
        <v>36.072202500000003</v>
      </c>
      <c r="G155" s="48"/>
      <c r="H155" s="49"/>
    </row>
    <row r="156" spans="1:8" ht="14.25" x14ac:dyDescent="0.3">
      <c r="A156" s="79" t="s">
        <v>231</v>
      </c>
      <c r="B156" s="80" t="s">
        <v>194</v>
      </c>
      <c r="C156" s="81">
        <v>10000</v>
      </c>
      <c r="D156" s="82">
        <v>1957.8049900000001</v>
      </c>
      <c r="E156" s="82">
        <v>2020.8</v>
      </c>
      <c r="F156" s="82">
        <v>39.265124999999998</v>
      </c>
      <c r="G156" s="48"/>
      <c r="H156" s="49"/>
    </row>
    <row r="157" spans="1:8" ht="14.25" x14ac:dyDescent="0.3">
      <c r="A157" s="79" t="s">
        <v>232</v>
      </c>
      <c r="B157" s="80" t="s">
        <v>194</v>
      </c>
      <c r="C157" s="81">
        <v>16875</v>
      </c>
      <c r="D157" s="82">
        <v>394.25</v>
      </c>
      <c r="E157" s="82">
        <v>397.3</v>
      </c>
      <c r="F157" s="82">
        <v>14.455504700000001</v>
      </c>
      <c r="G157" s="48"/>
      <c r="H157" s="49"/>
    </row>
    <row r="158" spans="1:8" ht="14.25" x14ac:dyDescent="0.3">
      <c r="A158" s="79" t="s">
        <v>233</v>
      </c>
      <c r="B158" s="80" t="s">
        <v>194</v>
      </c>
      <c r="C158" s="81">
        <v>66000</v>
      </c>
      <c r="D158" s="82">
        <v>150.60416667000001</v>
      </c>
      <c r="E158" s="82">
        <v>157.05000000000001</v>
      </c>
      <c r="F158" s="82">
        <v>19.97259</v>
      </c>
      <c r="G158" s="48"/>
      <c r="H158" s="49"/>
    </row>
    <row r="159" spans="1:8" ht="14.25" x14ac:dyDescent="0.3">
      <c r="A159" s="79" t="s">
        <v>234</v>
      </c>
      <c r="B159" s="80" t="s">
        <v>194</v>
      </c>
      <c r="C159" s="81">
        <v>5775</v>
      </c>
      <c r="D159" s="82">
        <v>3975.5348207799998</v>
      </c>
      <c r="E159" s="82">
        <v>3907.3</v>
      </c>
      <c r="F159" s="82">
        <v>39.773478900000001</v>
      </c>
      <c r="G159" s="48"/>
      <c r="H159" s="49"/>
    </row>
    <row r="160" spans="1:8" ht="14.25" x14ac:dyDescent="0.3">
      <c r="A160" s="79" t="s">
        <v>235</v>
      </c>
      <c r="B160" s="80" t="s">
        <v>194</v>
      </c>
      <c r="C160" s="81">
        <v>1200</v>
      </c>
      <c r="D160" s="82">
        <v>3945.1</v>
      </c>
      <c r="E160" s="82">
        <v>3979.55</v>
      </c>
      <c r="F160" s="82">
        <v>10.196241000000001</v>
      </c>
      <c r="G160" s="48"/>
      <c r="H160" s="49"/>
    </row>
    <row r="161" spans="1:8" ht="14.25" x14ac:dyDescent="0.3">
      <c r="A161" s="79" t="s">
        <v>236</v>
      </c>
      <c r="B161" s="80" t="s">
        <v>194</v>
      </c>
      <c r="C161" s="81">
        <v>3850</v>
      </c>
      <c r="D161" s="82">
        <v>2115.2227272700002</v>
      </c>
      <c r="E161" s="82">
        <v>2166.65</v>
      </c>
      <c r="F161" s="82">
        <v>14.7221305</v>
      </c>
      <c r="G161" s="48"/>
      <c r="H161" s="49"/>
    </row>
    <row r="162" spans="1:8" ht="14.25" x14ac:dyDescent="0.3">
      <c r="A162" s="79" t="s">
        <v>237</v>
      </c>
      <c r="B162" s="80" t="s">
        <v>194</v>
      </c>
      <c r="C162" s="81">
        <v>158700</v>
      </c>
      <c r="D162" s="82">
        <v>272.89419275</v>
      </c>
      <c r="E162" s="82">
        <v>273.75</v>
      </c>
      <c r="F162" s="82">
        <v>94.545524999999998</v>
      </c>
      <c r="G162" s="48"/>
      <c r="H162" s="49"/>
    </row>
    <row r="163" spans="1:8" ht="14.25" x14ac:dyDescent="0.3">
      <c r="A163" s="38"/>
      <c r="B163" s="39"/>
      <c r="C163" s="50"/>
      <c r="D163" s="33"/>
      <c r="E163" s="51"/>
      <c r="F163" s="33"/>
      <c r="G163" s="33"/>
      <c r="H163" s="33"/>
    </row>
    <row r="164" spans="1:8" ht="14.25" x14ac:dyDescent="0.3">
      <c r="A164" s="52" t="s">
        <v>263</v>
      </c>
      <c r="B164" s="39"/>
      <c r="C164" s="53"/>
      <c r="D164" s="33"/>
      <c r="E164" s="51"/>
      <c r="F164" s="33"/>
      <c r="G164" s="33"/>
      <c r="H164" s="33"/>
    </row>
    <row r="165" spans="1:8" ht="14.25" x14ac:dyDescent="0.3">
      <c r="A165" s="41"/>
      <c r="B165" s="40"/>
      <c r="C165" s="54"/>
      <c r="D165" s="33"/>
      <c r="E165" s="51"/>
      <c r="F165" s="33"/>
      <c r="G165" s="33"/>
      <c r="H165" s="33"/>
    </row>
    <row r="166" spans="1:8" ht="14.25" x14ac:dyDescent="0.3">
      <c r="A166" s="90" t="s">
        <v>261</v>
      </c>
      <c r="B166" s="90"/>
      <c r="C166" s="90"/>
      <c r="D166" s="55"/>
      <c r="E166" s="51"/>
      <c r="F166" s="33"/>
      <c r="G166" s="33"/>
      <c r="H166" s="33"/>
    </row>
    <row r="167" spans="1:8" ht="14.25" x14ac:dyDescent="0.3">
      <c r="A167" s="95" t="s">
        <v>266</v>
      </c>
      <c r="B167" s="95"/>
      <c r="C167" s="95"/>
      <c r="D167" s="95"/>
      <c r="E167" s="33"/>
      <c r="F167" s="33"/>
      <c r="G167" s="33"/>
      <c r="H167" s="33"/>
    </row>
    <row r="168" spans="1:8" ht="14.25" x14ac:dyDescent="0.3">
      <c r="A168" s="85" t="s">
        <v>195</v>
      </c>
      <c r="B168" s="86"/>
      <c r="C168" s="87"/>
      <c r="D168" s="60">
        <v>1076</v>
      </c>
      <c r="E168" s="33"/>
      <c r="F168" s="33"/>
      <c r="G168" s="33"/>
      <c r="H168" s="33"/>
    </row>
    <row r="169" spans="1:8" ht="14.25" x14ac:dyDescent="0.3">
      <c r="A169" s="85" t="s">
        <v>196</v>
      </c>
      <c r="B169" s="86"/>
      <c r="C169" s="87"/>
      <c r="D169" s="60">
        <v>1068</v>
      </c>
      <c r="E169" s="33"/>
      <c r="F169" s="33"/>
      <c r="G169" s="33"/>
      <c r="H169" s="33"/>
    </row>
    <row r="170" spans="1:8" ht="14.25" x14ac:dyDescent="0.3">
      <c r="A170" s="85" t="s">
        <v>197</v>
      </c>
      <c r="B170" s="86"/>
      <c r="C170" s="87"/>
      <c r="D170" s="61">
        <v>8516.7700472750003</v>
      </c>
      <c r="E170" s="33"/>
      <c r="F170" s="33"/>
      <c r="G170" s="33"/>
      <c r="H170" s="33"/>
    </row>
    <row r="171" spans="1:8" ht="14.25" x14ac:dyDescent="0.3">
      <c r="A171" s="85" t="s">
        <v>198</v>
      </c>
      <c r="B171" s="86"/>
      <c r="C171" s="87"/>
      <c r="D171" s="61">
        <v>8646.0078776999999</v>
      </c>
      <c r="E171" s="33"/>
      <c r="F171" s="33"/>
      <c r="G171" s="33"/>
      <c r="H171" s="33"/>
    </row>
    <row r="172" spans="1:8" ht="14.25" x14ac:dyDescent="0.3">
      <c r="A172" s="85" t="s">
        <v>199</v>
      </c>
      <c r="B172" s="86"/>
      <c r="C172" s="87"/>
      <c r="D172" s="62">
        <v>86.127105500000042</v>
      </c>
      <c r="E172" s="33"/>
      <c r="F172" s="33"/>
      <c r="G172" s="33"/>
      <c r="H172" s="33"/>
    </row>
    <row r="173" spans="1:8" ht="14.25" x14ac:dyDescent="0.3">
      <c r="A173" s="41"/>
      <c r="B173" s="40"/>
      <c r="C173" s="33"/>
      <c r="D173" s="33"/>
      <c r="E173" s="51"/>
      <c r="F173" s="33"/>
      <c r="G173" s="33"/>
      <c r="H173" s="33"/>
    </row>
    <row r="174" spans="1:8" ht="14.25" x14ac:dyDescent="0.3">
      <c r="A174" s="63" t="s">
        <v>264</v>
      </c>
      <c r="B174" s="63"/>
      <c r="C174" s="63"/>
      <c r="D174" s="33"/>
      <c r="E174" s="33"/>
      <c r="F174" s="33"/>
      <c r="G174" s="33"/>
      <c r="H174" s="33"/>
    </row>
    <row r="175" spans="1:8" ht="14.25" x14ac:dyDescent="0.3">
      <c r="A175" s="56" t="s">
        <v>267</v>
      </c>
      <c r="B175" s="57"/>
      <c r="C175" s="58"/>
      <c r="D175" s="59"/>
      <c r="E175" s="33"/>
      <c r="F175" s="33"/>
      <c r="G175" s="33"/>
      <c r="H175" s="33"/>
    </row>
    <row r="176" spans="1:8" ht="14.25" x14ac:dyDescent="0.3">
      <c r="A176" s="85" t="s">
        <v>195</v>
      </c>
      <c r="B176" s="86"/>
      <c r="C176" s="87"/>
      <c r="D176" s="64" t="s">
        <v>265</v>
      </c>
      <c r="E176" s="33"/>
      <c r="F176" s="33"/>
      <c r="G176" s="33"/>
      <c r="H176" s="33"/>
    </row>
    <row r="177" spans="1:8" ht="14.25" x14ac:dyDescent="0.3">
      <c r="A177" s="85" t="s">
        <v>196</v>
      </c>
      <c r="B177" s="86"/>
      <c r="C177" s="87"/>
      <c r="D177" s="64" t="s">
        <v>265</v>
      </c>
      <c r="E177" s="33"/>
      <c r="F177" s="33"/>
      <c r="G177" s="33"/>
      <c r="H177" s="33"/>
    </row>
    <row r="178" spans="1:8" ht="14.25" x14ac:dyDescent="0.3">
      <c r="A178" s="85" t="s">
        <v>197</v>
      </c>
      <c r="B178" s="86"/>
      <c r="C178" s="87"/>
      <c r="D178" s="64" t="s">
        <v>265</v>
      </c>
      <c r="E178" s="33"/>
      <c r="F178" s="33"/>
      <c r="G178" s="33"/>
      <c r="H178" s="33"/>
    </row>
    <row r="179" spans="1:8" ht="14.25" x14ac:dyDescent="0.3">
      <c r="A179" s="85" t="s">
        <v>198</v>
      </c>
      <c r="B179" s="86"/>
      <c r="C179" s="87"/>
      <c r="D179" s="64" t="s">
        <v>265</v>
      </c>
      <c r="E179" s="33"/>
      <c r="F179" s="33"/>
      <c r="G179" s="33"/>
      <c r="H179" s="33"/>
    </row>
    <row r="180" spans="1:8" ht="14.25" x14ac:dyDescent="0.3">
      <c r="A180" s="85" t="s">
        <v>199</v>
      </c>
      <c r="B180" s="86"/>
      <c r="C180" s="87"/>
      <c r="D180" s="64" t="s">
        <v>265</v>
      </c>
      <c r="E180" s="33"/>
      <c r="F180" s="33"/>
      <c r="G180" s="33"/>
      <c r="H180" s="33"/>
    </row>
    <row r="181" spans="1:8" ht="14.25" x14ac:dyDescent="0.3">
      <c r="A181" s="38"/>
      <c r="B181" s="39"/>
      <c r="C181" s="50"/>
      <c r="D181" s="33"/>
      <c r="E181" s="33"/>
      <c r="F181" s="33"/>
      <c r="G181" s="33"/>
      <c r="H181" s="33"/>
    </row>
    <row r="182" spans="1:8" ht="14.25" x14ac:dyDescent="0.3">
      <c r="A182" s="65" t="s">
        <v>200</v>
      </c>
      <c r="B182" s="66"/>
      <c r="C182" s="66"/>
      <c r="D182" s="33"/>
      <c r="E182" s="33"/>
      <c r="F182" s="33"/>
      <c r="G182" s="33"/>
      <c r="H182" s="33"/>
    </row>
    <row r="183" spans="1:8" ht="14.25" x14ac:dyDescent="0.3">
      <c r="A183" s="67" t="s">
        <v>201</v>
      </c>
      <c r="B183" s="66"/>
      <c r="C183" s="66"/>
      <c r="D183" s="33"/>
      <c r="E183" s="33"/>
      <c r="F183" s="33"/>
      <c r="G183" s="33"/>
      <c r="H183" s="33"/>
    </row>
    <row r="184" spans="1:8" ht="14.25" x14ac:dyDescent="0.3">
      <c r="A184" s="67" t="s">
        <v>202</v>
      </c>
      <c r="B184" s="67"/>
      <c r="C184" s="67"/>
      <c r="D184" s="33"/>
      <c r="E184" s="33"/>
      <c r="F184" s="33"/>
      <c r="G184" s="33"/>
      <c r="H184" s="33"/>
    </row>
    <row r="185" spans="1:8" ht="14.25" x14ac:dyDescent="0.3">
      <c r="A185" s="67" t="s">
        <v>203</v>
      </c>
      <c r="B185" s="67"/>
      <c r="C185" s="67"/>
      <c r="D185" s="33"/>
      <c r="E185" s="33"/>
      <c r="F185" s="33"/>
      <c r="G185" s="33"/>
      <c r="H185" s="33"/>
    </row>
    <row r="186" spans="1:8" ht="14.25" x14ac:dyDescent="0.3">
      <c r="A186" s="67"/>
      <c r="B186" s="66"/>
      <c r="C186" s="66"/>
      <c r="D186" s="33"/>
      <c r="E186" s="33"/>
      <c r="F186" s="33"/>
      <c r="G186" s="33"/>
      <c r="H186" s="33"/>
    </row>
    <row r="187" spans="1:8" ht="14.25" x14ac:dyDescent="0.3">
      <c r="A187" s="68" t="s">
        <v>204</v>
      </c>
      <c r="B187" s="69" t="s">
        <v>205</v>
      </c>
      <c r="C187" s="1"/>
      <c r="D187" s="33"/>
      <c r="E187" s="33"/>
      <c r="F187" s="33"/>
      <c r="G187" s="33"/>
      <c r="H187" s="33"/>
    </row>
    <row r="188" spans="1:8" ht="14.25" x14ac:dyDescent="0.3">
      <c r="A188" s="66"/>
      <c r="B188" s="66"/>
      <c r="C188" s="66"/>
      <c r="D188" s="33"/>
      <c r="E188" s="33"/>
      <c r="F188" s="33"/>
      <c r="G188" s="33"/>
      <c r="H188" s="33"/>
    </row>
    <row r="189" spans="1:8" ht="14.25" x14ac:dyDescent="0.3">
      <c r="A189" s="66"/>
      <c r="B189" s="66"/>
      <c r="C189" s="66"/>
      <c r="D189" s="33"/>
      <c r="E189" s="33"/>
      <c r="F189" s="33"/>
      <c r="G189" s="33"/>
      <c r="H189" s="33"/>
    </row>
    <row r="190" spans="1:8" ht="14.25" x14ac:dyDescent="0.3">
      <c r="A190" s="66"/>
      <c r="B190" s="66"/>
      <c r="C190" s="66"/>
      <c r="D190" s="33"/>
      <c r="E190" s="33"/>
      <c r="F190" s="33"/>
      <c r="G190" s="33"/>
      <c r="H190" s="33"/>
    </row>
    <row r="191" spans="1:8" ht="14.25" x14ac:dyDescent="0.3">
      <c r="A191" s="66"/>
      <c r="B191" s="66"/>
      <c r="C191" s="66"/>
      <c r="D191" s="33"/>
      <c r="E191" s="33"/>
      <c r="F191" s="33"/>
      <c r="G191" s="33"/>
      <c r="H191" s="33"/>
    </row>
    <row r="192" spans="1:8" ht="14.25" x14ac:dyDescent="0.3">
      <c r="A192" s="66"/>
      <c r="B192" s="66"/>
      <c r="C192" s="66"/>
      <c r="D192" s="33"/>
      <c r="E192" s="33"/>
      <c r="F192" s="33"/>
      <c r="G192" s="33"/>
      <c r="H192" s="33"/>
    </row>
    <row r="193" spans="1:8" ht="14.25" x14ac:dyDescent="0.3">
      <c r="A193" s="66"/>
      <c r="B193" s="66"/>
      <c r="C193" s="66"/>
      <c r="D193" s="33"/>
      <c r="E193" s="33"/>
      <c r="F193" s="33"/>
      <c r="G193" s="33"/>
      <c r="H193" s="33"/>
    </row>
    <row r="194" spans="1:8" ht="14.25" x14ac:dyDescent="0.3">
      <c r="A194" s="66"/>
      <c r="B194" s="66"/>
      <c r="C194" s="66"/>
      <c r="D194" s="33"/>
      <c r="E194" s="33"/>
      <c r="F194" s="33"/>
      <c r="G194" s="33"/>
      <c r="H194" s="33"/>
    </row>
    <row r="195" spans="1:8" ht="14.25" x14ac:dyDescent="0.3">
      <c r="E195" s="51"/>
      <c r="F195" s="33"/>
      <c r="G195" s="33"/>
      <c r="H195" s="33"/>
    </row>
    <row r="196" spans="1:8" ht="14.25" x14ac:dyDescent="0.3">
      <c r="A196" s="38"/>
      <c r="B196" s="39"/>
      <c r="C196" s="50"/>
      <c r="D196" s="33"/>
      <c r="E196" s="51"/>
      <c r="F196" s="33"/>
      <c r="G196" s="33"/>
      <c r="H196" s="33"/>
    </row>
  </sheetData>
  <mergeCells count="18">
    <mergeCell ref="A103:H103"/>
    <mergeCell ref="A1:H1"/>
    <mergeCell ref="A2:H2"/>
    <mergeCell ref="A3:H3"/>
    <mergeCell ref="A101:H101"/>
    <mergeCell ref="A102:H102"/>
    <mergeCell ref="A180:C180"/>
    <mergeCell ref="A104:H104"/>
    <mergeCell ref="A166:C166"/>
    <mergeCell ref="A168:C168"/>
    <mergeCell ref="A169:C169"/>
    <mergeCell ref="A170:C170"/>
    <mergeCell ref="A171:C171"/>
    <mergeCell ref="A172:C172"/>
    <mergeCell ref="A176:C176"/>
    <mergeCell ref="A177:C177"/>
    <mergeCell ref="A178:C178"/>
    <mergeCell ref="A179:C17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2024-04-03T07:46:06Z</dcterms:created>
  <dcterms:modified xsi:type="dcterms:W3CDTF">2024-04-04T09:52:39Z</dcterms:modified>
</cp:coreProperties>
</file>