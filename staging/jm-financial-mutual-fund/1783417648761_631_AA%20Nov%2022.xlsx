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AA" sheetId="1" r:id="rId1"/>
  </sheets>
  <definedNames>
    <definedName name="_xlnm._FilterDatabase" localSheetId="0" hidden="1">AA!$A$1:$J$74</definedName>
    <definedName name="Afs">#REF!</definedName>
    <definedName name="_xlnm.Database">#REF!</definedName>
    <definedName name="EBLDB">#REF!</definedName>
    <definedName name="fl">#REF!</definedName>
    <definedName name="_xlnm.Print_Area" localSheetId="0">AA!$A$1:$E$54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3" i="1" l="1"/>
  <c r="D61" i="1"/>
  <c r="E60" i="1"/>
  <c r="E61" i="1" s="1"/>
  <c r="D58" i="1"/>
  <c r="E57" i="1"/>
  <c r="E56" i="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8" i="1" l="1"/>
  <c r="E37" i="1"/>
  <c r="E41" i="1" s="1"/>
  <c r="D63" i="1"/>
  <c r="D65" i="1" s="1"/>
  <c r="E65" i="1" s="1"/>
  <c r="E63" i="1"/>
  <c r="E67" i="1" l="1"/>
</calcChain>
</file>

<file path=xl/sharedStrings.xml><?xml version="1.0" encoding="utf-8"?>
<sst xmlns="http://schemas.openxmlformats.org/spreadsheetml/2006/main" count="238" uniqueCount="169">
  <si>
    <t>JM Arbitrage Fund (An open ended scheme investing in arbitrage opportunities).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</si>
  <si>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</si>
  <si>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</si>
  <si>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</si>
  <si>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</si>
  <si>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</si>
  <si>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</si>
  <si>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</si>
  <si>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</si>
  <si>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</si>
  <si>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</si>
  <si>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</si>
  <si>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</si>
  <si>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</si>
  <si>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</si>
  <si>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Tata Power Company Ltd.</t>
  </si>
  <si>
    <t>Power</t>
  </si>
  <si>
    <t>INE245A01021</t>
  </si>
  <si>
    <t>Oberoi Realty Ltd.</t>
  </si>
  <si>
    <t>Realty</t>
  </si>
  <si>
    <t>INE093I01010</t>
  </si>
  <si>
    <t>Ambuja Cements Limited</t>
  </si>
  <si>
    <t>Cement &amp; Cement Products</t>
  </si>
  <si>
    <t>INE079A01024</t>
  </si>
  <si>
    <t>UPL Ltd.</t>
  </si>
  <si>
    <t>Fertilizers &amp; Agrochemicals</t>
  </si>
  <si>
    <t>INE628A01036</t>
  </si>
  <si>
    <t>United Spirits Ltd.</t>
  </si>
  <si>
    <t>Beverages</t>
  </si>
  <si>
    <t>INE854D01024</t>
  </si>
  <si>
    <t>Titan Company Ltd.</t>
  </si>
  <si>
    <t>Consumer Durables</t>
  </si>
  <si>
    <t>INE280A01028</t>
  </si>
  <si>
    <t>Bajaj Finserv Ltd.</t>
  </si>
  <si>
    <t>Finance</t>
  </si>
  <si>
    <t>INE918I01026</t>
  </si>
  <si>
    <t>Asian Paints Ltd.</t>
  </si>
  <si>
    <t>INE021A01026</t>
  </si>
  <si>
    <t>Housing Development Finance Corporation Ltd.</t>
  </si>
  <si>
    <t>INE001A01036</t>
  </si>
  <si>
    <t>ACC Ltd.</t>
  </si>
  <si>
    <t>INE012A01025</t>
  </si>
  <si>
    <t>Maruti Suzuki India Ltd.</t>
  </si>
  <si>
    <t>Automobiles</t>
  </si>
  <si>
    <t>INE585B01010</t>
  </si>
  <si>
    <t>Dr. Reddy's Laboratories Ltd.</t>
  </si>
  <si>
    <t>Pharmaceuticals &amp; Biotechnology</t>
  </si>
  <si>
    <t>INE089A01023</t>
  </si>
  <si>
    <t>Granules India Ltd.</t>
  </si>
  <si>
    <t>INE101D01020</t>
  </si>
  <si>
    <t>Bajaj Finance Ltd.</t>
  </si>
  <si>
    <t>INE296A01024</t>
  </si>
  <si>
    <t>Power Grid Corporation of India Ltd.</t>
  </si>
  <si>
    <t>INE752E01010</t>
  </si>
  <si>
    <t>HDFC Bank Ltd.</t>
  </si>
  <si>
    <t>INE040A01034</t>
  </si>
  <si>
    <t>Tata Steel Ltd.</t>
  </si>
  <si>
    <t>Ferrous Metals</t>
  </si>
  <si>
    <t>INE081A01020</t>
  </si>
  <si>
    <t>Bharat Electronics Ltd.</t>
  </si>
  <si>
    <t>Aerospace &amp; Defense</t>
  </si>
  <si>
    <t>INE263A01024</t>
  </si>
  <si>
    <t>Ashok Leyland Ltd.</t>
  </si>
  <si>
    <t>Agricultural, Commercial &amp; Construction Vehicles</t>
  </si>
  <si>
    <t>INE208A01029</t>
  </si>
  <si>
    <t>ITC Ltd.</t>
  </si>
  <si>
    <t>Diversified FMCG</t>
  </si>
  <si>
    <t>INE154A01025</t>
  </si>
  <si>
    <t>Power Finance Corporation Ltd.</t>
  </si>
  <si>
    <t>INE134E01011</t>
  </si>
  <si>
    <t>Chambal Fertilizers &amp; Chemicals Ltd.</t>
  </si>
  <si>
    <t>INE085A01013</t>
  </si>
  <si>
    <t>Tata Chemicals Ltd.</t>
  </si>
  <si>
    <t>Chemicals &amp; Petrochemicals</t>
  </si>
  <si>
    <t>INE092A01019</t>
  </si>
  <si>
    <t>Godrej Properties Ltd.</t>
  </si>
  <si>
    <t>INE484J01027</t>
  </si>
  <si>
    <t>Multi Commodity Exchange of India Ltd.</t>
  </si>
  <si>
    <t>Capital Markets</t>
  </si>
  <si>
    <t>INE745G01035</t>
  </si>
  <si>
    <t>Zydus Lifesciences Ltd.</t>
  </si>
  <si>
    <t>INE010B01027</t>
  </si>
  <si>
    <t>DLF Ltd.</t>
  </si>
  <si>
    <t>INE271C01023</t>
  </si>
  <si>
    <t>Sun Pharmaceutical Industries Ltd.</t>
  </si>
  <si>
    <t>INE044A01036</t>
  </si>
  <si>
    <t>REC Ltd.</t>
  </si>
  <si>
    <t>INE020B01018</t>
  </si>
  <si>
    <t>L&amp;T Finance Holdings Ltd.</t>
  </si>
  <si>
    <t>INE498L01015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</si>
  <si>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</si>
  <si>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</si>
  <si>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</si>
  <si>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</si>
  <si>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</si>
  <si>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</si>
  <si>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</si>
  <si>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</si>
  <si>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</si>
  <si>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</si>
  <si>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</si>
  <si>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12/01/2023</t>
  </si>
  <si>
    <t>GOI SOV</t>
  </si>
  <si>
    <t>IN002021Z434</t>
  </si>
  <si>
    <t>364 Days Treasury-Bill 02/03/2023</t>
  </si>
  <si>
    <t>IN002021Z509</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</si>
  <si>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</si>
  <si>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</si>
  <si>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</si>
  <si>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</si>
  <si>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</si>
  <si>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</si>
  <si>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</si>
  <si>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</si>
  <si>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November 30, 2022:</t>
  </si>
  <si>
    <t>Underlying</t>
  </si>
  <si>
    <t>Long / Short</t>
  </si>
  <si>
    <t>Futures price when purchased (Rs.)</t>
  </si>
  <si>
    <t>Current  price of the Contract (Rs.)</t>
  </si>
  <si>
    <t>Total Margin maintained in(Rs. In Lakhs)</t>
  </si>
  <si>
    <t>ACC Ltd.Dec-2022</t>
  </si>
  <si>
    <t>Short</t>
  </si>
  <si>
    <t>Ambuja Cements LimitedDec-2022</t>
  </si>
  <si>
    <t>Ashok Leyland Ltd.Dec-2022</t>
  </si>
  <si>
    <t>Asian Paints Ltd.Dec-2022</t>
  </si>
  <si>
    <t>Bajaj Finserv Ltd.Dec-2022</t>
  </si>
  <si>
    <t>Bajaj Finance Ltd.Dec-2022</t>
  </si>
  <si>
    <t>Bharat Electronics Ltd.Dec-2022</t>
  </si>
  <si>
    <t>Chambal Fertilizers &amp; Chemicals Ltd.Dec-2022</t>
  </si>
  <si>
    <t>DLF Ltd.Dec-2022</t>
  </si>
  <si>
    <t>Dr. Reddy's Laboratories Ltd.Dec-2022</t>
  </si>
  <si>
    <t>Godrej Properties Ltd.Dec-2022</t>
  </si>
  <si>
    <t>Granules India Ltd.Dec-2022</t>
  </si>
  <si>
    <t>HDFC Bank Ltd.Dec-2022</t>
  </si>
  <si>
    <t>Housing Development Finance Corporation Ltd.Dec-2022</t>
  </si>
  <si>
    <t>ICICI Bank Ltd.Dec-2022</t>
  </si>
  <si>
    <t>ITC Ltd.Dec-2022</t>
  </si>
  <si>
    <t>L&amp;T Finance Holdings Ltd.Dec-2022</t>
  </si>
  <si>
    <t>Maruti Suzuki India Ltd.Dec-2022</t>
  </si>
  <si>
    <t>United Spirits Ltd.Dec-2022</t>
  </si>
  <si>
    <t>Multi Commodity Exchange of India Ltd.Dec-2022</t>
  </si>
  <si>
    <t>Oberoi Realty Ltd.Dec-2022</t>
  </si>
  <si>
    <t>Power Finance Corporation Ltd.Dec-2022</t>
  </si>
  <si>
    <t>Power Grid Corporation of India Ltd.Dec-2022</t>
  </si>
  <si>
    <t>REC Ltd.Dec-2022</t>
  </si>
  <si>
    <t>Sun Pharmaceutical Industries Ltd.Dec-2022</t>
  </si>
  <si>
    <t>Tata Chemicals Ltd.Dec-2022</t>
  </si>
  <si>
    <t>Tata Power Company Ltd.Dec-2022</t>
  </si>
  <si>
    <t>Tata Steel Ltd.Dec-2022</t>
  </si>
  <si>
    <t>Titan Company Ltd.Dec-2022</t>
  </si>
  <si>
    <t>UPL Ltd.Dec-2022</t>
  </si>
  <si>
    <t>Zydus Lifesciences Ltd.Dec-2022</t>
  </si>
  <si>
    <t>Total outstanding exposure in derivative instruments at the end of the period - Short -(Rs in Lakhs) : (3,081.02)</t>
  </si>
  <si>
    <t>Total 70.72% of existing assets hedged through futures as on 30/11/2022</t>
  </si>
  <si>
    <t>For the period ended November 30,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</si>
  <si>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</si>
  <si>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</si>
  <si>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</si>
  <si>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</si>
  <si>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</si>
  <si>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30/11/2022</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</si>
  <si>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</si>
  <si>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</si>
  <si>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</si>
  <si>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</si>
  <si>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</si>
  <si>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</si>
  <si>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</si>
  <si>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For the period ended November 30, 2022, following are the non-hedging transactions through futures which have been squared off / 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</si>
</sst>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sz val="9"/>
      <name val="Arial"/>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58"/>
        <bgColor indexed="64"/>
      </patternFill>
    </fill>
    <fill>
      <patternFill patternType="solid">
        <fgColor indexed="2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2">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4" fontId="3" fillId="0" borderId="0" xfId="0" applyNumberFormat="1" applyFont="1"/>
    <xf numFmtId="0" fontId="5" fillId="0" borderId="0" xfId="2" applyFont="1" applyAlignment="1">
      <alignment horizontal="left" wrapText="1"/>
    </xf>
    <xf numFmtId="0" fontId="5" fillId="0" borderId="0" xfId="2" applyFont="1" applyAlignment="1">
      <alignment horizontal="left" vertical="top"/>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4" fillId="0" borderId="0" xfId="2" applyFont="1" applyFill="1" applyAlignment="1"/>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164" fontId="3" fillId="0" borderId="0" xfId="1" applyFont="1" applyFill="1" applyBorder="1" applyAlignment="1">
      <alignment horizontal="right"/>
    </xf>
    <xf numFmtId="0" fontId="3" fillId="0" borderId="0" xfId="0" applyFont="1" applyBorder="1"/>
    <xf numFmtId="0" fontId="4" fillId="3" borderId="2" xfId="2" applyFont="1" applyFill="1" applyBorder="1" applyAlignment="1">
      <alignment wrapText="1"/>
    </xf>
    <xf numFmtId="0" fontId="4" fillId="3" borderId="2" xfId="0" applyFont="1" applyFill="1" applyBorder="1" applyAlignment="1">
      <alignment horizontal="left" wrapText="1"/>
    </xf>
    <xf numFmtId="165" fontId="4" fillId="3" borderId="2" xfId="4" applyNumberFormat="1" applyFont="1" applyFill="1" applyBorder="1"/>
    <xf numFmtId="0" fontId="4" fillId="3" borderId="3" xfId="2" applyFont="1" applyFill="1" applyBorder="1" applyAlignment="1">
      <alignment wrapText="1"/>
    </xf>
    <xf numFmtId="164" fontId="3" fillId="0" borderId="4" xfId="1" applyFont="1" applyFill="1" applyBorder="1" applyAlignment="1">
      <alignment horizontal="right"/>
    </xf>
    <xf numFmtId="0" fontId="8" fillId="0" borderId="4" xfId="0" applyFont="1" applyFill="1" applyBorder="1" applyProtection="1">
      <protection locked="0"/>
    </xf>
    <xf numFmtId="0" fontId="8" fillId="0" borderId="0" xfId="0" applyFont="1" applyFill="1" applyBorder="1"/>
    <xf numFmtId="4" fontId="8"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64" fontId="3" fillId="0" borderId="0" xfId="0" applyNumberFormat="1" applyFont="1"/>
    <xf numFmtId="0" fontId="3" fillId="0" borderId="0" xfId="2" applyFont="1" applyFill="1" applyBorder="1" applyAlignment="1"/>
    <xf numFmtId="165" fontId="3" fillId="0" borderId="0" xfId="5" applyNumberFormat="1" applyFont="1"/>
    <xf numFmtId="0" fontId="3" fillId="0" borderId="0" xfId="0" applyFont="1" applyFill="1" applyAlignment="1">
      <alignment wrapText="1"/>
    </xf>
    <xf numFmtId="165" fontId="3" fillId="0" borderId="0" xfId="5" applyNumberFormat="1" applyFont="1" applyFill="1"/>
    <xf numFmtId="4" fontId="3" fillId="0" borderId="0" xfId="0" applyNumberFormat="1" applyFont="1" applyBorder="1"/>
    <xf numFmtId="4" fontId="3" fillId="0" borderId="2" xfId="0" applyNumberFormat="1" applyFont="1" applyFill="1" applyBorder="1"/>
    <xf numFmtId="164" fontId="3" fillId="0" borderId="2" xfId="5" applyFont="1" applyFill="1" applyBorder="1" applyAlignment="1">
      <alignment horizontal="right"/>
    </xf>
    <xf numFmtId="4" fontId="3" fillId="0" borderId="2" xfId="0" applyNumberFormat="1" applyFont="1" applyFill="1" applyBorder="1" applyAlignment="1">
      <alignment horizontal="right"/>
    </xf>
    <xf numFmtId="0" fontId="9"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6" applyBorder="1"/>
    <xf numFmtId="0" fontId="10" fillId="0" borderId="0" xfId="7" applyFont="1"/>
    <xf numFmtId="0" fontId="6" fillId="0" borderId="0" xfId="6" applyBorder="1" applyAlignment="1">
      <alignment horizontal="left" wrapText="1"/>
    </xf>
    <xf numFmtId="0" fontId="4" fillId="3" borderId="5"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0" fontId="4" fillId="0"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8">
    <cellStyle name="Comma" xfId="1" builtinId="3"/>
    <cellStyle name="Comma 2" xfId="4"/>
    <cellStyle name="Comma 4" xfId="5"/>
    <cellStyle name="Normal" xfId="0" builtinId="0"/>
    <cellStyle name="Normal 2 3 2" xfId="2"/>
    <cellStyle name="Normal 4_AA"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126320</xdr:rowOff>
    </xdr:from>
    <xdr:to>
      <xdr:col>1</xdr:col>
      <xdr:colOff>324971</xdr:colOff>
      <xdr:row>152</xdr:row>
      <xdr:rowOff>104915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5158020"/>
          <a:ext cx="3906371" cy="2569395"/>
        </a:xfrm>
        <a:prstGeom prst="rect">
          <a:avLst/>
        </a:prstGeom>
        <a:noFill/>
        <a:ln w="9525">
          <a:noFill/>
          <a:miter lim="800000"/>
          <a:headEnd/>
          <a:tailEnd/>
        </a:ln>
      </xdr:spPr>
    </xdr:pic>
    <xdr:clientData/>
  </xdr:twoCellAnchor>
  <xdr:twoCellAnchor editAs="oneCell">
    <xdr:from>
      <xdr:col>3</xdr:col>
      <xdr:colOff>0</xdr:colOff>
      <xdr:row>136</xdr:row>
      <xdr:rowOff>19050</xdr:rowOff>
    </xdr:from>
    <xdr:to>
      <xdr:col>6</xdr:col>
      <xdr:colOff>352425</xdr:colOff>
      <xdr:row>152</xdr:row>
      <xdr:rowOff>112059</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915150" y="25050750"/>
          <a:ext cx="3705225" cy="268380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N149"/>
  <sheetViews>
    <sheetView tabSelected="1" zoomScaleNormal="100" workbookViewId="0">
      <pane xSplit="1" ySplit="3" topLeftCell="B112" activePane="bottomRight" state="frozen"/>
      <selection activeCell="A2" sqref="A2"/>
      <selection pane="topRight" activeCell="A2" sqref="A2"/>
      <selection pane="bottomLeft" activeCell="A2" sqref="A2"/>
      <selection pane="bottomRight" activeCell="A125" sqref="A125:C125"/>
    </sheetView>
  </sheetViews>
  <sheetFormatPr defaultRowHeight="12.75" x14ac:dyDescent="0.2"/>
  <cols>
    <col min="1" max="1" width="53.7109375" style="66" customWidth="1"/>
    <col min="2" max="2" width="36.5703125" style="67" customWidth="1"/>
    <col min="3" max="3" width="13.42578125" style="68" customWidth="1"/>
    <col min="4" max="4" width="19.7109375" style="5" customWidth="1"/>
    <col min="5" max="5" width="15.7109375" style="5" customWidth="1"/>
    <col min="6" max="6" width="14.85546875" style="5" bestFit="1" customWidth="1"/>
    <col min="7" max="7" width="7.5703125" style="5" bestFit="1" customWidth="1"/>
    <col min="8" max="8" width="13.85546875" style="5" bestFit="1"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6" customFormat="1" x14ac:dyDescent="0.2">
      <c r="A6" s="21" t="s">
        <v>12</v>
      </c>
      <c r="B6" s="22" t="s">
        <v>13</v>
      </c>
      <c r="C6" s="23">
        <v>30250</v>
      </c>
      <c r="D6" s="24">
        <v>288.25225</v>
      </c>
      <c r="E6" s="24">
        <f t="shared" ref="E6:E36" si="0">(+D6/$D$67*100)</f>
        <v>6.6164980668600109</v>
      </c>
      <c r="F6" s="24" t="s">
        <v>14</v>
      </c>
      <c r="G6" s="19"/>
      <c r="H6" s="25"/>
    </row>
    <row r="7" spans="1:8" s="26" customFormat="1" x14ac:dyDescent="0.2">
      <c r="A7" s="21" t="s">
        <v>15</v>
      </c>
      <c r="B7" s="22" t="s">
        <v>16</v>
      </c>
      <c r="C7" s="23">
        <v>118125</v>
      </c>
      <c r="D7" s="24">
        <v>265.54500000000002</v>
      </c>
      <c r="E7" s="24">
        <f t="shared" si="0"/>
        <v>6.0952793227610238</v>
      </c>
      <c r="F7" s="24" t="s">
        <v>17</v>
      </c>
      <c r="G7" s="19"/>
      <c r="H7" s="18"/>
    </row>
    <row r="8" spans="1:8" s="26" customFormat="1" x14ac:dyDescent="0.2">
      <c r="A8" s="21" t="s">
        <v>18</v>
      </c>
      <c r="B8" s="22" t="s">
        <v>19</v>
      </c>
      <c r="C8" s="23">
        <v>26600</v>
      </c>
      <c r="D8" s="24">
        <v>245.75739999999999</v>
      </c>
      <c r="E8" s="24">
        <f t="shared" si="0"/>
        <v>5.6410777782880865</v>
      </c>
      <c r="F8" s="24" t="s">
        <v>20</v>
      </c>
      <c r="G8" s="19"/>
      <c r="H8" s="18"/>
    </row>
    <row r="9" spans="1:8" s="26" customFormat="1" x14ac:dyDescent="0.2">
      <c r="A9" s="21" t="s">
        <v>21</v>
      </c>
      <c r="B9" s="22" t="s">
        <v>22</v>
      </c>
      <c r="C9" s="23">
        <v>41400</v>
      </c>
      <c r="D9" s="24">
        <v>236.29050000000001</v>
      </c>
      <c r="E9" s="24">
        <f t="shared" si="0"/>
        <v>5.4237760033699134</v>
      </c>
      <c r="F9" s="24" t="s">
        <v>23</v>
      </c>
      <c r="G9" s="19"/>
      <c r="H9" s="19"/>
    </row>
    <row r="10" spans="1:8" s="26" customFormat="1" x14ac:dyDescent="0.2">
      <c r="A10" s="21" t="s">
        <v>24</v>
      </c>
      <c r="B10" s="22" t="s">
        <v>25</v>
      </c>
      <c r="C10" s="23">
        <v>26000</v>
      </c>
      <c r="D10" s="24">
        <v>205.322</v>
      </c>
      <c r="E10" s="24">
        <f t="shared" si="0"/>
        <v>4.7129297900843126</v>
      </c>
      <c r="F10" s="24" t="s">
        <v>26</v>
      </c>
      <c r="G10" s="19"/>
      <c r="H10" s="18"/>
    </row>
    <row r="11" spans="1:8" s="26" customFormat="1" x14ac:dyDescent="0.2">
      <c r="A11" s="21" t="s">
        <v>27</v>
      </c>
      <c r="B11" s="22" t="s">
        <v>28</v>
      </c>
      <c r="C11" s="23">
        <v>21250</v>
      </c>
      <c r="D11" s="24">
        <v>198.11375000000001</v>
      </c>
      <c r="E11" s="24">
        <f t="shared" si="0"/>
        <v>4.5474727218725519</v>
      </c>
      <c r="F11" s="24" t="s">
        <v>29</v>
      </c>
      <c r="G11" s="19"/>
      <c r="H11" s="18"/>
    </row>
    <row r="12" spans="1:8" s="26" customFormat="1" x14ac:dyDescent="0.2">
      <c r="A12" s="21" t="s">
        <v>30</v>
      </c>
      <c r="B12" s="22" t="s">
        <v>31</v>
      </c>
      <c r="C12" s="23">
        <v>6750</v>
      </c>
      <c r="D12" s="24">
        <v>179.07749999999999</v>
      </c>
      <c r="E12" s="24">
        <f t="shared" si="0"/>
        <v>4.1105175504028963</v>
      </c>
      <c r="F12" s="24" t="s">
        <v>32</v>
      </c>
      <c r="G12" s="19"/>
      <c r="H12" s="18"/>
    </row>
    <row r="13" spans="1:8" s="26" customFormat="1" x14ac:dyDescent="0.2">
      <c r="A13" s="21" t="s">
        <v>33</v>
      </c>
      <c r="B13" s="22" t="s">
        <v>34</v>
      </c>
      <c r="C13" s="23">
        <v>10500</v>
      </c>
      <c r="D13" s="24">
        <v>170.7825</v>
      </c>
      <c r="E13" s="24">
        <f t="shared" si="0"/>
        <v>3.9201153888773446</v>
      </c>
      <c r="F13" s="24" t="s">
        <v>35</v>
      </c>
      <c r="G13" s="19"/>
      <c r="H13" s="19"/>
    </row>
    <row r="14" spans="1:8" s="26" customFormat="1" x14ac:dyDescent="0.2">
      <c r="A14" s="21" t="s">
        <v>36</v>
      </c>
      <c r="B14" s="22" t="s">
        <v>31</v>
      </c>
      <c r="C14" s="23">
        <v>4000</v>
      </c>
      <c r="D14" s="24">
        <v>127.006</v>
      </c>
      <c r="E14" s="24">
        <f t="shared" si="0"/>
        <v>2.9152763021958106</v>
      </c>
      <c r="F14" s="24" t="s">
        <v>37</v>
      </c>
      <c r="G14" s="19"/>
      <c r="H14" s="19"/>
    </row>
    <row r="15" spans="1:8" s="26" customFormat="1" x14ac:dyDescent="0.2">
      <c r="A15" s="21" t="s">
        <v>38</v>
      </c>
      <c r="B15" s="22" t="s">
        <v>34</v>
      </c>
      <c r="C15" s="23">
        <v>4200</v>
      </c>
      <c r="D15" s="24">
        <v>113.08710000000001</v>
      </c>
      <c r="E15" s="24">
        <f t="shared" si="0"/>
        <v>2.5957840000791133</v>
      </c>
      <c r="F15" s="24" t="s">
        <v>39</v>
      </c>
      <c r="G15" s="19"/>
      <c r="H15" s="19"/>
    </row>
    <row r="16" spans="1:8" s="26" customFormat="1" x14ac:dyDescent="0.2">
      <c r="A16" s="21" t="s">
        <v>40</v>
      </c>
      <c r="B16" s="22" t="s">
        <v>22</v>
      </c>
      <c r="C16" s="23">
        <v>4250</v>
      </c>
      <c r="D16" s="24">
        <v>108.938125</v>
      </c>
      <c r="E16" s="24">
        <f t="shared" si="0"/>
        <v>2.5005490623918951</v>
      </c>
      <c r="F16" s="24" t="s">
        <v>41</v>
      </c>
      <c r="G16" s="19"/>
      <c r="H16" s="19"/>
    </row>
    <row r="17" spans="1:8" s="26" customFormat="1" x14ac:dyDescent="0.2">
      <c r="A17" s="21" t="s">
        <v>42</v>
      </c>
      <c r="B17" s="22" t="s">
        <v>43</v>
      </c>
      <c r="C17" s="23">
        <v>1200</v>
      </c>
      <c r="D17" s="24">
        <v>107.68980000000001</v>
      </c>
      <c r="E17" s="24">
        <f t="shared" si="0"/>
        <v>2.4718952012362125</v>
      </c>
      <c r="F17" s="24" t="s">
        <v>44</v>
      </c>
      <c r="G17" s="19"/>
      <c r="H17" s="18"/>
    </row>
    <row r="18" spans="1:8" s="26" customFormat="1" x14ac:dyDescent="0.2">
      <c r="A18" s="21" t="s">
        <v>45</v>
      </c>
      <c r="B18" s="22" t="s">
        <v>46</v>
      </c>
      <c r="C18" s="23">
        <v>2375</v>
      </c>
      <c r="D18" s="24">
        <v>106.5698125</v>
      </c>
      <c r="E18" s="24">
        <f t="shared" si="0"/>
        <v>2.4461871794301127</v>
      </c>
      <c r="F18" s="24" t="s">
        <v>47</v>
      </c>
      <c r="G18" s="19"/>
      <c r="H18" s="19"/>
    </row>
    <row r="19" spans="1:8" s="26" customFormat="1" x14ac:dyDescent="0.2">
      <c r="A19" s="21" t="s">
        <v>48</v>
      </c>
      <c r="B19" s="22" t="s">
        <v>46</v>
      </c>
      <c r="C19" s="23">
        <v>26000</v>
      </c>
      <c r="D19" s="24">
        <v>89.947000000000003</v>
      </c>
      <c r="E19" s="24">
        <f t="shared" si="0"/>
        <v>2.0646296832717086</v>
      </c>
      <c r="F19" s="24" t="s">
        <v>49</v>
      </c>
      <c r="G19" s="19"/>
      <c r="H19" s="19"/>
    </row>
    <row r="20" spans="1:8" s="26" customFormat="1" x14ac:dyDescent="0.2">
      <c r="A20" s="21" t="s">
        <v>50</v>
      </c>
      <c r="B20" s="22" t="s">
        <v>34</v>
      </c>
      <c r="C20" s="23">
        <v>1250</v>
      </c>
      <c r="D20" s="24">
        <v>84.011875000000003</v>
      </c>
      <c r="E20" s="24">
        <f t="shared" si="0"/>
        <v>1.9283957316232045</v>
      </c>
      <c r="F20" s="24" t="s">
        <v>51</v>
      </c>
      <c r="G20" s="19"/>
      <c r="H20" s="19"/>
    </row>
    <row r="21" spans="1:8" s="26" customFormat="1" x14ac:dyDescent="0.2">
      <c r="A21" s="21" t="s">
        <v>52</v>
      </c>
      <c r="B21" s="22" t="s">
        <v>16</v>
      </c>
      <c r="C21" s="23">
        <v>27000</v>
      </c>
      <c r="D21" s="24">
        <v>60.48</v>
      </c>
      <c r="E21" s="24">
        <f t="shared" si="0"/>
        <v>1.3882486713761761</v>
      </c>
      <c r="F21" s="24" t="s">
        <v>53</v>
      </c>
      <c r="G21" s="19"/>
      <c r="H21" s="18"/>
    </row>
    <row r="22" spans="1:8" s="26" customFormat="1" x14ac:dyDescent="0.2">
      <c r="A22" s="21" t="s">
        <v>54</v>
      </c>
      <c r="B22" s="22" t="s">
        <v>13</v>
      </c>
      <c r="C22" s="23">
        <v>3300</v>
      </c>
      <c r="D22" s="24">
        <v>53.078850000000003</v>
      </c>
      <c r="E22" s="24">
        <f t="shared" si="0"/>
        <v>1.2183638060627537</v>
      </c>
      <c r="F22" s="24" t="s">
        <v>55</v>
      </c>
      <c r="G22" s="19"/>
      <c r="H22" s="19"/>
    </row>
    <row r="23" spans="1:8" s="26" customFormat="1" x14ac:dyDescent="0.2">
      <c r="A23" s="21" t="s">
        <v>56</v>
      </c>
      <c r="B23" s="22" t="s">
        <v>57</v>
      </c>
      <c r="C23" s="23">
        <v>46750</v>
      </c>
      <c r="D23" s="24">
        <v>50.326374999999999</v>
      </c>
      <c r="E23" s="24">
        <f t="shared" si="0"/>
        <v>1.1551839158222423</v>
      </c>
      <c r="F23" s="24" t="s">
        <v>58</v>
      </c>
      <c r="G23" s="19"/>
      <c r="H23" s="18"/>
    </row>
    <row r="24" spans="1:8" s="26" customFormat="1" x14ac:dyDescent="0.2">
      <c r="A24" s="21" t="s">
        <v>59</v>
      </c>
      <c r="B24" s="22" t="s">
        <v>60</v>
      </c>
      <c r="C24" s="23">
        <v>45600</v>
      </c>
      <c r="D24" s="24">
        <v>47.925600000000003</v>
      </c>
      <c r="E24" s="24">
        <f t="shared" si="0"/>
        <v>1.1000768935996375</v>
      </c>
      <c r="F24" s="24" t="s">
        <v>61</v>
      </c>
      <c r="G24" s="19"/>
      <c r="H24" s="19"/>
    </row>
    <row r="25" spans="1:8" s="26" customFormat="1" ht="25.5" x14ac:dyDescent="0.2">
      <c r="A25" s="21" t="s">
        <v>62</v>
      </c>
      <c r="B25" s="22" t="s">
        <v>63</v>
      </c>
      <c r="C25" s="23">
        <v>30000</v>
      </c>
      <c r="D25" s="24">
        <v>44.64</v>
      </c>
      <c r="E25" s="24">
        <f t="shared" si="0"/>
        <v>1.0246597336347967</v>
      </c>
      <c r="F25" s="24" t="s">
        <v>64</v>
      </c>
      <c r="G25" s="19"/>
      <c r="H25" s="19"/>
    </row>
    <row r="26" spans="1:8" s="26" customFormat="1" x14ac:dyDescent="0.2">
      <c r="A26" s="21" t="s">
        <v>65</v>
      </c>
      <c r="B26" s="22" t="s">
        <v>66</v>
      </c>
      <c r="C26" s="23">
        <v>12800</v>
      </c>
      <c r="D26" s="24">
        <v>43.52</v>
      </c>
      <c r="E26" s="24">
        <f t="shared" si="0"/>
        <v>0.99895142490560829</v>
      </c>
      <c r="F26" s="24" t="s">
        <v>67</v>
      </c>
      <c r="G26" s="19"/>
      <c r="H26" s="25"/>
    </row>
    <row r="27" spans="1:8" s="26" customFormat="1" x14ac:dyDescent="0.2">
      <c r="A27" s="21" t="s">
        <v>68</v>
      </c>
      <c r="B27" s="22" t="s">
        <v>34</v>
      </c>
      <c r="C27" s="23">
        <v>31000</v>
      </c>
      <c r="D27" s="24">
        <v>42.128999999999998</v>
      </c>
      <c r="E27" s="24">
        <f t="shared" si="0"/>
        <v>0.96702262361783931</v>
      </c>
      <c r="F27" s="24" t="s">
        <v>69</v>
      </c>
      <c r="G27" s="19"/>
      <c r="H27" s="18"/>
    </row>
    <row r="28" spans="1:8" s="26" customFormat="1" x14ac:dyDescent="0.2">
      <c r="A28" s="21" t="s">
        <v>70</v>
      </c>
      <c r="B28" s="22" t="s">
        <v>25</v>
      </c>
      <c r="C28" s="23">
        <v>12000</v>
      </c>
      <c r="D28" s="24">
        <v>36.576000000000001</v>
      </c>
      <c r="E28" s="24">
        <f t="shared" si="0"/>
        <v>0.83955991078463987</v>
      </c>
      <c r="F28" s="24" t="s">
        <v>71</v>
      </c>
      <c r="G28" s="19"/>
      <c r="H28" s="19"/>
    </row>
    <row r="29" spans="1:8" s="26" customFormat="1" x14ac:dyDescent="0.2">
      <c r="A29" s="21" t="s">
        <v>72</v>
      </c>
      <c r="B29" s="22" t="s">
        <v>73</v>
      </c>
      <c r="C29" s="23">
        <v>3000</v>
      </c>
      <c r="D29" s="24">
        <v>31.065000000000001</v>
      </c>
      <c r="E29" s="24">
        <f t="shared" si="0"/>
        <v>0.71306125952878496</v>
      </c>
      <c r="F29" s="24" t="s">
        <v>74</v>
      </c>
      <c r="G29" s="19"/>
      <c r="H29" s="18"/>
    </row>
    <row r="30" spans="1:8" s="26" customFormat="1" x14ac:dyDescent="0.2">
      <c r="A30" s="21" t="s">
        <v>75</v>
      </c>
      <c r="B30" s="22" t="s">
        <v>19</v>
      </c>
      <c r="C30" s="23">
        <v>1950</v>
      </c>
      <c r="D30" s="24">
        <v>25.450424999999999</v>
      </c>
      <c r="E30" s="24">
        <f t="shared" si="0"/>
        <v>0.58418516356165706</v>
      </c>
      <c r="F30" s="24" t="s">
        <v>76</v>
      </c>
      <c r="G30" s="19"/>
      <c r="H30" s="19"/>
    </row>
    <row r="31" spans="1:8" s="26" customFormat="1" x14ac:dyDescent="0.2">
      <c r="A31" s="21" t="s">
        <v>77</v>
      </c>
      <c r="B31" s="22" t="s">
        <v>78</v>
      </c>
      <c r="C31" s="23">
        <v>1600</v>
      </c>
      <c r="D31" s="24">
        <v>24.997599999999998</v>
      </c>
      <c r="E31" s="24">
        <f t="shared" si="0"/>
        <v>0.57379108775782239</v>
      </c>
      <c r="F31" s="24" t="s">
        <v>79</v>
      </c>
      <c r="G31" s="19"/>
      <c r="H31" s="18"/>
    </row>
    <row r="32" spans="1:8" s="26" customFormat="1" x14ac:dyDescent="0.2">
      <c r="A32" s="21" t="s">
        <v>80</v>
      </c>
      <c r="B32" s="22" t="s">
        <v>46</v>
      </c>
      <c r="C32" s="23">
        <v>5400</v>
      </c>
      <c r="D32" s="24">
        <v>22.134599999999999</v>
      </c>
      <c r="E32" s="24">
        <f t="shared" si="0"/>
        <v>0.50807422356883447</v>
      </c>
      <c r="F32" s="24" t="s">
        <v>81</v>
      </c>
      <c r="G32" s="19"/>
      <c r="H32" s="18"/>
    </row>
    <row r="33" spans="1:8" s="26" customFormat="1" x14ac:dyDescent="0.2">
      <c r="A33" s="21" t="s">
        <v>82</v>
      </c>
      <c r="B33" s="22" t="s">
        <v>19</v>
      </c>
      <c r="C33" s="23">
        <v>4950</v>
      </c>
      <c r="D33" s="24">
        <v>19.931175</v>
      </c>
      <c r="E33" s="24">
        <f t="shared" si="0"/>
        <v>0.45749714306739508</v>
      </c>
      <c r="F33" s="24" t="s">
        <v>83</v>
      </c>
      <c r="G33" s="19"/>
      <c r="H33" s="19"/>
    </row>
    <row r="34" spans="1:8" s="26" customFormat="1" x14ac:dyDescent="0.2">
      <c r="A34" s="21" t="s">
        <v>84</v>
      </c>
      <c r="B34" s="22" t="s">
        <v>46</v>
      </c>
      <c r="C34" s="23">
        <v>1400</v>
      </c>
      <c r="D34" s="24">
        <v>14.6447</v>
      </c>
      <c r="E34" s="24">
        <f t="shared" si="0"/>
        <v>0.33615220432709469</v>
      </c>
      <c r="F34" s="24" t="s">
        <v>85</v>
      </c>
      <c r="G34" s="19"/>
      <c r="H34" s="18"/>
    </row>
    <row r="35" spans="1:8" s="26" customFormat="1" x14ac:dyDescent="0.2">
      <c r="A35" s="21" t="s">
        <v>86</v>
      </c>
      <c r="B35" s="22" t="s">
        <v>34</v>
      </c>
      <c r="C35" s="23">
        <v>8000</v>
      </c>
      <c r="D35" s="24">
        <v>8.8279999999999994</v>
      </c>
      <c r="E35" s="24">
        <f t="shared" si="0"/>
        <v>0.20263656201899605</v>
      </c>
      <c r="F35" s="24" t="s">
        <v>87</v>
      </c>
      <c r="G35" s="19"/>
      <c r="H35" s="18"/>
    </row>
    <row r="36" spans="1:8" s="26" customFormat="1" x14ac:dyDescent="0.2">
      <c r="A36" s="21" t="s">
        <v>88</v>
      </c>
      <c r="B36" s="22" t="s">
        <v>34</v>
      </c>
      <c r="C36" s="23">
        <v>8924</v>
      </c>
      <c r="D36" s="24">
        <v>7.7638800000000003</v>
      </c>
      <c r="E36" s="24">
        <f t="shared" si="0"/>
        <v>0.17821091426461752</v>
      </c>
      <c r="F36" s="24" t="s">
        <v>89</v>
      </c>
      <c r="G36" s="19"/>
      <c r="H36" s="18"/>
    </row>
    <row r="37" spans="1:8" s="26" customFormat="1" x14ac:dyDescent="0.2">
      <c r="A37" s="20" t="s">
        <v>90</v>
      </c>
      <c r="B37" s="22"/>
      <c r="C37" s="23"/>
      <c r="D37" s="27">
        <f>IF(ISERROR(SUM(D6:D36)),0,SUM(D6:D36))</f>
        <v>3059.8818175000001</v>
      </c>
      <c r="E37" s="27">
        <f>IF(ISERROR(SUM(E6:E36)),0,SUM(E6:E36))</f>
        <v>70.236059320643108</v>
      </c>
      <c r="F37" s="27"/>
      <c r="G37" s="19"/>
      <c r="H37" s="18"/>
    </row>
    <row r="38" spans="1:8" s="26" customFormat="1" x14ac:dyDescent="0.2">
      <c r="A38" s="20"/>
      <c r="B38" s="20"/>
      <c r="C38" s="28"/>
      <c r="D38" s="29"/>
      <c r="E38" s="29"/>
      <c r="F38" s="29"/>
      <c r="G38" s="19"/>
      <c r="H38" s="18"/>
    </row>
    <row r="39" spans="1:8" s="26" customFormat="1" x14ac:dyDescent="0.2">
      <c r="A39" s="20" t="s">
        <v>91</v>
      </c>
      <c r="B39" s="20"/>
      <c r="C39" s="28"/>
      <c r="D39" s="30" t="s">
        <v>92</v>
      </c>
      <c r="E39" s="30" t="s">
        <v>92</v>
      </c>
      <c r="F39" s="30"/>
      <c r="G39" s="19"/>
      <c r="H39" s="18"/>
    </row>
    <row r="40" spans="1:8" s="26" customFormat="1" x14ac:dyDescent="0.2">
      <c r="A40" s="20"/>
      <c r="B40" s="13"/>
      <c r="C40" s="28"/>
      <c r="D40" s="30"/>
      <c r="E40" s="30"/>
      <c r="F40" s="31"/>
      <c r="G40" s="19"/>
      <c r="H40" s="18"/>
    </row>
    <row r="41" spans="1:8" s="26" customFormat="1" x14ac:dyDescent="0.2">
      <c r="A41" s="20" t="s">
        <v>93</v>
      </c>
      <c r="B41" s="20"/>
      <c r="C41" s="28"/>
      <c r="D41" s="27">
        <f>IF(ISERROR(+D37),0,D37)+IF(ISERROR(+#REF!),0,#REF!)</f>
        <v>3059.8818175000001</v>
      </c>
      <c r="E41" s="27">
        <f>IF(ISERROR(+E37),0,E37)+IF(ISERROR(+#REF!),0,#REF!)</f>
        <v>70.236059320643108</v>
      </c>
      <c r="F41" s="32"/>
      <c r="G41" s="19"/>
      <c r="H41" s="18"/>
    </row>
    <row r="42" spans="1:8" s="26" customFormat="1" x14ac:dyDescent="0.2">
      <c r="A42" s="20"/>
      <c r="B42" s="13"/>
      <c r="C42" s="28"/>
      <c r="D42" s="30"/>
      <c r="E42" s="30"/>
      <c r="F42" s="31"/>
      <c r="G42" s="19"/>
      <c r="H42" s="18"/>
    </row>
    <row r="43" spans="1:8" s="26" customFormat="1" x14ac:dyDescent="0.2">
      <c r="A43" s="20" t="s">
        <v>94</v>
      </c>
      <c r="B43" s="13"/>
      <c r="C43" s="28"/>
      <c r="D43" s="30"/>
      <c r="E43" s="30"/>
      <c r="F43" s="31"/>
      <c r="G43" s="19"/>
      <c r="H43" s="18"/>
    </row>
    <row r="44" spans="1:8" s="26" customFormat="1" x14ac:dyDescent="0.2">
      <c r="A44" s="20" t="s">
        <v>11</v>
      </c>
      <c r="B44" s="13"/>
      <c r="C44" s="28"/>
      <c r="D44" s="30" t="s">
        <v>92</v>
      </c>
      <c r="E44" s="30" t="s">
        <v>92</v>
      </c>
      <c r="F44" s="33"/>
      <c r="G44" s="19"/>
      <c r="H44" s="18"/>
    </row>
    <row r="45" spans="1:8" s="26" customFormat="1" x14ac:dyDescent="0.2">
      <c r="A45" s="20"/>
      <c r="B45" s="13"/>
      <c r="C45" s="34"/>
      <c r="D45" s="33"/>
      <c r="E45" s="33"/>
      <c r="F45" s="33"/>
      <c r="G45" s="19"/>
      <c r="H45" s="18"/>
    </row>
    <row r="46" spans="1:8" s="26" customFormat="1" x14ac:dyDescent="0.2">
      <c r="A46" s="20" t="s">
        <v>95</v>
      </c>
      <c r="B46" s="13"/>
      <c r="C46" s="34"/>
      <c r="D46" s="30" t="s">
        <v>92</v>
      </c>
      <c r="E46" s="30" t="s">
        <v>92</v>
      </c>
      <c r="F46" s="31"/>
      <c r="G46" s="19"/>
      <c r="H46" s="18"/>
    </row>
    <row r="47" spans="1:8" s="26" customFormat="1" x14ac:dyDescent="0.2">
      <c r="A47" s="20"/>
      <c r="B47" s="13"/>
      <c r="C47" s="34"/>
      <c r="D47" s="30"/>
      <c r="E47" s="30"/>
      <c r="F47" s="30"/>
      <c r="G47" s="19"/>
      <c r="H47" s="18"/>
    </row>
    <row r="48" spans="1:8" s="26" customFormat="1" x14ac:dyDescent="0.2">
      <c r="A48" s="20" t="s">
        <v>96</v>
      </c>
      <c r="B48" s="13"/>
      <c r="C48" s="34"/>
      <c r="D48" s="30"/>
      <c r="E48" s="30"/>
      <c r="F48" s="30"/>
      <c r="G48" s="19"/>
      <c r="H48" s="18"/>
    </row>
    <row r="49" spans="1:8" s="26" customFormat="1" x14ac:dyDescent="0.2">
      <c r="A49" s="20"/>
      <c r="B49" s="13"/>
      <c r="C49" s="34"/>
      <c r="D49" s="24"/>
      <c r="E49" s="24"/>
      <c r="F49" s="35"/>
      <c r="G49" s="19"/>
      <c r="H49" s="18"/>
    </row>
    <row r="50" spans="1:8" s="26" customFormat="1" x14ac:dyDescent="0.2">
      <c r="A50" s="20" t="s">
        <v>97</v>
      </c>
      <c r="B50" s="13"/>
      <c r="C50" s="34"/>
      <c r="D50" s="30" t="s">
        <v>92</v>
      </c>
      <c r="E50" s="30" t="s">
        <v>92</v>
      </c>
      <c r="F50" s="30"/>
      <c r="G50" s="19"/>
      <c r="H50" s="18"/>
    </row>
    <row r="51" spans="1:8" s="26" customFormat="1" x14ac:dyDescent="0.2">
      <c r="A51" s="20"/>
      <c r="B51" s="13"/>
      <c r="C51" s="34"/>
      <c r="D51" s="30"/>
      <c r="E51" s="30"/>
      <c r="F51" s="30"/>
      <c r="G51" s="19"/>
      <c r="H51" s="18"/>
    </row>
    <row r="52" spans="1:8" s="26" customFormat="1" x14ac:dyDescent="0.2">
      <c r="A52" s="20" t="s">
        <v>98</v>
      </c>
      <c r="B52" s="13"/>
      <c r="C52" s="34"/>
      <c r="D52" s="30" t="s">
        <v>92</v>
      </c>
      <c r="E52" s="30" t="s">
        <v>92</v>
      </c>
      <c r="F52" s="30"/>
      <c r="G52" s="19"/>
      <c r="H52" s="18"/>
    </row>
    <row r="53" spans="1:8" s="26" customFormat="1" x14ac:dyDescent="0.2">
      <c r="A53" s="20"/>
      <c r="B53" s="13"/>
      <c r="C53" s="34"/>
      <c r="D53" s="30"/>
      <c r="E53" s="30"/>
      <c r="F53" s="30"/>
      <c r="G53" s="19"/>
      <c r="H53" s="18"/>
    </row>
    <row r="54" spans="1:8" s="26" customFormat="1" x14ac:dyDescent="0.2">
      <c r="A54" s="20" t="s">
        <v>99</v>
      </c>
      <c r="B54" s="13"/>
      <c r="C54" s="34"/>
      <c r="D54" s="30"/>
      <c r="E54" s="30"/>
      <c r="F54" s="31"/>
      <c r="G54" s="19"/>
      <c r="H54" s="18"/>
    </row>
    <row r="55" spans="1:8" s="26" customFormat="1" x14ac:dyDescent="0.2">
      <c r="A55" s="20" t="s">
        <v>100</v>
      </c>
      <c r="B55" s="22"/>
      <c r="C55" s="23"/>
      <c r="D55" s="24"/>
      <c r="E55" s="33"/>
      <c r="F55" s="36"/>
      <c r="G55" s="19"/>
      <c r="H55" s="18"/>
    </row>
    <row r="56" spans="1:8" s="26" customFormat="1" x14ac:dyDescent="0.2">
      <c r="A56" s="21" t="s">
        <v>101</v>
      </c>
      <c r="B56" s="22" t="s">
        <v>102</v>
      </c>
      <c r="C56" s="23">
        <v>500000</v>
      </c>
      <c r="D56" s="24">
        <v>496.47550000000001</v>
      </c>
      <c r="E56" s="24">
        <f>(+D56/$D$67*100)</f>
        <v>11.396022705784107</v>
      </c>
      <c r="F56" s="24" t="s">
        <v>103</v>
      </c>
      <c r="G56" s="19">
        <v>6.1698000000000004</v>
      </c>
      <c r="H56" s="18"/>
    </row>
    <row r="57" spans="1:8" s="26" customFormat="1" x14ac:dyDescent="0.2">
      <c r="A57" s="21" t="s">
        <v>104</v>
      </c>
      <c r="B57" s="22" t="s">
        <v>102</v>
      </c>
      <c r="C57" s="23">
        <v>500000</v>
      </c>
      <c r="D57" s="24">
        <v>492.18400000000003</v>
      </c>
      <c r="E57" s="24">
        <f>(+D57/$D$67*100)</f>
        <v>11.297516271041864</v>
      </c>
      <c r="F57" s="24" t="s">
        <v>105</v>
      </c>
      <c r="G57" s="19">
        <v>6.3695000000000004</v>
      </c>
      <c r="H57" s="18"/>
    </row>
    <row r="58" spans="1:8" s="26" customFormat="1" x14ac:dyDescent="0.2">
      <c r="A58" s="20" t="s">
        <v>90</v>
      </c>
      <c r="B58" s="37"/>
      <c r="C58" s="38"/>
      <c r="D58" s="30">
        <f>IF(ISERROR(SUM(D55:D57)),0,SUM(D55:D57))</f>
        <v>988.65949999999998</v>
      </c>
      <c r="E58" s="30">
        <f>IF(ISERROR(SUM(E55:E57)),0,SUM(E55:E57))</f>
        <v>22.69353897682597</v>
      </c>
      <c r="F58" s="39"/>
      <c r="G58" s="19"/>
      <c r="H58" s="18"/>
    </row>
    <row r="59" spans="1:8" s="26" customFormat="1" x14ac:dyDescent="0.2">
      <c r="A59" s="20"/>
      <c r="B59" s="37"/>
      <c r="C59" s="38"/>
      <c r="D59" s="33"/>
      <c r="E59" s="33"/>
      <c r="F59" s="36"/>
      <c r="G59" s="19"/>
      <c r="H59" s="18"/>
    </row>
    <row r="60" spans="1:8" s="26" customFormat="1" x14ac:dyDescent="0.2">
      <c r="A60" s="21" t="s">
        <v>106</v>
      </c>
      <c r="B60" s="22"/>
      <c r="C60" s="23">
        <v>0</v>
      </c>
      <c r="D60" s="24">
        <v>89.503233699999996</v>
      </c>
      <c r="E60" s="24">
        <f>(+D60/$D$67*100)</f>
        <v>2.0544435394824139</v>
      </c>
      <c r="F60" s="24">
        <v>0</v>
      </c>
      <c r="G60" s="19">
        <v>5.6050000000000004</v>
      </c>
      <c r="H60" s="18"/>
    </row>
    <row r="61" spans="1:8" s="26" customFormat="1" x14ac:dyDescent="0.2">
      <c r="A61" s="20" t="s">
        <v>90</v>
      </c>
      <c r="B61" s="13"/>
      <c r="C61" s="34"/>
      <c r="D61" s="30">
        <f>IF(ISERROR(SUM(D60:D60)),0,SUM(D60:D60))</f>
        <v>89.503233699999996</v>
      </c>
      <c r="E61" s="30">
        <f>IF(ISERROR(SUM(E60:E60)),0,SUM(E60:E60))</f>
        <v>2.0544435394824139</v>
      </c>
      <c r="F61" s="24"/>
      <c r="G61" s="19"/>
      <c r="H61" s="18"/>
    </row>
    <row r="62" spans="1:8" s="26" customFormat="1" x14ac:dyDescent="0.2">
      <c r="A62" s="20"/>
      <c r="B62" s="13"/>
      <c r="C62" s="34"/>
      <c r="D62" s="30"/>
      <c r="E62" s="30"/>
      <c r="F62" s="31"/>
      <c r="G62" s="19"/>
      <c r="H62" s="18"/>
    </row>
    <row r="63" spans="1:8" s="26" customFormat="1" x14ac:dyDescent="0.2">
      <c r="A63" s="20" t="s">
        <v>93</v>
      </c>
      <c r="B63" s="13"/>
      <c r="C63" s="34" t="s">
        <v>107</v>
      </c>
      <c r="D63" s="30">
        <f>+IF(ISERROR(#REF!),0,#REF!)+IF(ISERROR(D61),0,D61)+IF(ISERROR(D41),0,D41)+IF(ISERROR(#REF!),0,#REF!)+IF(ISERROR(#REF!),0,#REF!)+IF(ISERROR(D58),0,D58)+IF(ISERROR(#REF!),0,#REF!)+IF(ISERROR(#REF!),0,#REF!)+IF(ISERROR(#REF!),0,#REF!)</f>
        <v>4138.0445511999997</v>
      </c>
      <c r="E63" s="30">
        <f>+IF(ISERROR(#REF!),0,#REF!)+IF(ISERROR(E61),0,E61)+IF(ISERROR(E41),0,E41)+IF(ISERROR(#REF!),0,#REF!)+IF(ISERROR(#REF!),0,#REF!)+IF(ISERROR(E58),0,E58)+IF(ISERROR(#REF!),0,#REF!)+IF(ISERROR(#REF!),0,#REF!)+IF(ISERROR(#REF!),0,#REF!)</f>
        <v>94.984041836951491</v>
      </c>
      <c r="F63" s="30">
        <f>+IF(ISERROR(#REF!),0,#REF!)+IF(ISERROR(F61),0,F61)+IF(ISERROR(F41),0,F41)+IF(ISERROR(#REF!),0,#REF!)+IF(ISERROR(#REF!),0,#REF!)+IF(ISERROR(F58),0,F58)+IF(ISERROR(#REF!),0,#REF!)</f>
        <v>0</v>
      </c>
      <c r="G63" s="19"/>
      <c r="H63" s="18"/>
    </row>
    <row r="64" spans="1:8" s="26" customFormat="1" x14ac:dyDescent="0.2">
      <c r="A64" s="20"/>
      <c r="B64" s="13"/>
      <c r="C64" s="34"/>
      <c r="D64" s="30"/>
      <c r="E64" s="30"/>
      <c r="F64" s="40"/>
      <c r="H64" s="5"/>
    </row>
    <row r="65" spans="1:14" s="26" customFormat="1" x14ac:dyDescent="0.2">
      <c r="A65" s="20" t="s">
        <v>108</v>
      </c>
      <c r="B65" s="13"/>
      <c r="C65" s="34"/>
      <c r="D65" s="30">
        <f>+D67-D63</f>
        <v>218.52363769990006</v>
      </c>
      <c r="E65" s="30">
        <f>D65/$D$67*100</f>
        <v>5.0159581630485315</v>
      </c>
      <c r="F65" s="40"/>
      <c r="H65" s="5"/>
    </row>
    <row r="66" spans="1:14" s="26" customFormat="1" x14ac:dyDescent="0.2">
      <c r="A66" s="20"/>
      <c r="B66" s="13"/>
      <c r="C66" s="34"/>
      <c r="D66" s="33"/>
      <c r="E66" s="33"/>
      <c r="F66" s="40"/>
      <c r="H66" s="5"/>
    </row>
    <row r="67" spans="1:14" s="26" customFormat="1" x14ac:dyDescent="0.2">
      <c r="A67" s="20" t="s">
        <v>109</v>
      </c>
      <c r="B67" s="13"/>
      <c r="C67" s="34"/>
      <c r="D67" s="30">
        <v>4356.5681888998997</v>
      </c>
      <c r="E67" s="30">
        <f>+E63+E65</f>
        <v>100.00000000000003</v>
      </c>
      <c r="F67" s="40"/>
      <c r="H67" s="5"/>
    </row>
    <row r="68" spans="1:14" s="26" customFormat="1" x14ac:dyDescent="0.2">
      <c r="A68" s="41"/>
      <c r="B68" s="42"/>
      <c r="C68" s="43"/>
      <c r="D68" s="44"/>
      <c r="E68" s="44"/>
      <c r="F68" s="40"/>
      <c r="H68" s="5"/>
    </row>
    <row r="69" spans="1:14" s="26" customFormat="1" x14ac:dyDescent="0.2">
      <c r="A69" s="45"/>
      <c r="B69" s="42"/>
      <c r="C69" s="43"/>
      <c r="D69" s="44"/>
      <c r="E69" s="44"/>
      <c r="F69" s="46"/>
      <c r="H69" s="5"/>
    </row>
    <row r="70" spans="1:14" s="26" customFormat="1" ht="15.75" customHeight="1" x14ac:dyDescent="0.25">
      <c r="A70" s="88" t="s">
        <v>110</v>
      </c>
      <c r="B70" s="88"/>
      <c r="C70" s="88"/>
      <c r="D70" s="88"/>
      <c r="E70" s="88"/>
      <c r="F70" s="88"/>
      <c r="G70" s="88"/>
      <c r="H70" s="47"/>
    </row>
    <row r="71" spans="1:14" s="26" customFormat="1" ht="15" x14ac:dyDescent="0.25">
      <c r="A71" s="48"/>
      <c r="B71" s="48"/>
      <c r="C71" s="48"/>
      <c r="D71" s="48"/>
      <c r="E71" s="48"/>
      <c r="F71" s="48"/>
      <c r="G71" s="48"/>
      <c r="H71" s="5"/>
    </row>
    <row r="72" spans="1:14" s="26" customFormat="1" ht="36.75" customHeight="1" x14ac:dyDescent="0.2">
      <c r="A72" s="89" t="s">
        <v>111</v>
      </c>
      <c r="B72" s="89"/>
      <c r="C72" s="89"/>
      <c r="D72" s="89"/>
      <c r="E72" s="89"/>
      <c r="F72" s="89"/>
      <c r="G72" s="89"/>
      <c r="H72" s="5"/>
    </row>
    <row r="73" spans="1:14" s="26" customFormat="1" ht="15" x14ac:dyDescent="0.2">
      <c r="A73" s="49"/>
      <c r="B73" s="50"/>
      <c r="C73" s="50"/>
      <c r="D73" s="50"/>
      <c r="E73" s="50"/>
      <c r="F73" s="50"/>
      <c r="G73" s="50"/>
      <c r="H73" s="5"/>
    </row>
    <row r="74" spans="1:14" s="26" customFormat="1" ht="15" x14ac:dyDescent="0.2">
      <c r="A74" s="90" t="s">
        <v>112</v>
      </c>
      <c r="B74" s="90"/>
      <c r="C74" s="90"/>
      <c r="D74" s="90"/>
      <c r="E74" s="90"/>
      <c r="F74" s="90"/>
      <c r="G74" s="90"/>
      <c r="H74" s="5"/>
    </row>
    <row r="75" spans="1:14" ht="78.75" customHeight="1" x14ac:dyDescent="0.2">
      <c r="A75" s="91" t="s">
        <v>113</v>
      </c>
      <c r="B75" s="91"/>
      <c r="C75" s="91"/>
      <c r="D75" s="91"/>
      <c r="E75" s="91"/>
      <c r="F75" s="51"/>
      <c r="G75" s="51"/>
    </row>
    <row r="77" spans="1:14" x14ac:dyDescent="0.2">
      <c r="A77" s="52" t="s">
        <v>114</v>
      </c>
      <c r="B77" s="53"/>
      <c r="C77" s="54"/>
      <c r="D77" s="55"/>
      <c r="E77" s="55"/>
      <c r="F77" s="55"/>
      <c r="G77" s="56"/>
      <c r="H77" s="56"/>
      <c r="I77" s="57"/>
      <c r="J77" s="57"/>
      <c r="K77" s="57"/>
      <c r="L77" s="57"/>
      <c r="M77" s="57"/>
      <c r="N77" s="57"/>
    </row>
    <row r="78" spans="1:14" ht="38.25" x14ac:dyDescent="0.2">
      <c r="A78" s="58" t="s">
        <v>115</v>
      </c>
      <c r="B78" s="59" t="s">
        <v>116</v>
      </c>
      <c r="C78" s="60" t="s">
        <v>4</v>
      </c>
      <c r="D78" s="58" t="s">
        <v>117</v>
      </c>
      <c r="E78" s="58" t="s">
        <v>118</v>
      </c>
      <c r="F78" s="61" t="s">
        <v>119</v>
      </c>
      <c r="G78" s="62"/>
      <c r="H78" s="56"/>
      <c r="I78" s="57"/>
      <c r="J78" s="57"/>
      <c r="K78" s="57"/>
      <c r="L78" s="57"/>
      <c r="M78" s="57"/>
      <c r="N78" s="57"/>
    </row>
    <row r="79" spans="1:14" x14ac:dyDescent="0.2">
      <c r="A79" s="21" t="s">
        <v>120</v>
      </c>
      <c r="B79" s="22" t="s">
        <v>121</v>
      </c>
      <c r="C79" s="23">
        <v>4250</v>
      </c>
      <c r="D79" s="24">
        <v>2473.6638823500002</v>
      </c>
      <c r="E79" s="24">
        <v>2577</v>
      </c>
      <c r="F79" s="35">
        <v>20.8430675</v>
      </c>
      <c r="G79" s="63"/>
      <c r="H79" s="64"/>
      <c r="I79" s="64"/>
      <c r="J79" s="64"/>
      <c r="K79" s="65"/>
      <c r="L79" s="65"/>
      <c r="M79" s="65"/>
      <c r="N79" s="57"/>
    </row>
    <row r="80" spans="1:14" x14ac:dyDescent="0.2">
      <c r="A80" s="21" t="s">
        <v>122</v>
      </c>
      <c r="B80" s="22" t="s">
        <v>121</v>
      </c>
      <c r="C80" s="23">
        <v>41400</v>
      </c>
      <c r="D80" s="24">
        <v>563.38724734000004</v>
      </c>
      <c r="E80" s="24">
        <v>575.70000000000005</v>
      </c>
      <c r="F80" s="35">
        <v>83.052333000000004</v>
      </c>
      <c r="G80" s="63"/>
      <c r="H80" s="64"/>
      <c r="I80" s="64"/>
      <c r="J80" s="64"/>
      <c r="K80" s="65"/>
      <c r="L80" s="65"/>
      <c r="M80" s="65"/>
      <c r="N80" s="57"/>
    </row>
    <row r="81" spans="1:14" x14ac:dyDescent="0.2">
      <c r="A81" s="21" t="s">
        <v>123</v>
      </c>
      <c r="B81" s="22" t="s">
        <v>121</v>
      </c>
      <c r="C81" s="23">
        <v>30000</v>
      </c>
      <c r="D81" s="24">
        <v>147.12056733</v>
      </c>
      <c r="E81" s="24">
        <v>150.15</v>
      </c>
      <c r="F81" s="35">
        <v>10.423575</v>
      </c>
      <c r="G81" s="63"/>
      <c r="H81" s="64"/>
      <c r="I81" s="64"/>
      <c r="J81" s="64"/>
      <c r="K81" s="65"/>
      <c r="L81" s="65"/>
      <c r="M81" s="65"/>
      <c r="N81" s="57"/>
    </row>
    <row r="82" spans="1:14" x14ac:dyDescent="0.2">
      <c r="A82" s="21" t="s">
        <v>124</v>
      </c>
      <c r="B82" s="22" t="s">
        <v>121</v>
      </c>
      <c r="C82" s="23">
        <v>4000</v>
      </c>
      <c r="D82" s="24">
        <v>3107.7061724999999</v>
      </c>
      <c r="E82" s="24">
        <v>3198.85</v>
      </c>
      <c r="F82" s="35">
        <v>22.717590000000001</v>
      </c>
      <c r="G82" s="63"/>
      <c r="H82" s="64"/>
      <c r="I82" s="64"/>
      <c r="J82" s="64"/>
      <c r="K82" s="65"/>
      <c r="L82" s="65"/>
      <c r="M82" s="65"/>
      <c r="N82" s="57"/>
    </row>
    <row r="83" spans="1:14" x14ac:dyDescent="0.2">
      <c r="A83" s="21" t="s">
        <v>125</v>
      </c>
      <c r="B83" s="22" t="s">
        <v>121</v>
      </c>
      <c r="C83" s="23">
        <v>10500</v>
      </c>
      <c r="D83" s="24">
        <v>1654.2618714299999</v>
      </c>
      <c r="E83" s="24">
        <v>1640.5</v>
      </c>
      <c r="F83" s="35">
        <v>38.149387500000003</v>
      </c>
      <c r="G83" s="63"/>
      <c r="H83" s="64"/>
      <c r="I83" s="64"/>
      <c r="J83" s="64"/>
      <c r="K83" s="65"/>
      <c r="L83" s="65"/>
      <c r="M83" s="65"/>
      <c r="N83" s="57"/>
    </row>
    <row r="84" spans="1:14" x14ac:dyDescent="0.2">
      <c r="A84" s="21" t="s">
        <v>126</v>
      </c>
      <c r="B84" s="22" t="s">
        <v>121</v>
      </c>
      <c r="C84" s="23">
        <v>1250</v>
      </c>
      <c r="D84" s="24">
        <v>6862.6221999999998</v>
      </c>
      <c r="E84" s="24">
        <v>6780.55</v>
      </c>
      <c r="F84" s="35">
        <v>18.564870599999999</v>
      </c>
      <c r="G84" s="63"/>
      <c r="H84" s="64"/>
      <c r="I84" s="64"/>
      <c r="J84" s="64"/>
      <c r="K84" s="65"/>
      <c r="L84" s="65"/>
      <c r="M84" s="65"/>
      <c r="N84" s="57"/>
    </row>
    <row r="85" spans="1:14" x14ac:dyDescent="0.2">
      <c r="A85" s="21" t="s">
        <v>127</v>
      </c>
      <c r="B85" s="22" t="s">
        <v>121</v>
      </c>
      <c r="C85" s="23">
        <v>45600</v>
      </c>
      <c r="D85" s="24">
        <v>107.82842544</v>
      </c>
      <c r="E85" s="24">
        <v>106.05</v>
      </c>
      <c r="F85" s="35">
        <v>10.383918000000001</v>
      </c>
      <c r="G85" s="63"/>
      <c r="H85" s="64"/>
      <c r="I85" s="64"/>
      <c r="J85" s="64"/>
      <c r="K85" s="65"/>
      <c r="L85" s="65"/>
      <c r="M85" s="65"/>
      <c r="N85" s="57"/>
    </row>
    <row r="86" spans="1:14" x14ac:dyDescent="0.2">
      <c r="A86" s="21" t="s">
        <v>128</v>
      </c>
      <c r="B86" s="22" t="s">
        <v>121</v>
      </c>
      <c r="C86" s="23">
        <v>12000</v>
      </c>
      <c r="D86" s="24">
        <v>293.07256667000001</v>
      </c>
      <c r="E86" s="24">
        <v>307.39999999999998</v>
      </c>
      <c r="F86" s="35">
        <v>9.9598800000000001</v>
      </c>
      <c r="G86" s="63"/>
      <c r="H86" s="64"/>
      <c r="I86" s="64"/>
      <c r="J86" s="64"/>
      <c r="K86" s="65"/>
      <c r="L86" s="65"/>
      <c r="M86" s="65"/>
      <c r="N86" s="57"/>
    </row>
    <row r="87" spans="1:14" x14ac:dyDescent="0.2">
      <c r="A87" s="21" t="s">
        <v>129</v>
      </c>
      <c r="B87" s="22" t="s">
        <v>121</v>
      </c>
      <c r="C87" s="23">
        <v>4950</v>
      </c>
      <c r="D87" s="24">
        <v>401.96959393999998</v>
      </c>
      <c r="E87" s="24">
        <v>405.35</v>
      </c>
      <c r="F87" s="35">
        <v>4.8533388999999998</v>
      </c>
      <c r="G87" s="63"/>
      <c r="H87" s="64"/>
      <c r="I87" s="64"/>
      <c r="J87" s="64"/>
      <c r="K87" s="65"/>
      <c r="L87" s="65"/>
      <c r="M87" s="65"/>
      <c r="N87" s="57"/>
    </row>
    <row r="88" spans="1:14" x14ac:dyDescent="0.2">
      <c r="A88" s="21" t="s">
        <v>130</v>
      </c>
      <c r="B88" s="22" t="s">
        <v>121</v>
      </c>
      <c r="C88" s="23">
        <v>2375</v>
      </c>
      <c r="D88" s="24">
        <v>4422.8154863199998</v>
      </c>
      <c r="E88" s="24">
        <v>4519.3</v>
      </c>
      <c r="F88" s="35">
        <v>18.9250781</v>
      </c>
      <c r="G88" s="63"/>
      <c r="H88" s="64"/>
      <c r="I88" s="64"/>
      <c r="J88" s="64"/>
      <c r="K88" s="65"/>
      <c r="L88" s="65"/>
      <c r="M88" s="65"/>
      <c r="N88" s="57"/>
    </row>
    <row r="89" spans="1:14" x14ac:dyDescent="0.2">
      <c r="A89" s="21" t="s">
        <v>131</v>
      </c>
      <c r="B89" s="22" t="s">
        <v>121</v>
      </c>
      <c r="C89" s="23">
        <v>1950</v>
      </c>
      <c r="D89" s="24">
        <v>1281.45179487</v>
      </c>
      <c r="E89" s="24">
        <v>1314.15</v>
      </c>
      <c r="F89" s="35">
        <v>6.5292874000000003</v>
      </c>
      <c r="G89" s="63"/>
      <c r="H89" s="64"/>
      <c r="I89" s="64"/>
      <c r="J89" s="64"/>
      <c r="K89" s="65"/>
      <c r="L89" s="65"/>
      <c r="M89" s="65"/>
      <c r="N89" s="57"/>
    </row>
    <row r="90" spans="1:14" x14ac:dyDescent="0.2">
      <c r="A90" s="21" t="s">
        <v>132</v>
      </c>
      <c r="B90" s="22" t="s">
        <v>121</v>
      </c>
      <c r="C90" s="23">
        <v>26000</v>
      </c>
      <c r="D90" s="24">
        <v>362.07363845999998</v>
      </c>
      <c r="E90" s="24">
        <v>349.35</v>
      </c>
      <c r="F90" s="35">
        <v>21.722284999999999</v>
      </c>
      <c r="G90" s="63"/>
      <c r="H90" s="64"/>
      <c r="I90" s="64"/>
      <c r="J90" s="64"/>
      <c r="K90" s="65"/>
      <c r="L90" s="65"/>
      <c r="M90" s="65"/>
      <c r="N90" s="57"/>
    </row>
    <row r="91" spans="1:14" x14ac:dyDescent="0.2">
      <c r="A91" s="21" t="s">
        <v>133</v>
      </c>
      <c r="B91" s="22" t="s">
        <v>121</v>
      </c>
      <c r="C91" s="23">
        <v>3300</v>
      </c>
      <c r="D91" s="24">
        <v>1615.72688485</v>
      </c>
      <c r="E91" s="24">
        <v>1622.1</v>
      </c>
      <c r="F91" s="35">
        <v>9.4285455000000002</v>
      </c>
      <c r="G91" s="63"/>
      <c r="H91" s="64"/>
      <c r="I91" s="64"/>
      <c r="J91" s="64"/>
      <c r="K91" s="65"/>
      <c r="L91" s="65"/>
      <c r="M91" s="65"/>
      <c r="N91" s="57"/>
    </row>
    <row r="92" spans="1:14" x14ac:dyDescent="0.2">
      <c r="A92" s="21" t="s">
        <v>134</v>
      </c>
      <c r="B92" s="22" t="s">
        <v>121</v>
      </c>
      <c r="C92" s="23">
        <v>4200</v>
      </c>
      <c r="D92" s="24">
        <v>2681.4458071399999</v>
      </c>
      <c r="E92" s="24">
        <v>2706.6</v>
      </c>
      <c r="F92" s="35">
        <v>21.191562000000001</v>
      </c>
      <c r="G92" s="63"/>
      <c r="H92" s="64"/>
      <c r="I92" s="64"/>
      <c r="J92" s="64"/>
      <c r="K92" s="65"/>
      <c r="L92" s="65"/>
      <c r="M92" s="65"/>
      <c r="N92" s="57"/>
    </row>
    <row r="93" spans="1:14" x14ac:dyDescent="0.2">
      <c r="A93" s="21" t="s">
        <v>135</v>
      </c>
      <c r="B93" s="22" t="s">
        <v>121</v>
      </c>
      <c r="C93" s="23">
        <v>30250</v>
      </c>
      <c r="D93" s="24">
        <v>927.28273388000002</v>
      </c>
      <c r="E93" s="24">
        <v>958</v>
      </c>
      <c r="F93" s="35">
        <v>52.138905000000001</v>
      </c>
      <c r="G93" s="63"/>
      <c r="H93" s="64"/>
      <c r="I93" s="64"/>
      <c r="J93" s="64"/>
      <c r="K93" s="65"/>
      <c r="L93" s="65"/>
      <c r="M93" s="65"/>
      <c r="N93" s="57"/>
    </row>
    <row r="94" spans="1:14" x14ac:dyDescent="0.2">
      <c r="A94" s="21" t="s">
        <v>136</v>
      </c>
      <c r="B94" s="22" t="s">
        <v>121</v>
      </c>
      <c r="C94" s="23">
        <v>12800</v>
      </c>
      <c r="D94" s="24">
        <v>351.96086563</v>
      </c>
      <c r="E94" s="24">
        <v>342.9</v>
      </c>
      <c r="F94" s="35">
        <v>7.7301119999999992</v>
      </c>
      <c r="G94" s="63"/>
      <c r="H94" s="64"/>
      <c r="I94" s="64"/>
      <c r="J94" s="64"/>
      <c r="K94" s="65"/>
      <c r="L94" s="65"/>
      <c r="M94" s="65"/>
      <c r="N94" s="57"/>
    </row>
    <row r="95" spans="1:14" x14ac:dyDescent="0.2">
      <c r="A95" s="21" t="s">
        <v>137</v>
      </c>
      <c r="B95" s="22" t="s">
        <v>121</v>
      </c>
      <c r="C95" s="23">
        <v>8924</v>
      </c>
      <c r="D95" s="24">
        <v>81.183832359999997</v>
      </c>
      <c r="E95" s="24">
        <v>87.75</v>
      </c>
      <c r="F95" s="35">
        <v>1.9749884</v>
      </c>
      <c r="G95" s="63"/>
      <c r="H95" s="64"/>
      <c r="I95" s="64"/>
      <c r="J95" s="64"/>
      <c r="K95" s="65"/>
      <c r="L95" s="65"/>
      <c r="M95" s="65"/>
      <c r="N95" s="57"/>
    </row>
    <row r="96" spans="1:14" x14ac:dyDescent="0.2">
      <c r="A96" s="21" t="s">
        <v>138</v>
      </c>
      <c r="B96" s="22" t="s">
        <v>121</v>
      </c>
      <c r="C96" s="23">
        <v>1200</v>
      </c>
      <c r="D96" s="24">
        <v>8971.9842250000002</v>
      </c>
      <c r="E96" s="24">
        <v>9033.2000000000007</v>
      </c>
      <c r="F96" s="35">
        <v>20.217624000000001</v>
      </c>
      <c r="G96" s="63"/>
      <c r="H96" s="64"/>
      <c r="I96" s="64"/>
      <c r="J96" s="64"/>
      <c r="K96" s="65"/>
      <c r="L96" s="65"/>
      <c r="M96" s="65"/>
      <c r="N96" s="57"/>
    </row>
    <row r="97" spans="1:14" x14ac:dyDescent="0.2">
      <c r="A97" s="21" t="s">
        <v>139</v>
      </c>
      <c r="B97" s="22" t="s">
        <v>121</v>
      </c>
      <c r="C97" s="23">
        <v>21250</v>
      </c>
      <c r="D97" s="24">
        <v>885.95957694000003</v>
      </c>
      <c r="E97" s="24">
        <v>937.9</v>
      </c>
      <c r="F97" s="35">
        <v>39.6390113</v>
      </c>
      <c r="G97" s="63"/>
      <c r="H97" s="64"/>
      <c r="I97" s="64"/>
      <c r="J97" s="64"/>
      <c r="K97" s="65"/>
      <c r="L97" s="65"/>
      <c r="M97" s="65"/>
      <c r="N97" s="57"/>
    </row>
    <row r="98" spans="1:14" x14ac:dyDescent="0.2">
      <c r="A98" s="21" t="s">
        <v>140</v>
      </c>
      <c r="B98" s="22" t="s">
        <v>121</v>
      </c>
      <c r="C98" s="23">
        <v>1600</v>
      </c>
      <c r="D98" s="24">
        <v>1501.4749999999999</v>
      </c>
      <c r="E98" s="24">
        <v>1573.15</v>
      </c>
      <c r="F98" s="35">
        <v>5.8016040000000002</v>
      </c>
      <c r="G98" s="63"/>
      <c r="H98" s="64"/>
      <c r="I98" s="64"/>
      <c r="J98" s="64"/>
      <c r="K98" s="65"/>
      <c r="L98" s="65"/>
      <c r="M98" s="65"/>
      <c r="N98" s="57"/>
    </row>
    <row r="99" spans="1:14" x14ac:dyDescent="0.2">
      <c r="A99" s="21" t="s">
        <v>141</v>
      </c>
      <c r="B99" s="22" t="s">
        <v>121</v>
      </c>
      <c r="C99" s="23">
        <v>26600</v>
      </c>
      <c r="D99" s="24">
        <v>895.71424435999995</v>
      </c>
      <c r="E99" s="24">
        <v>931.15</v>
      </c>
      <c r="F99" s="35">
        <v>60.142666500000004</v>
      </c>
      <c r="G99" s="63"/>
      <c r="H99" s="64"/>
      <c r="I99" s="64"/>
      <c r="J99" s="64"/>
      <c r="K99" s="65"/>
      <c r="L99" s="65"/>
      <c r="M99" s="65"/>
      <c r="N99" s="57"/>
    </row>
    <row r="100" spans="1:14" x14ac:dyDescent="0.2">
      <c r="A100" s="21" t="s">
        <v>142</v>
      </c>
      <c r="B100" s="22" t="s">
        <v>121</v>
      </c>
      <c r="C100" s="23">
        <v>31000</v>
      </c>
      <c r="D100" s="24">
        <v>123.0249</v>
      </c>
      <c r="E100" s="24">
        <v>136.6</v>
      </c>
      <c r="F100" s="35">
        <v>7.9146099999999997</v>
      </c>
      <c r="G100" s="63"/>
      <c r="H100" s="64"/>
      <c r="I100" s="64"/>
      <c r="J100" s="64"/>
      <c r="K100" s="65"/>
      <c r="L100" s="65"/>
      <c r="M100" s="65"/>
      <c r="N100" s="57"/>
    </row>
    <row r="101" spans="1:14" x14ac:dyDescent="0.2">
      <c r="A101" s="21" t="s">
        <v>143</v>
      </c>
      <c r="B101" s="22" t="s">
        <v>121</v>
      </c>
      <c r="C101" s="23">
        <v>27000</v>
      </c>
      <c r="D101" s="24">
        <v>217.96646519000001</v>
      </c>
      <c r="E101" s="24">
        <v>225.25</v>
      </c>
      <c r="F101" s="35">
        <v>10.9522125</v>
      </c>
      <c r="G101" s="63"/>
      <c r="H101" s="64"/>
      <c r="I101" s="64"/>
      <c r="J101" s="64"/>
      <c r="K101" s="65"/>
      <c r="L101" s="65"/>
      <c r="M101" s="65"/>
      <c r="N101" s="57"/>
    </row>
    <row r="102" spans="1:14" x14ac:dyDescent="0.2">
      <c r="A102" s="21" t="s">
        <v>144</v>
      </c>
      <c r="B102" s="22" t="s">
        <v>121</v>
      </c>
      <c r="C102" s="23">
        <v>8000</v>
      </c>
      <c r="D102" s="24">
        <v>100.72987500000001</v>
      </c>
      <c r="E102" s="24">
        <v>111.35</v>
      </c>
      <c r="F102" s="35">
        <v>1.6429800000000001</v>
      </c>
      <c r="G102" s="63"/>
      <c r="H102" s="64"/>
      <c r="I102" s="64"/>
      <c r="J102" s="64"/>
      <c r="K102" s="65"/>
      <c r="L102" s="65"/>
      <c r="M102" s="65"/>
      <c r="N102" s="57"/>
    </row>
    <row r="103" spans="1:14" x14ac:dyDescent="0.2">
      <c r="A103" s="21" t="s">
        <v>145</v>
      </c>
      <c r="B103" s="22" t="s">
        <v>121</v>
      </c>
      <c r="C103" s="23">
        <v>1400</v>
      </c>
      <c r="D103" s="24">
        <v>1020.79575714</v>
      </c>
      <c r="E103" s="24">
        <v>1051.8</v>
      </c>
      <c r="F103" s="35">
        <v>2.5997020000000002</v>
      </c>
      <c r="G103" s="63"/>
      <c r="H103" s="64"/>
      <c r="I103" s="64"/>
      <c r="J103" s="64"/>
      <c r="K103" s="65"/>
      <c r="L103" s="65"/>
      <c r="M103" s="65"/>
      <c r="N103" s="57"/>
    </row>
    <row r="104" spans="1:14" x14ac:dyDescent="0.2">
      <c r="A104" s="21" t="s">
        <v>146</v>
      </c>
      <c r="B104" s="22" t="s">
        <v>121</v>
      </c>
      <c r="C104" s="23">
        <v>3000</v>
      </c>
      <c r="D104" s="24">
        <v>1068.15276333</v>
      </c>
      <c r="E104" s="24">
        <v>1045</v>
      </c>
      <c r="F104" s="35">
        <v>7.3294499999999996</v>
      </c>
      <c r="G104" s="63"/>
      <c r="H104" s="64"/>
      <c r="I104" s="64"/>
      <c r="J104" s="64"/>
      <c r="K104" s="65"/>
      <c r="L104" s="65"/>
      <c r="M104" s="65"/>
      <c r="N104" s="57"/>
    </row>
    <row r="105" spans="1:14" x14ac:dyDescent="0.2">
      <c r="A105" s="21" t="s">
        <v>147</v>
      </c>
      <c r="B105" s="22" t="s">
        <v>121</v>
      </c>
      <c r="C105" s="23">
        <v>118125</v>
      </c>
      <c r="D105" s="24">
        <v>222.79404994999999</v>
      </c>
      <c r="E105" s="24">
        <v>226.25</v>
      </c>
      <c r="F105" s="35">
        <v>65.049963399999996</v>
      </c>
      <c r="G105" s="63"/>
      <c r="H105" s="64"/>
      <c r="I105" s="64"/>
      <c r="J105" s="64"/>
      <c r="K105" s="65"/>
      <c r="L105" s="65"/>
      <c r="M105" s="65"/>
      <c r="N105" s="57"/>
    </row>
    <row r="106" spans="1:14" x14ac:dyDescent="0.2">
      <c r="A106" s="21" t="s">
        <v>148</v>
      </c>
      <c r="B106" s="22" t="s">
        <v>121</v>
      </c>
      <c r="C106" s="23">
        <v>46750</v>
      </c>
      <c r="D106" s="24">
        <v>106.43329305</v>
      </c>
      <c r="E106" s="24">
        <v>108.5</v>
      </c>
      <c r="F106" s="35">
        <v>12.373561299999999</v>
      </c>
      <c r="G106" s="63"/>
      <c r="H106" s="64"/>
      <c r="I106" s="64"/>
      <c r="J106" s="64"/>
      <c r="K106" s="65"/>
      <c r="L106" s="65"/>
      <c r="M106" s="65"/>
      <c r="N106" s="57"/>
    </row>
    <row r="107" spans="1:14" x14ac:dyDescent="0.2">
      <c r="A107" s="21" t="s">
        <v>149</v>
      </c>
      <c r="B107" s="22" t="s">
        <v>121</v>
      </c>
      <c r="C107" s="23">
        <v>6750</v>
      </c>
      <c r="D107" s="24">
        <v>2612.8162829600001</v>
      </c>
      <c r="E107" s="24">
        <v>2667.55</v>
      </c>
      <c r="F107" s="35">
        <v>34.251136899999999</v>
      </c>
      <c r="G107" s="63"/>
      <c r="H107" s="64"/>
      <c r="I107" s="64"/>
      <c r="J107" s="64"/>
      <c r="K107" s="65"/>
      <c r="L107" s="65"/>
      <c r="M107" s="65"/>
      <c r="N107" s="57"/>
    </row>
    <row r="108" spans="1:14" x14ac:dyDescent="0.2">
      <c r="A108" s="21" t="s">
        <v>150</v>
      </c>
      <c r="B108" s="22" t="s">
        <v>121</v>
      </c>
      <c r="C108" s="23">
        <v>26000</v>
      </c>
      <c r="D108" s="24">
        <v>772.19260798000005</v>
      </c>
      <c r="E108" s="24">
        <v>793.55</v>
      </c>
      <c r="F108" s="35">
        <v>42.706105000000001</v>
      </c>
      <c r="G108" s="63"/>
      <c r="H108" s="64"/>
      <c r="I108" s="64"/>
      <c r="J108" s="64"/>
      <c r="K108" s="65"/>
      <c r="L108" s="65"/>
      <c r="M108" s="65"/>
      <c r="N108" s="57"/>
    </row>
    <row r="109" spans="1:14" x14ac:dyDescent="0.2">
      <c r="A109" s="21" t="s">
        <v>151</v>
      </c>
      <c r="B109" s="22" t="s">
        <v>121</v>
      </c>
      <c r="C109" s="23">
        <v>5400</v>
      </c>
      <c r="D109" s="24">
        <v>419.5160037</v>
      </c>
      <c r="E109" s="24">
        <v>412.15</v>
      </c>
      <c r="F109" s="35">
        <v>4.1296634999999995</v>
      </c>
      <c r="G109" s="63"/>
      <c r="H109" s="64"/>
      <c r="I109" s="64"/>
      <c r="J109" s="64"/>
      <c r="K109" s="65"/>
      <c r="L109" s="65"/>
      <c r="M109" s="65"/>
      <c r="N109" s="57"/>
    </row>
    <row r="110" spans="1:14" x14ac:dyDescent="0.2">
      <c r="D110" s="69"/>
      <c r="G110" s="57"/>
      <c r="H110" s="57"/>
      <c r="I110" s="57"/>
      <c r="J110" s="57"/>
      <c r="K110" s="57"/>
      <c r="L110" s="57"/>
      <c r="M110" s="57"/>
      <c r="N110" s="57"/>
    </row>
    <row r="111" spans="1:14" x14ac:dyDescent="0.2">
      <c r="A111" s="70" t="s">
        <v>152</v>
      </c>
      <c r="C111" s="71"/>
      <c r="E111" s="47"/>
      <c r="G111" s="57"/>
      <c r="H111" s="57"/>
      <c r="I111" s="57"/>
      <c r="J111" s="57"/>
      <c r="K111" s="57"/>
      <c r="L111" s="57"/>
      <c r="M111" s="57"/>
      <c r="N111" s="57"/>
    </row>
    <row r="112" spans="1:14" x14ac:dyDescent="0.2">
      <c r="A112" s="72"/>
      <c r="B112" s="53"/>
      <c r="C112" s="73"/>
      <c r="E112" s="47"/>
      <c r="G112" s="57"/>
      <c r="H112" s="57"/>
      <c r="I112" s="57"/>
      <c r="J112" s="57"/>
      <c r="K112" s="57"/>
      <c r="L112" s="57"/>
      <c r="M112" s="57"/>
      <c r="N112" s="57"/>
    </row>
    <row r="113" spans="1:14" x14ac:dyDescent="0.2">
      <c r="A113" s="87" t="s">
        <v>153</v>
      </c>
      <c r="B113" s="87"/>
      <c r="C113" s="87"/>
      <c r="F113" s="69"/>
      <c r="G113" s="57"/>
      <c r="H113" s="74"/>
      <c r="I113" s="57"/>
      <c r="J113" s="57"/>
      <c r="K113" s="57"/>
      <c r="L113" s="57"/>
      <c r="M113" s="57"/>
      <c r="N113" s="57"/>
    </row>
    <row r="114" spans="1:14" x14ac:dyDescent="0.2">
      <c r="A114" s="84" t="s">
        <v>154</v>
      </c>
      <c r="B114" s="85"/>
      <c r="C114" s="85"/>
      <c r="D114" s="85"/>
      <c r="G114" s="57"/>
      <c r="H114" s="57"/>
      <c r="I114" s="57"/>
      <c r="J114" s="57"/>
      <c r="K114" s="57"/>
      <c r="L114" s="57"/>
      <c r="M114" s="57"/>
      <c r="N114" s="57"/>
    </row>
    <row r="115" spans="1:14" x14ac:dyDescent="0.2">
      <c r="A115" s="86" t="s">
        <v>155</v>
      </c>
      <c r="B115" s="86"/>
      <c r="C115" s="86"/>
      <c r="D115" s="31">
        <v>644</v>
      </c>
      <c r="F115" s="47"/>
      <c r="G115" s="57"/>
      <c r="H115" s="57"/>
      <c r="I115" s="57"/>
      <c r="J115" s="57"/>
      <c r="K115" s="57"/>
      <c r="L115" s="57"/>
      <c r="M115" s="57"/>
      <c r="N115" s="57"/>
    </row>
    <row r="116" spans="1:14" x14ac:dyDescent="0.2">
      <c r="A116" s="86" t="s">
        <v>156</v>
      </c>
      <c r="B116" s="86"/>
      <c r="C116" s="86"/>
      <c r="D116" s="31">
        <v>627</v>
      </c>
      <c r="G116" s="57"/>
      <c r="H116" s="57"/>
      <c r="I116" s="57"/>
      <c r="J116" s="57"/>
      <c r="K116" s="57"/>
      <c r="L116" s="57"/>
      <c r="M116" s="57"/>
      <c r="N116" s="57"/>
    </row>
    <row r="117" spans="1:14" x14ac:dyDescent="0.2">
      <c r="A117" s="86" t="s">
        <v>157</v>
      </c>
      <c r="B117" s="86"/>
      <c r="C117" s="86"/>
      <c r="D117" s="75">
        <v>4848.6232787999998</v>
      </c>
      <c r="G117" s="57"/>
      <c r="H117" s="57"/>
      <c r="I117" s="57"/>
      <c r="J117" s="57"/>
      <c r="K117" s="57"/>
      <c r="L117" s="57"/>
      <c r="M117" s="57"/>
      <c r="N117" s="57"/>
    </row>
    <row r="118" spans="1:14" x14ac:dyDescent="0.2">
      <c r="A118" s="86" t="s">
        <v>158</v>
      </c>
      <c r="B118" s="86"/>
      <c r="C118" s="86"/>
      <c r="D118" s="75">
        <v>4776.6173577</v>
      </c>
      <c r="G118" s="57"/>
      <c r="H118" s="57"/>
      <c r="I118" s="57"/>
      <c r="J118" s="57"/>
      <c r="K118" s="57"/>
      <c r="L118" s="57"/>
      <c r="M118" s="57"/>
      <c r="N118" s="57"/>
    </row>
    <row r="119" spans="1:14" x14ac:dyDescent="0.2">
      <c r="A119" s="86" t="s">
        <v>159</v>
      </c>
      <c r="B119" s="86"/>
      <c r="C119" s="86"/>
      <c r="D119" s="76">
        <v>-103.05</v>
      </c>
      <c r="G119" s="57"/>
      <c r="H119" s="57"/>
      <c r="I119" s="57"/>
      <c r="J119" s="57"/>
      <c r="K119" s="57"/>
      <c r="L119" s="57"/>
      <c r="M119" s="57"/>
      <c r="N119" s="57"/>
    </row>
    <row r="120" spans="1:14" x14ac:dyDescent="0.2">
      <c r="A120" s="72"/>
      <c r="B120" s="53"/>
      <c r="C120" s="73"/>
      <c r="G120" s="57"/>
      <c r="H120" s="57"/>
      <c r="I120" s="57"/>
      <c r="J120" s="57"/>
      <c r="K120" s="57"/>
      <c r="L120" s="57"/>
      <c r="M120" s="57"/>
      <c r="N120" s="57"/>
    </row>
    <row r="121" spans="1:14" x14ac:dyDescent="0.2">
      <c r="A121" s="87" t="s">
        <v>160</v>
      </c>
      <c r="B121" s="87"/>
      <c r="C121" s="87"/>
      <c r="G121" s="57"/>
      <c r="H121" s="57"/>
      <c r="I121" s="57"/>
      <c r="J121" s="57"/>
      <c r="K121" s="57"/>
      <c r="L121" s="57"/>
      <c r="M121" s="57"/>
      <c r="N121" s="57"/>
    </row>
    <row r="122" spans="1:14" x14ac:dyDescent="0.2">
      <c r="A122" s="84" t="s">
        <v>168</v>
      </c>
      <c r="B122" s="85"/>
      <c r="C122" s="85"/>
      <c r="D122" s="85"/>
      <c r="G122" s="57"/>
      <c r="H122" s="57"/>
      <c r="I122" s="57"/>
      <c r="J122" s="57"/>
      <c r="K122" s="57"/>
      <c r="L122" s="57"/>
      <c r="M122" s="57"/>
      <c r="N122" s="57"/>
    </row>
    <row r="123" spans="1:14" x14ac:dyDescent="0.2">
      <c r="A123" s="86" t="s">
        <v>155</v>
      </c>
      <c r="B123" s="86"/>
      <c r="C123" s="86"/>
      <c r="D123" s="31" t="s">
        <v>161</v>
      </c>
      <c r="G123" s="57"/>
      <c r="H123" s="57"/>
      <c r="I123" s="57"/>
      <c r="J123" s="57"/>
      <c r="K123" s="57"/>
      <c r="L123" s="57"/>
      <c r="M123" s="57"/>
      <c r="N123" s="57"/>
    </row>
    <row r="124" spans="1:14" x14ac:dyDescent="0.2">
      <c r="A124" s="86" t="s">
        <v>156</v>
      </c>
      <c r="B124" s="86"/>
      <c r="C124" s="86"/>
      <c r="D124" s="31" t="s">
        <v>161</v>
      </c>
      <c r="G124" s="57"/>
      <c r="H124" s="57"/>
      <c r="I124" s="57"/>
      <c r="J124" s="57"/>
      <c r="K124" s="57"/>
      <c r="L124" s="57"/>
      <c r="M124" s="57"/>
      <c r="N124" s="57"/>
    </row>
    <row r="125" spans="1:14" x14ac:dyDescent="0.2">
      <c r="A125" s="86" t="s">
        <v>157</v>
      </c>
      <c r="B125" s="86"/>
      <c r="C125" s="86"/>
      <c r="D125" s="77" t="s">
        <v>161</v>
      </c>
      <c r="G125" s="57"/>
      <c r="H125" s="57"/>
      <c r="I125" s="57"/>
      <c r="J125" s="57"/>
      <c r="K125" s="57"/>
      <c r="L125" s="57"/>
      <c r="M125" s="57"/>
      <c r="N125" s="57"/>
    </row>
    <row r="126" spans="1:14" x14ac:dyDescent="0.2">
      <c r="A126" s="86" t="s">
        <v>158</v>
      </c>
      <c r="B126" s="86"/>
      <c r="C126" s="86"/>
      <c r="D126" s="77" t="s">
        <v>161</v>
      </c>
      <c r="G126" s="57"/>
      <c r="H126" s="57"/>
      <c r="I126" s="57"/>
      <c r="J126" s="57"/>
      <c r="K126" s="57"/>
      <c r="L126" s="57"/>
      <c r="M126" s="57"/>
      <c r="N126" s="57"/>
    </row>
    <row r="127" spans="1:14" x14ac:dyDescent="0.2">
      <c r="A127" s="86" t="s">
        <v>159</v>
      </c>
      <c r="B127" s="86"/>
      <c r="C127" s="86"/>
      <c r="D127" s="76" t="s">
        <v>161</v>
      </c>
      <c r="G127" s="57"/>
      <c r="H127" s="57"/>
      <c r="I127" s="57"/>
      <c r="J127" s="57"/>
      <c r="K127" s="57"/>
      <c r="L127" s="57"/>
      <c r="M127" s="57"/>
      <c r="N127" s="57"/>
    </row>
    <row r="128" spans="1:14" x14ac:dyDescent="0.2">
      <c r="C128" s="67"/>
      <c r="D128" s="67"/>
      <c r="G128" s="57"/>
      <c r="H128" s="57"/>
      <c r="I128" s="57"/>
      <c r="J128" s="57"/>
      <c r="K128" s="57"/>
      <c r="L128" s="57"/>
      <c r="M128" s="57"/>
      <c r="N128" s="57"/>
    </row>
    <row r="129" spans="1:14" x14ac:dyDescent="0.2">
      <c r="C129" s="67"/>
      <c r="D129" s="67"/>
      <c r="G129" s="57"/>
      <c r="H129" s="57"/>
      <c r="I129" s="57"/>
      <c r="J129" s="57"/>
      <c r="K129" s="57"/>
      <c r="L129" s="57"/>
      <c r="M129" s="57"/>
      <c r="N129" s="57"/>
    </row>
    <row r="130" spans="1:14" ht="15" x14ac:dyDescent="0.25">
      <c r="A130" s="78" t="s">
        <v>162</v>
      </c>
      <c r="B130" s="79"/>
      <c r="C130" s="79"/>
      <c r="G130" s="57"/>
      <c r="H130" s="57"/>
      <c r="I130" s="57"/>
      <c r="J130" s="57"/>
      <c r="K130" s="57"/>
      <c r="L130" s="57"/>
      <c r="M130" s="57"/>
      <c r="N130" s="57"/>
    </row>
    <row r="131" spans="1:14" ht="15" x14ac:dyDescent="0.25">
      <c r="A131" s="81" t="s">
        <v>164</v>
      </c>
      <c r="B131" s="79"/>
      <c r="C131" s="79"/>
      <c r="D131" s="79"/>
      <c r="G131" s="57"/>
      <c r="H131" s="57"/>
      <c r="I131" s="57"/>
      <c r="J131" s="57"/>
      <c r="K131" s="57"/>
      <c r="L131" s="57"/>
      <c r="M131" s="57"/>
      <c r="N131" s="57"/>
    </row>
    <row r="132" spans="1:14" ht="15" x14ac:dyDescent="0.25">
      <c r="A132" s="83" t="s">
        <v>165</v>
      </c>
      <c r="B132" s="83"/>
      <c r="C132" s="83"/>
      <c r="D132" s="79"/>
      <c r="G132" s="57"/>
      <c r="H132" s="57"/>
      <c r="I132" s="57"/>
      <c r="J132" s="57"/>
      <c r="K132" s="57"/>
      <c r="L132" s="57"/>
      <c r="M132" s="57"/>
      <c r="N132" s="57"/>
    </row>
    <row r="133" spans="1:14" ht="15" x14ac:dyDescent="0.25">
      <c r="A133" s="81" t="s">
        <v>166</v>
      </c>
      <c r="B133" s="79"/>
      <c r="C133" s="79"/>
      <c r="D133" s="79"/>
      <c r="G133" s="57"/>
      <c r="H133" s="57"/>
      <c r="I133" s="57"/>
      <c r="J133" s="57"/>
      <c r="K133" s="57"/>
      <c r="L133" s="57"/>
      <c r="M133" s="57"/>
      <c r="N133" s="57"/>
    </row>
    <row r="134" spans="1:14" ht="15" x14ac:dyDescent="0.25">
      <c r="A134" s="81"/>
      <c r="B134" s="79"/>
      <c r="C134" s="79"/>
      <c r="D134" s="79"/>
      <c r="G134" s="57"/>
      <c r="H134" s="57"/>
      <c r="I134" s="57"/>
      <c r="J134" s="57"/>
      <c r="K134" s="57"/>
      <c r="L134" s="57"/>
      <c r="M134" s="57"/>
      <c r="N134" s="57"/>
    </row>
    <row r="135" spans="1:14" ht="14.25" x14ac:dyDescent="0.2">
      <c r="A135" s="82" t="s">
        <v>167</v>
      </c>
      <c r="B135" s="79"/>
      <c r="C135" s="79"/>
      <c r="D135" s="80" t="s">
        <v>163</v>
      </c>
      <c r="G135" s="57"/>
      <c r="H135" s="57"/>
      <c r="I135" s="57"/>
      <c r="J135" s="57"/>
      <c r="K135" s="57"/>
      <c r="L135" s="57"/>
      <c r="M135" s="57"/>
      <c r="N135" s="57"/>
    </row>
    <row r="136" spans="1:14" x14ac:dyDescent="0.2">
      <c r="A136" s="79"/>
      <c r="B136" s="79"/>
      <c r="C136" s="79"/>
      <c r="D136" s="79"/>
      <c r="G136" s="57"/>
      <c r="H136" s="57"/>
      <c r="I136" s="57"/>
      <c r="J136" s="57"/>
      <c r="K136" s="57"/>
      <c r="L136" s="57"/>
      <c r="M136" s="57"/>
      <c r="N136" s="57"/>
    </row>
    <row r="137" spans="1:14" x14ac:dyDescent="0.2">
      <c r="A137" s="79"/>
      <c r="B137" s="79"/>
      <c r="C137" s="79"/>
      <c r="D137" s="79"/>
      <c r="G137" s="57"/>
      <c r="H137" s="57"/>
      <c r="I137" s="57"/>
      <c r="J137" s="57"/>
      <c r="K137" s="57"/>
      <c r="L137" s="57"/>
      <c r="M137" s="57"/>
      <c r="N137" s="57"/>
    </row>
    <row r="138" spans="1:14" x14ac:dyDescent="0.2">
      <c r="A138" s="79"/>
      <c r="B138" s="79"/>
      <c r="C138" s="79"/>
      <c r="D138" s="79"/>
      <c r="G138" s="57"/>
      <c r="H138" s="57"/>
      <c r="I138" s="57"/>
      <c r="J138" s="57"/>
      <c r="K138" s="57"/>
      <c r="L138" s="57"/>
      <c r="M138" s="57"/>
      <c r="N138" s="57"/>
    </row>
    <row r="139" spans="1:14" x14ac:dyDescent="0.2">
      <c r="A139" s="79"/>
      <c r="B139" s="79"/>
      <c r="C139" s="79"/>
      <c r="D139" s="79"/>
      <c r="G139" s="57"/>
      <c r="H139" s="57"/>
      <c r="I139" s="57"/>
      <c r="J139" s="57"/>
      <c r="K139" s="57"/>
      <c r="L139" s="57"/>
      <c r="M139" s="57"/>
      <c r="N139" s="57"/>
    </row>
    <row r="140" spans="1:14" x14ac:dyDescent="0.2">
      <c r="A140" s="79"/>
      <c r="B140" s="79"/>
      <c r="C140" s="79"/>
      <c r="D140" s="79"/>
      <c r="G140" s="57"/>
      <c r="H140" s="57"/>
      <c r="I140" s="57"/>
      <c r="J140" s="57"/>
      <c r="K140" s="57"/>
      <c r="L140" s="57"/>
      <c r="M140" s="57"/>
      <c r="N140" s="57"/>
    </row>
    <row r="141" spans="1:14" x14ac:dyDescent="0.2">
      <c r="A141" s="79"/>
      <c r="B141" s="79"/>
      <c r="C141" s="79"/>
      <c r="D141" s="79"/>
      <c r="G141" s="57"/>
      <c r="H141" s="57"/>
      <c r="I141" s="57"/>
      <c r="J141" s="57"/>
      <c r="K141" s="57"/>
      <c r="L141" s="57"/>
      <c r="M141" s="57"/>
      <c r="N141" s="57"/>
    </row>
    <row r="142" spans="1:14" x14ac:dyDescent="0.2">
      <c r="A142" s="79"/>
      <c r="B142" s="79"/>
      <c r="C142" s="79"/>
      <c r="D142" s="79"/>
      <c r="G142" s="57"/>
      <c r="H142" s="57"/>
      <c r="I142" s="57"/>
      <c r="J142" s="57"/>
      <c r="K142" s="57"/>
      <c r="L142" s="57"/>
      <c r="M142" s="57"/>
      <c r="N142" s="57"/>
    </row>
    <row r="143" spans="1:14" x14ac:dyDescent="0.2">
      <c r="A143" s="79"/>
      <c r="B143" s="79"/>
      <c r="C143" s="79"/>
      <c r="D143" s="79"/>
      <c r="G143" s="57"/>
      <c r="H143" s="57"/>
      <c r="I143" s="57"/>
      <c r="J143" s="57"/>
      <c r="K143" s="57"/>
      <c r="L143" s="57"/>
      <c r="M143" s="57"/>
      <c r="N143" s="57"/>
    </row>
    <row r="144" spans="1:14" x14ac:dyDescent="0.2">
      <c r="A144" s="79"/>
      <c r="B144" s="79"/>
      <c r="C144" s="79"/>
      <c r="D144" s="79"/>
    </row>
    <row r="145" spans="1:4" x14ac:dyDescent="0.2">
      <c r="A145" s="79"/>
      <c r="B145" s="79"/>
      <c r="C145" s="79"/>
      <c r="D145" s="79"/>
    </row>
    <row r="146" spans="1:4" x14ac:dyDescent="0.2">
      <c r="A146" s="79"/>
      <c r="B146" s="79"/>
      <c r="C146" s="79"/>
      <c r="D146" s="79"/>
    </row>
    <row r="147" spans="1:4" x14ac:dyDescent="0.2">
      <c r="A147" s="79"/>
      <c r="B147" s="79"/>
      <c r="C147" s="79"/>
      <c r="D147" s="79"/>
    </row>
    <row r="148" spans="1:4" x14ac:dyDescent="0.2">
      <c r="A148" s="79"/>
      <c r="B148" s="79"/>
      <c r="C148" s="79"/>
      <c r="D148" s="79"/>
    </row>
    <row r="149" spans="1:4" x14ac:dyDescent="0.2">
      <c r="A149" s="79"/>
      <c r="B149" s="79"/>
      <c r="C149" s="79"/>
      <c r="D149" s="79"/>
    </row>
  </sheetData>
  <mergeCells count="19">
    <mergeCell ref="A121:C121"/>
    <mergeCell ref="A70:G70"/>
    <mergeCell ref="A72:G72"/>
    <mergeCell ref="A74:G74"/>
    <mergeCell ref="A75:E75"/>
    <mergeCell ref="A113:C113"/>
    <mergeCell ref="A114:D114"/>
    <mergeCell ref="A115:C115"/>
    <mergeCell ref="A116:C116"/>
    <mergeCell ref="A117:C117"/>
    <mergeCell ref="A118:C118"/>
    <mergeCell ref="A119:C119"/>
    <mergeCell ref="A132:C132"/>
    <mergeCell ref="A122:D122"/>
    <mergeCell ref="A123:C123"/>
    <mergeCell ref="A124:C124"/>
    <mergeCell ref="A125:C125"/>
    <mergeCell ref="A126:C126"/>
    <mergeCell ref="A127:C12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2022-12-05T08:39:26Z</dcterms:created>
  <dcterms:modified xsi:type="dcterms:W3CDTF">2022-12-05T09:51:55Z</dcterms:modified>
</cp:coreProperties>
</file>