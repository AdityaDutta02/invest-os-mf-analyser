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SD" sheetId="1" r:id="rId1"/>
  </sheets>
  <definedNames>
    <definedName name="_xlnm._FilterDatabase" localSheetId="0" hidden="1">SD!$A$1:$J$50</definedName>
    <definedName name="Afs">#REF!</definedName>
    <definedName name="_xlnm.Database">#REF!</definedName>
    <definedName name="EBLDB">#REF!</definedName>
    <definedName name="fl">#REF!</definedName>
    <definedName name="_xlnm.Print_Area" localSheetId="0">SD!$A$1:$E$30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7" i="1" l="1"/>
  <c r="E36" i="1"/>
  <c r="E37" i="1" s="1"/>
  <c r="D34" i="1"/>
  <c r="E33" i="1"/>
  <c r="E32" i="1"/>
  <c r="E30" i="1"/>
  <c r="E29" i="1"/>
  <c r="D25" i="1"/>
  <c r="E24" i="1"/>
  <c r="E23" i="1"/>
  <c r="E22" i="1"/>
  <c r="E21" i="1"/>
  <c r="E25" i="1" s="1"/>
  <c r="F12" i="1"/>
  <c r="F39" i="1" s="1"/>
  <c r="D8" i="1"/>
  <c r="D12" i="1" s="1"/>
  <c r="D39" i="1" s="1"/>
  <c r="D41" i="1" s="1"/>
  <c r="E41" i="1" s="1"/>
  <c r="E7" i="1"/>
  <c r="E6" i="1"/>
  <c r="E5" i="1"/>
  <c r="E8" i="1" l="1"/>
  <c r="E12" i="1" s="1"/>
  <c r="E34" i="1"/>
  <c r="E39" i="1" s="1"/>
  <c r="E43" i="1" s="1"/>
</calcChain>
</file>

<file path=xl/sharedStrings.xml><?xml version="1.0" encoding="utf-8"?>
<sst xmlns="http://schemas.openxmlformats.org/spreadsheetml/2006/main" count="89" uniqueCount="75">
  <si>
    <t>Portfolio as on 30.11.2022</t>
  </si>
  <si>
    <t>Name of the Instruments</t>
  </si>
  <si>
    <t>Industry/Rating</t>
  </si>
  <si>
    <t>Quantity</t>
  </si>
  <si>
    <t>Market Value (Rs. In Lakhs)</t>
  </si>
  <si>
    <t>% age to NAV</t>
  </si>
  <si>
    <t>ISIN</t>
  </si>
  <si>
    <t>Yield %</t>
  </si>
  <si>
    <t>^YTC (AT1/Tier 2 bonds)</t>
  </si>
  <si>
    <t>a) Listed/Awaiting Listing On  Stock Exchange</t>
  </si>
  <si>
    <t>Housing Development Finance Company Ltd.**</t>
  </si>
  <si>
    <t>CRISIL AAA</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</si>
  <si>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</si>
  <si>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</si>
  <si>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</si>
  <si>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</si>
  <si>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</si>
  <si>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</si>
  <si>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</si>
  <si>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</si>
  <si>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</si>
  <si>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</si>
  <si>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</si>
  <si>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</si>
  <si>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No. of Days</t>
  </si>
  <si>
    <t>GOVERNMENT SECURITIES</t>
  </si>
  <si>
    <t>5.74% Government of India Securities 2026 15/11/2026</t>
  </si>
  <si>
    <t>GOI SOV</t>
  </si>
  <si>
    <t>IN0020210186</t>
  </si>
  <si>
    <t>7.38% Government of India Securities 2027 20/06/2027</t>
  </si>
  <si>
    <t>IN0020220037</t>
  </si>
  <si>
    <t>5.22% Government of India Securities 2025 15/06/2025</t>
  </si>
  <si>
    <t>IN0020200112</t>
  </si>
  <si>
    <t>7.96% Gujarat SDL 2025 14/10/2025</t>
  </si>
  <si>
    <t>IN1520150062</t>
  </si>
  <si>
    <t>MONEY MARKET INSTRUMENTS</t>
  </si>
  <si>
    <t>Certificate of Deposit (CD) / Commercial Paper (CP)</t>
  </si>
  <si>
    <t>Kotak Mahindra Bank CD**</t>
  </si>
  <si>
    <t>CRISIL A1+</t>
  </si>
  <si>
    <t>INE237A162Q1</t>
  </si>
  <si>
    <t>Bank of Baroda CD**</t>
  </si>
  <si>
    <t>IND A1+</t>
  </si>
  <si>
    <t>INE028A16CZ4</t>
  </si>
  <si>
    <t>Treasury Bills</t>
  </si>
  <si>
    <t>182 Days Treasury-Bill 02/03/2023</t>
  </si>
  <si>
    <t>IN002022Y229</t>
  </si>
  <si>
    <t>364 Days Treasury-Bill 31/08/2023</t>
  </si>
  <si>
    <t>IN002022Z226</t>
  </si>
  <si>
    <t>TREPS-Triparty Repo</t>
  </si>
  <si>
    <t>TREP01122022</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</si>
  <si>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</si>
  <si>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</si>
  <si>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</si>
  <si>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</si>
  <si>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</si>
  <si>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</si>
  <si>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</si>
  <si>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</si>
  <si>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</si>
  <si>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*Investors should consult their financial advisers if in doubt about whether the product is suitable for them.</t>
  </si>
  <si>
    <t xml:space="preserve">         Riskometer of the scheme </t>
  </si>
  <si>
    <t>CRISIL Short Duration Fund BII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</si>
  <si>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</si>
  <si>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</si>
  <si>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</si>
  <si>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</si>
  <si>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</si>
  <si>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</si>
  <si>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</si>
  <si>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</si>
  <si>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B-II</t>
  </si>
  <si>
    <t>Relatively High Class (Class III)</t>
  </si>
  <si>
    <t>• Regular Income over Short to Medium Term.</t>
  </si>
  <si>
    <t>• Investment in Debt and Money Market securities such that the Macaulay 
duration of the portfolio is between 1 year - 3 years.</t>
  </si>
  <si>
    <t>JM Short Duration Fund (An open-ended short duration debt scheme investing in instruments such that the Macaulay duration of the portfolio is between 1 year and 3 years. A moderate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</si>
</sst>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1"/>
      <color indexed="8"/>
      <name val="Trebuchet MS"/>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80">
    <xf numFmtId="0" fontId="0" fillId="0" borderId="0" xfId="0"/>
    <xf numFmtId="0" fontId="3" fillId="0" borderId="0" xfId="0" applyFont="1"/>
    <xf numFmtId="0" fontId="2" fillId="2" borderId="1" xfId="0" applyFont="1" applyFill="1" applyBorder="1" applyAlignment="1">
      <alignment horizontal="left" wrapText="1"/>
    </xf>
    <xf numFmtId="0" fontId="2" fillId="2" borderId="1" xfId="0" applyFont="1" applyFill="1" applyBorder="1" applyAlignme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3" fillId="0" borderId="2" xfId="1"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0" xfId="0" applyNumberFormat="1" applyFont="1" applyFill="1"/>
    <xf numFmtId="165" fontId="4" fillId="0" borderId="2" xfId="1" applyNumberFormat="1" applyFont="1" applyFill="1" applyBorder="1" applyAlignment="1">
      <alignment horizontal="right"/>
    </xf>
    <xf numFmtId="164" fontId="4" fillId="0" borderId="2" xfId="1" applyFont="1" applyFill="1" applyBorder="1" applyAlignment="1">
      <alignment horizontal="right"/>
    </xf>
    <xf numFmtId="0" fontId="3" fillId="0" borderId="2" xfId="0" applyFont="1" applyFill="1" applyBorder="1" applyAlignment="1">
      <alignment horizontal="right"/>
    </xf>
    <xf numFmtId="164" fontId="3" fillId="0" borderId="3" xfId="1" applyFont="1" applyFill="1" applyBorder="1"/>
    <xf numFmtId="4" fontId="4"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6" fillId="0" borderId="0" xfId="3" applyBorder="1" applyAlignment="1">
      <alignment horizontal="left" vertical="center"/>
    </xf>
    <xf numFmtId="0" fontId="3" fillId="0" borderId="0" xfId="0" applyFont="1" applyFill="1" applyBorder="1" applyAlignment="1">
      <alignment horizontal="left"/>
    </xf>
    <xf numFmtId="0" fontId="7" fillId="0" borderId="0" xfId="3" applyFont="1" applyBorder="1" applyAlignment="1">
      <alignment horizontal="left" vertical="center" wrapText="1"/>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3" applyFont="1" applyBorder="1"/>
    <xf numFmtId="0" fontId="9" fillId="0" borderId="0" xfId="6" applyFont="1" applyBorder="1"/>
    <xf numFmtId="0" fontId="2" fillId="0" borderId="0" xfId="4" applyFont="1" applyFill="1" applyBorder="1" applyAlignment="1">
      <alignment horizontal="left" wrapText="1"/>
    </xf>
    <xf numFmtId="0" fontId="1" fillId="0" borderId="0" xfId="4"/>
    <xf numFmtId="0" fontId="10" fillId="0" borderId="0" xfId="0" applyFont="1" applyAlignment="1">
      <alignment vertical="top" wrapText="1"/>
    </xf>
    <xf numFmtId="0" fontId="11" fillId="0" borderId="0" xfId="6" applyFont="1"/>
    <xf numFmtId="0" fontId="3" fillId="0" borderId="0" xfId="0" applyFont="1" applyAlignment="1">
      <alignment horizontal="left" wrapText="1"/>
    </xf>
    <xf numFmtId="0" fontId="4" fillId="0" borderId="0" xfId="0" applyFont="1"/>
    <xf numFmtId="0" fontId="3" fillId="0" borderId="0" xfId="0" applyFont="1" applyAlignment="1">
      <alignment wrapText="1"/>
    </xf>
    <xf numFmtId="165" fontId="3" fillId="0" borderId="0" xfId="1" applyNumberFormat="1" applyFont="1"/>
    <xf numFmtId="0" fontId="12" fillId="0" borderId="0" xfId="0" applyFont="1" applyBorder="1" applyAlignment="1">
      <alignment horizontal="center"/>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0" fontId="13" fillId="0" borderId="7" xfId="0" applyFont="1" applyBorder="1" applyAlignment="1">
      <alignment vertical="center" wrapText="1"/>
    </xf>
    <xf numFmtId="0" fontId="15" fillId="0" borderId="7" xfId="0" applyFont="1" applyBorder="1" applyAlignment="1">
      <alignment vertical="center" wrapText="1"/>
    </xf>
    <xf numFmtId="0" fontId="16" fillId="0" borderId="9" xfId="0" applyFont="1" applyBorder="1" applyAlignment="1">
      <alignment vertical="center" wrapText="1"/>
    </xf>
    <xf numFmtId="0" fontId="17" fillId="3"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0" borderId="0" xfId="0" applyFont="1" applyAlignment="1"/>
    <xf numFmtId="0" fontId="6" fillId="0" borderId="0" xfId="3" applyBorder="1"/>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vertical="center" wrapText="1"/>
    </xf>
    <xf numFmtId="0" fontId="13" fillId="0" borderId="7" xfId="0" applyFont="1" applyBorder="1" applyAlignment="1">
      <alignment vertical="center" wrapText="1"/>
    </xf>
    <xf numFmtId="0" fontId="13" fillId="0" borderId="8" xfId="0" applyFont="1" applyBorder="1" applyAlignment="1">
      <alignment vertical="top" wrapText="1"/>
    </xf>
    <xf numFmtId="0" fontId="13" fillId="0" borderId="7" xfId="0" applyFont="1" applyBorder="1" applyAlignment="1">
      <alignment vertical="top" wrapText="1"/>
    </xf>
    <xf numFmtId="0" fontId="2" fillId="2" borderId="1"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12" fillId="0" borderId="0" xfId="0" applyFont="1" applyBorder="1" applyAlignment="1">
      <alignment horizontal="center"/>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60</xdr:row>
      <xdr:rowOff>28575</xdr:rowOff>
    </xdr:from>
    <xdr:to>
      <xdr:col>5</xdr:col>
      <xdr:colOff>361950</xdr:colOff>
      <xdr:row>73</xdr:row>
      <xdr:rowOff>19051</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6343650" y="11858625"/>
          <a:ext cx="3667125" cy="2114550"/>
        </a:xfrm>
        <a:prstGeom prst="rect">
          <a:avLst/>
        </a:prstGeom>
        <a:noFill/>
        <a:ln w="9525">
          <a:noFill/>
          <a:miter lim="800000"/>
          <a:headEnd/>
          <a:tailEnd/>
        </a:ln>
      </xdr:spPr>
    </xdr:pic>
    <xdr:clientData/>
  </xdr:twoCellAnchor>
  <xdr:twoCellAnchor editAs="oneCell">
    <xdr:from>
      <xdr:col>0</xdr:col>
      <xdr:colOff>190500</xdr:colOff>
      <xdr:row>60</xdr:row>
      <xdr:rowOff>9525</xdr:rowOff>
    </xdr:from>
    <xdr:to>
      <xdr:col>0</xdr:col>
      <xdr:colOff>3952875</xdr:colOff>
      <xdr:row>73</xdr:row>
      <xdr:rowOff>47626</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190500" y="11839575"/>
          <a:ext cx="3762375" cy="2162175"/>
        </a:xfrm>
        <a:prstGeom prst="rect">
          <a:avLst/>
        </a:prstGeom>
        <a:noFill/>
        <a:ln w="9525">
          <a:noFill/>
          <a:miter lim="800000"/>
          <a:headEnd/>
          <a:tailEnd/>
        </a:ln>
      </xdr:spPr>
    </xdr:pic>
    <xdr:clientData/>
  </xdr:twoCellAnchor>
  <xdr:twoCellAnchor editAs="oneCell">
    <xdr:from>
      <xdr:col>0</xdr:col>
      <xdr:colOff>190500</xdr:colOff>
      <xdr:row>60</xdr:row>
      <xdr:rowOff>9525</xdr:rowOff>
    </xdr:from>
    <xdr:to>
      <xdr:col>0</xdr:col>
      <xdr:colOff>3952875</xdr:colOff>
      <xdr:row>73</xdr:row>
      <xdr:rowOff>38101</xdr:rowOff>
    </xdr:to>
    <xdr:pic>
      <xdr:nvPicPr>
        <xdr:cNvPr id="4" name="Picture 3"/>
        <xdr:cNvPicPr>
          <a:picLocks noChangeAspect="1"/>
        </xdr:cNvPicPr>
      </xdr:nvPicPr>
      <xdr:blipFill>
        <a:blip xmlns:r="http://schemas.openxmlformats.org/officeDocument/2006/relationships" r:embed="rId2" cstate="print"/>
        <a:srcRect/>
        <a:stretch>
          <a:fillRect/>
        </a:stretch>
      </xdr:blipFill>
      <xdr:spPr bwMode="auto">
        <a:xfrm>
          <a:off x="190500" y="11839575"/>
          <a:ext cx="3762375" cy="2152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84"/>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defaultRowHeight="12.75" x14ac:dyDescent="0.2"/>
  <cols>
    <col min="1" max="1" width="73.28515625" style="55" customWidth="1"/>
    <col min="2" max="2" width="14.7109375" style="53" customWidth="1"/>
    <col min="3" max="3" width="13.42578125" style="56"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ht="28.5" customHeight="1" x14ac:dyDescent="0.2">
      <c r="A1" s="75" t="s">
        <v>74</v>
      </c>
      <c r="B1" s="75"/>
      <c r="C1" s="75"/>
      <c r="D1" s="75"/>
      <c r="E1" s="75"/>
      <c r="F1" s="75"/>
      <c r="G1" s="75"/>
      <c r="H1" s="75"/>
    </row>
    <row r="2" spans="1:10" x14ac:dyDescent="0.2">
      <c r="A2" s="2" t="s">
        <v>0</v>
      </c>
      <c r="B2" s="3"/>
      <c r="C2" s="3"/>
      <c r="D2" s="3"/>
      <c r="E2" s="3"/>
      <c r="F2" s="3"/>
      <c r="G2" s="3"/>
      <c r="H2" s="3"/>
    </row>
    <row r="3" spans="1:10" s="9" customFormat="1" ht="53.25" customHeight="1" x14ac:dyDescent="0.2">
      <c r="A3" s="4" t="s">
        <v>1</v>
      </c>
      <c r="B3" s="5" t="s">
        <v>2</v>
      </c>
      <c r="C3" s="6" t="s">
        <v>3</v>
      </c>
      <c r="D3" s="4" t="s">
        <v>4</v>
      </c>
      <c r="E3" s="4" t="s">
        <v>5</v>
      </c>
      <c r="F3" s="4" t="s">
        <v>6</v>
      </c>
      <c r="G3" s="7" t="s">
        <v>7</v>
      </c>
      <c r="H3" s="8" t="s">
        <v>8</v>
      </c>
    </row>
    <row r="4" spans="1:10" s="16" customFormat="1" ht="29.25" customHeight="1" x14ac:dyDescent="0.2">
      <c r="A4" s="10" t="s">
        <v>9</v>
      </c>
      <c r="B4" s="11"/>
      <c r="C4" s="12"/>
      <c r="D4" s="13"/>
      <c r="E4" s="13"/>
      <c r="F4" s="13"/>
      <c r="G4" s="14"/>
      <c r="H4" s="15"/>
    </row>
    <row r="5" spans="1:10" s="16" customFormat="1" x14ac:dyDescent="0.2">
      <c r="A5" s="17" t="s">
        <v>10</v>
      </c>
      <c r="B5" s="18" t="s">
        <v>11</v>
      </c>
      <c r="C5" s="19">
        <v>100</v>
      </c>
      <c r="D5" s="20">
        <v>1012.452</v>
      </c>
      <c r="E5" s="20">
        <f>(+D5/$D$43*100)</f>
        <v>8.0309035888934268</v>
      </c>
      <c r="F5" s="20" t="s">
        <v>12</v>
      </c>
      <c r="G5" s="14">
        <v>7.6519000000000004</v>
      </c>
      <c r="H5" s="15"/>
      <c r="J5" s="21"/>
    </row>
    <row r="6" spans="1:10" s="16" customFormat="1" x14ac:dyDescent="0.2">
      <c r="A6" s="17" t="s">
        <v>13</v>
      </c>
      <c r="B6" s="18" t="s">
        <v>11</v>
      </c>
      <c r="C6" s="19">
        <v>100</v>
      </c>
      <c r="D6" s="20">
        <v>1009.9450000000001</v>
      </c>
      <c r="E6" s="20">
        <f>(+D6/$D$43*100)</f>
        <v>8.0110177322825891</v>
      </c>
      <c r="F6" s="20" t="s">
        <v>14</v>
      </c>
      <c r="G6" s="14">
        <v>7.4115000000000002</v>
      </c>
      <c r="H6" s="15"/>
      <c r="J6" s="21"/>
    </row>
    <row r="7" spans="1:10" s="16" customFormat="1" x14ac:dyDescent="0.2">
      <c r="A7" s="17" t="s">
        <v>15</v>
      </c>
      <c r="B7" s="18" t="s">
        <v>11</v>
      </c>
      <c r="C7" s="19">
        <v>100</v>
      </c>
      <c r="D7" s="20">
        <v>993.82399999999996</v>
      </c>
      <c r="E7" s="20">
        <f>(+D7/$D$43*100)</f>
        <v>7.8831438214635563</v>
      </c>
      <c r="F7" s="20" t="s">
        <v>16</v>
      </c>
      <c r="G7" s="14">
        <v>7.38</v>
      </c>
      <c r="H7" s="15"/>
      <c r="J7" s="21"/>
    </row>
    <row r="8" spans="1:10" s="16" customFormat="1" x14ac:dyDescent="0.2">
      <c r="A8" s="10" t="s">
        <v>17</v>
      </c>
      <c r="B8" s="11"/>
      <c r="C8" s="22"/>
      <c r="D8" s="23">
        <f>IF(ISERROR(SUM(D5:D7)),0,SUM(D5:D7))</f>
        <v>3016.221</v>
      </c>
      <c r="E8" s="23">
        <f>IF(ISERROR(SUM(E5:E7)),0,SUM(E5:E7))</f>
        <v>23.925065142639571</v>
      </c>
      <c r="F8" s="23"/>
      <c r="G8" s="14"/>
      <c r="H8" s="15"/>
    </row>
    <row r="9" spans="1:10" s="16" customFormat="1" x14ac:dyDescent="0.2">
      <c r="A9" s="10"/>
      <c r="B9" s="11"/>
      <c r="C9" s="22"/>
      <c r="D9" s="13"/>
      <c r="E9" s="13"/>
      <c r="F9" s="13"/>
      <c r="G9" s="14"/>
      <c r="H9" s="15"/>
    </row>
    <row r="10" spans="1:10" s="16" customFormat="1" x14ac:dyDescent="0.2">
      <c r="A10" s="10" t="s">
        <v>18</v>
      </c>
      <c r="B10" s="11"/>
      <c r="C10" s="22"/>
      <c r="D10" s="23" t="s">
        <v>19</v>
      </c>
      <c r="E10" s="23" t="s">
        <v>19</v>
      </c>
      <c r="F10" s="24"/>
      <c r="G10" s="14"/>
      <c r="H10" s="15"/>
    </row>
    <row r="11" spans="1:10" s="16" customFormat="1" x14ac:dyDescent="0.2">
      <c r="A11" s="10"/>
      <c r="B11" s="11"/>
      <c r="C11" s="22"/>
      <c r="D11" s="13"/>
      <c r="E11" s="13"/>
      <c r="F11" s="13"/>
      <c r="G11" s="14"/>
      <c r="H11" s="15"/>
    </row>
    <row r="12" spans="1:10" s="16" customFormat="1" x14ac:dyDescent="0.2">
      <c r="A12" s="10" t="s">
        <v>20</v>
      </c>
      <c r="B12" s="11"/>
      <c r="C12" s="22"/>
      <c r="D12" s="23">
        <f>IF(ISERROR(+D8),0,D8)+IF(ISERROR(+#REF!),0,#REF!)+IF(ISERROR(+#REF!),0,#REF!)</f>
        <v>3016.221</v>
      </c>
      <c r="E12" s="23">
        <f>IF(ISERROR(+E8),0,E8)+IF(ISERROR(+#REF!),0,#REF!)+IF(ISERROR(+#REF!),0,#REF!)</f>
        <v>23.925065142639571</v>
      </c>
      <c r="F12" s="23">
        <f>IF(ISERROR(+F8),0,F8)+IF(ISERROR(+#REF!),0,#REF!)+IF(ISERROR(+#REF!),0,#REF!)</f>
        <v>0</v>
      </c>
      <c r="G12" s="14"/>
      <c r="H12" s="15"/>
    </row>
    <row r="13" spans="1:10" s="16" customFormat="1" x14ac:dyDescent="0.2">
      <c r="A13" s="10"/>
      <c r="B13" s="11"/>
      <c r="C13" s="22"/>
      <c r="D13" s="23"/>
      <c r="E13" s="23"/>
      <c r="F13" s="23"/>
      <c r="G13" s="14"/>
      <c r="H13" s="15"/>
    </row>
    <row r="14" spans="1:10" s="16" customFormat="1" x14ac:dyDescent="0.2">
      <c r="A14" s="10" t="s">
        <v>21</v>
      </c>
      <c r="B14" s="11"/>
      <c r="C14" s="22"/>
      <c r="D14" s="23"/>
      <c r="E14" s="23"/>
      <c r="F14" s="23"/>
      <c r="G14" s="14"/>
      <c r="H14" s="15"/>
    </row>
    <row r="15" spans="1:10" s="16" customFormat="1" x14ac:dyDescent="0.2">
      <c r="A15" s="10"/>
      <c r="B15" s="11"/>
      <c r="C15" s="22"/>
      <c r="D15" s="20"/>
      <c r="E15" s="20"/>
      <c r="F15" s="25"/>
      <c r="G15" s="14"/>
      <c r="H15" s="15"/>
    </row>
    <row r="16" spans="1:10" s="16" customFormat="1" x14ac:dyDescent="0.2">
      <c r="A16" s="10" t="s">
        <v>22</v>
      </c>
      <c r="B16" s="11"/>
      <c r="C16" s="22"/>
      <c r="D16" s="23" t="s">
        <v>19</v>
      </c>
      <c r="E16" s="23" t="s">
        <v>19</v>
      </c>
      <c r="F16" s="23"/>
      <c r="G16" s="14"/>
      <c r="H16" s="15"/>
    </row>
    <row r="17" spans="1:10" s="16" customFormat="1" x14ac:dyDescent="0.2">
      <c r="A17" s="10"/>
      <c r="B17" s="11"/>
      <c r="C17" s="22"/>
      <c r="D17" s="23"/>
      <c r="E17" s="23"/>
      <c r="F17" s="23"/>
      <c r="G17" s="14"/>
      <c r="H17" s="15"/>
    </row>
    <row r="18" spans="1:10" s="16" customFormat="1" x14ac:dyDescent="0.2">
      <c r="A18" s="10" t="s">
        <v>23</v>
      </c>
      <c r="B18" s="11" t="s">
        <v>24</v>
      </c>
      <c r="C18" s="22"/>
      <c r="D18" s="23"/>
      <c r="E18" s="23"/>
      <c r="F18" s="23"/>
      <c r="G18" s="14"/>
      <c r="H18" s="15"/>
    </row>
    <row r="19" spans="1:10" s="16" customFormat="1" x14ac:dyDescent="0.2">
      <c r="A19" s="10"/>
      <c r="B19" s="11"/>
      <c r="C19" s="22"/>
      <c r="D19" s="23"/>
      <c r="E19" s="23"/>
      <c r="F19" s="23"/>
      <c r="G19" s="14"/>
      <c r="H19" s="15"/>
    </row>
    <row r="20" spans="1:10" s="16" customFormat="1" x14ac:dyDescent="0.2">
      <c r="A20" s="10" t="s">
        <v>25</v>
      </c>
      <c r="B20" s="11"/>
      <c r="C20" s="22"/>
      <c r="D20" s="23"/>
      <c r="E20" s="23"/>
      <c r="F20" s="23"/>
      <c r="G20" s="14"/>
      <c r="H20" s="15"/>
    </row>
    <row r="21" spans="1:10" s="16" customFormat="1" x14ac:dyDescent="0.2">
      <c r="A21" s="17" t="s">
        <v>26</v>
      </c>
      <c r="B21" s="18" t="s">
        <v>27</v>
      </c>
      <c r="C21" s="19">
        <v>2500000</v>
      </c>
      <c r="D21" s="20">
        <v>2384.2449999999999</v>
      </c>
      <c r="E21" s="20">
        <f>(+D21/$D$43*100)</f>
        <v>18.912147664581834</v>
      </c>
      <c r="F21" s="20" t="s">
        <v>28</v>
      </c>
      <c r="G21" s="14">
        <v>7.1020000000000003</v>
      </c>
      <c r="H21" s="15"/>
      <c r="J21" s="21"/>
    </row>
    <row r="22" spans="1:10" s="16" customFormat="1" x14ac:dyDescent="0.2">
      <c r="A22" s="17" t="s">
        <v>29</v>
      </c>
      <c r="B22" s="18" t="s">
        <v>27</v>
      </c>
      <c r="C22" s="19">
        <v>1550000</v>
      </c>
      <c r="D22" s="20">
        <v>1564.25225</v>
      </c>
      <c r="E22" s="20">
        <f>(+D22/$D$43*100)</f>
        <v>12.407856380805825</v>
      </c>
      <c r="F22" s="20" t="s">
        <v>30</v>
      </c>
      <c r="G22" s="14">
        <v>7.1383000000000001</v>
      </c>
      <c r="H22" s="15"/>
      <c r="J22" s="21"/>
    </row>
    <row r="23" spans="1:10" s="16" customFormat="1" x14ac:dyDescent="0.2">
      <c r="A23" s="17" t="s">
        <v>31</v>
      </c>
      <c r="B23" s="18" t="s">
        <v>27</v>
      </c>
      <c r="C23" s="19">
        <v>1000000</v>
      </c>
      <c r="D23" s="20">
        <v>960.1</v>
      </c>
      <c r="E23" s="20">
        <f>(+D23/$D$43*100)</f>
        <v>7.6156405792043271</v>
      </c>
      <c r="F23" s="20" t="s">
        <v>32</v>
      </c>
      <c r="G23" s="14">
        <v>6.9602000000000004</v>
      </c>
      <c r="H23" s="15"/>
      <c r="J23" s="21"/>
    </row>
    <row r="24" spans="1:10" s="16" customFormat="1" x14ac:dyDescent="0.2">
      <c r="A24" s="17" t="s">
        <v>33</v>
      </c>
      <c r="B24" s="18" t="s">
        <v>27</v>
      </c>
      <c r="C24" s="19">
        <v>500000</v>
      </c>
      <c r="D24" s="20">
        <v>507.94650000000001</v>
      </c>
      <c r="E24" s="20">
        <f>(+D24/$D$43*100)</f>
        <v>4.0290990287103545</v>
      </c>
      <c r="F24" s="20" t="s">
        <v>34</v>
      </c>
      <c r="G24" s="14">
        <v>7.3304</v>
      </c>
      <c r="H24" s="15"/>
      <c r="J24" s="21"/>
    </row>
    <row r="25" spans="1:10" s="16" customFormat="1" x14ac:dyDescent="0.2">
      <c r="A25" s="10" t="s">
        <v>17</v>
      </c>
      <c r="B25" s="11"/>
      <c r="C25" s="22"/>
      <c r="D25" s="23">
        <f>IF(ISERROR(SUM(D21:D24)),0,SUM(D21:D24))</f>
        <v>5416.5437499999998</v>
      </c>
      <c r="E25" s="23">
        <f>IF(ISERROR(SUM(E21:E24)),0,SUM(E21:E24))</f>
        <v>42.964743653302342</v>
      </c>
      <c r="F25" s="26"/>
      <c r="G25" s="14"/>
      <c r="H25" s="15"/>
    </row>
    <row r="26" spans="1:10" s="16" customFormat="1" x14ac:dyDescent="0.2">
      <c r="A26" s="10"/>
      <c r="B26" s="11"/>
      <c r="C26" s="22"/>
      <c r="D26" s="23"/>
      <c r="E26" s="23"/>
      <c r="F26" s="23"/>
      <c r="G26" s="14"/>
      <c r="H26" s="15"/>
    </row>
    <row r="27" spans="1:10" s="16" customFormat="1" x14ac:dyDescent="0.2">
      <c r="A27" s="10" t="s">
        <v>35</v>
      </c>
      <c r="B27" s="11"/>
      <c r="C27" s="22"/>
      <c r="D27" s="23"/>
      <c r="E27" s="23"/>
      <c r="F27" s="24"/>
      <c r="G27" s="14"/>
      <c r="H27" s="15"/>
    </row>
    <row r="28" spans="1:10" s="16" customFormat="1" x14ac:dyDescent="0.2">
      <c r="A28" s="10" t="s">
        <v>36</v>
      </c>
      <c r="B28" s="11"/>
      <c r="C28" s="22"/>
      <c r="D28" s="23"/>
      <c r="E28" s="23"/>
      <c r="F28" s="24"/>
      <c r="G28" s="14"/>
      <c r="H28" s="15"/>
    </row>
    <row r="29" spans="1:10" s="16" customFormat="1" x14ac:dyDescent="0.2">
      <c r="A29" s="17" t="s">
        <v>37</v>
      </c>
      <c r="B29" s="18" t="s">
        <v>38</v>
      </c>
      <c r="C29" s="19">
        <v>240</v>
      </c>
      <c r="D29" s="20">
        <v>1136.7672</v>
      </c>
      <c r="E29" s="20">
        <f>(+D29/$D$43*100)</f>
        <v>9.0169882485454451</v>
      </c>
      <c r="F29" s="20" t="s">
        <v>39</v>
      </c>
      <c r="G29" s="14">
        <v>7.41</v>
      </c>
      <c r="H29" s="15"/>
      <c r="J29" s="21"/>
    </row>
    <row r="30" spans="1:10" s="16" customFormat="1" x14ac:dyDescent="0.2">
      <c r="A30" s="17" t="s">
        <v>40</v>
      </c>
      <c r="B30" s="18" t="s">
        <v>41</v>
      </c>
      <c r="C30" s="19">
        <v>220</v>
      </c>
      <c r="D30" s="20">
        <v>1022.835</v>
      </c>
      <c r="E30" s="20">
        <f>(+D30/$D$43*100)</f>
        <v>8.1132629224356414</v>
      </c>
      <c r="F30" s="20" t="s">
        <v>42</v>
      </c>
      <c r="G30" s="14">
        <v>7.5650000000000004</v>
      </c>
      <c r="H30" s="15"/>
      <c r="J30" s="21"/>
    </row>
    <row r="31" spans="1:10" s="16" customFormat="1" x14ac:dyDescent="0.2">
      <c r="A31" s="10" t="s">
        <v>43</v>
      </c>
      <c r="B31" s="18"/>
      <c r="C31" s="19"/>
      <c r="D31" s="20"/>
      <c r="E31" s="13"/>
      <c r="F31" s="27"/>
      <c r="G31" s="14"/>
      <c r="H31" s="15"/>
    </row>
    <row r="32" spans="1:10" s="16" customFormat="1" x14ac:dyDescent="0.2">
      <c r="A32" s="17" t="s">
        <v>44</v>
      </c>
      <c r="B32" s="18" t="s">
        <v>27</v>
      </c>
      <c r="C32" s="19">
        <v>500000</v>
      </c>
      <c r="D32" s="20">
        <v>492.21949999999998</v>
      </c>
      <c r="E32" s="20">
        <f>(+D32/$D$43*100)</f>
        <v>3.9043503781644251</v>
      </c>
      <c r="F32" s="20" t="s">
        <v>45</v>
      </c>
      <c r="G32" s="14">
        <v>6.3402000000000003</v>
      </c>
      <c r="H32" s="15"/>
      <c r="J32" s="21"/>
    </row>
    <row r="33" spans="1:10" s="16" customFormat="1" x14ac:dyDescent="0.2">
      <c r="A33" s="17" t="s">
        <v>46</v>
      </c>
      <c r="B33" s="18" t="s">
        <v>27</v>
      </c>
      <c r="C33" s="19">
        <v>500000</v>
      </c>
      <c r="D33" s="20">
        <v>475.90249999999997</v>
      </c>
      <c r="E33" s="20">
        <f>(+D33/$D$43*100)</f>
        <v>3.7749217693415131</v>
      </c>
      <c r="F33" s="20" t="s">
        <v>47</v>
      </c>
      <c r="G33" s="14">
        <v>6.77</v>
      </c>
      <c r="H33" s="15"/>
      <c r="J33" s="21"/>
    </row>
    <row r="34" spans="1:10" s="16" customFormat="1" x14ac:dyDescent="0.2">
      <c r="A34" s="10" t="s">
        <v>17</v>
      </c>
      <c r="B34" s="28"/>
      <c r="C34" s="29"/>
      <c r="D34" s="23">
        <f>IF(ISERROR(SUM(D29:D33)),0,SUM(D29:D33))</f>
        <v>3127.7242000000006</v>
      </c>
      <c r="E34" s="23">
        <f>IF(ISERROR(SUM(E29:E33)),0,SUM(E29:E33))</f>
        <v>24.809523318487027</v>
      </c>
      <c r="F34" s="30"/>
      <c r="G34" s="14"/>
      <c r="H34" s="15"/>
    </row>
    <row r="35" spans="1:10" s="16" customFormat="1" x14ac:dyDescent="0.2">
      <c r="A35" s="10"/>
      <c r="B35" s="28"/>
      <c r="C35" s="29"/>
      <c r="D35" s="13"/>
      <c r="E35" s="13"/>
      <c r="F35" s="27"/>
      <c r="G35" s="14"/>
      <c r="H35" s="15"/>
    </row>
    <row r="36" spans="1:10" s="16" customFormat="1" x14ac:dyDescent="0.2">
      <c r="A36" s="17" t="s">
        <v>48</v>
      </c>
      <c r="B36" s="18"/>
      <c r="C36" s="19">
        <v>0</v>
      </c>
      <c r="D36" s="20">
        <v>928.10893499999997</v>
      </c>
      <c r="E36" s="20">
        <f>(+D36/$D$43*100)</f>
        <v>7.3618832072785247</v>
      </c>
      <c r="F36" s="20" t="s">
        <v>49</v>
      </c>
      <c r="G36" s="14">
        <v>5.6050000000000004</v>
      </c>
      <c r="H36" s="15"/>
    </row>
    <row r="37" spans="1:10" s="16" customFormat="1" x14ac:dyDescent="0.2">
      <c r="A37" s="10" t="s">
        <v>17</v>
      </c>
      <c r="B37" s="11"/>
      <c r="C37" s="22"/>
      <c r="D37" s="23">
        <f>IF(ISERROR(SUM(D36:D36)),0,SUM(D36:D36))</f>
        <v>928.10893499999997</v>
      </c>
      <c r="E37" s="23">
        <f>IF(ISERROR(SUM(E36:E36)),0,SUM(E36:E36))</f>
        <v>7.3618832072785247</v>
      </c>
      <c r="F37" s="20"/>
      <c r="G37" s="14"/>
      <c r="H37" s="15"/>
    </row>
    <row r="38" spans="1:10" s="16" customFormat="1" x14ac:dyDescent="0.2">
      <c r="A38" s="10"/>
      <c r="B38" s="11"/>
      <c r="C38" s="22"/>
      <c r="D38" s="23"/>
      <c r="E38" s="23"/>
      <c r="F38" s="23"/>
      <c r="G38" s="14"/>
      <c r="H38" s="15"/>
    </row>
    <row r="39" spans="1:10" s="16" customFormat="1" x14ac:dyDescent="0.2">
      <c r="A39" s="10" t="s">
        <v>20</v>
      </c>
      <c r="B39" s="11"/>
      <c r="C39" s="22" t="s">
        <v>50</v>
      </c>
      <c r="D39" s="23">
        <f>+IF(ISERROR(D12),0,D12)+IF(ISERROR(D37),0,D37)+IF(ISERROR(#REF!),0,#REF!)+IF(ISERROR(#REF!),0,#REF!)+IF(ISERROR(D25),0,D25)+IF(ISERROR(D34),0,D34)+IF(ISERROR(#REF!),0,#REF!)+IF(ISERROR(#REF!),0,#REF!)+IF(ISERROR(#REF!),0,#REF!)</f>
        <v>12488.597884999999</v>
      </c>
      <c r="E39" s="23">
        <f>+IF(ISERROR(E12),0,E12)+IF(ISERROR(E37),0,E37)+IF(ISERROR(#REF!),0,#REF!)+IF(ISERROR(#REF!),0,#REF!)+IF(ISERROR(E25),0,E25)+IF(ISERROR(E34),0,E34)+IF(ISERROR(#REF!),0,#REF!)+IF(ISERROR(#REF!),0,#REF!)+IF(ISERROR(#REF!),0,#REF!)</f>
        <v>99.061215321707465</v>
      </c>
      <c r="F39" s="23">
        <f>+IF(ISERROR(F12),0,F12)+IF(ISERROR(F37),0,F37)+IF(ISERROR(#REF!),0,#REF!)+IF(ISERROR(#REF!),0,#REF!)+IF(ISERROR(#REF!),0,#REF!)+IF(ISERROR(F34),0,F34)+IF(ISERROR(#REF!),0,#REF!)</f>
        <v>0</v>
      </c>
      <c r="G39" s="14"/>
      <c r="H39" s="15"/>
    </row>
    <row r="40" spans="1:10" s="16" customFormat="1" x14ac:dyDescent="0.2">
      <c r="A40" s="10"/>
      <c r="B40" s="11"/>
      <c r="C40" s="22"/>
      <c r="D40" s="23"/>
      <c r="E40" s="23"/>
      <c r="F40" s="31"/>
      <c r="H40" s="1"/>
    </row>
    <row r="41" spans="1:10" s="16" customFormat="1" x14ac:dyDescent="0.2">
      <c r="A41" s="10" t="s">
        <v>51</v>
      </c>
      <c r="B41" s="11"/>
      <c r="C41" s="22"/>
      <c r="D41" s="23">
        <f>+D43-D39</f>
        <v>118.3521150000015</v>
      </c>
      <c r="E41" s="23">
        <f>D41/$D$43*100</f>
        <v>0.93878467829254109</v>
      </c>
      <c r="F41" s="31"/>
      <c r="H41" s="1"/>
    </row>
    <row r="42" spans="1:10" s="16" customFormat="1" x14ac:dyDescent="0.2">
      <c r="A42" s="10"/>
      <c r="B42" s="11"/>
      <c r="C42" s="22"/>
      <c r="D42" s="13"/>
      <c r="E42" s="13"/>
      <c r="F42" s="31"/>
      <c r="H42" s="1"/>
    </row>
    <row r="43" spans="1:10" s="16" customFormat="1" x14ac:dyDescent="0.2">
      <c r="A43" s="10" t="s">
        <v>52</v>
      </c>
      <c r="B43" s="11"/>
      <c r="C43" s="22"/>
      <c r="D43" s="23">
        <v>12606.95</v>
      </c>
      <c r="E43" s="23">
        <f>+E39+E41</f>
        <v>100</v>
      </c>
      <c r="F43" s="31"/>
      <c r="H43" s="1"/>
    </row>
    <row r="44" spans="1:10" s="16" customFormat="1" x14ac:dyDescent="0.2">
      <c r="A44" s="32"/>
      <c r="B44" s="33"/>
      <c r="C44" s="34"/>
      <c r="D44" s="35"/>
      <c r="E44" s="35"/>
      <c r="F44" s="31"/>
      <c r="H44" s="1"/>
    </row>
    <row r="45" spans="1:10" s="16" customFormat="1" x14ac:dyDescent="0.2">
      <c r="A45" s="36"/>
      <c r="B45" s="33"/>
      <c r="C45" s="34"/>
      <c r="D45" s="35"/>
      <c r="E45" s="35"/>
      <c r="F45" s="37"/>
      <c r="H45" s="1"/>
    </row>
    <row r="46" spans="1:10" s="16" customFormat="1" x14ac:dyDescent="0.2">
      <c r="A46" s="36" t="s">
        <v>53</v>
      </c>
      <c r="B46" s="33"/>
      <c r="C46" s="34"/>
      <c r="D46" s="35"/>
      <c r="E46" s="35"/>
      <c r="F46" s="37"/>
      <c r="H46" s="1"/>
    </row>
    <row r="47" spans="1:10" s="16" customFormat="1" ht="15" x14ac:dyDescent="0.25">
      <c r="A47" s="76" t="s">
        <v>54</v>
      </c>
      <c r="B47" s="76"/>
      <c r="C47" s="76"/>
      <c r="D47" s="76"/>
      <c r="E47" s="76"/>
      <c r="F47" s="76"/>
      <c r="G47" s="76"/>
      <c r="H47" s="76"/>
      <c r="I47" s="1"/>
    </row>
    <row r="48" spans="1:10" s="16" customFormat="1" ht="35.25" customHeight="1" x14ac:dyDescent="0.2">
      <c r="A48" s="77" t="s">
        <v>55</v>
      </c>
      <c r="B48" s="77"/>
      <c r="C48" s="77"/>
      <c r="D48" s="77"/>
      <c r="E48" s="77"/>
      <c r="F48" s="77"/>
      <c r="G48" s="77"/>
      <c r="H48" s="77"/>
      <c r="I48" s="1"/>
    </row>
    <row r="49" spans="1:9" s="16" customFormat="1" ht="15" x14ac:dyDescent="0.2">
      <c r="A49" s="38" t="s">
        <v>56</v>
      </c>
      <c r="B49" s="38"/>
      <c r="C49" s="38"/>
      <c r="D49" s="38"/>
      <c r="E49" s="38"/>
      <c r="F49" s="38"/>
      <c r="G49" s="39"/>
      <c r="H49" s="39"/>
      <c r="I49" s="1"/>
    </row>
    <row r="50" spans="1:9" s="16" customFormat="1" ht="56.25" customHeight="1" x14ac:dyDescent="0.2">
      <c r="A50" s="78" t="s">
        <v>57</v>
      </c>
      <c r="B50" s="78"/>
      <c r="C50" s="78"/>
      <c r="D50" s="78"/>
      <c r="E50" s="78"/>
      <c r="F50" s="40"/>
      <c r="G50" s="78"/>
      <c r="H50" s="78"/>
      <c r="I50" s="1"/>
    </row>
    <row r="51" spans="1:9" x14ac:dyDescent="0.2">
      <c r="A51" s="41"/>
      <c r="B51" s="42"/>
      <c r="C51" s="43"/>
      <c r="D51" s="44"/>
      <c r="E51" s="45"/>
      <c r="F51" s="46"/>
      <c r="G51" s="31"/>
      <c r="H51" s="31"/>
    </row>
    <row r="52" spans="1:9" ht="15" x14ac:dyDescent="0.25">
      <c r="A52" s="47" t="s">
        <v>58</v>
      </c>
      <c r="B52" s="42"/>
      <c r="C52" s="43"/>
      <c r="D52" s="45"/>
      <c r="E52" s="46"/>
      <c r="F52" s="16"/>
      <c r="G52" s="16"/>
      <c r="H52" s="16"/>
    </row>
    <row r="53" spans="1:9" ht="15" x14ac:dyDescent="0.25">
      <c r="A53" s="67" t="s">
        <v>72</v>
      </c>
      <c r="B53" s="49"/>
      <c r="C53" s="49"/>
      <c r="D53" s="49"/>
      <c r="E53" s="46"/>
      <c r="F53" s="16"/>
      <c r="G53" s="16"/>
      <c r="H53" s="16"/>
    </row>
    <row r="54" spans="1:9" ht="15" x14ac:dyDescent="0.25">
      <c r="A54" s="67" t="s">
        <v>73</v>
      </c>
      <c r="B54" s="67"/>
      <c r="C54" s="67"/>
      <c r="D54" s="67"/>
      <c r="E54" s="50"/>
      <c r="F54" s="16"/>
      <c r="G54" s="16"/>
      <c r="H54" s="16"/>
    </row>
    <row r="55" spans="1:9" ht="15" x14ac:dyDescent="0.25">
      <c r="A55" s="48" t="s">
        <v>59</v>
      </c>
      <c r="B55" s="49"/>
      <c r="C55" s="49"/>
      <c r="D55" s="49"/>
      <c r="E55" s="50"/>
      <c r="F55" s="16"/>
      <c r="G55" s="16"/>
      <c r="H55" s="16"/>
    </row>
    <row r="56" spans="1:9" x14ac:dyDescent="0.2">
      <c r="A56" s="51"/>
      <c r="B56" s="51"/>
      <c r="C56" s="51"/>
      <c r="D56" s="51"/>
      <c r="E56" s="51"/>
      <c r="F56" s="16"/>
      <c r="G56" s="16"/>
      <c r="H56" s="16"/>
    </row>
    <row r="57" spans="1:9" x14ac:dyDescent="0.2">
      <c r="A57" s="51"/>
      <c r="B57" s="51"/>
      <c r="C57" s="51"/>
      <c r="D57" s="51"/>
      <c r="E57" s="51"/>
      <c r="F57" s="16"/>
      <c r="G57" s="16"/>
      <c r="H57" s="16"/>
    </row>
    <row r="58" spans="1:9" ht="14.25" x14ac:dyDescent="0.2">
      <c r="A58" s="52" t="s">
        <v>60</v>
      </c>
      <c r="C58" s="54" t="s">
        <v>61</v>
      </c>
      <c r="F58" s="16"/>
      <c r="G58" s="16"/>
      <c r="H58" s="16"/>
    </row>
    <row r="59" spans="1:9" x14ac:dyDescent="0.2">
      <c r="F59" s="16"/>
      <c r="G59" s="16"/>
      <c r="H59" s="16"/>
    </row>
    <row r="60" spans="1:9" x14ac:dyDescent="0.2">
      <c r="F60" s="16"/>
      <c r="G60" s="16"/>
      <c r="H60" s="16"/>
    </row>
    <row r="61" spans="1:9" x14ac:dyDescent="0.2">
      <c r="F61" s="16"/>
      <c r="G61" s="16"/>
      <c r="H61" s="16"/>
    </row>
    <row r="62" spans="1:9" x14ac:dyDescent="0.2">
      <c r="F62" s="16"/>
      <c r="G62" s="16"/>
      <c r="H62" s="16"/>
    </row>
    <row r="63" spans="1:9" x14ac:dyDescent="0.2">
      <c r="F63" s="16"/>
      <c r="G63" s="16"/>
      <c r="H63" s="16"/>
    </row>
    <row r="64" spans="1:9" x14ac:dyDescent="0.2">
      <c r="F64" s="16"/>
      <c r="G64" s="16"/>
      <c r="H64" s="16"/>
    </row>
    <row r="65" spans="1:8" x14ac:dyDescent="0.2">
      <c r="F65" s="16"/>
      <c r="G65" s="16"/>
      <c r="H65" s="16"/>
    </row>
    <row r="66" spans="1:8" x14ac:dyDescent="0.2">
      <c r="F66" s="16"/>
      <c r="G66" s="16"/>
      <c r="H66" s="16"/>
    </row>
    <row r="67" spans="1:8" x14ac:dyDescent="0.2">
      <c r="F67" s="16"/>
      <c r="G67" s="16"/>
      <c r="H67" s="16"/>
    </row>
    <row r="68" spans="1:8" x14ac:dyDescent="0.2">
      <c r="F68" s="16"/>
      <c r="G68" s="16"/>
      <c r="H68" s="16"/>
    </row>
    <row r="69" spans="1:8" x14ac:dyDescent="0.2">
      <c r="F69" s="16"/>
      <c r="G69" s="16"/>
      <c r="H69" s="16"/>
    </row>
    <row r="70" spans="1:8" x14ac:dyDescent="0.2">
      <c r="F70" s="16"/>
      <c r="G70" s="16"/>
      <c r="H70" s="16"/>
    </row>
    <row r="71" spans="1:8" x14ac:dyDescent="0.2">
      <c r="F71" s="16"/>
      <c r="G71" s="16"/>
      <c r="H71" s="16"/>
    </row>
    <row r="72" spans="1:8" x14ac:dyDescent="0.2">
      <c r="F72" s="16"/>
      <c r="G72" s="16"/>
      <c r="H72" s="16"/>
    </row>
    <row r="73" spans="1:8" ht="14.25" x14ac:dyDescent="0.2">
      <c r="A73" s="79"/>
      <c r="B73" s="79"/>
      <c r="C73" s="79"/>
      <c r="F73" s="16"/>
      <c r="G73" s="16"/>
      <c r="H73" s="16"/>
    </row>
    <row r="74" spans="1:8" ht="14.25" x14ac:dyDescent="0.2">
      <c r="A74" s="57"/>
      <c r="B74" s="57"/>
      <c r="C74" s="57"/>
      <c r="F74" s="16"/>
      <c r="G74" s="16"/>
      <c r="H74" s="16"/>
    </row>
    <row r="75" spans="1:8" x14ac:dyDescent="0.2">
      <c r="A75" s="58"/>
      <c r="B75" s="59"/>
      <c r="C75" s="60"/>
      <c r="D75" s="16"/>
      <c r="E75" s="16"/>
      <c r="F75" s="16"/>
      <c r="G75" s="16"/>
      <c r="H75" s="16"/>
    </row>
    <row r="76" spans="1:8" ht="13.5" thickBot="1" x14ac:dyDescent="0.25">
      <c r="A76" s="58"/>
      <c r="B76" s="59"/>
      <c r="C76" s="60"/>
      <c r="D76" s="16"/>
      <c r="E76" s="16"/>
      <c r="F76" s="16"/>
      <c r="G76" s="16"/>
      <c r="H76" s="16"/>
    </row>
    <row r="77" spans="1:8" ht="13.5" thickBot="1" x14ac:dyDescent="0.25">
      <c r="A77" s="68" t="s">
        <v>62</v>
      </c>
      <c r="B77" s="69"/>
      <c r="C77" s="69"/>
      <c r="D77" s="70"/>
      <c r="E77" s="16"/>
      <c r="F77" s="16"/>
      <c r="G77" s="16"/>
      <c r="H77" s="16"/>
    </row>
    <row r="78" spans="1:8" ht="13.5" thickBot="1" x14ac:dyDescent="0.25">
      <c r="A78" s="61" t="s">
        <v>63</v>
      </c>
      <c r="B78" s="71" t="s">
        <v>64</v>
      </c>
      <c r="C78" s="73" t="s">
        <v>65</v>
      </c>
      <c r="D78" s="71" t="s">
        <v>66</v>
      </c>
      <c r="E78" s="16"/>
      <c r="F78" s="16"/>
      <c r="G78" s="16"/>
      <c r="H78" s="16"/>
    </row>
    <row r="79" spans="1:8" ht="13.5" thickBot="1" x14ac:dyDescent="0.25">
      <c r="A79" s="61" t="s">
        <v>67</v>
      </c>
      <c r="B79" s="72"/>
      <c r="C79" s="74"/>
      <c r="D79" s="72"/>
      <c r="E79" s="16"/>
      <c r="F79" s="16"/>
      <c r="G79" s="16"/>
      <c r="H79" s="16"/>
    </row>
    <row r="80" spans="1:8" ht="15.75" thickBot="1" x14ac:dyDescent="0.25">
      <c r="A80" s="62" t="s">
        <v>68</v>
      </c>
      <c r="B80" s="63"/>
      <c r="C80" s="63"/>
      <c r="D80" s="63"/>
      <c r="E80" s="16"/>
      <c r="F80" s="16"/>
      <c r="G80" s="16"/>
      <c r="H80" s="16"/>
    </row>
    <row r="81" spans="1:8" ht="17.25" thickBot="1" x14ac:dyDescent="0.25">
      <c r="A81" s="62" t="s">
        <v>69</v>
      </c>
      <c r="B81" s="63"/>
      <c r="C81" s="64" t="s">
        <v>70</v>
      </c>
      <c r="D81" s="63"/>
      <c r="E81" s="16"/>
      <c r="F81" s="16"/>
      <c r="G81" s="16"/>
      <c r="H81" s="16"/>
    </row>
    <row r="82" spans="1:8" ht="15.75" thickBot="1" x14ac:dyDescent="0.25">
      <c r="A82" s="62" t="s">
        <v>71</v>
      </c>
      <c r="B82" s="63"/>
      <c r="C82" s="65"/>
      <c r="D82" s="63"/>
      <c r="E82" s="16"/>
      <c r="F82" s="16"/>
      <c r="G82" s="16"/>
      <c r="H82" s="16"/>
    </row>
    <row r="84" spans="1:8" x14ac:dyDescent="0.2">
      <c r="A84" s="66"/>
    </row>
  </sheetData>
  <mergeCells count="10">
    <mergeCell ref="A77:D77"/>
    <mergeCell ref="B78:B79"/>
    <mergeCell ref="C78:C79"/>
    <mergeCell ref="D78:D79"/>
    <mergeCell ref="A1:H1"/>
    <mergeCell ref="A47:H47"/>
    <mergeCell ref="A48:H48"/>
    <mergeCell ref="A50:E50"/>
    <mergeCell ref="G50:H50"/>
    <mergeCell ref="A73:C73"/>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2022-12-05T07:09:18Z</dcterms:created>
  <dcterms:modified xsi:type="dcterms:W3CDTF">2022-12-08T10:59:32Z</dcterms:modified>
</cp:coreProperties>
</file>