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LD" sheetId="1" r:id="rId1"/>
  </sheets>
  <definedNames>
    <definedName name="_xlnm._FilterDatabase" localSheetId="0" hidden="1">LD!$A$1:$H$56</definedName>
    <definedName name="Afs">#REF!</definedName>
    <definedName name="_xlnm.Database">#REF!</definedName>
    <definedName name="EBLDB">#REF!</definedName>
    <definedName name="fl">#REF!</definedName>
    <definedName name="_xlnm.Print_Area" localSheetId="0">LD!$A$1:$E$35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2" i="1" l="1"/>
  <c r="E41" i="1"/>
  <c r="E42" i="1" s="1"/>
  <c r="D39" i="1"/>
  <c r="E38" i="1"/>
  <c r="E37" i="1"/>
  <c r="E35" i="1"/>
  <c r="E34" i="1"/>
  <c r="E33" i="1"/>
  <c r="E39" i="1" s="1"/>
  <c r="D29" i="1"/>
  <c r="E28" i="1"/>
  <c r="E29" i="1" s="1"/>
  <c r="E25" i="1"/>
  <c r="D25" i="1"/>
  <c r="F18" i="1"/>
  <c r="F45" i="1" s="1"/>
  <c r="D14" i="1"/>
  <c r="D18" i="1" s="1"/>
  <c r="D45" i="1" s="1"/>
  <c r="D47" i="1" s="1"/>
  <c r="E47" i="1" s="1"/>
  <c r="E13" i="1"/>
  <c r="E12" i="1"/>
  <c r="E11" i="1"/>
  <c r="E10" i="1"/>
  <c r="E9" i="1"/>
  <c r="E8" i="1"/>
  <c r="E7" i="1"/>
  <c r="E14" i="1" l="1"/>
  <c r="E18" i="1" s="1"/>
  <c r="E45" i="1" s="1"/>
  <c r="E49" i="1" s="1"/>
</calcChain>
</file>

<file path=xl/sharedStrings.xml><?xml version="1.0" encoding="utf-8"?>
<sst xmlns="http://schemas.openxmlformats.org/spreadsheetml/2006/main" count="98" uniqueCount="81">
  <si>
    <t>JM Low Duration Fund (An open ended low duration debt scheme investing in instruments such that the Macaulay duration of the portfolio is between 6 to 12 months) A relatively low interest rate risk and moderate credit risk.</t>
  </si>
  <si>
    <t>Portfolio as on 30.11.2022</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</si>
  <si>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</si>
  <si>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</si>
  <si>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</si>
  <si>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</si>
  <si>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</si>
  <si>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</si>
  <si>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</si>
  <si>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</si>
  <si>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</si>
  <si>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</si>
  <si>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</si>
  <si>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</si>
  <si>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INE514E08CI8</t>
  </si>
  <si>
    <t>NABARD</t>
  </si>
  <si>
    <t>INE261F08AT4</t>
  </si>
  <si>
    <t>Larsen &amp; Toubro Ltd.**</t>
  </si>
  <si>
    <t>INE018A08AY9</t>
  </si>
  <si>
    <t>Power Finance Corporation Ltd.**</t>
  </si>
  <si>
    <t>CARE AAA</t>
  </si>
  <si>
    <t>INE134E08KN8</t>
  </si>
  <si>
    <t>HDB Financial Services Ltd.**</t>
  </si>
  <si>
    <t>INE756I07DC9</t>
  </si>
  <si>
    <t>Indian Railway Finance Corporation Ltd.**</t>
  </si>
  <si>
    <t>INE053F07CC9</t>
  </si>
  <si>
    <t>National Housing Bank Ltd.**</t>
  </si>
  <si>
    <t>INE557F08FK3</t>
  </si>
  <si>
    <t>Sub Total:</t>
  </si>
  <si>
    <t>b) Privately Placed / Unlisted</t>
  </si>
  <si>
    <t>NIL</t>
  </si>
  <si>
    <t>Total:</t>
  </si>
  <si>
    <t>TERM DEPOSITS</t>
  </si>
  <si>
    <t>Deposits (Maturity not exceeding 91 days)</t>
  </si>
  <si>
    <t>Deposits (Placed as F &amp; O margin)</t>
  </si>
  <si>
    <t>GOVERNMENT SECURITIES</t>
  </si>
  <si>
    <t>6.69% Government of India Securities 2024 27/06/2024</t>
  </si>
  <si>
    <t>GOI SOV</t>
  </si>
  <si>
    <t>IN0020220052</t>
  </si>
  <si>
    <t>MONEY MARKET INSTRUMENTS</t>
  </si>
  <si>
    <t>Certificate of Deposit (CD) / Commercial Paper (CP)</t>
  </si>
  <si>
    <t>Bank of Baroda CD**</t>
  </si>
  <si>
    <t>IND A1+</t>
  </si>
  <si>
    <t>INE028A16CZ4</t>
  </si>
  <si>
    <t>Piramal Capital &amp; Housing Finance Ld.CP**</t>
  </si>
  <si>
    <t>CARE A1+</t>
  </si>
  <si>
    <t>INE516Y14BO9</t>
  </si>
  <si>
    <t>Kotak Mahindra Bank CD**</t>
  </si>
  <si>
    <t>CRISIL A1+</t>
  </si>
  <si>
    <t>INE237A162Q1</t>
  </si>
  <si>
    <t>Treasury Bills</t>
  </si>
  <si>
    <t>364 Days Treasury-Bill 16/03/2023</t>
  </si>
  <si>
    <t>IN002021Z525</t>
  </si>
  <si>
    <t>364 Days Treasury-Bill 25/05/2023</t>
  </si>
  <si>
    <t>IN002022Z085</t>
  </si>
  <si>
    <t>TREPS-Triparty Repo</t>
  </si>
  <si>
    <t>TREP01122022</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</si>
  <si>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</si>
  <si>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</si>
  <si>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</si>
  <si>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</si>
  <si>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</si>
  <si>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</si>
  <si>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</si>
  <si>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</si>
  <si>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</si>
  <si>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</si>
  <si>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</si>
  <si>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</si>
  <si>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</si>
  <si>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Fund BI  Index</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</si>
  <si>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</si>
  <si>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</si>
  <si>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</si>
  <si>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</si>
  <si>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</si>
  <si>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</si>
  <si>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</si>
  <si>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B-I</t>
  </si>
  <si>
    <t>Moderate (Class II)</t>
  </si>
  <si>
    <t>Relatively High Class (Class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</si>
</sst>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i/>
      <sz val="11"/>
      <color indexed="8"/>
      <name val="Calibri"/>
      <family val="2"/>
    </font>
    <font>
      <b/>
      <sz val="11"/>
      <color indexed="8"/>
      <name val="Calibri"/>
      <family val="2"/>
    </font>
    <font>
      <b/>
      <sz val="11"/>
      <color indexed="8"/>
      <name val="Times New Roman"/>
      <family val="1"/>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5">
    <fill>
      <patternFill patternType="none"/>
    </fill>
    <fill>
      <patternFill patternType="gray125"/>
    </fill>
    <fill>
      <patternFill patternType="solid">
        <fgColor indexed="8"/>
        <bgColor indexed="64"/>
      </patternFill>
    </fill>
    <fill>
      <patternFill patternType="solid">
        <fgColor indexed="58"/>
        <bgColor indexed="64"/>
      </patternFill>
    </fill>
    <fill>
      <patternFill patternType="solid">
        <fgColor indexed="9"/>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s>
  <cellStyleXfs count="6">
    <xf numFmtId="0" fontId="0" fillId="0" borderId="0"/>
    <xf numFmtId="164" fontId="1" fillId="0" borderId="0" applyFont="0" applyFill="0" applyBorder="0" applyAlignment="0" applyProtection="0"/>
    <xf numFmtId="0" fontId="5" fillId="0" borderId="0"/>
    <xf numFmtId="0" fontId="1" fillId="0" borderId="0"/>
    <xf numFmtId="164" fontId="1" fillId="0" borderId="0" applyFont="0" applyFill="0" applyBorder="0" applyAlignment="0" applyProtection="0"/>
    <xf numFmtId="0" fontId="5" fillId="0" borderId="0"/>
  </cellStyleXfs>
  <cellXfs count="67">
    <xf numFmtId="0" fontId="0" fillId="0" borderId="0" xfId="0"/>
    <xf numFmtId="0" fontId="3" fillId="0" borderId="0" xfId="0" applyFont="1"/>
    <xf numFmtId="0" fontId="2" fillId="3" borderId="1" xfId="0" applyFont="1" applyFill="1" applyBorder="1" applyAlignment="1">
      <alignment horizontal="left" wrapText="1"/>
    </xf>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164" fontId="3" fillId="0" borderId="2" xfId="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5" fontId="4" fillId="0" borderId="2" xfId="1" applyNumberFormat="1" applyFont="1" applyFill="1" applyBorder="1" applyAlignment="1">
      <alignment horizontal="right"/>
    </xf>
    <xf numFmtId="164" fontId="3" fillId="0" borderId="3" xfId="1" applyFont="1" applyFill="1" applyBorder="1"/>
    <xf numFmtId="4" fontId="4"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Border="1"/>
    <xf numFmtId="164" fontId="3" fillId="0" borderId="0" xfId="1" applyFont="1" applyFill="1" applyBorder="1" applyAlignment="1">
      <alignment horizontal="right"/>
    </xf>
    <xf numFmtId="0" fontId="6" fillId="0" borderId="0" xfId="2" applyFont="1" applyBorder="1" applyAlignment="1">
      <alignment horizontal="left" vertical="center" wrapText="1"/>
    </xf>
    <xf numFmtId="0" fontId="3" fillId="0" borderId="0" xfId="3" applyFont="1" applyFill="1" applyAlignment="1">
      <alignment wrapText="1"/>
    </xf>
    <xf numFmtId="0" fontId="3" fillId="0" borderId="0" xfId="3" applyFont="1" applyFill="1" applyAlignment="1">
      <alignment horizontal="left" wrapText="1"/>
    </xf>
    <xf numFmtId="165" fontId="3" fillId="0" borderId="0" xfId="4" applyNumberFormat="1" applyFont="1" applyFill="1"/>
    <xf numFmtId="164" fontId="3" fillId="0" borderId="0" xfId="4" applyFont="1" applyFill="1" applyAlignment="1">
      <alignment horizontal="right"/>
    </xf>
    <xf numFmtId="0" fontId="3" fillId="0" borderId="0" xfId="3" applyFont="1" applyFill="1" applyAlignment="1">
      <alignment horizontal="right"/>
    </xf>
    <xf numFmtId="0" fontId="7" fillId="0" borderId="0" xfId="2" applyFont="1" applyBorder="1"/>
    <xf numFmtId="0" fontId="2" fillId="0" borderId="0" xfId="3" applyFont="1" applyFill="1" applyBorder="1" applyAlignment="1">
      <alignment horizontal="left" wrapText="1"/>
    </xf>
    <xf numFmtId="0" fontId="4" fillId="0" borderId="0" xfId="3" applyFont="1" applyFill="1" applyBorder="1" applyAlignment="1">
      <alignment horizontal="left"/>
    </xf>
    <xf numFmtId="0" fontId="8" fillId="0" borderId="0" xfId="5" applyFont="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9" fillId="0" borderId="7" xfId="0" applyFont="1" applyBorder="1" applyAlignment="1">
      <alignment vertical="center" wrapText="1"/>
    </xf>
    <xf numFmtId="0" fontId="11" fillId="0" borderId="7" xfId="0" applyFont="1" applyBorder="1" applyAlignment="1">
      <alignment vertical="center" wrapText="1"/>
    </xf>
    <xf numFmtId="0" fontId="12" fillId="0" borderId="9" xfId="0" applyFont="1" applyBorder="1" applyAlignment="1">
      <alignment vertical="center" wrapText="1"/>
    </xf>
    <xf numFmtId="0" fontId="11" fillId="4" borderId="9" xfId="0" applyFont="1" applyFill="1" applyBorder="1" applyAlignment="1">
      <alignment horizontal="center" vertical="center" wrapText="1"/>
    </xf>
    <xf numFmtId="0" fontId="1" fillId="0" borderId="0" xfId="0" applyFont="1" applyAlignment="1"/>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8" xfId="0" applyFont="1" applyBorder="1" applyAlignment="1">
      <alignment vertical="center" wrapText="1"/>
    </xf>
    <xf numFmtId="0" fontId="9" fillId="0" borderId="7" xfId="0" applyFont="1" applyBorder="1" applyAlignment="1">
      <alignment vertical="center" wrapText="1"/>
    </xf>
    <xf numFmtId="0" fontId="2" fillId="2" borderId="1" xfId="0" applyFont="1" applyFill="1" applyBorder="1" applyAlignment="1">
      <alignment horizontal="left" wrapText="1"/>
    </xf>
    <xf numFmtId="0" fontId="5" fillId="0" borderId="0" xfId="2" applyBorder="1" applyAlignment="1"/>
    <xf numFmtId="0" fontId="5" fillId="0" borderId="0" xfId="2" applyBorder="1" applyAlignment="1">
      <alignment wrapText="1"/>
    </xf>
    <xf numFmtId="0" fontId="5" fillId="0" borderId="0" xfId="2" applyBorder="1" applyAlignment="1">
      <alignment vertical="center" wrapText="1"/>
    </xf>
    <xf numFmtId="0" fontId="6" fillId="0" borderId="0" xfId="2" applyFont="1" applyBorder="1" applyAlignment="1">
      <alignment horizontal="left" vertical="center" wrapText="1"/>
    </xf>
  </cellXfs>
  <cellStyles count="6">
    <cellStyle name="Comma" xfId="1" builtinId="3"/>
    <cellStyle name="Comma 4 2" xfId="4"/>
    <cellStyle name="Normal" xfId="0" builtinId="0"/>
    <cellStyle name="Normal 2 2" xfId="3"/>
    <cellStyle name="Normal 4_IF" xfId="5"/>
    <cellStyle name="Normal 4_L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65</xdr:row>
      <xdr:rowOff>47625</xdr:rowOff>
    </xdr:from>
    <xdr:to>
      <xdr:col>1</xdr:col>
      <xdr:colOff>66675</xdr:colOff>
      <xdr:row>78</xdr:row>
      <xdr:rowOff>133350</xdr:rowOff>
    </xdr:to>
    <xdr:pic>
      <xdr:nvPicPr>
        <xdr:cNvPr id="2" name="Picture 1"/>
        <xdr:cNvPicPr>
          <a:picLocks noChangeAspect="1"/>
        </xdr:cNvPicPr>
      </xdr:nvPicPr>
      <xdr:blipFill>
        <a:blip xmlns:r="http://schemas.openxmlformats.org/officeDocument/2006/relationships" r:embed="rId1" cstate="print"/>
        <a:srcRect/>
        <a:stretch>
          <a:fillRect/>
        </a:stretch>
      </xdr:blipFill>
      <xdr:spPr bwMode="auto">
        <a:xfrm>
          <a:off x="247650" y="12792075"/>
          <a:ext cx="3495675" cy="2190750"/>
        </a:xfrm>
        <a:prstGeom prst="rect">
          <a:avLst/>
        </a:prstGeom>
        <a:noFill/>
        <a:ln w="9525">
          <a:noFill/>
          <a:miter lim="800000"/>
          <a:headEnd/>
          <a:tailEnd/>
        </a:ln>
      </xdr:spPr>
    </xdr:pic>
    <xdr:clientData/>
  </xdr:twoCellAnchor>
  <xdr:twoCellAnchor editAs="oneCell">
    <xdr:from>
      <xdr:col>2</xdr:col>
      <xdr:colOff>647700</xdr:colOff>
      <xdr:row>65</xdr:row>
      <xdr:rowOff>0</xdr:rowOff>
    </xdr:from>
    <xdr:to>
      <xdr:col>6</xdr:col>
      <xdr:colOff>485775</xdr:colOff>
      <xdr:row>79</xdr:row>
      <xdr:rowOff>38100</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5753100" y="12744450"/>
          <a:ext cx="4257675" cy="23050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8"/>
  <sheetViews>
    <sheetView tabSelected="1" zoomScale="85" zoomScaleNormal="85" workbookViewId="0">
      <pane xSplit="1" ySplit="3" topLeftCell="B52" activePane="bottomRight" state="frozen"/>
      <selection activeCell="A2" sqref="A2"/>
      <selection pane="topRight" activeCell="A2" sqref="A2"/>
      <selection pane="bottomLeft" activeCell="A2" sqref="A2"/>
      <selection pane="bottomRight" activeCell="A60" sqref="A60"/>
    </sheetView>
  </sheetViews>
  <sheetFormatPr defaultRowHeight="12.75" x14ac:dyDescent="0.2"/>
  <cols>
    <col min="1" max="1" width="55.140625" style="49" customWidth="1"/>
    <col min="2" max="2" width="21.42578125" style="50" bestFit="1" customWidth="1"/>
    <col min="3" max="3" width="13.42578125" style="51"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27" customHeight="1" x14ac:dyDescent="0.2">
      <c r="A1" s="62" t="s">
        <v>0</v>
      </c>
      <c r="B1" s="62"/>
      <c r="C1" s="62"/>
      <c r="D1" s="62"/>
      <c r="E1" s="62"/>
      <c r="F1" s="62"/>
      <c r="G1" s="62"/>
      <c r="H1" s="62"/>
    </row>
    <row r="2" spans="1:8" x14ac:dyDescent="0.2">
      <c r="A2" s="2" t="s">
        <v>1</v>
      </c>
      <c r="B2" s="3"/>
      <c r="C2" s="3"/>
      <c r="D2" s="3"/>
      <c r="E2" s="3"/>
      <c r="F2" s="3"/>
      <c r="G2" s="3"/>
      <c r="H2" s="3"/>
    </row>
    <row r="3" spans="1:8" s="9" customFormat="1" ht="53.25" customHeight="1" x14ac:dyDescent="0.2">
      <c r="A3" s="4" t="s">
        <v>2</v>
      </c>
      <c r="B3" s="5" t="s">
        <v>3</v>
      </c>
      <c r="C3" s="6" t="s">
        <v>4</v>
      </c>
      <c r="D3" s="4" t="s">
        <v>5</v>
      </c>
      <c r="E3" s="4" t="s">
        <v>6</v>
      </c>
      <c r="F3" s="4" t="s">
        <v>7</v>
      </c>
      <c r="G3" s="7"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x14ac:dyDescent="0.2">
      <c r="A6" s="10" t="s">
        <v>11</v>
      </c>
      <c r="B6" s="11"/>
      <c r="C6" s="12"/>
      <c r="D6" s="18"/>
      <c r="E6" s="18"/>
      <c r="F6" s="18"/>
      <c r="G6" s="15"/>
      <c r="H6" s="16"/>
    </row>
    <row r="7" spans="1:8" s="17" customFormat="1" x14ac:dyDescent="0.2">
      <c r="A7" s="19" t="s">
        <v>12</v>
      </c>
      <c r="B7" s="20" t="s">
        <v>13</v>
      </c>
      <c r="C7" s="21">
        <v>100</v>
      </c>
      <c r="D7" s="22">
        <v>1003.932</v>
      </c>
      <c r="E7" s="22">
        <f t="shared" ref="E7:E13" si="0">(+D7/$D$49*100)</f>
        <v>6.8857073485899116</v>
      </c>
      <c r="F7" s="22" t="s">
        <v>14</v>
      </c>
      <c r="G7" s="15">
        <v>6.9550000000000001</v>
      </c>
      <c r="H7" s="16"/>
    </row>
    <row r="8" spans="1:8" s="17" customFormat="1" x14ac:dyDescent="0.2">
      <c r="A8" s="19" t="s">
        <v>15</v>
      </c>
      <c r="B8" s="20" t="s">
        <v>13</v>
      </c>
      <c r="C8" s="21">
        <v>100</v>
      </c>
      <c r="D8" s="22">
        <v>1002.067</v>
      </c>
      <c r="E8" s="22">
        <f t="shared" si="0"/>
        <v>6.8729158007508948</v>
      </c>
      <c r="F8" s="22" t="s">
        <v>16</v>
      </c>
      <c r="G8" s="15">
        <v>6.7698999999999998</v>
      </c>
      <c r="H8" s="16"/>
    </row>
    <row r="9" spans="1:8" s="17" customFormat="1" x14ac:dyDescent="0.2">
      <c r="A9" s="19" t="s">
        <v>17</v>
      </c>
      <c r="B9" s="20" t="s">
        <v>13</v>
      </c>
      <c r="C9" s="21">
        <v>100</v>
      </c>
      <c r="D9" s="22">
        <v>998.59</v>
      </c>
      <c r="E9" s="22">
        <f t="shared" si="0"/>
        <v>6.8490679659861424</v>
      </c>
      <c r="F9" s="22" t="s">
        <v>18</v>
      </c>
      <c r="G9" s="15">
        <v>7.2988999999999997</v>
      </c>
      <c r="H9" s="16"/>
    </row>
    <row r="10" spans="1:8" s="17" customFormat="1" x14ac:dyDescent="0.2">
      <c r="A10" s="19" t="s">
        <v>19</v>
      </c>
      <c r="B10" s="20" t="s">
        <v>20</v>
      </c>
      <c r="C10" s="21">
        <v>100</v>
      </c>
      <c r="D10" s="22">
        <v>998.1</v>
      </c>
      <c r="E10" s="22">
        <f t="shared" si="0"/>
        <v>6.8457071839801804</v>
      </c>
      <c r="F10" s="22" t="s">
        <v>21</v>
      </c>
      <c r="G10" s="15">
        <v>7.1801000000000004</v>
      </c>
      <c r="H10" s="16"/>
    </row>
    <row r="11" spans="1:8" s="17" customFormat="1" x14ac:dyDescent="0.2">
      <c r="A11" s="19" t="s">
        <v>22</v>
      </c>
      <c r="B11" s="20" t="s">
        <v>13</v>
      </c>
      <c r="C11" s="21">
        <v>100</v>
      </c>
      <c r="D11" s="22">
        <v>997.88900000000001</v>
      </c>
      <c r="E11" s="22">
        <f t="shared" si="0"/>
        <v>6.8442599900959813</v>
      </c>
      <c r="F11" s="22" t="s">
        <v>23</v>
      </c>
      <c r="G11" s="15">
        <v>7.4516</v>
      </c>
      <c r="H11" s="16"/>
    </row>
    <row r="12" spans="1:8" s="17" customFormat="1" x14ac:dyDescent="0.2">
      <c r="A12" s="19" t="s">
        <v>24</v>
      </c>
      <c r="B12" s="20" t="s">
        <v>20</v>
      </c>
      <c r="C12" s="21">
        <v>50</v>
      </c>
      <c r="D12" s="22">
        <v>497.815</v>
      </c>
      <c r="E12" s="22">
        <f t="shared" si="0"/>
        <v>3.4143830495873093</v>
      </c>
      <c r="F12" s="22" t="s">
        <v>25</v>
      </c>
      <c r="G12" s="15">
        <v>7.2042000000000002</v>
      </c>
      <c r="H12" s="16"/>
    </row>
    <row r="13" spans="1:8" s="17" customFormat="1" x14ac:dyDescent="0.2">
      <c r="A13" s="19" t="s">
        <v>26</v>
      </c>
      <c r="B13" s="20" t="s">
        <v>13</v>
      </c>
      <c r="C13" s="21">
        <v>50</v>
      </c>
      <c r="D13" s="22">
        <v>493.03300000000002</v>
      </c>
      <c r="E13" s="22">
        <f t="shared" si="0"/>
        <v>3.3815845607046398</v>
      </c>
      <c r="F13" s="22" t="s">
        <v>27</v>
      </c>
      <c r="G13" s="15">
        <v>7.2750000000000004</v>
      </c>
      <c r="H13" s="16"/>
    </row>
    <row r="14" spans="1:8" s="17" customFormat="1" x14ac:dyDescent="0.2">
      <c r="A14" s="10" t="s">
        <v>28</v>
      </c>
      <c r="B14" s="11"/>
      <c r="C14" s="23"/>
      <c r="D14" s="13">
        <f>IF(ISERROR(SUM(D7:D13)),0,SUM(D7:D13))</f>
        <v>5991.4259999999995</v>
      </c>
      <c r="E14" s="13">
        <f>IF(ISERROR(SUM(E7:E13)),0,SUM(E7:E13))</f>
        <v>41.093625899695063</v>
      </c>
      <c r="F14" s="13"/>
      <c r="G14" s="15"/>
      <c r="H14" s="16"/>
    </row>
    <row r="15" spans="1:8" s="17" customFormat="1" x14ac:dyDescent="0.2">
      <c r="A15" s="10"/>
      <c r="B15" s="11"/>
      <c r="C15" s="23"/>
      <c r="D15" s="18"/>
      <c r="E15" s="18"/>
      <c r="F15" s="18"/>
      <c r="G15" s="15"/>
      <c r="H15" s="16"/>
    </row>
    <row r="16" spans="1:8" s="17" customFormat="1" x14ac:dyDescent="0.2">
      <c r="A16" s="10" t="s">
        <v>29</v>
      </c>
      <c r="B16" s="11"/>
      <c r="C16" s="23"/>
      <c r="D16" s="13" t="s">
        <v>30</v>
      </c>
      <c r="E16" s="13" t="s">
        <v>30</v>
      </c>
      <c r="F16" s="14"/>
      <c r="G16" s="15"/>
      <c r="H16" s="16"/>
    </row>
    <row r="17" spans="1:8" s="17" customFormat="1" x14ac:dyDescent="0.2">
      <c r="A17" s="10"/>
      <c r="B17" s="11"/>
      <c r="C17" s="23"/>
      <c r="D17" s="18"/>
      <c r="E17" s="18"/>
      <c r="F17" s="18"/>
      <c r="G17" s="15"/>
      <c r="H17" s="16"/>
    </row>
    <row r="18" spans="1:8" s="17" customFormat="1" x14ac:dyDescent="0.2">
      <c r="A18" s="10" t="s">
        <v>31</v>
      </c>
      <c r="B18" s="11"/>
      <c r="C18" s="23"/>
      <c r="D18" s="13">
        <f>IF(ISERROR(+D14),0,D14)+IF(ISERROR(+#REF!),0,#REF!)+IF(ISERROR(+#REF!),0,#REF!)</f>
        <v>5991.4259999999995</v>
      </c>
      <c r="E18" s="13">
        <f>IF(ISERROR(+E14),0,E14)+IF(ISERROR(+#REF!),0,#REF!)+IF(ISERROR(+#REF!),0,#REF!)</f>
        <v>41.093625899695063</v>
      </c>
      <c r="F18" s="13">
        <f>IF(ISERROR(+F14),0,F14)+IF(ISERROR(+#REF!),0,#REF!)+IF(ISERROR(+#REF!),0,#REF!)</f>
        <v>0</v>
      </c>
      <c r="G18" s="15"/>
      <c r="H18" s="16"/>
    </row>
    <row r="19" spans="1:8" s="17" customFormat="1" x14ac:dyDescent="0.2">
      <c r="A19" s="10"/>
      <c r="B19" s="11"/>
      <c r="C19" s="23"/>
      <c r="D19" s="13"/>
      <c r="E19" s="13"/>
      <c r="F19" s="13"/>
      <c r="G19" s="15"/>
      <c r="H19" s="16"/>
    </row>
    <row r="20" spans="1:8" s="17" customFormat="1" x14ac:dyDescent="0.2">
      <c r="A20" s="10" t="s">
        <v>32</v>
      </c>
      <c r="B20" s="11"/>
      <c r="C20" s="23"/>
      <c r="D20" s="13"/>
      <c r="E20" s="13"/>
      <c r="F20" s="13"/>
      <c r="G20" s="15"/>
      <c r="H20" s="16"/>
    </row>
    <row r="21" spans="1:8" s="17" customFormat="1" x14ac:dyDescent="0.2">
      <c r="A21" s="10"/>
      <c r="B21" s="11"/>
      <c r="C21" s="23"/>
      <c r="D21" s="22"/>
      <c r="E21" s="22"/>
      <c r="F21" s="24"/>
      <c r="G21" s="15"/>
      <c r="H21" s="16"/>
    </row>
    <row r="22" spans="1:8" s="17" customFormat="1" x14ac:dyDescent="0.2">
      <c r="A22" s="10" t="s">
        <v>33</v>
      </c>
      <c r="B22" s="11"/>
      <c r="C22" s="23"/>
      <c r="D22" s="13" t="s">
        <v>30</v>
      </c>
      <c r="E22" s="13" t="s">
        <v>30</v>
      </c>
      <c r="F22" s="13"/>
      <c r="G22" s="15"/>
      <c r="H22" s="16"/>
    </row>
    <row r="23" spans="1:8" s="17" customFormat="1" x14ac:dyDescent="0.2">
      <c r="A23" s="10"/>
      <c r="B23" s="11"/>
      <c r="C23" s="23"/>
      <c r="D23" s="13"/>
      <c r="E23" s="13"/>
      <c r="F23" s="13"/>
      <c r="G23" s="15"/>
      <c r="H23" s="16"/>
    </row>
    <row r="24" spans="1:8" s="17" customFormat="1" x14ac:dyDescent="0.2">
      <c r="A24" s="10" t="s">
        <v>34</v>
      </c>
      <c r="B24" s="11"/>
      <c r="C24" s="23"/>
      <c r="D24" s="13" t="s">
        <v>30</v>
      </c>
      <c r="E24" s="13" t="s">
        <v>30</v>
      </c>
      <c r="F24" s="13"/>
      <c r="G24" s="15"/>
      <c r="H24" s="16"/>
    </row>
    <row r="25" spans="1:8" s="17" customFormat="1" x14ac:dyDescent="0.2">
      <c r="A25" s="10" t="s">
        <v>28</v>
      </c>
      <c r="B25" s="11"/>
      <c r="C25" s="23"/>
      <c r="D25" s="13">
        <f>IF(ISERROR(SUM(#REF!)),0,SUM(#REF!))</f>
        <v>0</v>
      </c>
      <c r="E25" s="13">
        <f>IF(ISERROR(SUM(#REF!)),0,SUM(#REF!))</f>
        <v>0</v>
      </c>
      <c r="F25" s="25"/>
      <c r="G25" s="15"/>
      <c r="H25" s="16"/>
    </row>
    <row r="26" spans="1:8" s="17" customFormat="1" x14ac:dyDescent="0.2">
      <c r="A26" s="10"/>
      <c r="B26" s="11"/>
      <c r="C26" s="23"/>
      <c r="D26" s="13"/>
      <c r="E26" s="13"/>
      <c r="F26" s="13"/>
      <c r="G26" s="15"/>
      <c r="H26" s="16"/>
    </row>
    <row r="27" spans="1:8" s="17" customFormat="1" x14ac:dyDescent="0.2">
      <c r="A27" s="10" t="s">
        <v>35</v>
      </c>
      <c r="B27" s="11"/>
      <c r="C27" s="23"/>
      <c r="D27" s="13"/>
      <c r="E27" s="13"/>
      <c r="F27" s="13"/>
      <c r="G27" s="15"/>
      <c r="H27" s="16"/>
    </row>
    <row r="28" spans="1:8" s="17" customFormat="1" x14ac:dyDescent="0.2">
      <c r="A28" s="19" t="s">
        <v>36</v>
      </c>
      <c r="B28" s="20" t="s">
        <v>37</v>
      </c>
      <c r="C28" s="21">
        <v>2500000</v>
      </c>
      <c r="D28" s="22">
        <v>2493.2125000000001</v>
      </c>
      <c r="E28" s="22">
        <f>(+D28/$D$49*100)</f>
        <v>17.100293279670563</v>
      </c>
      <c r="F28" s="22" t="s">
        <v>38</v>
      </c>
      <c r="G28" s="15">
        <v>6.8703000000000003</v>
      </c>
      <c r="H28" s="16"/>
    </row>
    <row r="29" spans="1:8" s="17" customFormat="1" x14ac:dyDescent="0.2">
      <c r="A29" s="10" t="s">
        <v>28</v>
      </c>
      <c r="B29" s="11"/>
      <c r="C29" s="23"/>
      <c r="D29" s="13">
        <f>IF(ISERROR(SUM(D28:D28)),0,SUM(D28:D28))</f>
        <v>2493.2125000000001</v>
      </c>
      <c r="E29" s="13">
        <f>IF(ISERROR(SUM(E28:E28)),0,SUM(E28:E28))</f>
        <v>17.100293279670563</v>
      </c>
      <c r="F29" s="25"/>
      <c r="G29" s="15"/>
      <c r="H29" s="16"/>
    </row>
    <row r="30" spans="1:8" s="17" customFormat="1" x14ac:dyDescent="0.2">
      <c r="A30" s="10"/>
      <c r="B30" s="11"/>
      <c r="C30" s="23"/>
      <c r="D30" s="13"/>
      <c r="E30" s="13"/>
      <c r="F30" s="13"/>
      <c r="G30" s="15"/>
      <c r="H30" s="16"/>
    </row>
    <row r="31" spans="1:8" s="17" customFormat="1" x14ac:dyDescent="0.2">
      <c r="A31" s="10" t="s">
        <v>39</v>
      </c>
      <c r="B31" s="11"/>
      <c r="C31" s="23"/>
      <c r="D31" s="13"/>
      <c r="E31" s="13"/>
      <c r="F31" s="14"/>
      <c r="G31" s="15"/>
      <c r="H31" s="16"/>
    </row>
    <row r="32" spans="1:8" s="17" customFormat="1" x14ac:dyDescent="0.2">
      <c r="A32" s="10" t="s">
        <v>40</v>
      </c>
      <c r="B32" s="11"/>
      <c r="C32" s="23"/>
      <c r="D32" s="13"/>
      <c r="E32" s="13"/>
      <c r="F32" s="14"/>
      <c r="G32" s="15"/>
      <c r="H32" s="16"/>
    </row>
    <row r="33" spans="1:8" s="17" customFormat="1" x14ac:dyDescent="0.2">
      <c r="A33" s="19" t="s">
        <v>41</v>
      </c>
      <c r="B33" s="20" t="s">
        <v>42</v>
      </c>
      <c r="C33" s="21">
        <v>260</v>
      </c>
      <c r="D33" s="22">
        <v>1208.8050000000001</v>
      </c>
      <c r="E33" s="22">
        <f>(+D33/$D$49*100)</f>
        <v>8.2908777402376153</v>
      </c>
      <c r="F33" s="22" t="s">
        <v>43</v>
      </c>
      <c r="G33" s="15">
        <v>7.5650000000000004</v>
      </c>
      <c r="H33" s="16"/>
    </row>
    <row r="34" spans="1:8" s="17" customFormat="1" x14ac:dyDescent="0.2">
      <c r="A34" s="19" t="s">
        <v>44</v>
      </c>
      <c r="B34" s="20" t="s">
        <v>45</v>
      </c>
      <c r="C34" s="21">
        <v>200</v>
      </c>
      <c r="D34" s="22">
        <v>994.69200000000001</v>
      </c>
      <c r="E34" s="22">
        <f>(+D34/$D$49*100)</f>
        <v>6.8223326021917785</v>
      </c>
      <c r="F34" s="22" t="s">
        <v>46</v>
      </c>
      <c r="G34" s="15">
        <v>7.2145999999999999</v>
      </c>
      <c r="H34" s="16"/>
    </row>
    <row r="35" spans="1:8" s="17" customFormat="1" x14ac:dyDescent="0.2">
      <c r="A35" s="19" t="s">
        <v>47</v>
      </c>
      <c r="B35" s="20" t="s">
        <v>48</v>
      </c>
      <c r="C35" s="21">
        <v>200</v>
      </c>
      <c r="D35" s="22">
        <v>947.30600000000004</v>
      </c>
      <c r="E35" s="22">
        <f>(+D35/$D$49*100)</f>
        <v>6.4973244059989277</v>
      </c>
      <c r="F35" s="22" t="s">
        <v>49</v>
      </c>
      <c r="G35" s="15">
        <v>7.41</v>
      </c>
      <c r="H35" s="16"/>
    </row>
    <row r="36" spans="1:8" s="17" customFormat="1" x14ac:dyDescent="0.2">
      <c r="A36" s="10" t="s">
        <v>50</v>
      </c>
      <c r="B36" s="20"/>
      <c r="C36" s="21"/>
      <c r="D36" s="22"/>
      <c r="E36" s="18"/>
      <c r="F36" s="26"/>
      <c r="G36" s="15"/>
      <c r="H36" s="16"/>
    </row>
    <row r="37" spans="1:8" s="17" customFormat="1" x14ac:dyDescent="0.2">
      <c r="A37" s="19" t="s">
        <v>51</v>
      </c>
      <c r="B37" s="20" t="s">
        <v>37</v>
      </c>
      <c r="C37" s="21">
        <v>1500000</v>
      </c>
      <c r="D37" s="22">
        <v>1472.883</v>
      </c>
      <c r="E37" s="22">
        <f>(+D37/$D$49*100)</f>
        <v>10.102119761809719</v>
      </c>
      <c r="F37" s="22" t="s">
        <v>52</v>
      </c>
      <c r="G37" s="15">
        <v>6.4</v>
      </c>
      <c r="H37" s="16"/>
    </row>
    <row r="38" spans="1:8" s="17" customFormat="1" x14ac:dyDescent="0.2">
      <c r="A38" s="19" t="s">
        <v>53</v>
      </c>
      <c r="B38" s="20" t="s">
        <v>37</v>
      </c>
      <c r="C38" s="21">
        <v>500000</v>
      </c>
      <c r="D38" s="22">
        <v>484.4495</v>
      </c>
      <c r="E38" s="22">
        <f>(+D38/$D$49*100)</f>
        <v>3.3227125763206153</v>
      </c>
      <c r="F38" s="22" t="s">
        <v>54</v>
      </c>
      <c r="G38" s="15">
        <v>6.6950000000000003</v>
      </c>
      <c r="H38" s="16"/>
    </row>
    <row r="39" spans="1:8" s="17" customFormat="1" x14ac:dyDescent="0.2">
      <c r="A39" s="10" t="s">
        <v>28</v>
      </c>
      <c r="B39" s="27"/>
      <c r="C39" s="28"/>
      <c r="D39" s="13">
        <f>IF(ISERROR(SUM(D33:D38)),0,SUM(D33:D38))</f>
        <v>5108.1355000000003</v>
      </c>
      <c r="E39" s="13">
        <f>IF(ISERROR(SUM(E33:E38)),0,SUM(E33:E38))</f>
        <v>35.035367086558651</v>
      </c>
      <c r="F39" s="29"/>
      <c r="G39" s="15"/>
      <c r="H39" s="16"/>
    </row>
    <row r="40" spans="1:8" s="17" customFormat="1" x14ac:dyDescent="0.2">
      <c r="A40" s="10"/>
      <c r="B40" s="27"/>
      <c r="C40" s="28"/>
      <c r="D40" s="18"/>
      <c r="E40" s="18"/>
      <c r="F40" s="26"/>
      <c r="G40" s="15"/>
      <c r="H40" s="16"/>
    </row>
    <row r="41" spans="1:8" s="17" customFormat="1" x14ac:dyDescent="0.2">
      <c r="A41" s="19" t="s">
        <v>55</v>
      </c>
      <c r="B41" s="20"/>
      <c r="C41" s="21">
        <v>0</v>
      </c>
      <c r="D41" s="22">
        <v>632.66156039999998</v>
      </c>
      <c r="E41" s="22">
        <f>(+D41/$D$49*100)</f>
        <v>4.3392603837875878</v>
      </c>
      <c r="F41" s="22" t="s">
        <v>56</v>
      </c>
      <c r="G41" s="15">
        <v>5.6050000000000004</v>
      </c>
      <c r="H41" s="16"/>
    </row>
    <row r="42" spans="1:8" s="17" customFormat="1" x14ac:dyDescent="0.2">
      <c r="A42" s="10" t="s">
        <v>28</v>
      </c>
      <c r="B42" s="11"/>
      <c r="C42" s="23"/>
      <c r="D42" s="13">
        <f>IF(ISERROR(SUM(D41:D41)),0,SUM(D41:D41))</f>
        <v>632.66156039999998</v>
      </c>
      <c r="E42" s="13">
        <f>IF(ISERROR(SUM(E41:E41)),0,SUM(E41:E41))</f>
        <v>4.3392603837875878</v>
      </c>
      <c r="F42" s="22"/>
      <c r="G42" s="15"/>
      <c r="H42" s="16"/>
    </row>
    <row r="43" spans="1:8" s="17" customFormat="1" x14ac:dyDescent="0.2">
      <c r="A43" s="10"/>
      <c r="B43" s="11"/>
      <c r="C43" s="23"/>
      <c r="D43" s="13"/>
      <c r="E43" s="13"/>
      <c r="F43" s="13"/>
      <c r="G43" s="15"/>
      <c r="H43" s="16"/>
    </row>
    <row r="44" spans="1:8" s="17" customFormat="1" x14ac:dyDescent="0.2">
      <c r="A44" s="10"/>
      <c r="B44" s="11"/>
      <c r="C44" s="23"/>
      <c r="D44" s="13"/>
      <c r="E44" s="13"/>
      <c r="F44" s="14"/>
      <c r="G44" s="15"/>
      <c r="H44" s="16"/>
    </row>
    <row r="45" spans="1:8" s="17" customFormat="1" x14ac:dyDescent="0.2">
      <c r="A45" s="10" t="s">
        <v>31</v>
      </c>
      <c r="B45" s="11"/>
      <c r="C45" s="23" t="s">
        <v>57</v>
      </c>
      <c r="D45" s="13">
        <f>+IF(ISERROR(D18),0,D18)+IF(ISERROR(D42),0,D42)+IF(ISERROR(#REF!),0,#REF!)+IF(ISERROR(D25),0,D25)+IF(ISERROR(D29),0,D29)+IF(ISERROR(D39),0,D39)+IF(ISERROR(#REF!),0,#REF!)+IF(ISERROR(#REF!),0,#REF!)+IF(ISERROR(#REF!),0,#REF!)</f>
        <v>14225.435560399999</v>
      </c>
      <c r="E45" s="13">
        <f>+IF(ISERROR(E18),0,E18)+IF(ISERROR(E42),0,E42)+IF(ISERROR(#REF!),0,#REF!)+IF(ISERROR(E25),0,E25)+IF(ISERROR(E29),0,E29)+IF(ISERROR(E39),0,E39)+IF(ISERROR(#REF!),0,#REF!)+IF(ISERROR(#REF!),0,#REF!)+IF(ISERROR(#REF!),0,#REF!)</f>
        <v>97.568546649711863</v>
      </c>
      <c r="F45" s="13">
        <f>+IF(ISERROR(F18),0,F18)+IF(ISERROR(F42),0,F42)+IF(ISERROR(#REF!),0,#REF!)+IF(ISERROR(F25),0,F25)+IF(ISERROR(#REF!),0,#REF!)+IF(ISERROR(F39),0,F39)+IF(ISERROR(#REF!),0,#REF!)</f>
        <v>0</v>
      </c>
      <c r="G45" s="15"/>
      <c r="H45" s="16"/>
    </row>
    <row r="46" spans="1:8" s="17" customFormat="1" x14ac:dyDescent="0.2">
      <c r="A46" s="10"/>
      <c r="B46" s="11"/>
      <c r="C46" s="23"/>
      <c r="D46" s="13"/>
      <c r="E46" s="13"/>
      <c r="F46" s="30"/>
      <c r="H46" s="1"/>
    </row>
    <row r="47" spans="1:8" s="17" customFormat="1" x14ac:dyDescent="0.2">
      <c r="A47" s="10" t="s">
        <v>58</v>
      </c>
      <c r="B47" s="11"/>
      <c r="C47" s="23"/>
      <c r="D47" s="13">
        <f>+D49-D45</f>
        <v>354.50443960000121</v>
      </c>
      <c r="E47" s="13">
        <f>D47/$D$49*100</f>
        <v>2.4314533502881437</v>
      </c>
      <c r="F47" s="30"/>
      <c r="H47" s="1"/>
    </row>
    <row r="48" spans="1:8" s="17" customFormat="1" x14ac:dyDescent="0.2">
      <c r="A48" s="10"/>
      <c r="B48" s="11"/>
      <c r="C48" s="23"/>
      <c r="D48" s="18"/>
      <c r="E48" s="18"/>
      <c r="F48" s="30"/>
      <c r="H48" s="1"/>
    </row>
    <row r="49" spans="1:8" s="17" customFormat="1" x14ac:dyDescent="0.2">
      <c r="A49" s="10" t="s">
        <v>59</v>
      </c>
      <c r="B49" s="11"/>
      <c r="C49" s="23"/>
      <c r="D49" s="13">
        <v>14579.94</v>
      </c>
      <c r="E49" s="13">
        <f>+E45+E47</f>
        <v>100</v>
      </c>
      <c r="F49" s="30"/>
      <c r="H49" s="1"/>
    </row>
    <row r="50" spans="1:8" s="17" customFormat="1" x14ac:dyDescent="0.2">
      <c r="A50" s="31"/>
      <c r="B50" s="32"/>
      <c r="C50" s="33"/>
      <c r="D50" s="34"/>
      <c r="E50" s="34"/>
      <c r="F50" s="30"/>
      <c r="H50" s="1"/>
    </row>
    <row r="51" spans="1:8" s="17" customFormat="1" x14ac:dyDescent="0.2">
      <c r="A51" s="35"/>
      <c r="B51" s="32"/>
      <c r="C51" s="33"/>
      <c r="D51" s="34"/>
      <c r="E51" s="34"/>
      <c r="F51" s="36"/>
      <c r="H51" s="1"/>
    </row>
    <row r="52" spans="1:8" s="17" customFormat="1" ht="15" x14ac:dyDescent="0.25">
      <c r="A52" s="37" t="s">
        <v>60</v>
      </c>
      <c r="B52" s="37"/>
      <c r="C52" s="37"/>
      <c r="D52" s="37"/>
      <c r="E52" s="37"/>
      <c r="F52" s="37"/>
      <c r="G52" s="38"/>
      <c r="H52" s="38"/>
    </row>
    <row r="53" spans="1:8" s="17" customFormat="1" ht="15" x14ac:dyDescent="0.25">
      <c r="A53" s="63" t="s">
        <v>61</v>
      </c>
      <c r="B53" s="63"/>
      <c r="C53" s="63"/>
      <c r="D53" s="63"/>
      <c r="E53" s="63"/>
      <c r="F53" s="63"/>
      <c r="G53" s="63"/>
      <c r="H53" s="63"/>
    </row>
    <row r="54" spans="1:8" s="17" customFormat="1" ht="38.25" customHeight="1" x14ac:dyDescent="0.25">
      <c r="A54" s="64" t="s">
        <v>62</v>
      </c>
      <c r="B54" s="64"/>
      <c r="C54" s="64"/>
      <c r="D54" s="64"/>
      <c r="E54" s="64"/>
      <c r="F54" s="64"/>
      <c r="G54" s="64"/>
      <c r="H54" s="64"/>
    </row>
    <row r="55" spans="1:8" s="17" customFormat="1" ht="15" x14ac:dyDescent="0.2">
      <c r="A55" s="65" t="s">
        <v>63</v>
      </c>
      <c r="B55" s="65"/>
      <c r="C55" s="65"/>
      <c r="D55" s="65"/>
      <c r="E55" s="65"/>
      <c r="F55" s="65"/>
      <c r="G55" s="65"/>
      <c r="H55" s="65"/>
    </row>
    <row r="56" spans="1:8" s="17" customFormat="1" ht="58.5" customHeight="1" x14ac:dyDescent="0.2">
      <c r="A56" s="66" t="s">
        <v>64</v>
      </c>
      <c r="B56" s="66"/>
      <c r="C56" s="66"/>
      <c r="D56" s="66"/>
      <c r="E56" s="66"/>
      <c r="F56" s="66"/>
      <c r="G56" s="66"/>
      <c r="H56" s="39"/>
    </row>
    <row r="57" spans="1:8" x14ac:dyDescent="0.2">
      <c r="A57" s="40"/>
      <c r="B57" s="41"/>
      <c r="C57" s="42"/>
      <c r="D57" s="43"/>
      <c r="E57" s="44"/>
      <c r="G57" s="38"/>
      <c r="H57" s="38"/>
    </row>
    <row r="58" spans="1:8" ht="15" x14ac:dyDescent="0.25">
      <c r="A58" s="45" t="s">
        <v>65</v>
      </c>
      <c r="B58" s="46"/>
      <c r="C58" s="46"/>
      <c r="D58" s="47"/>
    </row>
    <row r="59" spans="1:8" ht="15" x14ac:dyDescent="0.25">
      <c r="A59" s="37" t="s">
        <v>66</v>
      </c>
      <c r="B59" s="46"/>
      <c r="C59" s="46"/>
      <c r="D59" s="46"/>
    </row>
    <row r="60" spans="1:8" ht="15" x14ac:dyDescent="0.25">
      <c r="A60" s="37" t="s">
        <v>67</v>
      </c>
      <c r="B60" s="46"/>
      <c r="C60" s="46"/>
      <c r="D60" s="46"/>
    </row>
    <row r="61" spans="1:8" ht="15" x14ac:dyDescent="0.25">
      <c r="A61" s="37" t="s">
        <v>68</v>
      </c>
      <c r="B61" s="46"/>
      <c r="C61" s="46"/>
      <c r="D61" s="46"/>
    </row>
    <row r="62" spans="1:8" ht="15" x14ac:dyDescent="0.25">
      <c r="A62" s="37"/>
      <c r="B62" s="46"/>
      <c r="C62" s="46"/>
      <c r="D62" s="46"/>
    </row>
    <row r="63" spans="1:8" ht="14.25" x14ac:dyDescent="0.2">
      <c r="A63" s="48" t="s">
        <v>69</v>
      </c>
      <c r="B63" s="46"/>
      <c r="C63" s="46"/>
      <c r="D63" s="47" t="s">
        <v>70</v>
      </c>
    </row>
    <row r="80" ht="13.5" thickBot="1" x14ac:dyDescent="0.25"/>
    <row r="81" spans="1:4" ht="13.5" thickBot="1" x14ac:dyDescent="0.25">
      <c r="A81" s="57" t="s">
        <v>71</v>
      </c>
      <c r="B81" s="58"/>
      <c r="C81" s="58"/>
      <c r="D81" s="59"/>
    </row>
    <row r="82" spans="1:4" ht="13.5" thickBot="1" x14ac:dyDescent="0.25">
      <c r="A82" s="52" t="s">
        <v>72</v>
      </c>
      <c r="B82" s="60" t="s">
        <v>73</v>
      </c>
      <c r="C82" s="60" t="s">
        <v>74</v>
      </c>
      <c r="D82" s="60" t="s">
        <v>75</v>
      </c>
    </row>
    <row r="83" spans="1:4" ht="13.5" thickBot="1" x14ac:dyDescent="0.25">
      <c r="A83" s="52" t="s">
        <v>76</v>
      </c>
      <c r="B83" s="61"/>
      <c r="C83" s="61"/>
      <c r="D83" s="61"/>
    </row>
    <row r="84" spans="1:4" ht="15.75" thickBot="1" x14ac:dyDescent="0.25">
      <c r="A84" s="53" t="s">
        <v>77</v>
      </c>
      <c r="B84" s="54"/>
      <c r="C84" s="55" t="s">
        <v>78</v>
      </c>
      <c r="D84" s="54"/>
    </row>
    <row r="85" spans="1:4" ht="15.75" thickBot="1" x14ac:dyDescent="0.25">
      <c r="A85" s="53" t="s">
        <v>79</v>
      </c>
      <c r="B85" s="54"/>
      <c r="C85" s="54"/>
      <c r="D85" s="54"/>
    </row>
    <row r="86" spans="1:4" ht="15.75" thickBot="1" x14ac:dyDescent="0.25">
      <c r="A86" s="53" t="s">
        <v>80</v>
      </c>
      <c r="B86" s="54"/>
      <c r="C86" s="54"/>
      <c r="D86" s="54"/>
    </row>
    <row r="88" spans="1:4" x14ac:dyDescent="0.2">
      <c r="A88" s="56"/>
    </row>
  </sheetData>
  <mergeCells count="10">
    <mergeCell ref="A81:D81"/>
    <mergeCell ref="B82:B83"/>
    <mergeCell ref="C82:C83"/>
    <mergeCell ref="D82:D83"/>
    <mergeCell ref="A1:H1"/>
    <mergeCell ref="A53:H53"/>
    <mergeCell ref="A54:H54"/>
    <mergeCell ref="A55:H55"/>
    <mergeCell ref="A56:E56"/>
    <mergeCell ref="F56:G56"/>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2022-12-05T07:05:04Z</dcterms:created>
  <dcterms:modified xsi:type="dcterms:W3CDTF">2022-12-05T07:58:24Z</dcterms:modified>
</cp:coreProperties>
</file>