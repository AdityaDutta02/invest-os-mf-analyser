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alencia.barretto\Desktop\Monthly PD\"/>
    </mc:Choice>
  </mc:AlternateContent>
  <bookViews>
    <workbookView xWindow="0" yWindow="0" windowWidth="20490" windowHeight="7800"/>
  </bookViews>
  <sheets>
    <sheet name="LF" sheetId="1" r:id="rId1"/>
  </sheets>
  <definedNames>
    <definedName name="_xlnm._FilterDatabase" localSheetId="0" hidden="1">LF!$A$1:$H$76</definedName>
    <definedName name="Afs">#REF!</definedName>
    <definedName name="_xlnm.Database">#REF!</definedName>
    <definedName name="EBLDB">#REF!</definedName>
    <definedName name="fl">#REF!</definedName>
    <definedName name="_xlnm.Print_Area" localSheetId="0">LF!$A$1:$E$52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8" i="1" l="1"/>
  <c r="E67" i="1"/>
  <c r="E68" i="1" s="1"/>
  <c r="D65" i="1"/>
  <c r="E64" i="1"/>
  <c r="E63" i="1"/>
  <c r="E62" i="1"/>
  <c r="E61" i="1"/>
  <c r="E60" i="1"/>
  <c r="E59" i="1"/>
  <c r="E58" i="1"/>
  <c r="E57" i="1"/>
  <c r="E56" i="1"/>
  <c r="E55" i="1"/>
  <c r="E54"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F15" i="1"/>
  <c r="F70" i="1" s="1"/>
  <c r="D11" i="1"/>
  <c r="D15" i="1" s="1"/>
  <c r="E10" i="1"/>
  <c r="E9" i="1"/>
  <c r="E8" i="1"/>
  <c r="E7" i="1"/>
  <c r="E65" i="1" l="1"/>
  <c r="E11" i="1"/>
  <c r="E15" i="1" s="1"/>
  <c r="D70" i="1"/>
  <c r="D72" i="1" s="1"/>
  <c r="E72" i="1" s="1"/>
  <c r="E70" i="1" l="1"/>
  <c r="E74" i="1" s="1"/>
</calcChain>
</file>

<file path=xl/sharedStrings.xml><?xml version="1.0" encoding="utf-8"?>
<sst xmlns="http://schemas.openxmlformats.org/spreadsheetml/2006/main" count="200" uniqueCount="144">
  <si>
    <t>JM Liquid Fund (An Open-Ended Liquid Scheme) A relatively low interest rate risk and moderate credit risk.</t>
  </si>
  <si>
    <t>Portfolio as on 31.01.2023</t>
  </si>
  <si>
    <t>Name of the Instruments</t>
  </si>
  <si>
    <t>Industry/Rating</t>
  </si>
  <si>
    <t>Quantity</t>
  </si>
  <si>
    <t>Market Value (Rs. In Lakhs)</t>
  </si>
  <si>
    <t>% age to NAV</t>
  </si>
  <si>
    <t>ISIN</t>
  </si>
  <si>
    <t>Yield %</t>
  </si>
  <si>
    <t>^YTC (AT1/Tier 2 bonds)</t>
  </si>
  <si>
    <t>DEBT INSTRUMENTS</t>
  </si>
  <si>
    <t>a) Listed/Awaiting Listing On  Stock Exchange</t>
  </si>
  <si>
    <t>The Tata Power Company Ltd.**</t>
  </si>
  <si>
    <t>CRISIL AA</t>
  </si>
  <si>
    <t>INE245A08166</t>
  </si>
  <si>
    <t>L&amp;T Finance Ltd.**</t>
  </si>
  <si>
    <t>CARE AAA</t>
  </si>
  <si>
    <t>INE027E07BE4</t>
  </si>
  <si>
    <t>Cholamandalam Investment &amp; Finance Company Ltd.**</t>
  </si>
  <si>
    <t>CARE AA+</t>
  </si>
  <si>
    <t>INE121A07PU9</t>
  </si>
  <si>
    <t>Jamnagar Utilities &amp; Power Ltd.**</t>
  </si>
  <si>
    <t>INE936D07158</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</si>
  <si>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</si>
  <si>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</si>
  <si>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</si>
  <si>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</si>
  <si>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</si>
  <si>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</si>
  <si>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</si>
  <si>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</si>
  <si>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</si>
  <si>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HDFC Bank Ltd.CD**</t>
  </si>
  <si>
    <t>CARE A1+</t>
  </si>
  <si>
    <t>INE040A16CX4</t>
  </si>
  <si>
    <t>Kotak Mahindra Bank CD**</t>
  </si>
  <si>
    <t>CRISIL A1+</t>
  </si>
  <si>
    <t>INE237A167R8</t>
  </si>
  <si>
    <t>Birla Group Holdings Pvt.Ltd.CP**</t>
  </si>
  <si>
    <t>INE09OL14CA7</t>
  </si>
  <si>
    <t>NABARD CD**</t>
  </si>
  <si>
    <t>IND A1+</t>
  </si>
  <si>
    <t>INE261F16645</t>
  </si>
  <si>
    <t>SIDBI Ltd.CD**</t>
  </si>
  <si>
    <t>INE556F16945</t>
  </si>
  <si>
    <t>NABARD CD</t>
  </si>
  <si>
    <t>INE261F16637</t>
  </si>
  <si>
    <t>Canara Bank CD**</t>
  </si>
  <si>
    <t>INE476A16UD4</t>
  </si>
  <si>
    <t>Bank of Baroda CD</t>
  </si>
  <si>
    <t>INE028A16CX9</t>
  </si>
  <si>
    <t>Standard Chartered Capital Ltd.CP**</t>
  </si>
  <si>
    <t>INE403G14PJ7</t>
  </si>
  <si>
    <t>Chennai Petroleum Corporation Ltd.CP**</t>
  </si>
  <si>
    <t>INE178A14HM9</t>
  </si>
  <si>
    <t>Export Import Bank Of India CP**</t>
  </si>
  <si>
    <t>INE514E14QT3</t>
  </si>
  <si>
    <t>Axis Bank CD</t>
  </si>
  <si>
    <t>INE238A162Z1</t>
  </si>
  <si>
    <t>Redington Ltd.CP**</t>
  </si>
  <si>
    <t>INE891D14WR9</t>
  </si>
  <si>
    <t>Mahindra&amp;Mahindra Financial Services Ltd.CP**</t>
  </si>
  <si>
    <t>INE774D14RJ4</t>
  </si>
  <si>
    <t>Housing Development Finance Corporation Ltd.CP**</t>
  </si>
  <si>
    <t>INE001A14ZX2</t>
  </si>
  <si>
    <t>Reliance Jio Infocomm Ltd.CP**</t>
  </si>
  <si>
    <t>INE110L14RP1</t>
  </si>
  <si>
    <t>INE476A16TN5</t>
  </si>
  <si>
    <t>Axis Bank CD**</t>
  </si>
  <si>
    <t>INE238A161Z3</t>
  </si>
  <si>
    <t>Bank of Baroda CD**</t>
  </si>
  <si>
    <t>INE028A16DD9</t>
  </si>
  <si>
    <t>INE238A165Y7</t>
  </si>
  <si>
    <t>INE476A16UJ1</t>
  </si>
  <si>
    <t>INE028A16CO8</t>
  </si>
  <si>
    <t>INE261F16652</t>
  </si>
  <si>
    <t>INE556F16937</t>
  </si>
  <si>
    <t>INE238AD6066</t>
  </si>
  <si>
    <t>Aditya Birla Finance Ltd.CP**</t>
  </si>
  <si>
    <t>ICRA A1+</t>
  </si>
  <si>
    <t>INE860H14Z32</t>
  </si>
  <si>
    <t>Export-Import Bank of India CD**</t>
  </si>
  <si>
    <t>INE514E16BY0</t>
  </si>
  <si>
    <t>INE476A16TT2</t>
  </si>
  <si>
    <t>Treasury Bills</t>
  </si>
  <si>
    <t>182 Days Treasury-Bill 23/02/2023</t>
  </si>
  <si>
    <t>Sovereign</t>
  </si>
  <si>
    <t>IN002022Y211</t>
  </si>
  <si>
    <t>91 Days Treasury-Bill 02/03/2023</t>
  </si>
  <si>
    <t>IN002022X353</t>
  </si>
  <si>
    <t>91 Days Treasury-Bill 02/02/2023</t>
  </si>
  <si>
    <t>IN002022X312</t>
  </si>
  <si>
    <t>91 Days Treasury-Bill 16/03/2023</t>
  </si>
  <si>
    <t>IN002022X379</t>
  </si>
  <si>
    <t>182 Days Treasury-Bill 30/03/2023</t>
  </si>
  <si>
    <t>IN002022Y278</t>
  </si>
  <si>
    <t>91 Days Treasury-Bill 30/03/2023</t>
  </si>
  <si>
    <t>IN002022X395</t>
  </si>
  <si>
    <t>182 Days Treasury-Bill 09/02/2023</t>
  </si>
  <si>
    <t>IN002022Y195</t>
  </si>
  <si>
    <t>182 Days Treasury-Bill 02/03/2023</t>
  </si>
  <si>
    <t>IN002022Y229</t>
  </si>
  <si>
    <t>364 Days Treasury-Bill 02/02/2023</t>
  </si>
  <si>
    <t>IN002021Z467</t>
  </si>
  <si>
    <t>182 Days Treasury-Bill 02/02/2023</t>
  </si>
  <si>
    <t>IN002022Y187</t>
  </si>
  <si>
    <t>364 Days Treasury-Bill 16/03/2023</t>
  </si>
  <si>
    <t>IN002021Z525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</si>
  <si>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</si>
  <si>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</si>
  <si>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</si>
  <si>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</si>
  <si>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</si>
  <si>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</si>
  <si>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</si>
  <si>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</si>
  <si>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</si>
  <si>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</si>
  <si>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</si>
  <si>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</si>
  <si>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</si>
  <si>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</si>
  <si>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</si>
  <si>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 xml:space="preserve">CRISIL Liquid Fund BI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</si>
  <si>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</si>
  <si>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</si>
  <si>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</si>
  <si>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</si>
  <si>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</si>
  <si>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</si>
  <si>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</si>
  <si>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</si>
  <si>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</si>
  <si>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</si>
  <si>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 xml:space="preserve"> Portfolio Information</t>
  </si>
  <si>
    <t>Scheme Name :</t>
  </si>
  <si>
    <t>JM Liquid Fund</t>
  </si>
  <si>
    <t>Description (if any)</t>
  </si>
  <si>
    <t>Macaulay Duration</t>
  </si>
  <si>
    <t>Residual Maturity</t>
  </si>
  <si>
    <t xml:space="preserve">As on (Date) </t>
  </si>
  <si>
    <t>31.01.2023</t>
  </si>
  <si>
    <t>Annualised Portfolio YTM*# :</t>
  </si>
  <si>
    <t>* in case of semi annual YTM,  it will be annualised, # Calculated on amount invested in debt securities ( including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</si>
</sst>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6" fillId="0" borderId="0"/>
    <xf numFmtId="0" fontId="1" fillId="0" borderId="0"/>
    <xf numFmtId="0" fontId="6" fillId="0" borderId="0"/>
  </cellStyleXfs>
  <cellXfs count="70">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3" fillId="0" borderId="3" xfId="0" applyFont="1" applyFill="1" applyBorder="1" applyAlignment="1">
      <alignment horizontal="right"/>
    </xf>
    <xf numFmtId="166" fontId="3" fillId="0" borderId="3" xfId="0" applyNumberFormat="1" applyFont="1" applyFill="1" applyBorder="1"/>
    <xf numFmtId="0" fontId="3" fillId="0" borderId="3" xfId="0" applyFont="1" applyBorder="1"/>
    <xf numFmtId="0" fontId="3" fillId="0" borderId="0" xfId="0" applyFont="1" applyFill="1"/>
    <xf numFmtId="164" fontId="3" fillId="0" borderId="3" xfId="1" applyFont="1" applyFill="1" applyBorder="1" applyAlignment="1">
      <alignment horizontal="right"/>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6" fontId="3" fillId="0" borderId="0" xfId="0" applyNumberFormat="1" applyFont="1" applyFill="1"/>
    <xf numFmtId="165" fontId="4" fillId="0" borderId="3" xfId="1" applyNumberFormat="1" applyFont="1" applyFill="1" applyBorder="1" applyAlignment="1">
      <alignment horizontal="right"/>
    </xf>
    <xf numFmtId="164" fontId="3" fillId="0" borderId="4" xfId="1" applyFont="1" applyFill="1" applyBorder="1"/>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164" fontId="3" fillId="0" borderId="0" xfId="1" applyFont="1" applyFill="1" applyAlignment="1">
      <alignment horizontal="right"/>
    </xf>
    <xf numFmtId="0" fontId="6" fillId="0" borderId="0" xfId="3" applyBorder="1" applyAlignment="1">
      <alignment horizontal="left" vertical="center" wrapText="1"/>
    </xf>
    <xf numFmtId="0" fontId="8" fillId="0" borderId="0" xfId="4" applyFont="1" applyBorder="1"/>
    <xf numFmtId="0" fontId="2" fillId="0" borderId="0" xfId="5" applyFont="1" applyFill="1" applyBorder="1" applyAlignment="1">
      <alignment horizontal="left" wrapText="1"/>
    </xf>
    <xf numFmtId="0" fontId="4" fillId="0" borderId="0" xfId="5" applyFont="1" applyFill="1" applyBorder="1" applyAlignment="1">
      <alignment horizontal="left"/>
    </xf>
    <xf numFmtId="0" fontId="6" fillId="0" borderId="0" xfId="4" applyBorder="1"/>
    <xf numFmtId="0" fontId="9" fillId="0" borderId="0" xfId="6" applyFont="1"/>
    <xf numFmtId="0" fontId="10" fillId="0" borderId="0" xfId="0" applyNumberFormat="1" applyFont="1" applyFill="1" applyBorder="1"/>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11" fillId="0" borderId="8" xfId="0" applyFont="1" applyBorder="1" applyAlignment="1">
      <alignment vertical="center" wrapText="1"/>
    </xf>
    <xf numFmtId="0" fontId="13" fillId="0" borderId="8" xfId="0" applyFont="1" applyBorder="1" applyAlignment="1">
      <alignment vertical="center" wrapText="1"/>
    </xf>
    <xf numFmtId="0" fontId="14" fillId="0" borderId="10" xfId="0" applyFont="1" applyBorder="1" applyAlignment="1">
      <alignment vertical="center" wrapText="1"/>
    </xf>
    <xf numFmtId="0" fontId="13" fillId="3" borderId="10" xfId="0" applyFont="1" applyFill="1" applyBorder="1" applyAlignment="1">
      <alignment horizontal="center" vertical="center" wrapText="1"/>
    </xf>
    <xf numFmtId="0" fontId="3" fillId="0" borderId="3" xfId="0" applyFont="1" applyBorder="1" applyAlignment="1">
      <alignment wrapText="1"/>
    </xf>
    <xf numFmtId="0" fontId="3" fillId="0" borderId="3" xfId="0" applyFont="1" applyBorder="1" applyAlignment="1">
      <alignment horizontal="left" wrapText="1"/>
    </xf>
    <xf numFmtId="2" fontId="3" fillId="0" borderId="3" xfId="0" applyNumberFormat="1" applyFont="1" applyFill="1" applyBorder="1" applyAlignment="1">
      <alignment horizontal="left" wrapText="1"/>
    </xf>
    <xf numFmtId="0" fontId="3" fillId="0" borderId="4" xfId="0" applyFont="1" applyBorder="1" applyAlignment="1">
      <alignment horizontal="left" wrapText="1"/>
    </xf>
    <xf numFmtId="0" fontId="3" fillId="0" borderId="11" xfId="0" applyFont="1" applyBorder="1" applyAlignment="1">
      <alignment horizontal="left"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left" vertical="top" wrapText="1"/>
    </xf>
    <xf numFmtId="0" fontId="11" fillId="0" borderId="8" xfId="0" applyFont="1" applyBorder="1" applyAlignment="1">
      <alignment horizontal="left" vertical="top" wrapText="1"/>
    </xf>
    <xf numFmtId="0" fontId="3" fillId="0" borderId="4" xfId="0" applyFont="1" applyBorder="1" applyAlignment="1">
      <alignment horizontal="center" wrapText="1"/>
    </xf>
    <xf numFmtId="0" fontId="3" fillId="0" borderId="11" xfId="0" applyFont="1" applyBorder="1" applyAlignment="1">
      <alignment horizontal="center" wrapText="1"/>
    </xf>
    <xf numFmtId="0" fontId="7" fillId="0" borderId="0" xfId="3" applyFont="1" applyBorder="1" applyAlignment="1">
      <alignment horizontal="left" vertical="center" wrapText="1"/>
    </xf>
    <xf numFmtId="0" fontId="5" fillId="0" borderId="0" xfId="2" applyFont="1" applyAlignment="1">
      <alignment horizontal="left" wrapText="1"/>
    </xf>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5" fillId="0" borderId="0" xfId="2" applyFont="1" applyAlignment="1">
      <alignment horizontal="left" vertical="top" wrapText="1"/>
    </xf>
  </cellXfs>
  <cellStyles count="7">
    <cellStyle name="Comma" xfId="1" builtinId="3"/>
    <cellStyle name="Normal" xfId="0" builtinId="0"/>
    <cellStyle name="Normal 2 2" xfId="5"/>
    <cellStyle name="Normal 2 3 2" xfId="2"/>
    <cellStyle name="Normal 4_IF" xfId="6"/>
    <cellStyle name="Normal 4_LD" xfId="3"/>
    <cellStyle name="Normal 4_LF"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333375</xdr:colOff>
      <xdr:row>89</xdr:row>
      <xdr:rowOff>104775</xdr:rowOff>
    </xdr:from>
    <xdr:to>
      <xdr:col>5</xdr:col>
      <xdr:colOff>781050</xdr:colOff>
      <xdr:row>103</xdr:row>
      <xdr:rowOff>19050</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5095875" y="17021175"/>
          <a:ext cx="3781425" cy="2181225"/>
        </a:xfrm>
        <a:prstGeom prst="rect">
          <a:avLst/>
        </a:prstGeom>
        <a:noFill/>
        <a:ln w="9525">
          <a:noFill/>
          <a:miter lim="800000"/>
          <a:headEnd/>
          <a:tailEnd/>
        </a:ln>
      </xdr:spPr>
    </xdr:pic>
    <xdr:clientData/>
  </xdr:twoCellAnchor>
  <xdr:twoCellAnchor editAs="oneCell">
    <xdr:from>
      <xdr:col>0</xdr:col>
      <xdr:colOff>257175</xdr:colOff>
      <xdr:row>89</xdr:row>
      <xdr:rowOff>85725</xdr:rowOff>
    </xdr:from>
    <xdr:to>
      <xdr:col>1</xdr:col>
      <xdr:colOff>419100</xdr:colOff>
      <xdr:row>103</xdr:row>
      <xdr:rowOff>9525</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257175" y="17002125"/>
          <a:ext cx="3495675"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25"/>
  <sheetViews>
    <sheetView tabSelected="1" zoomScaleNormal="100" workbookViewId="0">
      <pane xSplit="1" ySplit="3" topLeftCell="B109" activePane="bottomRight" state="frozen"/>
      <selection activeCell="A2" sqref="A2"/>
      <selection pane="topRight" activeCell="A2" sqref="A2"/>
      <selection pane="bottomLeft" activeCell="A2" sqref="A2"/>
      <selection pane="bottomRight" sqref="A1:H1"/>
    </sheetView>
  </sheetViews>
  <sheetFormatPr defaultRowHeight="12.75" x14ac:dyDescent="0.2"/>
  <cols>
    <col min="1" max="1" width="50" style="48" customWidth="1"/>
    <col min="2" max="2" width="21.42578125" style="46" bestFit="1" customWidth="1"/>
    <col min="3" max="3" width="13.42578125" style="47"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7" t="s">
        <v>0</v>
      </c>
      <c r="B1" s="67"/>
      <c r="C1" s="67"/>
      <c r="D1" s="67"/>
      <c r="E1" s="67"/>
      <c r="F1" s="67"/>
      <c r="G1" s="67"/>
      <c r="H1" s="67"/>
    </row>
    <row r="2" spans="1:8" x14ac:dyDescent="0.2">
      <c r="A2" s="68" t="s">
        <v>1</v>
      </c>
      <c r="B2" s="68"/>
      <c r="C2" s="68"/>
      <c r="D2" s="68"/>
      <c r="E2" s="68"/>
      <c r="F2" s="68"/>
      <c r="G2" s="68"/>
      <c r="H2" s="68"/>
    </row>
    <row r="3" spans="1:8" s="7" customFormat="1" ht="53.25" customHeight="1" x14ac:dyDescent="0.2">
      <c r="A3" s="2" t="s">
        <v>2</v>
      </c>
      <c r="B3" s="3" t="s">
        <v>3</v>
      </c>
      <c r="C3" s="4" t="s">
        <v>4</v>
      </c>
      <c r="D3" s="2" t="s">
        <v>5</v>
      </c>
      <c r="E3" s="2" t="s">
        <v>6</v>
      </c>
      <c r="F3" s="2" t="s">
        <v>7</v>
      </c>
      <c r="G3" s="5" t="s">
        <v>8</v>
      </c>
      <c r="H3" s="6" t="s">
        <v>9</v>
      </c>
    </row>
    <row r="4" spans="1:8" s="15" customFormat="1" x14ac:dyDescent="0.2">
      <c r="A4" s="8"/>
      <c r="B4" s="9"/>
      <c r="C4" s="10"/>
      <c r="D4" s="11"/>
      <c r="E4" s="11"/>
      <c r="F4" s="12"/>
      <c r="G4" s="13"/>
      <c r="H4" s="14"/>
    </row>
    <row r="5" spans="1:8" s="15" customFormat="1" x14ac:dyDescent="0.2">
      <c r="A5" s="8" t="s">
        <v>10</v>
      </c>
      <c r="B5" s="9"/>
      <c r="C5" s="10"/>
      <c r="D5" s="11"/>
      <c r="E5" s="11"/>
      <c r="F5" s="12"/>
      <c r="G5" s="13"/>
      <c r="H5" s="14"/>
    </row>
    <row r="6" spans="1:8" s="15" customFormat="1" x14ac:dyDescent="0.2">
      <c r="A6" s="8" t="s">
        <v>11</v>
      </c>
      <c r="B6" s="9"/>
      <c r="C6" s="10"/>
      <c r="D6" s="16"/>
      <c r="E6" s="16"/>
      <c r="F6" s="16"/>
      <c r="G6" s="13"/>
      <c r="H6" s="14"/>
    </row>
    <row r="7" spans="1:8" s="15" customFormat="1" x14ac:dyDescent="0.2">
      <c r="A7" s="17" t="s">
        <v>12</v>
      </c>
      <c r="B7" s="18" t="s">
        <v>13</v>
      </c>
      <c r="C7" s="19">
        <v>650</v>
      </c>
      <c r="D7" s="20">
        <v>6503.3604999999998</v>
      </c>
      <c r="E7" s="20">
        <f>(+D7/$D$74*100)</f>
        <v>3.5070947945204192</v>
      </c>
      <c r="F7" s="20" t="s">
        <v>14</v>
      </c>
      <c r="G7" s="13">
        <v>7.2849000000000004</v>
      </c>
      <c r="H7" s="14"/>
    </row>
    <row r="8" spans="1:8" s="15" customFormat="1" x14ac:dyDescent="0.2">
      <c r="A8" s="17" t="s">
        <v>15</v>
      </c>
      <c r="B8" s="18" t="s">
        <v>16</v>
      </c>
      <c r="C8" s="19">
        <v>500</v>
      </c>
      <c r="D8" s="20">
        <v>5000.07</v>
      </c>
      <c r="E8" s="20">
        <f>(+D8/$D$74*100)</f>
        <v>2.6964089518392393</v>
      </c>
      <c r="F8" s="20" t="s">
        <v>17</v>
      </c>
      <c r="G8" s="13">
        <v>7.1603000000000003</v>
      </c>
      <c r="H8" s="14"/>
    </row>
    <row r="9" spans="1:8" s="15" customFormat="1" x14ac:dyDescent="0.2">
      <c r="A9" s="17" t="s">
        <v>18</v>
      </c>
      <c r="B9" s="18" t="s">
        <v>19</v>
      </c>
      <c r="C9" s="19">
        <v>250</v>
      </c>
      <c r="D9" s="20">
        <v>2494.1574999999998</v>
      </c>
      <c r="E9" s="20">
        <f>(+D9/$D$74*100)</f>
        <v>1.3450348915709136</v>
      </c>
      <c r="F9" s="20" t="s">
        <v>20</v>
      </c>
      <c r="G9" s="13">
        <v>7.4048999999999996</v>
      </c>
      <c r="H9" s="14"/>
    </row>
    <row r="10" spans="1:8" s="15" customFormat="1" x14ac:dyDescent="0.2">
      <c r="A10" s="17" t="s">
        <v>21</v>
      </c>
      <c r="B10" s="18" t="s">
        <v>16</v>
      </c>
      <c r="C10" s="19">
        <v>200</v>
      </c>
      <c r="D10" s="20">
        <v>2000.566</v>
      </c>
      <c r="E10" s="20">
        <f>(+D10/$D$74*100)</f>
        <v>1.0788537102771003</v>
      </c>
      <c r="F10" s="20" t="s">
        <v>22</v>
      </c>
      <c r="G10" s="13">
        <v>7.0548000000000002</v>
      </c>
      <c r="H10" s="14"/>
    </row>
    <row r="11" spans="1:8" s="15" customFormat="1" x14ac:dyDescent="0.2">
      <c r="A11" s="8" t="s">
        <v>23</v>
      </c>
      <c r="B11" s="9"/>
      <c r="C11" s="22"/>
      <c r="D11" s="11">
        <f>IF(ISERROR(SUM(D7:D10)),0,SUM(D7:D10))</f>
        <v>15998.153999999999</v>
      </c>
      <c r="E11" s="11">
        <f>IF(ISERROR(SUM(E7:E10)),0,SUM(E7:E10))</f>
        <v>8.6273923482076711</v>
      </c>
      <c r="F11" s="11"/>
      <c r="G11" s="13"/>
      <c r="H11" s="14"/>
    </row>
    <row r="12" spans="1:8" s="15" customFormat="1" x14ac:dyDescent="0.2">
      <c r="A12" s="8"/>
      <c r="B12" s="9"/>
      <c r="C12" s="22"/>
      <c r="D12" s="16"/>
      <c r="E12" s="16"/>
      <c r="F12" s="16"/>
      <c r="G12" s="13"/>
      <c r="H12" s="14"/>
    </row>
    <row r="13" spans="1:8" s="15" customFormat="1" x14ac:dyDescent="0.2">
      <c r="A13" s="8" t="s">
        <v>24</v>
      </c>
      <c r="B13" s="9"/>
      <c r="C13" s="22"/>
      <c r="D13" s="11" t="s">
        <v>25</v>
      </c>
      <c r="E13" s="11" t="s">
        <v>25</v>
      </c>
      <c r="F13" s="12"/>
      <c r="G13" s="13"/>
      <c r="H13" s="14"/>
    </row>
    <row r="14" spans="1:8" s="15" customFormat="1" x14ac:dyDescent="0.2">
      <c r="A14" s="8"/>
      <c r="B14" s="9"/>
      <c r="C14" s="22"/>
      <c r="D14" s="16"/>
      <c r="E14" s="16"/>
      <c r="F14" s="16"/>
      <c r="G14" s="13"/>
      <c r="H14" s="14"/>
    </row>
    <row r="15" spans="1:8" s="15" customFormat="1" x14ac:dyDescent="0.2">
      <c r="A15" s="8" t="s">
        <v>26</v>
      </c>
      <c r="B15" s="9"/>
      <c r="C15" s="22"/>
      <c r="D15" s="11">
        <f>IF(ISERROR(+D11),0,D11)+IF(ISERROR(+#REF!),0,#REF!)+IF(ISERROR(+#REF!),0,#REF!)</f>
        <v>15998.153999999999</v>
      </c>
      <c r="E15" s="11">
        <f>IF(ISERROR(+E11),0,E11)+IF(ISERROR(+#REF!),0,#REF!)+IF(ISERROR(+#REF!),0,#REF!)</f>
        <v>8.6273923482076711</v>
      </c>
      <c r="F15" s="11">
        <f>IF(ISERROR(+F11),0,F11)+IF(ISERROR(+#REF!),0,#REF!)+IF(ISERROR(+#REF!),0,#REF!)</f>
        <v>0</v>
      </c>
      <c r="G15" s="13"/>
      <c r="H15" s="14"/>
    </row>
    <row r="16" spans="1:8" s="15" customFormat="1" x14ac:dyDescent="0.2">
      <c r="A16" s="8"/>
      <c r="B16" s="9"/>
      <c r="C16" s="22"/>
      <c r="D16" s="11"/>
      <c r="E16" s="11"/>
      <c r="F16" s="11"/>
      <c r="G16" s="13"/>
      <c r="H16" s="14"/>
    </row>
    <row r="17" spans="1:10" s="15" customFormat="1" x14ac:dyDescent="0.2">
      <c r="A17" s="8" t="s">
        <v>27</v>
      </c>
      <c r="B17" s="9"/>
      <c r="C17" s="22"/>
      <c r="D17" s="11"/>
      <c r="E17" s="11"/>
      <c r="F17" s="11"/>
      <c r="G17" s="13"/>
      <c r="H17" s="14"/>
    </row>
    <row r="18" spans="1:10" s="15" customFormat="1" x14ac:dyDescent="0.2">
      <c r="A18" s="8"/>
      <c r="B18" s="9"/>
      <c r="C18" s="22"/>
      <c r="D18" s="20"/>
      <c r="E18" s="20"/>
      <c r="F18" s="23"/>
      <c r="G18" s="13"/>
      <c r="H18" s="14"/>
    </row>
    <row r="19" spans="1:10" s="15" customFormat="1" x14ac:dyDescent="0.2">
      <c r="A19" s="8" t="s">
        <v>28</v>
      </c>
      <c r="B19" s="9"/>
      <c r="C19" s="22"/>
      <c r="D19" s="11" t="s">
        <v>25</v>
      </c>
      <c r="E19" s="11" t="s">
        <v>25</v>
      </c>
      <c r="F19" s="11"/>
      <c r="G19" s="13"/>
      <c r="H19" s="14"/>
    </row>
    <row r="20" spans="1:10" s="15" customFormat="1" x14ac:dyDescent="0.2">
      <c r="A20" s="8"/>
      <c r="B20" s="9"/>
      <c r="C20" s="22"/>
      <c r="D20" s="11"/>
      <c r="E20" s="11"/>
      <c r="F20" s="11"/>
      <c r="G20" s="13"/>
      <c r="H20" s="14"/>
    </row>
    <row r="21" spans="1:10" s="15" customFormat="1" x14ac:dyDescent="0.2">
      <c r="A21" s="8" t="s">
        <v>29</v>
      </c>
      <c r="B21" s="9"/>
      <c r="C21" s="22"/>
      <c r="D21" s="11" t="s">
        <v>25</v>
      </c>
      <c r="E21" s="11" t="s">
        <v>25</v>
      </c>
      <c r="F21" s="11"/>
      <c r="G21" s="13"/>
      <c r="H21" s="14"/>
    </row>
    <row r="22" spans="1:10" s="15" customFormat="1" x14ac:dyDescent="0.2">
      <c r="A22" s="8"/>
      <c r="B22" s="9"/>
      <c r="C22" s="22"/>
      <c r="D22" s="11"/>
      <c r="E22" s="11"/>
      <c r="F22" s="11"/>
      <c r="G22" s="13"/>
      <c r="H22" s="14"/>
    </row>
    <row r="23" spans="1:10" s="15" customFormat="1" x14ac:dyDescent="0.2">
      <c r="A23" s="8" t="s">
        <v>30</v>
      </c>
      <c r="B23" s="9"/>
      <c r="C23" s="22"/>
      <c r="D23" s="11"/>
      <c r="E23" s="11"/>
      <c r="F23" s="12"/>
      <c r="G23" s="13"/>
      <c r="H23" s="14"/>
    </row>
    <row r="24" spans="1:10" s="15" customFormat="1" x14ac:dyDescent="0.2">
      <c r="A24" s="8" t="s">
        <v>31</v>
      </c>
      <c r="B24" s="9"/>
      <c r="C24" s="22"/>
      <c r="D24" s="11"/>
      <c r="E24" s="11"/>
      <c r="F24" s="12"/>
      <c r="G24" s="13"/>
      <c r="H24" s="14"/>
    </row>
    <row r="25" spans="1:10" s="15" customFormat="1" x14ac:dyDescent="0.2">
      <c r="A25" s="17" t="s">
        <v>32</v>
      </c>
      <c r="B25" s="18" t="s">
        <v>33</v>
      </c>
      <c r="C25" s="19">
        <v>2000</v>
      </c>
      <c r="D25" s="20">
        <v>9939.1200000000008</v>
      </c>
      <c r="E25" s="20">
        <f t="shared" ref="E25:E52" si="0">(+D25/$D$74*100)</f>
        <v>5.3599113895214314</v>
      </c>
      <c r="F25" s="20" t="s">
        <v>34</v>
      </c>
      <c r="G25" s="13">
        <v>6.7755000000000001</v>
      </c>
      <c r="H25" s="14"/>
      <c r="J25" s="21"/>
    </row>
    <row r="26" spans="1:10" s="15" customFormat="1" x14ac:dyDescent="0.2">
      <c r="A26" s="17" t="s">
        <v>35</v>
      </c>
      <c r="B26" s="18" t="s">
        <v>36</v>
      </c>
      <c r="C26" s="19">
        <v>2000</v>
      </c>
      <c r="D26" s="20">
        <v>9897.57</v>
      </c>
      <c r="E26" s="20">
        <f t="shared" si="0"/>
        <v>5.3375045448274729</v>
      </c>
      <c r="F26" s="20" t="s">
        <v>37</v>
      </c>
      <c r="G26" s="13">
        <v>6.7457000000000003</v>
      </c>
      <c r="H26" s="14"/>
      <c r="J26" s="21"/>
    </row>
    <row r="27" spans="1:10" s="15" customFormat="1" x14ac:dyDescent="0.2">
      <c r="A27" s="17" t="s">
        <v>38</v>
      </c>
      <c r="B27" s="18" t="s">
        <v>36</v>
      </c>
      <c r="C27" s="19">
        <v>1500</v>
      </c>
      <c r="D27" s="20">
        <v>7428.3149999999996</v>
      </c>
      <c r="E27" s="20">
        <f t="shared" si="0"/>
        <v>4.0058989300313197</v>
      </c>
      <c r="F27" s="20" t="s">
        <v>39</v>
      </c>
      <c r="G27" s="13">
        <v>7.4946999999999999</v>
      </c>
      <c r="H27" s="14"/>
      <c r="J27" s="21"/>
    </row>
    <row r="28" spans="1:10" s="15" customFormat="1" x14ac:dyDescent="0.2">
      <c r="A28" s="17" t="s">
        <v>40</v>
      </c>
      <c r="B28" s="18" t="s">
        <v>41</v>
      </c>
      <c r="C28" s="19">
        <v>1300</v>
      </c>
      <c r="D28" s="20">
        <v>6484.3284999999996</v>
      </c>
      <c r="E28" s="20">
        <f t="shared" si="0"/>
        <v>3.4968313271746814</v>
      </c>
      <c r="F28" s="20" t="s">
        <v>42</v>
      </c>
      <c r="G28" s="13">
        <v>6.7870999999999997</v>
      </c>
      <c r="H28" s="14"/>
      <c r="J28" s="21"/>
    </row>
    <row r="29" spans="1:10" s="15" customFormat="1" x14ac:dyDescent="0.2">
      <c r="A29" s="17" t="s">
        <v>43</v>
      </c>
      <c r="B29" s="18" t="s">
        <v>33</v>
      </c>
      <c r="C29" s="19">
        <v>1300</v>
      </c>
      <c r="D29" s="20">
        <v>6463.7430000000004</v>
      </c>
      <c r="E29" s="20">
        <f t="shared" si="0"/>
        <v>3.4857300972962824</v>
      </c>
      <c r="F29" s="20" t="s">
        <v>44</v>
      </c>
      <c r="G29" s="13">
        <v>6.8251999999999997</v>
      </c>
      <c r="H29" s="14"/>
      <c r="J29" s="21"/>
    </row>
    <row r="30" spans="1:10" s="15" customFormat="1" x14ac:dyDescent="0.2">
      <c r="A30" s="17" t="s">
        <v>45</v>
      </c>
      <c r="B30" s="18" t="s">
        <v>41</v>
      </c>
      <c r="C30" s="19">
        <v>1200</v>
      </c>
      <c r="D30" s="20">
        <v>5992.2060000000001</v>
      </c>
      <c r="E30" s="20">
        <f t="shared" si="0"/>
        <v>3.2314423397402043</v>
      </c>
      <c r="F30" s="20" t="s">
        <v>46</v>
      </c>
      <c r="G30" s="13">
        <v>6.7821999999999996</v>
      </c>
      <c r="H30" s="14"/>
      <c r="J30" s="21"/>
    </row>
    <row r="31" spans="1:10" s="15" customFormat="1" x14ac:dyDescent="0.2">
      <c r="A31" s="17" t="s">
        <v>47</v>
      </c>
      <c r="B31" s="18" t="s">
        <v>36</v>
      </c>
      <c r="C31" s="19">
        <v>1000</v>
      </c>
      <c r="D31" s="20">
        <v>4995.3649999999998</v>
      </c>
      <c r="E31" s="20">
        <f t="shared" si="0"/>
        <v>2.6938716665375528</v>
      </c>
      <c r="F31" s="20" t="s">
        <v>48</v>
      </c>
      <c r="G31" s="13">
        <v>6.7733999999999996</v>
      </c>
      <c r="H31" s="14"/>
      <c r="J31" s="21"/>
    </row>
    <row r="32" spans="1:10" s="15" customFormat="1" x14ac:dyDescent="0.2">
      <c r="A32" s="17" t="s">
        <v>49</v>
      </c>
      <c r="B32" s="18" t="s">
        <v>41</v>
      </c>
      <c r="C32" s="19">
        <v>1000</v>
      </c>
      <c r="D32" s="20">
        <v>4991.6899999999996</v>
      </c>
      <c r="E32" s="20">
        <f t="shared" si="0"/>
        <v>2.6918898337036108</v>
      </c>
      <c r="F32" s="20" t="s">
        <v>50</v>
      </c>
      <c r="G32" s="13">
        <v>6.7515999999999998</v>
      </c>
      <c r="H32" s="14"/>
      <c r="J32" s="21"/>
    </row>
    <row r="33" spans="1:10" s="15" customFormat="1" x14ac:dyDescent="0.2">
      <c r="A33" s="17" t="s">
        <v>51</v>
      </c>
      <c r="B33" s="18" t="s">
        <v>36</v>
      </c>
      <c r="C33" s="19">
        <v>1000</v>
      </c>
      <c r="D33" s="20">
        <v>4987.0150000000003</v>
      </c>
      <c r="E33" s="20">
        <f t="shared" si="0"/>
        <v>2.6893687266291404</v>
      </c>
      <c r="F33" s="20" t="s">
        <v>52</v>
      </c>
      <c r="G33" s="13">
        <v>7.3106</v>
      </c>
      <c r="H33" s="14"/>
      <c r="J33" s="21"/>
    </row>
    <row r="34" spans="1:10" s="15" customFormat="1" x14ac:dyDescent="0.2">
      <c r="A34" s="17" t="s">
        <v>53</v>
      </c>
      <c r="B34" s="18" t="s">
        <v>36</v>
      </c>
      <c r="C34" s="19">
        <v>1000</v>
      </c>
      <c r="D34" s="20">
        <v>4984.8999999999996</v>
      </c>
      <c r="E34" s="20">
        <f t="shared" si="0"/>
        <v>2.6882281616104224</v>
      </c>
      <c r="F34" s="20" t="s">
        <v>54</v>
      </c>
      <c r="G34" s="13">
        <v>6.9101999999999997</v>
      </c>
      <c r="H34" s="14"/>
      <c r="J34" s="21"/>
    </row>
    <row r="35" spans="1:10" s="15" customFormat="1" x14ac:dyDescent="0.2">
      <c r="A35" s="17" t="s">
        <v>55</v>
      </c>
      <c r="B35" s="18" t="s">
        <v>36</v>
      </c>
      <c r="C35" s="19">
        <v>1000</v>
      </c>
      <c r="D35" s="20">
        <v>4974.2250000000004</v>
      </c>
      <c r="E35" s="20">
        <f t="shared" si="0"/>
        <v>2.6824714090927815</v>
      </c>
      <c r="F35" s="20" t="s">
        <v>56</v>
      </c>
      <c r="G35" s="13">
        <v>6.7553999999999998</v>
      </c>
      <c r="H35" s="14"/>
      <c r="J35" s="21"/>
    </row>
    <row r="36" spans="1:10" s="15" customFormat="1" x14ac:dyDescent="0.2">
      <c r="A36" s="17" t="s">
        <v>57</v>
      </c>
      <c r="B36" s="18" t="s">
        <v>36</v>
      </c>
      <c r="C36" s="19">
        <v>1000</v>
      </c>
      <c r="D36" s="20">
        <v>4967.8</v>
      </c>
      <c r="E36" s="20">
        <f t="shared" si="0"/>
        <v>2.6790065720973857</v>
      </c>
      <c r="F36" s="20" t="s">
        <v>58</v>
      </c>
      <c r="G36" s="13">
        <v>6.7595000000000001</v>
      </c>
      <c r="H36" s="14"/>
      <c r="J36" s="21"/>
    </row>
    <row r="37" spans="1:10" s="15" customFormat="1" x14ac:dyDescent="0.2">
      <c r="A37" s="17" t="s">
        <v>59</v>
      </c>
      <c r="B37" s="18" t="s">
        <v>36</v>
      </c>
      <c r="C37" s="19">
        <v>1000</v>
      </c>
      <c r="D37" s="20">
        <v>4960.1350000000002</v>
      </c>
      <c r="E37" s="20">
        <f t="shared" si="0"/>
        <v>2.6748730350437349</v>
      </c>
      <c r="F37" s="20" t="s">
        <v>60</v>
      </c>
      <c r="G37" s="13">
        <v>6.9850000000000003</v>
      </c>
      <c r="H37" s="14"/>
      <c r="J37" s="21"/>
    </row>
    <row r="38" spans="1:10" s="15" customFormat="1" x14ac:dyDescent="0.2">
      <c r="A38" s="17" t="s">
        <v>61</v>
      </c>
      <c r="B38" s="18" t="s">
        <v>36</v>
      </c>
      <c r="C38" s="19">
        <v>1000</v>
      </c>
      <c r="D38" s="20">
        <v>4959.9949999999999</v>
      </c>
      <c r="E38" s="20">
        <f t="shared" si="0"/>
        <v>2.6747975366500607</v>
      </c>
      <c r="F38" s="20" t="s">
        <v>62</v>
      </c>
      <c r="G38" s="13">
        <v>7.1802999999999999</v>
      </c>
      <c r="H38" s="14"/>
      <c r="J38" s="21"/>
    </row>
    <row r="39" spans="1:10" s="15" customFormat="1" x14ac:dyDescent="0.2">
      <c r="A39" s="17" t="s">
        <v>63</v>
      </c>
      <c r="B39" s="18" t="s">
        <v>36</v>
      </c>
      <c r="C39" s="19">
        <v>1000</v>
      </c>
      <c r="D39" s="20">
        <v>4959.165</v>
      </c>
      <c r="E39" s="20">
        <f t="shared" si="0"/>
        <v>2.6743499390304222</v>
      </c>
      <c r="F39" s="20" t="s">
        <v>64</v>
      </c>
      <c r="G39" s="13">
        <v>6.99</v>
      </c>
      <c r="H39" s="14"/>
      <c r="J39" s="21"/>
    </row>
    <row r="40" spans="1:10" s="15" customFormat="1" x14ac:dyDescent="0.2">
      <c r="A40" s="17" t="s">
        <v>65</v>
      </c>
      <c r="B40" s="18" t="s">
        <v>33</v>
      </c>
      <c r="C40" s="19">
        <v>1000</v>
      </c>
      <c r="D40" s="20">
        <v>4953.0150000000003</v>
      </c>
      <c r="E40" s="20">
        <f t="shared" si="0"/>
        <v>2.6710334024511719</v>
      </c>
      <c r="F40" s="20" t="s">
        <v>66</v>
      </c>
      <c r="G40" s="13">
        <v>6.9253</v>
      </c>
      <c r="H40" s="14"/>
      <c r="J40" s="21"/>
    </row>
    <row r="41" spans="1:10" s="15" customFormat="1" x14ac:dyDescent="0.2">
      <c r="A41" s="17" t="s">
        <v>47</v>
      </c>
      <c r="B41" s="18" t="s">
        <v>36</v>
      </c>
      <c r="C41" s="19">
        <v>900</v>
      </c>
      <c r="D41" s="20">
        <v>4484.1959999999999</v>
      </c>
      <c r="E41" s="20">
        <f t="shared" si="0"/>
        <v>2.4182113922808499</v>
      </c>
      <c r="F41" s="20" t="s">
        <v>67</v>
      </c>
      <c r="G41" s="13">
        <v>6.7705000000000002</v>
      </c>
      <c r="H41" s="14"/>
      <c r="J41" s="21"/>
    </row>
    <row r="42" spans="1:10" s="15" customFormat="1" x14ac:dyDescent="0.2">
      <c r="A42" s="17" t="s">
        <v>68</v>
      </c>
      <c r="B42" s="18" t="s">
        <v>36</v>
      </c>
      <c r="C42" s="19">
        <v>600</v>
      </c>
      <c r="D42" s="20">
        <v>2981.2469999999998</v>
      </c>
      <c r="E42" s="20">
        <f t="shared" si="0"/>
        <v>1.6077097117528107</v>
      </c>
      <c r="F42" s="20" t="s">
        <v>69</v>
      </c>
      <c r="G42" s="13">
        <v>6.7534000000000001</v>
      </c>
      <c r="H42" s="14"/>
      <c r="J42" s="21"/>
    </row>
    <row r="43" spans="1:10" s="15" customFormat="1" x14ac:dyDescent="0.2">
      <c r="A43" s="17" t="s">
        <v>70</v>
      </c>
      <c r="B43" s="18" t="s">
        <v>41</v>
      </c>
      <c r="C43" s="19">
        <v>548</v>
      </c>
      <c r="D43" s="20">
        <v>2719.7349599999998</v>
      </c>
      <c r="E43" s="20">
        <f t="shared" si="0"/>
        <v>1.4666830049927573</v>
      </c>
      <c r="F43" s="20" t="s">
        <v>71</v>
      </c>
      <c r="G43" s="13">
        <v>6.7995999999999999</v>
      </c>
      <c r="H43" s="14"/>
      <c r="J43" s="21"/>
    </row>
    <row r="44" spans="1:10" s="15" customFormat="1" x14ac:dyDescent="0.2">
      <c r="A44" s="17" t="s">
        <v>57</v>
      </c>
      <c r="B44" s="18" t="s">
        <v>36</v>
      </c>
      <c r="C44" s="19">
        <v>500</v>
      </c>
      <c r="D44" s="20">
        <v>2495.8375000000001</v>
      </c>
      <c r="E44" s="20">
        <f t="shared" si="0"/>
        <v>1.3459408722950015</v>
      </c>
      <c r="F44" s="20" t="s">
        <v>72</v>
      </c>
      <c r="G44" s="13">
        <v>6.7637999999999998</v>
      </c>
      <c r="H44" s="14"/>
      <c r="J44" s="21"/>
    </row>
    <row r="45" spans="1:10" s="15" customFormat="1" x14ac:dyDescent="0.2">
      <c r="A45" s="17" t="s">
        <v>47</v>
      </c>
      <c r="B45" s="18" t="s">
        <v>36</v>
      </c>
      <c r="C45" s="19">
        <v>500</v>
      </c>
      <c r="D45" s="20">
        <v>2493.9875000000002</v>
      </c>
      <c r="E45" s="20">
        <f t="shared" si="0"/>
        <v>1.344943214950024</v>
      </c>
      <c r="F45" s="20" t="s">
        <v>73</v>
      </c>
      <c r="G45" s="13">
        <v>6.7702</v>
      </c>
      <c r="H45" s="14"/>
      <c r="J45" s="21"/>
    </row>
    <row r="46" spans="1:10" s="15" customFormat="1" x14ac:dyDescent="0.2">
      <c r="A46" s="17" t="s">
        <v>49</v>
      </c>
      <c r="B46" s="18" t="s">
        <v>41</v>
      </c>
      <c r="C46" s="19">
        <v>500</v>
      </c>
      <c r="D46" s="20">
        <v>2493.96</v>
      </c>
      <c r="E46" s="20">
        <f t="shared" si="0"/>
        <v>1.3449283849084093</v>
      </c>
      <c r="F46" s="20" t="s">
        <v>74</v>
      </c>
      <c r="G46" s="13">
        <v>6.7998000000000003</v>
      </c>
      <c r="H46" s="14"/>
      <c r="J46" s="21"/>
    </row>
    <row r="47" spans="1:10" s="15" customFormat="1" x14ac:dyDescent="0.2">
      <c r="A47" s="17" t="s">
        <v>40</v>
      </c>
      <c r="B47" s="18" t="s">
        <v>41</v>
      </c>
      <c r="C47" s="19">
        <v>500</v>
      </c>
      <c r="D47" s="20">
        <v>2493.0425</v>
      </c>
      <c r="E47" s="20">
        <f t="shared" si="0"/>
        <v>1.3444336007927244</v>
      </c>
      <c r="F47" s="20" t="s">
        <v>75</v>
      </c>
      <c r="G47" s="13">
        <v>6.7920999999999996</v>
      </c>
      <c r="H47" s="14"/>
      <c r="J47" s="21"/>
    </row>
    <row r="48" spans="1:10" s="15" customFormat="1" x14ac:dyDescent="0.2">
      <c r="A48" s="17" t="s">
        <v>43</v>
      </c>
      <c r="B48" s="18" t="s">
        <v>33</v>
      </c>
      <c r="C48" s="19">
        <v>500</v>
      </c>
      <c r="D48" s="20">
        <v>2490.3150000000001</v>
      </c>
      <c r="E48" s="20">
        <f t="shared" si="0"/>
        <v>1.3429627303016829</v>
      </c>
      <c r="F48" s="20" t="s">
        <v>76</v>
      </c>
      <c r="G48" s="13">
        <v>6.7595999999999998</v>
      </c>
      <c r="H48" s="14"/>
      <c r="J48" s="21"/>
    </row>
    <row r="49" spans="1:10" s="15" customFormat="1" x14ac:dyDescent="0.2">
      <c r="A49" s="17" t="s">
        <v>68</v>
      </c>
      <c r="B49" s="18" t="s">
        <v>36</v>
      </c>
      <c r="C49" s="19">
        <v>500</v>
      </c>
      <c r="D49" s="20">
        <v>2487.56</v>
      </c>
      <c r="E49" s="20">
        <f t="shared" si="0"/>
        <v>1.3414770297690271</v>
      </c>
      <c r="F49" s="20" t="s">
        <v>77</v>
      </c>
      <c r="G49" s="13">
        <v>6.7610999999999999</v>
      </c>
      <c r="H49" s="14"/>
      <c r="J49" s="21"/>
    </row>
    <row r="50" spans="1:10" s="15" customFormat="1" x14ac:dyDescent="0.2">
      <c r="A50" s="17" t="s">
        <v>78</v>
      </c>
      <c r="B50" s="18" t="s">
        <v>79</v>
      </c>
      <c r="C50" s="19">
        <v>500</v>
      </c>
      <c r="D50" s="20">
        <v>2486.125</v>
      </c>
      <c r="E50" s="20">
        <f t="shared" si="0"/>
        <v>1.3407031712338686</v>
      </c>
      <c r="F50" s="20" t="s">
        <v>80</v>
      </c>
      <c r="G50" s="13">
        <v>7.0243000000000002</v>
      </c>
      <c r="H50" s="14"/>
      <c r="J50" s="21"/>
    </row>
    <row r="51" spans="1:10" s="15" customFormat="1" x14ac:dyDescent="0.2">
      <c r="A51" s="17" t="s">
        <v>81</v>
      </c>
      <c r="B51" s="18" t="s">
        <v>36</v>
      </c>
      <c r="C51" s="19">
        <v>500</v>
      </c>
      <c r="D51" s="20">
        <v>2479.8074999999999</v>
      </c>
      <c r="E51" s="20">
        <f t="shared" si="0"/>
        <v>1.3372963062193299</v>
      </c>
      <c r="F51" s="20" t="s">
        <v>82</v>
      </c>
      <c r="G51" s="13">
        <v>6.7552000000000003</v>
      </c>
      <c r="H51" s="14"/>
      <c r="J51" s="21"/>
    </row>
    <row r="52" spans="1:10" s="15" customFormat="1" x14ac:dyDescent="0.2">
      <c r="A52" s="17" t="s">
        <v>47</v>
      </c>
      <c r="B52" s="18" t="s">
        <v>36</v>
      </c>
      <c r="C52" s="19">
        <v>500</v>
      </c>
      <c r="D52" s="20">
        <v>2477.81</v>
      </c>
      <c r="E52" s="20">
        <f t="shared" si="0"/>
        <v>1.3362191059238744</v>
      </c>
      <c r="F52" s="20" t="s">
        <v>83</v>
      </c>
      <c r="G52" s="13">
        <v>6.8098999999999998</v>
      </c>
      <c r="H52" s="14"/>
      <c r="J52" s="21"/>
    </row>
    <row r="53" spans="1:10" s="15" customFormat="1" x14ac:dyDescent="0.2">
      <c r="A53" s="8" t="s">
        <v>84</v>
      </c>
      <c r="B53" s="18"/>
      <c r="C53" s="19"/>
      <c r="D53" s="20"/>
      <c r="E53" s="16"/>
      <c r="F53" s="24"/>
      <c r="G53" s="13"/>
      <c r="H53" s="14"/>
    </row>
    <row r="54" spans="1:10" s="15" customFormat="1" x14ac:dyDescent="0.2">
      <c r="A54" s="17" t="s">
        <v>85</v>
      </c>
      <c r="B54" s="18" t="s">
        <v>86</v>
      </c>
      <c r="C54" s="19">
        <v>8000000</v>
      </c>
      <c r="D54" s="20">
        <v>7969.7359999999999</v>
      </c>
      <c r="E54" s="20">
        <f t="shared" ref="E54:E64" si="1">(+D54/$D$74*100)</f>
        <v>4.2978733286124902</v>
      </c>
      <c r="F54" s="20" t="s">
        <v>87</v>
      </c>
      <c r="G54" s="13">
        <v>6.3002000000000002</v>
      </c>
      <c r="H54" s="14"/>
    </row>
    <row r="55" spans="1:10" s="15" customFormat="1" x14ac:dyDescent="0.2">
      <c r="A55" s="17" t="s">
        <v>88</v>
      </c>
      <c r="B55" s="18" t="s">
        <v>86</v>
      </c>
      <c r="C55" s="19">
        <v>5940800</v>
      </c>
      <c r="D55" s="20">
        <v>5911.1672896</v>
      </c>
      <c r="E55" s="20">
        <f t="shared" si="1"/>
        <v>3.1877402507358368</v>
      </c>
      <c r="F55" s="20" t="s">
        <v>89</v>
      </c>
      <c r="G55" s="13">
        <v>6.3101000000000003</v>
      </c>
      <c r="H55" s="14"/>
    </row>
    <row r="56" spans="1:10" s="15" customFormat="1" x14ac:dyDescent="0.2">
      <c r="A56" s="17" t="s">
        <v>90</v>
      </c>
      <c r="B56" s="18" t="s">
        <v>86</v>
      </c>
      <c r="C56" s="19">
        <v>2500000</v>
      </c>
      <c r="D56" s="20">
        <v>2499.5650000000001</v>
      </c>
      <c r="E56" s="20">
        <f t="shared" si="1"/>
        <v>1.3479510170265714</v>
      </c>
      <c r="F56" s="20" t="s">
        <v>91</v>
      </c>
      <c r="G56" s="13">
        <v>6.3521000000000001</v>
      </c>
      <c r="H56" s="14"/>
    </row>
    <row r="57" spans="1:10" s="15" customFormat="1" x14ac:dyDescent="0.2">
      <c r="A57" s="17" t="s">
        <v>92</v>
      </c>
      <c r="B57" s="18" t="s">
        <v>86</v>
      </c>
      <c r="C57" s="19">
        <v>2500000</v>
      </c>
      <c r="D57" s="20">
        <v>2481.4949999999999</v>
      </c>
      <c r="E57" s="20">
        <f t="shared" si="1"/>
        <v>1.3382063315002217</v>
      </c>
      <c r="F57" s="20" t="s">
        <v>93</v>
      </c>
      <c r="G57" s="13">
        <v>6.3299000000000003</v>
      </c>
      <c r="H57" s="14"/>
    </row>
    <row r="58" spans="1:10" s="15" customFormat="1" x14ac:dyDescent="0.2">
      <c r="A58" s="17" t="s">
        <v>94</v>
      </c>
      <c r="B58" s="18" t="s">
        <v>86</v>
      </c>
      <c r="C58" s="19">
        <v>2500000</v>
      </c>
      <c r="D58" s="20">
        <v>2475.5524999999998</v>
      </c>
      <c r="E58" s="20">
        <f t="shared" si="1"/>
        <v>1.3350016943258813</v>
      </c>
      <c r="F58" s="20" t="s">
        <v>95</v>
      </c>
      <c r="G58" s="13">
        <v>6.3242000000000003</v>
      </c>
      <c r="H58" s="14"/>
    </row>
    <row r="59" spans="1:10" s="15" customFormat="1" x14ac:dyDescent="0.2">
      <c r="A59" s="17" t="s">
        <v>96</v>
      </c>
      <c r="B59" s="18" t="s">
        <v>86</v>
      </c>
      <c r="C59" s="19">
        <v>2500000</v>
      </c>
      <c r="D59" s="20">
        <v>2475.5524999999998</v>
      </c>
      <c r="E59" s="20">
        <f t="shared" si="1"/>
        <v>1.3350016943258813</v>
      </c>
      <c r="F59" s="20" t="s">
        <v>97</v>
      </c>
      <c r="G59" s="13">
        <v>6.3242000000000003</v>
      </c>
      <c r="H59" s="14"/>
    </row>
    <row r="60" spans="1:10" s="15" customFormat="1" x14ac:dyDescent="0.2">
      <c r="A60" s="17" t="s">
        <v>98</v>
      </c>
      <c r="B60" s="18" t="s">
        <v>86</v>
      </c>
      <c r="C60" s="19">
        <v>2000000</v>
      </c>
      <c r="D60" s="20">
        <v>1997.24</v>
      </c>
      <c r="E60" s="20">
        <f t="shared" si="1"/>
        <v>1.0770600841531024</v>
      </c>
      <c r="F60" s="20" t="s">
        <v>99</v>
      </c>
      <c r="G60" s="13">
        <v>6.3049999999999997</v>
      </c>
      <c r="H60" s="14"/>
    </row>
    <row r="61" spans="1:10" s="15" customFormat="1" x14ac:dyDescent="0.2">
      <c r="A61" s="17" t="s">
        <v>100</v>
      </c>
      <c r="B61" s="18" t="s">
        <v>86</v>
      </c>
      <c r="C61" s="19">
        <v>1000000</v>
      </c>
      <c r="D61" s="20">
        <v>995.01199999999994</v>
      </c>
      <c r="E61" s="20">
        <f t="shared" si="1"/>
        <v>0.53658434061672444</v>
      </c>
      <c r="F61" s="20" t="s">
        <v>101</v>
      </c>
      <c r="G61" s="13">
        <v>6.3101000000000003</v>
      </c>
      <c r="H61" s="14"/>
    </row>
    <row r="62" spans="1:10" s="15" customFormat="1" x14ac:dyDescent="0.2">
      <c r="A62" s="17" t="s">
        <v>102</v>
      </c>
      <c r="B62" s="18" t="s">
        <v>86</v>
      </c>
      <c r="C62" s="19">
        <v>500000</v>
      </c>
      <c r="D62" s="20">
        <v>499.9135</v>
      </c>
      <c r="E62" s="20">
        <f t="shared" si="1"/>
        <v>0.26959047304243455</v>
      </c>
      <c r="F62" s="20" t="s">
        <v>103</v>
      </c>
      <c r="G62" s="13">
        <v>6.3338000000000001</v>
      </c>
      <c r="H62" s="14"/>
    </row>
    <row r="63" spans="1:10" s="15" customFormat="1" x14ac:dyDescent="0.2">
      <c r="A63" s="17" t="s">
        <v>104</v>
      </c>
      <c r="B63" s="18" t="s">
        <v>86</v>
      </c>
      <c r="C63" s="19">
        <v>400000</v>
      </c>
      <c r="D63" s="20">
        <v>399.93119999999999</v>
      </c>
      <c r="E63" s="20">
        <f t="shared" si="1"/>
        <v>0.21567259414364384</v>
      </c>
      <c r="F63" s="20" t="s">
        <v>105</v>
      </c>
      <c r="G63" s="13">
        <v>6.2972999999999999</v>
      </c>
      <c r="H63" s="14"/>
    </row>
    <row r="64" spans="1:10" s="15" customFormat="1" x14ac:dyDescent="0.2">
      <c r="A64" s="17" t="s">
        <v>106</v>
      </c>
      <c r="B64" s="18" t="s">
        <v>86</v>
      </c>
      <c r="C64" s="19">
        <v>400000</v>
      </c>
      <c r="D64" s="20">
        <v>397.03919999999999</v>
      </c>
      <c r="E64" s="20">
        <f t="shared" si="1"/>
        <v>0.21411301304003547</v>
      </c>
      <c r="F64" s="20" t="s">
        <v>107</v>
      </c>
      <c r="G64" s="13">
        <v>6.3299000000000003</v>
      </c>
      <c r="H64" s="14"/>
    </row>
    <row r="65" spans="1:8" s="15" customFormat="1" x14ac:dyDescent="0.2">
      <c r="A65" s="8" t="s">
        <v>23</v>
      </c>
      <c r="B65" s="25"/>
      <c r="C65" s="26"/>
      <c r="D65" s="11">
        <f>IF(ISERROR(SUM(D25:D64)),0,SUM(D25:D64))</f>
        <v>156624.41464959993</v>
      </c>
      <c r="E65" s="11">
        <f>IF(ISERROR(SUM(E25:E64)),0,SUM(E25:E64))</f>
        <v>84.463512258380888</v>
      </c>
      <c r="F65" s="27"/>
      <c r="G65" s="13"/>
      <c r="H65" s="14"/>
    </row>
    <row r="66" spans="1:8" s="15" customFormat="1" x14ac:dyDescent="0.2">
      <c r="A66" s="8"/>
      <c r="B66" s="25"/>
      <c r="C66" s="26"/>
      <c r="D66" s="16"/>
      <c r="E66" s="16"/>
      <c r="F66" s="24"/>
      <c r="G66" s="13"/>
      <c r="H66" s="14"/>
    </row>
    <row r="67" spans="1:8" s="15" customFormat="1" x14ac:dyDescent="0.2">
      <c r="A67" s="17" t="s">
        <v>108</v>
      </c>
      <c r="B67" s="18"/>
      <c r="C67" s="19">
        <v>0</v>
      </c>
      <c r="D67" s="20">
        <v>11611.035023699998</v>
      </c>
      <c r="E67" s="20">
        <f>(+D67/$D$74*100)</f>
        <v>6.2615320941554042</v>
      </c>
      <c r="F67" s="20" t="s">
        <v>109</v>
      </c>
      <c r="G67" s="13">
        <v>6.4188000000000001</v>
      </c>
      <c r="H67" s="14"/>
    </row>
    <row r="68" spans="1:8" s="15" customFormat="1" x14ac:dyDescent="0.2">
      <c r="A68" s="8" t="s">
        <v>23</v>
      </c>
      <c r="B68" s="9"/>
      <c r="C68" s="22"/>
      <c r="D68" s="11">
        <f>IF(ISERROR(SUM(D67:D67)),0,SUM(D67:D67))</f>
        <v>11611.035023699998</v>
      </c>
      <c r="E68" s="11">
        <f>IF(ISERROR(SUM(E67:E67)),0,SUM(E67:E67))</f>
        <v>6.2615320941554042</v>
      </c>
      <c r="F68" s="20"/>
      <c r="G68" s="13"/>
      <c r="H68" s="14"/>
    </row>
    <row r="69" spans="1:8" s="15" customFormat="1" x14ac:dyDescent="0.2">
      <c r="A69" s="8"/>
      <c r="B69" s="9"/>
      <c r="C69" s="22"/>
      <c r="D69" s="11"/>
      <c r="E69" s="11"/>
      <c r="F69" s="12"/>
      <c r="G69" s="13"/>
      <c r="H69" s="14"/>
    </row>
    <row r="70" spans="1:8" s="15" customFormat="1" x14ac:dyDescent="0.2">
      <c r="A70" s="8" t="s">
        <v>26</v>
      </c>
      <c r="B70" s="9"/>
      <c r="C70" s="22" t="s">
        <v>110</v>
      </c>
      <c r="D70" s="11">
        <f>+IF(ISERROR(D15),0,D15)+IF(ISERROR(D68),0,D68)+IF(ISERROR(#REF!),0,#REF!)+IF(ISERROR(#REF!),0,#REF!)+IF(ISERROR(#REF!),0,#REF!)+IF(ISERROR(D65),0,D65)+IF(ISERROR(#REF!),0,#REF!)+IF(ISERROR(#REF!),0,#REF!)+IF(ISERROR(#REF!),0,#REF!)</f>
        <v>184233.60367329992</v>
      </c>
      <c r="E70" s="11">
        <f>+IF(ISERROR(E15),0,E15)+IF(ISERROR(E68),0,E68)+IF(ISERROR(#REF!),0,#REF!)+IF(ISERROR(#REF!),0,#REF!)+IF(ISERROR(#REF!),0,#REF!)+IF(ISERROR(E65),0,E65)+IF(ISERROR(#REF!),0,#REF!)+IF(ISERROR(#REF!),0,#REF!)+IF(ISERROR(#REF!),0,#REF!)</f>
        <v>99.352436700743965</v>
      </c>
      <c r="F70" s="11">
        <f>+IF(ISERROR(F15),0,F15)+IF(ISERROR(F68),0,F68)+IF(ISERROR(#REF!),0,#REF!)+IF(ISERROR(#REF!),0,#REF!)+IF(ISERROR(#REF!),0,#REF!)+IF(ISERROR(F65),0,F65)+IF(ISERROR(#REF!),0,#REF!)</f>
        <v>0</v>
      </c>
      <c r="G70" s="13"/>
      <c r="H70" s="14"/>
    </row>
    <row r="71" spans="1:8" s="15" customFormat="1" x14ac:dyDescent="0.2">
      <c r="A71" s="8"/>
      <c r="B71" s="9"/>
      <c r="C71" s="22"/>
      <c r="D71" s="11"/>
      <c r="E71" s="11"/>
      <c r="F71" s="28"/>
      <c r="H71" s="1"/>
    </row>
    <row r="72" spans="1:8" s="15" customFormat="1" x14ac:dyDescent="0.2">
      <c r="A72" s="8" t="s">
        <v>111</v>
      </c>
      <c r="B72" s="9"/>
      <c r="C72" s="22"/>
      <c r="D72" s="11">
        <f>+D74-D70</f>
        <v>1200.8051758999354</v>
      </c>
      <c r="E72" s="11">
        <f>D72/$D$74*100</f>
        <v>0.64756329925610612</v>
      </c>
      <c r="F72" s="28"/>
      <c r="H72" s="1"/>
    </row>
    <row r="73" spans="1:8" s="15" customFormat="1" x14ac:dyDescent="0.2">
      <c r="A73" s="8"/>
      <c r="B73" s="9"/>
      <c r="C73" s="22"/>
      <c r="D73" s="16"/>
      <c r="E73" s="16"/>
      <c r="F73" s="28"/>
      <c r="H73" s="1"/>
    </row>
    <row r="74" spans="1:8" s="15" customFormat="1" x14ac:dyDescent="0.2">
      <c r="A74" s="8" t="s">
        <v>112</v>
      </c>
      <c r="B74" s="9"/>
      <c r="C74" s="22"/>
      <c r="D74" s="11">
        <v>185434.40884919986</v>
      </c>
      <c r="E74" s="11">
        <f>+E70+E72</f>
        <v>100.00000000000007</v>
      </c>
      <c r="F74" s="28"/>
      <c r="H74" s="1"/>
    </row>
    <row r="75" spans="1:8" s="15" customFormat="1" x14ac:dyDescent="0.2">
      <c r="A75" s="29"/>
      <c r="B75" s="30"/>
      <c r="C75" s="31"/>
      <c r="D75" s="32"/>
      <c r="E75" s="32"/>
      <c r="F75" s="28"/>
      <c r="H75" s="1"/>
    </row>
    <row r="76" spans="1:8" s="15" customFormat="1" x14ac:dyDescent="0.2">
      <c r="A76" s="33"/>
      <c r="B76" s="30"/>
      <c r="C76" s="31"/>
      <c r="D76" s="32"/>
      <c r="E76" s="32"/>
      <c r="F76" s="34"/>
      <c r="H76" s="1"/>
    </row>
    <row r="77" spans="1:8" x14ac:dyDescent="0.2">
      <c r="A77" s="33" t="s">
        <v>113</v>
      </c>
      <c r="B77" s="35"/>
      <c r="C77" s="36"/>
      <c r="D77" s="37"/>
      <c r="E77" s="34"/>
      <c r="G77" s="38"/>
      <c r="H77" s="38"/>
    </row>
    <row r="78" spans="1:8" ht="15" customHeight="1" x14ac:dyDescent="0.25">
      <c r="A78" s="66" t="s">
        <v>114</v>
      </c>
      <c r="B78" s="66"/>
      <c r="C78" s="66"/>
      <c r="D78" s="66"/>
      <c r="E78" s="66"/>
      <c r="F78" s="66"/>
      <c r="G78" s="66"/>
      <c r="H78" s="37"/>
    </row>
    <row r="79" spans="1:8" ht="30" customHeight="1" x14ac:dyDescent="0.2">
      <c r="A79" s="69" t="s">
        <v>115</v>
      </c>
      <c r="B79" s="69"/>
      <c r="C79" s="69"/>
      <c r="D79" s="69"/>
      <c r="E79" s="69"/>
      <c r="F79" s="69"/>
      <c r="G79" s="69"/>
      <c r="H79" s="69"/>
    </row>
    <row r="80" spans="1:8" ht="15" x14ac:dyDescent="0.2">
      <c r="A80" s="69" t="s">
        <v>116</v>
      </c>
      <c r="B80" s="69"/>
      <c r="C80" s="69"/>
      <c r="D80" s="69"/>
      <c r="E80" s="69"/>
      <c r="F80" s="69"/>
      <c r="G80" s="69"/>
      <c r="H80" s="69"/>
    </row>
    <row r="81" spans="1:8" ht="73.5" customHeight="1" x14ac:dyDescent="0.2">
      <c r="A81" s="65" t="s">
        <v>117</v>
      </c>
      <c r="B81" s="65"/>
      <c r="C81" s="65"/>
      <c r="D81" s="65"/>
      <c r="E81" s="65"/>
      <c r="F81" s="65"/>
      <c r="G81" s="65"/>
      <c r="H81" s="65"/>
    </row>
    <row r="82" spans="1:8" ht="15" x14ac:dyDescent="0.2">
      <c r="A82" s="39"/>
      <c r="B82" s="39"/>
      <c r="C82" s="39"/>
      <c r="D82" s="39"/>
      <c r="E82" s="39"/>
      <c r="F82" s="39"/>
      <c r="G82" s="38"/>
      <c r="H82" s="38"/>
    </row>
    <row r="83" spans="1:8" ht="15" x14ac:dyDescent="0.25">
      <c r="A83" s="40" t="s">
        <v>118</v>
      </c>
      <c r="B83" s="41"/>
      <c r="C83" s="42"/>
    </row>
    <row r="84" spans="1:8" ht="15" x14ac:dyDescent="0.25">
      <c r="A84" s="43" t="s">
        <v>119</v>
      </c>
      <c r="B84" s="41"/>
      <c r="C84" s="41"/>
      <c r="D84" s="41"/>
    </row>
    <row r="85" spans="1:8" ht="15" x14ac:dyDescent="0.25">
      <c r="A85" s="43" t="s">
        <v>120</v>
      </c>
      <c r="B85" s="41"/>
      <c r="C85" s="41"/>
      <c r="D85" s="41"/>
    </row>
    <row r="86" spans="1:8" ht="15" x14ac:dyDescent="0.25">
      <c r="A86" s="43" t="s">
        <v>121</v>
      </c>
      <c r="B86" s="41"/>
      <c r="C86" s="41"/>
      <c r="D86" s="41"/>
    </row>
    <row r="87" spans="1:8" ht="15" x14ac:dyDescent="0.25">
      <c r="A87" s="43"/>
      <c r="B87" s="41"/>
      <c r="C87" s="41"/>
      <c r="D87" s="41"/>
    </row>
    <row r="88" spans="1:8" ht="14.25" x14ac:dyDescent="0.2">
      <c r="A88" s="44" t="s">
        <v>122</v>
      </c>
      <c r="B88" s="41"/>
      <c r="C88" s="41"/>
      <c r="D88" s="42" t="s">
        <v>123</v>
      </c>
    </row>
    <row r="90" spans="1:8" x14ac:dyDescent="0.2">
      <c r="A90" s="45"/>
    </row>
    <row r="105" spans="1:4" x14ac:dyDescent="0.2">
      <c r="C105" s="46"/>
      <c r="D105" s="46"/>
    </row>
    <row r="106" spans="1:4" ht="13.5" thickBot="1" x14ac:dyDescent="0.25">
      <c r="C106" s="46"/>
      <c r="D106" s="46"/>
    </row>
    <row r="107" spans="1:4" ht="13.5" thickBot="1" x14ac:dyDescent="0.25">
      <c r="A107" s="58" t="s">
        <v>124</v>
      </c>
      <c r="B107" s="59"/>
      <c r="C107" s="59"/>
      <c r="D107" s="60"/>
    </row>
    <row r="108" spans="1:4" ht="13.5" thickBot="1" x14ac:dyDescent="0.25">
      <c r="A108" s="49" t="s">
        <v>125</v>
      </c>
      <c r="B108" s="61" t="s">
        <v>126</v>
      </c>
      <c r="C108" s="61" t="s">
        <v>127</v>
      </c>
      <c r="D108" s="61" t="s">
        <v>128</v>
      </c>
    </row>
    <row r="109" spans="1:4" ht="13.5" thickBot="1" x14ac:dyDescent="0.25">
      <c r="A109" s="49" t="s">
        <v>129</v>
      </c>
      <c r="B109" s="62"/>
      <c r="C109" s="62"/>
      <c r="D109" s="62"/>
    </row>
    <row r="110" spans="1:4" ht="15.75" thickBot="1" x14ac:dyDescent="0.25">
      <c r="A110" s="50" t="s">
        <v>130</v>
      </c>
      <c r="B110" s="51"/>
      <c r="C110" s="52" t="s">
        <v>131</v>
      </c>
      <c r="D110" s="51"/>
    </row>
    <row r="111" spans="1:4" ht="15.75" thickBot="1" x14ac:dyDescent="0.25">
      <c r="A111" s="50" t="s">
        <v>132</v>
      </c>
      <c r="B111" s="51"/>
      <c r="C111" s="51"/>
      <c r="D111" s="51"/>
    </row>
    <row r="112" spans="1:4" ht="15.75" thickBot="1" x14ac:dyDescent="0.25">
      <c r="A112" s="50" t="s">
        <v>133</v>
      </c>
      <c r="B112" s="51"/>
      <c r="C112" s="51"/>
      <c r="D112" s="51"/>
    </row>
    <row r="115" spans="1:2" x14ac:dyDescent="0.2">
      <c r="A115" s="63" t="s">
        <v>134</v>
      </c>
      <c r="B115" s="64"/>
    </row>
    <row r="116" spans="1:2" x14ac:dyDescent="0.2">
      <c r="A116" s="53" t="s">
        <v>135</v>
      </c>
      <c r="B116" s="54" t="s">
        <v>136</v>
      </c>
    </row>
    <row r="117" spans="1:2" x14ac:dyDescent="0.2">
      <c r="A117" s="53" t="s">
        <v>137</v>
      </c>
      <c r="B117" s="54"/>
    </row>
    <row r="118" spans="1:2" x14ac:dyDescent="0.2">
      <c r="A118" s="53"/>
      <c r="B118" s="25" t="s">
        <v>110</v>
      </c>
    </row>
    <row r="119" spans="1:2" x14ac:dyDescent="0.2">
      <c r="A119" s="53" t="s">
        <v>142</v>
      </c>
      <c r="B119" s="55">
        <v>6.8</v>
      </c>
    </row>
    <row r="120" spans="1:2" x14ac:dyDescent="0.2">
      <c r="A120" s="53" t="s">
        <v>110</v>
      </c>
      <c r="B120" s="25" t="s">
        <v>110</v>
      </c>
    </row>
    <row r="121" spans="1:2" x14ac:dyDescent="0.2">
      <c r="A121" s="53" t="s">
        <v>138</v>
      </c>
      <c r="B121" s="25">
        <v>7.6799999999999993E-2</v>
      </c>
    </row>
    <row r="122" spans="1:2" x14ac:dyDescent="0.2">
      <c r="A122" s="53" t="s">
        <v>139</v>
      </c>
      <c r="B122" s="25">
        <v>7.7499999999999999E-2</v>
      </c>
    </row>
    <row r="123" spans="1:2" x14ac:dyDescent="0.2">
      <c r="A123" s="53" t="s">
        <v>110</v>
      </c>
      <c r="B123" s="25" t="s">
        <v>110</v>
      </c>
    </row>
    <row r="124" spans="1:2" x14ac:dyDescent="0.2">
      <c r="A124" s="53" t="s">
        <v>140</v>
      </c>
      <c r="B124" s="54" t="s">
        <v>141</v>
      </c>
    </row>
    <row r="125" spans="1:2" ht="27" customHeight="1" x14ac:dyDescent="0.2">
      <c r="A125" s="56" t="s">
        <v>143</v>
      </c>
      <c r="B125" s="57"/>
    </row>
  </sheetData>
  <mergeCells count="12">
    <mergeCell ref="A81:H81"/>
    <mergeCell ref="A78:G78"/>
    <mergeCell ref="A1:H1"/>
    <mergeCell ref="A2:H2"/>
    <mergeCell ref="A79:H79"/>
    <mergeCell ref="A80:H80"/>
    <mergeCell ref="A125:B125"/>
    <mergeCell ref="A107:D107"/>
    <mergeCell ref="B108:B109"/>
    <mergeCell ref="C108:C109"/>
    <mergeCell ref="D108:D109"/>
    <mergeCell ref="A115:B11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Valencia Barretto</cp:lastModifiedBy>
  <dcterms:created xsi:type="dcterms:W3CDTF">2023-02-02T07:03:04Z</dcterms:created>
  <dcterms:modified xsi:type="dcterms:W3CDTF">2023-02-09T12:39:14Z</dcterms:modified>
</cp:coreProperties>
</file>