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alencia.barretto\Desktop\Monthly PD\"/>
    </mc:Choice>
  </mc:AlternateContent>
  <bookViews>
    <workbookView xWindow="0" yWindow="0" windowWidth="20490" windowHeight="7650"/>
  </bookViews>
  <sheets>
    <sheet name="EF" sheetId="1" r:id="rId1"/>
  </sheets>
  <definedNames>
    <definedName name="_xlnm._FilterDatabase" localSheetId="0" hidden="1">EF!$A$1:$I$63</definedName>
    <definedName name="Afs">#REF!</definedName>
    <definedName name="_xlnm.Database">#REF!</definedName>
    <definedName name="EBLDB">#REF!</definedName>
    <definedName name="fl">#REF!</definedName>
    <definedName name="_xlnm.Print_Area" localSheetId="0">EF!$A$1:$E$52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7" i="1" l="1"/>
  <c r="D55" i="1"/>
  <c r="E54" i="1"/>
  <c r="E55" i="1" s="1"/>
  <c r="D34" i="1"/>
  <c r="D38" i="1" s="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34" i="1" l="1"/>
  <c r="E38" i="1" s="1"/>
  <c r="E57" i="1" s="1"/>
  <c r="D57" i="1"/>
  <c r="D59" i="1" s="1"/>
  <c r="E59" i="1" s="1"/>
  <c r="E61" i="1" l="1"/>
</calcChain>
</file>

<file path=xl/sharedStrings.xml><?xml version="1.0" encoding="utf-8"?>
<sst xmlns="http://schemas.openxmlformats.org/spreadsheetml/2006/main" count="144" uniqueCount="115">
  <si>
    <t>JM Large Cap Fund (An open ended equity scheme predominantly investing in large cap stocks).</t>
  </si>
  <si>
    <t>Portfolio as on 31.01.2023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</si>
  <si>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</si>
  <si>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</si>
  <si>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</si>
  <si>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</si>
  <si>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</si>
  <si>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</si>
  <si>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</si>
  <si>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</si>
  <si>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</si>
  <si>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</si>
  <si>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</si>
  <si>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</si>
  <si>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</si>
  <si>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HDFC Bank Ltd.</t>
  </si>
  <si>
    <t>Banks</t>
  </si>
  <si>
    <t>INE040A01034</t>
  </si>
  <si>
    <t>Infosys Ltd.</t>
  </si>
  <si>
    <t>IT - Software</t>
  </si>
  <si>
    <t>INE009A01021</t>
  </si>
  <si>
    <t>Fortis Healthcare Ltd.</t>
  </si>
  <si>
    <t>Healthcare Services</t>
  </si>
  <si>
    <t>INE061F01013</t>
  </si>
  <si>
    <t>Britannia Industries Ltd.</t>
  </si>
  <si>
    <t>Food Products</t>
  </si>
  <si>
    <t>INE216A01030</t>
  </si>
  <si>
    <t>Larsen &amp; Toubro Ltd.</t>
  </si>
  <si>
    <t>Construction</t>
  </si>
  <si>
    <t>INE018A01030</t>
  </si>
  <si>
    <t>Indian Oil Corporation Ltd.</t>
  </si>
  <si>
    <t>INE242A01010</t>
  </si>
  <si>
    <t>Maruti Suzuki India Ltd.</t>
  </si>
  <si>
    <t>Automobiles</t>
  </si>
  <si>
    <t>INE585B01010</t>
  </si>
  <si>
    <t>HCL Technologies Ltd.</t>
  </si>
  <si>
    <t>INE860A01027</t>
  </si>
  <si>
    <t>ITC Ltd.</t>
  </si>
  <si>
    <t>Diversified FMCG</t>
  </si>
  <si>
    <t>INE154A01025</t>
  </si>
  <si>
    <t>ICICI Bank Ltd.</t>
  </si>
  <si>
    <t>INE090A01021</t>
  </si>
  <si>
    <t>Axis Bank Ltd.</t>
  </si>
  <si>
    <t>INE238A01034</t>
  </si>
  <si>
    <t>Housing Development Finance Corporation Ltd.</t>
  </si>
  <si>
    <t>Finance</t>
  </si>
  <si>
    <t>INE001A01036</t>
  </si>
  <si>
    <t>State Bank of India</t>
  </si>
  <si>
    <t>INE062A01020</t>
  </si>
  <si>
    <t>Sun Pharmaceutical Industries Ltd.</t>
  </si>
  <si>
    <t>Pharmaceuticals &amp; Biotechnology</t>
  </si>
  <si>
    <t>INE044A01036</t>
  </si>
  <si>
    <t>Tata Consultancy Services Ltd.</t>
  </si>
  <si>
    <t>INE467B01029</t>
  </si>
  <si>
    <t>Aditya Birla Fashion and Retail Ltd.</t>
  </si>
  <si>
    <t>Retailing</t>
  </si>
  <si>
    <t>INE647O01011</t>
  </si>
  <si>
    <t>Mahindra &amp; Mahindra Ltd.</t>
  </si>
  <si>
    <t>INE101A01026</t>
  </si>
  <si>
    <t>Ultratech Cement Ltd.</t>
  </si>
  <si>
    <t>Cement &amp; Cement Products</t>
  </si>
  <si>
    <t>INE481G01011</t>
  </si>
  <si>
    <t>Hindalco Industries Ltd.</t>
  </si>
  <si>
    <t>Non - Ferrous Metals</t>
  </si>
  <si>
    <t>INE038A01020</t>
  </si>
  <si>
    <t>Bank of Baroda</t>
  </si>
  <si>
    <t>INE028A01039</t>
  </si>
  <si>
    <t>The Federal Bank  Ltd.</t>
  </si>
  <si>
    <t>INE171A01029</t>
  </si>
  <si>
    <t>NTPC Ltd.</t>
  </si>
  <si>
    <t>Power</t>
  </si>
  <si>
    <t>INE733E01010</t>
  </si>
  <si>
    <t>Power Grid Corporation of India Ltd.</t>
  </si>
  <si>
    <t>INE752E01010</t>
  </si>
  <si>
    <t>Tata Steel Ltd.</t>
  </si>
  <si>
    <t>Ferrous Metals</t>
  </si>
  <si>
    <t>INE081A01020</t>
  </si>
  <si>
    <t>Tech Mahindra Ltd.</t>
  </si>
  <si>
    <t>INE669C01036</t>
  </si>
  <si>
    <t>Bharti Airtel Ltd.</t>
  </si>
  <si>
    <t>Telecom - Services</t>
  </si>
  <si>
    <t>INE397D01024</t>
  </si>
  <si>
    <t>Gujarat Gas Ltd.</t>
  </si>
  <si>
    <t>Gas</t>
  </si>
  <si>
    <t>INE844O01030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</si>
  <si>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</si>
  <si>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</si>
  <si>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</si>
  <si>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</si>
  <si>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</si>
  <si>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</si>
  <si>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</si>
  <si>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</si>
  <si>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</si>
  <si>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</si>
  <si>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</si>
  <si>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</si>
  <si>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</si>
  <si>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</si>
  <si>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</si>
  <si>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</si>
  <si>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</si>
  <si>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</si>
  <si>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</si>
  <si>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Reconstituted Portfolio</t>
  </si>
  <si>
    <t>Yes Bank Ltd.</t>
  </si>
  <si>
    <t>INE528G01035</t>
  </si>
  <si>
    <t xml:space="preserve">Pursuant to the Gazette Notification dated 13th March 2020 issued by Ministry of Finance (Department of Financial Services) notifying ‘Yes Bank Limited Reconstruction Scheme, 2020’, 75% of shares held by existing shareholders of Yes Bank as on March 13, 2020 are placed under 3 year lock-in from March 13, 2020.  </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</si>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</sst>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6" fillId="0" borderId="0"/>
    <xf numFmtId="0" fontId="6" fillId="0" borderId="0"/>
  </cellStyleXfs>
  <cellXfs count="77">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Alignment="1">
      <alignment horizontal="right"/>
    </xf>
    <xf numFmtId="0" fontId="3" fillId="0" borderId="0" xfId="0" applyFont="1" applyAlignment="1">
      <alignment horizontal="left" wrapText="1"/>
    </xf>
    <xf numFmtId="164" fontId="3" fillId="0" borderId="0" xfId="4" applyFont="1" applyFill="1" applyAlignment="1">
      <alignment horizontal="right"/>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4" fillId="0" borderId="3" xfId="5" applyFont="1" applyFill="1" applyBorder="1" applyAlignment="1">
      <alignment horizontal="center" vertical="center" wrapText="1"/>
    </xf>
    <xf numFmtId="0" fontId="4" fillId="0" borderId="3" xfId="5" applyFont="1" applyFill="1" applyBorder="1" applyAlignment="1">
      <alignment horizontal="left" vertical="center" wrapText="1"/>
    </xf>
    <xf numFmtId="165" fontId="4" fillId="0" borderId="3" xfId="6" applyNumberFormat="1" applyFont="1" applyFill="1" applyBorder="1" applyAlignment="1">
      <alignment horizontal="center" vertical="center"/>
    </xf>
    <xf numFmtId="0" fontId="4" fillId="0" borderId="3" xfId="5" applyFont="1" applyFill="1" applyBorder="1" applyAlignment="1">
      <alignment horizontal="left" wrapText="1"/>
    </xf>
    <xf numFmtId="0" fontId="3" fillId="0" borderId="3" xfId="5" applyFont="1" applyFill="1" applyBorder="1" applyAlignment="1">
      <alignment horizontal="center" wrapText="1"/>
    </xf>
    <xf numFmtId="165" fontId="3" fillId="0" borderId="3" xfId="6" applyNumberFormat="1" applyFont="1" applyFill="1" applyBorder="1" applyAlignment="1">
      <alignment horizontal="center"/>
    </xf>
    <xf numFmtId="4" fontId="3" fillId="0" borderId="3" xfId="5" applyNumberFormat="1" applyFont="1" applyFill="1" applyBorder="1" applyAlignment="1">
      <alignment wrapText="1"/>
    </xf>
    <xf numFmtId="0" fontId="3" fillId="0" borderId="3" xfId="5" applyFont="1" applyFill="1" applyBorder="1" applyAlignment="1">
      <alignment wrapText="1"/>
    </xf>
    <xf numFmtId="164" fontId="3" fillId="0" borderId="3" xfId="1" applyFont="1" applyFill="1" applyBorder="1" applyAlignment="1">
      <alignment vertical="top"/>
    </xf>
    <xf numFmtId="165" fontId="3" fillId="0" borderId="3" xfId="6" applyNumberFormat="1" applyFont="1" applyFill="1" applyBorder="1"/>
    <xf numFmtId="0" fontId="3" fillId="0" borderId="0" xfId="5" applyFont="1" applyFill="1" applyBorder="1" applyAlignment="1"/>
    <xf numFmtId="0" fontId="3" fillId="0" borderId="0" xfId="0" applyFont="1" applyBorder="1" applyAlignment="1">
      <alignment wrapText="1"/>
    </xf>
    <xf numFmtId="0" fontId="3" fillId="0" borderId="0" xfId="0" applyFont="1" applyBorder="1" applyAlignment="1">
      <alignment horizontal="left" wrapText="1"/>
    </xf>
    <xf numFmtId="165" fontId="3" fillId="0" borderId="0" xfId="4" applyNumberFormat="1" applyFont="1" applyBorder="1"/>
    <xf numFmtId="0" fontId="3" fillId="0" borderId="0" xfId="0" applyFont="1" applyBorder="1"/>
    <xf numFmtId="0" fontId="8" fillId="0" borderId="0" xfId="7" applyFont="1" applyBorder="1"/>
    <xf numFmtId="0" fontId="2" fillId="0" borderId="0" xfId="0" applyFont="1" applyFill="1" applyBorder="1" applyAlignment="1">
      <alignment horizontal="left" wrapText="1"/>
    </xf>
    <xf numFmtId="165" fontId="3" fillId="0" borderId="0" xfId="1" applyNumberFormat="1" applyFont="1"/>
    <xf numFmtId="0" fontId="6" fillId="0" borderId="0" xfId="7" applyBorder="1"/>
    <xf numFmtId="0" fontId="9" fillId="0" borderId="0" xfId="8" applyFont="1"/>
    <xf numFmtId="0" fontId="4" fillId="0" borderId="0" xfId="0" applyFont="1" applyFill="1" applyBorder="1" applyAlignment="1">
      <alignment horizontal="left"/>
    </xf>
    <xf numFmtId="0" fontId="3" fillId="0" borderId="0" xfId="0" applyFont="1" applyAlignment="1">
      <alignment wrapText="1"/>
    </xf>
    <xf numFmtId="0" fontId="3" fillId="0" borderId="0" xfId="5" applyFont="1" applyFill="1" applyAlignment="1">
      <alignment horizontal="left" wrapText="1"/>
    </xf>
    <xf numFmtId="0" fontId="3" fillId="0" borderId="0" xfId="0" applyFont="1" applyFill="1" applyAlignment="1">
      <alignment horizontal="left" wrapText="1"/>
    </xf>
    <xf numFmtId="0" fontId="2" fillId="2" borderId="1" xfId="0" applyFont="1" applyFill="1" applyBorder="1" applyAlignment="1">
      <alignment horizontal="left"/>
    </xf>
    <xf numFmtId="0" fontId="2"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9">
    <cellStyle name="Comma" xfId="1" builtinId="3"/>
    <cellStyle name="Comma 3" xfId="6"/>
    <cellStyle name="Comma 4" xfId="4"/>
    <cellStyle name="Normal" xfId="0" builtinId="0"/>
    <cellStyle name="Normal 2 2" xfId="5"/>
    <cellStyle name="Normal 2 3 2" xfId="2"/>
    <cellStyle name="Normal 4_EF" xfId="7"/>
    <cellStyle name="Normal 4_IF" xfId="8"/>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84</xdr:row>
      <xdr:rowOff>0</xdr:rowOff>
    </xdr:from>
    <xdr:to>
      <xdr:col>1</xdr:col>
      <xdr:colOff>257175</xdr:colOff>
      <xdr:row>97</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697325"/>
          <a:ext cx="3714750" cy="2190750"/>
        </a:xfrm>
        <a:prstGeom prst="rect">
          <a:avLst/>
        </a:prstGeom>
        <a:noFill/>
        <a:ln w="9525">
          <a:noFill/>
          <a:miter lim="800000"/>
          <a:headEnd/>
          <a:tailEnd/>
        </a:ln>
      </xdr:spPr>
    </xdr:pic>
    <xdr:clientData/>
  </xdr:twoCellAnchor>
  <xdr:twoCellAnchor editAs="oneCell">
    <xdr:from>
      <xdr:col>2</xdr:col>
      <xdr:colOff>47625</xdr:colOff>
      <xdr:row>83</xdr:row>
      <xdr:rowOff>9525</xdr:rowOff>
    </xdr:from>
    <xdr:to>
      <xdr:col>5</xdr:col>
      <xdr:colOff>619125</xdr:colOff>
      <xdr:row>96</xdr:row>
      <xdr:rowOff>133350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4933950" y="16544925"/>
          <a:ext cx="3905250" cy="22288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3"/>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sqref="A1:H1"/>
    </sheetView>
  </sheetViews>
  <sheetFormatPr defaultRowHeight="12.75" x14ac:dyDescent="0.2"/>
  <cols>
    <col min="1" max="1" width="51.85546875" style="68" customWidth="1"/>
    <col min="2" max="2" width="27.7109375" style="42" customWidth="1"/>
    <col min="3" max="3" width="13.42578125" style="64"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71" t="s">
        <v>0</v>
      </c>
      <c r="B1" s="71"/>
      <c r="C1" s="71"/>
      <c r="D1" s="71"/>
      <c r="E1" s="71"/>
      <c r="F1" s="71"/>
      <c r="G1" s="71"/>
      <c r="H1" s="71"/>
    </row>
    <row r="2" spans="1:8" x14ac:dyDescent="0.2">
      <c r="A2" s="72" t="s">
        <v>1</v>
      </c>
      <c r="B2" s="72"/>
      <c r="C2" s="72"/>
      <c r="D2" s="72"/>
      <c r="E2" s="72"/>
      <c r="F2" s="72"/>
      <c r="G2" s="72"/>
      <c r="H2" s="72"/>
    </row>
    <row r="3" spans="1:8" s="7" customFormat="1" ht="38.25" x14ac:dyDescent="0.2">
      <c r="A3" s="2" t="s">
        <v>2</v>
      </c>
      <c r="B3" s="3" t="s">
        <v>3</v>
      </c>
      <c r="C3" s="4" t="s">
        <v>4</v>
      </c>
      <c r="D3" s="2" t="s">
        <v>5</v>
      </c>
      <c r="E3" s="2" t="s">
        <v>6</v>
      </c>
      <c r="F3" s="2" t="s">
        <v>7</v>
      </c>
      <c r="G3" s="5" t="s">
        <v>8</v>
      </c>
      <c r="H3" s="6" t="s">
        <v>9</v>
      </c>
    </row>
    <row r="4" spans="1:8" x14ac:dyDescent="0.2">
      <c r="A4" s="8" t="s">
        <v>10</v>
      </c>
      <c r="B4" s="9"/>
      <c r="C4" s="10"/>
      <c r="D4" s="11"/>
      <c r="E4" s="11"/>
      <c r="F4" s="12"/>
      <c r="G4" s="13"/>
      <c r="H4" s="14"/>
    </row>
    <row r="5" spans="1:8" x14ac:dyDescent="0.2">
      <c r="A5" s="15" t="s">
        <v>11</v>
      </c>
      <c r="B5" s="9"/>
      <c r="C5" s="10"/>
      <c r="D5" s="11"/>
      <c r="E5" s="11"/>
      <c r="F5" s="12"/>
      <c r="G5" s="13"/>
      <c r="H5" s="14"/>
    </row>
    <row r="6" spans="1:8" s="20" customFormat="1" x14ac:dyDescent="0.2">
      <c r="A6" s="16" t="s">
        <v>12</v>
      </c>
      <c r="B6" s="17" t="s">
        <v>13</v>
      </c>
      <c r="C6" s="18">
        <v>12103</v>
      </c>
      <c r="D6" s="19">
        <v>284.88646549999999</v>
      </c>
      <c r="E6" s="19">
        <f t="shared" ref="E6:E33" si="0">(+D6/$D$61*100)</f>
        <v>6.192910998067565</v>
      </c>
      <c r="F6" s="19" t="s">
        <v>14</v>
      </c>
      <c r="G6" s="14"/>
      <c r="H6" s="13"/>
    </row>
    <row r="7" spans="1:8" s="20" customFormat="1" x14ac:dyDescent="0.2">
      <c r="A7" s="16" t="s">
        <v>15</v>
      </c>
      <c r="B7" s="17" t="s">
        <v>16</v>
      </c>
      <c r="C7" s="18">
        <v>16979</v>
      </c>
      <c r="D7" s="19">
        <v>272.25826499999999</v>
      </c>
      <c r="E7" s="19">
        <f t="shared" si="0"/>
        <v>5.9183970030801403</v>
      </c>
      <c r="F7" s="19" t="s">
        <v>17</v>
      </c>
      <c r="G7" s="14"/>
      <c r="H7" s="14"/>
    </row>
    <row r="8" spans="1:8" s="20" customFormat="1" x14ac:dyDescent="0.2">
      <c r="A8" s="16" t="s">
        <v>18</v>
      </c>
      <c r="B8" s="17" t="s">
        <v>19</v>
      </c>
      <c r="C8" s="18">
        <v>17398</v>
      </c>
      <c r="D8" s="19">
        <v>266.84182499999997</v>
      </c>
      <c r="E8" s="19">
        <f t="shared" si="0"/>
        <v>5.8006534985317524</v>
      </c>
      <c r="F8" s="19" t="s">
        <v>20</v>
      </c>
      <c r="G8" s="14"/>
      <c r="H8" s="21"/>
    </row>
    <row r="9" spans="1:8" s="20" customFormat="1" x14ac:dyDescent="0.2">
      <c r="A9" s="16" t="s">
        <v>21</v>
      </c>
      <c r="B9" s="17" t="s">
        <v>22</v>
      </c>
      <c r="C9" s="18">
        <v>82800</v>
      </c>
      <c r="D9" s="19">
        <v>233.2062</v>
      </c>
      <c r="E9" s="19">
        <f t="shared" si="0"/>
        <v>5.0694764957078817</v>
      </c>
      <c r="F9" s="19" t="s">
        <v>23</v>
      </c>
      <c r="G9" s="14"/>
      <c r="H9" s="14"/>
    </row>
    <row r="10" spans="1:8" s="20" customFormat="1" x14ac:dyDescent="0.2">
      <c r="A10" s="16" t="s">
        <v>24</v>
      </c>
      <c r="B10" s="17" t="s">
        <v>25</v>
      </c>
      <c r="C10" s="18">
        <v>5150</v>
      </c>
      <c r="D10" s="19">
        <v>222.35640000000001</v>
      </c>
      <c r="E10" s="19">
        <f t="shared" si="0"/>
        <v>4.8336216767402416</v>
      </c>
      <c r="F10" s="19" t="s">
        <v>26</v>
      </c>
      <c r="G10" s="14"/>
      <c r="H10" s="14"/>
    </row>
    <row r="11" spans="1:8" s="20" customFormat="1" x14ac:dyDescent="0.2">
      <c r="A11" s="16" t="s">
        <v>27</v>
      </c>
      <c r="B11" s="17" t="s">
        <v>28</v>
      </c>
      <c r="C11" s="18">
        <v>10432</v>
      </c>
      <c r="D11" s="19">
        <v>221.61740800000001</v>
      </c>
      <c r="E11" s="19">
        <f t="shared" si="0"/>
        <v>4.8175573415102342</v>
      </c>
      <c r="F11" s="19" t="s">
        <v>29</v>
      </c>
      <c r="G11" s="14"/>
      <c r="H11" s="13"/>
    </row>
    <row r="12" spans="1:8" s="20" customFormat="1" x14ac:dyDescent="0.2">
      <c r="A12" s="16" t="s">
        <v>30</v>
      </c>
      <c r="B12" s="17" t="s">
        <v>13</v>
      </c>
      <c r="C12" s="18">
        <v>255000</v>
      </c>
      <c r="D12" s="19">
        <v>208.46250000000001</v>
      </c>
      <c r="E12" s="19">
        <f t="shared" si="0"/>
        <v>4.5315936882746009</v>
      </c>
      <c r="F12" s="19" t="s">
        <v>31</v>
      </c>
      <c r="G12" s="14"/>
      <c r="H12" s="21"/>
    </row>
    <row r="13" spans="1:8" s="20" customFormat="1" x14ac:dyDescent="0.2">
      <c r="A13" s="16" t="s">
        <v>32</v>
      </c>
      <c r="B13" s="17" t="s">
        <v>33</v>
      </c>
      <c r="C13" s="18">
        <v>2300</v>
      </c>
      <c r="D13" s="19">
        <v>204.59190000000001</v>
      </c>
      <c r="E13" s="19">
        <f t="shared" si="0"/>
        <v>4.4474539195879759</v>
      </c>
      <c r="F13" s="19" t="s">
        <v>34</v>
      </c>
      <c r="G13" s="14"/>
      <c r="H13" s="13"/>
    </row>
    <row r="14" spans="1:8" s="20" customFormat="1" x14ac:dyDescent="0.2">
      <c r="A14" s="16" t="s">
        <v>35</v>
      </c>
      <c r="B14" s="17" t="s">
        <v>19</v>
      </c>
      <c r="C14" s="18">
        <v>18193</v>
      </c>
      <c r="D14" s="19">
        <v>204.16184600000003</v>
      </c>
      <c r="E14" s="19">
        <f t="shared" si="0"/>
        <v>4.4381053317507524</v>
      </c>
      <c r="F14" s="19" t="s">
        <v>36</v>
      </c>
      <c r="G14" s="14"/>
      <c r="H14" s="14"/>
    </row>
    <row r="15" spans="1:8" s="20" customFormat="1" x14ac:dyDescent="0.2">
      <c r="A15" s="16" t="s">
        <v>37</v>
      </c>
      <c r="B15" s="17" t="s">
        <v>38</v>
      </c>
      <c r="C15" s="18">
        <v>55700</v>
      </c>
      <c r="D15" s="19">
        <v>196.25895</v>
      </c>
      <c r="E15" s="19">
        <f t="shared" si="0"/>
        <v>4.2663108189117969</v>
      </c>
      <c r="F15" s="19" t="s">
        <v>39</v>
      </c>
      <c r="G15" s="14"/>
      <c r="H15" s="21"/>
    </row>
    <row r="16" spans="1:8" s="20" customFormat="1" x14ac:dyDescent="0.2">
      <c r="A16" s="16" t="s">
        <v>40</v>
      </c>
      <c r="B16" s="17" t="s">
        <v>16</v>
      </c>
      <c r="C16" s="18">
        <v>22637</v>
      </c>
      <c r="D16" s="19">
        <v>188.31720300000001</v>
      </c>
      <c r="E16" s="19">
        <f t="shared" si="0"/>
        <v>4.0936717563510303</v>
      </c>
      <c r="F16" s="19" t="s">
        <v>41</v>
      </c>
      <c r="G16" s="14"/>
      <c r="H16" s="14"/>
    </row>
    <row r="17" spans="1:8" s="20" customFormat="1" x14ac:dyDescent="0.2">
      <c r="A17" s="16" t="s">
        <v>42</v>
      </c>
      <c r="B17" s="17" t="s">
        <v>16</v>
      </c>
      <c r="C17" s="18">
        <v>21250</v>
      </c>
      <c r="D17" s="19">
        <v>185.215</v>
      </c>
      <c r="E17" s="19">
        <f t="shared" si="0"/>
        <v>4.0262355338431624</v>
      </c>
      <c r="F17" s="19" t="s">
        <v>43</v>
      </c>
      <c r="G17" s="14"/>
      <c r="H17" s="14"/>
    </row>
    <row r="18" spans="1:8" s="20" customFormat="1" x14ac:dyDescent="0.2">
      <c r="A18" s="16" t="s">
        <v>44</v>
      </c>
      <c r="B18" s="17" t="s">
        <v>45</v>
      </c>
      <c r="C18" s="18">
        <v>6862</v>
      </c>
      <c r="D18" s="19">
        <v>179.98682899999997</v>
      </c>
      <c r="E18" s="19">
        <f t="shared" si="0"/>
        <v>3.9125846532060193</v>
      </c>
      <c r="F18" s="19" t="s">
        <v>46</v>
      </c>
      <c r="G18" s="14"/>
      <c r="H18" s="14"/>
    </row>
    <row r="19" spans="1:8" s="20" customFormat="1" x14ac:dyDescent="0.2">
      <c r="A19" s="16" t="s">
        <v>47</v>
      </c>
      <c r="B19" s="17" t="s">
        <v>16</v>
      </c>
      <c r="C19" s="18">
        <v>32247</v>
      </c>
      <c r="D19" s="19">
        <v>178.487145</v>
      </c>
      <c r="E19" s="19">
        <f t="shared" si="0"/>
        <v>3.8799842644128009</v>
      </c>
      <c r="F19" s="19" t="s">
        <v>48</v>
      </c>
      <c r="G19" s="14"/>
      <c r="H19" s="13"/>
    </row>
    <row r="20" spans="1:8" s="20" customFormat="1" x14ac:dyDescent="0.2">
      <c r="A20" s="16" t="s">
        <v>49</v>
      </c>
      <c r="B20" s="17" t="s">
        <v>50</v>
      </c>
      <c r="C20" s="18">
        <v>16750</v>
      </c>
      <c r="D20" s="19">
        <v>173.27875</v>
      </c>
      <c r="E20" s="19">
        <f t="shared" si="0"/>
        <v>3.7667632778658628</v>
      </c>
      <c r="F20" s="19" t="s">
        <v>51</v>
      </c>
      <c r="G20" s="14"/>
      <c r="H20" s="13"/>
    </row>
    <row r="21" spans="1:8" s="20" customFormat="1" x14ac:dyDescent="0.2">
      <c r="A21" s="16" t="s">
        <v>52</v>
      </c>
      <c r="B21" s="17" t="s">
        <v>19</v>
      </c>
      <c r="C21" s="18">
        <v>4560</v>
      </c>
      <c r="D21" s="19">
        <v>153.15672000000001</v>
      </c>
      <c r="E21" s="19">
        <f t="shared" si="0"/>
        <v>3.3293471279910793</v>
      </c>
      <c r="F21" s="19" t="s">
        <v>53</v>
      </c>
      <c r="G21" s="14"/>
      <c r="H21" s="13"/>
    </row>
    <row r="22" spans="1:8" s="20" customFormat="1" x14ac:dyDescent="0.2">
      <c r="A22" s="16" t="s">
        <v>54</v>
      </c>
      <c r="B22" s="17" t="s">
        <v>55</v>
      </c>
      <c r="C22" s="18">
        <v>52000</v>
      </c>
      <c r="D22" s="19">
        <v>133.458</v>
      </c>
      <c r="E22" s="19">
        <f t="shared" si="0"/>
        <v>2.9011329637213006</v>
      </c>
      <c r="F22" s="19" t="s">
        <v>56</v>
      </c>
      <c r="G22" s="14"/>
      <c r="H22" s="14"/>
    </row>
    <row r="23" spans="1:8" s="20" customFormat="1" x14ac:dyDescent="0.2">
      <c r="A23" s="16" t="s">
        <v>57</v>
      </c>
      <c r="B23" s="17" t="s">
        <v>33</v>
      </c>
      <c r="C23" s="18">
        <v>9350</v>
      </c>
      <c r="D23" s="19">
        <v>128.91312500000001</v>
      </c>
      <c r="E23" s="19">
        <f t="shared" si="0"/>
        <v>2.8023356890843902</v>
      </c>
      <c r="F23" s="19" t="s">
        <v>58</v>
      </c>
      <c r="G23" s="14"/>
      <c r="H23" s="13"/>
    </row>
    <row r="24" spans="1:8" s="20" customFormat="1" x14ac:dyDescent="0.2">
      <c r="A24" s="16" t="s">
        <v>59</v>
      </c>
      <c r="B24" s="17" t="s">
        <v>60</v>
      </c>
      <c r="C24" s="18">
        <v>1550</v>
      </c>
      <c r="D24" s="19">
        <v>109.826025</v>
      </c>
      <c r="E24" s="19">
        <f t="shared" si="0"/>
        <v>2.3874170255959153</v>
      </c>
      <c r="F24" s="19" t="s">
        <v>61</v>
      </c>
      <c r="G24" s="14"/>
      <c r="H24" s="13"/>
    </row>
    <row r="25" spans="1:8" s="20" customFormat="1" x14ac:dyDescent="0.2">
      <c r="A25" s="16" t="s">
        <v>62</v>
      </c>
      <c r="B25" s="17" t="s">
        <v>63</v>
      </c>
      <c r="C25" s="18">
        <v>22500</v>
      </c>
      <c r="D25" s="19">
        <v>105.39</v>
      </c>
      <c r="E25" s="19">
        <f t="shared" si="0"/>
        <v>2.2909859509852382</v>
      </c>
      <c r="F25" s="19" t="s">
        <v>64</v>
      </c>
      <c r="G25" s="14"/>
      <c r="H25" s="14"/>
    </row>
    <row r="26" spans="1:8" s="20" customFormat="1" x14ac:dyDescent="0.2">
      <c r="A26" s="16" t="s">
        <v>65</v>
      </c>
      <c r="B26" s="17" t="s">
        <v>16</v>
      </c>
      <c r="C26" s="18">
        <v>57250</v>
      </c>
      <c r="D26" s="19">
        <v>96.094125000000005</v>
      </c>
      <c r="E26" s="19">
        <f t="shared" si="0"/>
        <v>2.0889106210002781</v>
      </c>
      <c r="F26" s="19" t="s">
        <v>66</v>
      </c>
      <c r="G26" s="14"/>
      <c r="H26" s="14"/>
    </row>
    <row r="27" spans="1:8" s="20" customFormat="1" x14ac:dyDescent="0.2">
      <c r="A27" s="16" t="s">
        <v>67</v>
      </c>
      <c r="B27" s="17" t="s">
        <v>16</v>
      </c>
      <c r="C27" s="18">
        <v>65000</v>
      </c>
      <c r="D27" s="19">
        <v>87.392499999999998</v>
      </c>
      <c r="E27" s="19">
        <f t="shared" si="0"/>
        <v>1.8997531997483386</v>
      </c>
      <c r="F27" s="19" t="s">
        <v>68</v>
      </c>
      <c r="G27" s="14"/>
      <c r="H27" s="14"/>
    </row>
    <row r="28" spans="1:8" s="20" customFormat="1" x14ac:dyDescent="0.2">
      <c r="A28" s="16" t="s">
        <v>69</v>
      </c>
      <c r="B28" s="17" t="s">
        <v>70</v>
      </c>
      <c r="C28" s="18">
        <v>46000</v>
      </c>
      <c r="D28" s="19">
        <v>78.728999999999999</v>
      </c>
      <c r="E28" s="19">
        <f t="shared" si="0"/>
        <v>1.7114245463053117</v>
      </c>
      <c r="F28" s="19" t="s">
        <v>71</v>
      </c>
      <c r="G28" s="14"/>
      <c r="H28" s="13"/>
    </row>
    <row r="29" spans="1:8" s="20" customFormat="1" x14ac:dyDescent="0.2">
      <c r="A29" s="16" t="s">
        <v>72</v>
      </c>
      <c r="B29" s="17" t="s">
        <v>70</v>
      </c>
      <c r="C29" s="18">
        <v>33633</v>
      </c>
      <c r="D29" s="19">
        <v>72.865894499999996</v>
      </c>
      <c r="E29" s="19">
        <f t="shared" si="0"/>
        <v>1.5839713502749078</v>
      </c>
      <c r="F29" s="19" t="s">
        <v>73</v>
      </c>
      <c r="G29" s="14"/>
      <c r="H29" s="13"/>
    </row>
    <row r="30" spans="1:8" s="20" customFormat="1" x14ac:dyDescent="0.2">
      <c r="A30" s="16" t="s">
        <v>74</v>
      </c>
      <c r="B30" s="17" t="s">
        <v>75</v>
      </c>
      <c r="C30" s="18">
        <v>60000</v>
      </c>
      <c r="D30" s="19">
        <v>71.819999999999993</v>
      </c>
      <c r="E30" s="19">
        <f t="shared" si="0"/>
        <v>1.5612355157012978</v>
      </c>
      <c r="F30" s="19" t="s">
        <v>76</v>
      </c>
      <c r="G30" s="14"/>
      <c r="H30" s="13"/>
    </row>
    <row r="31" spans="1:8" s="20" customFormat="1" x14ac:dyDescent="0.2">
      <c r="A31" s="16" t="s">
        <v>77</v>
      </c>
      <c r="B31" s="17" t="s">
        <v>19</v>
      </c>
      <c r="C31" s="18">
        <v>6800</v>
      </c>
      <c r="D31" s="19">
        <v>69.02</v>
      </c>
      <c r="E31" s="19">
        <f t="shared" si="0"/>
        <v>1.5003686339975435</v>
      </c>
      <c r="F31" s="19" t="s">
        <v>78</v>
      </c>
      <c r="G31" s="14"/>
      <c r="H31" s="13"/>
    </row>
    <row r="32" spans="1:8" s="20" customFormat="1" x14ac:dyDescent="0.2">
      <c r="A32" s="16" t="s">
        <v>79</v>
      </c>
      <c r="B32" s="17" t="s">
        <v>80</v>
      </c>
      <c r="C32" s="18">
        <v>7500</v>
      </c>
      <c r="D32" s="19">
        <v>57.772500000000001</v>
      </c>
      <c r="E32" s="19">
        <f t="shared" si="0"/>
        <v>1.2558685440107664</v>
      </c>
      <c r="F32" s="19" t="s">
        <v>81</v>
      </c>
      <c r="G32" s="14"/>
      <c r="H32" s="14"/>
    </row>
    <row r="33" spans="1:8" s="20" customFormat="1" x14ac:dyDescent="0.2">
      <c r="A33" s="16" t="s">
        <v>82</v>
      </c>
      <c r="B33" s="17" t="s">
        <v>83</v>
      </c>
      <c r="C33" s="18">
        <v>10000</v>
      </c>
      <c r="D33" s="19">
        <v>45.695</v>
      </c>
      <c r="E33" s="19">
        <f t="shared" si="0"/>
        <v>0.99332577123323329</v>
      </c>
      <c r="F33" s="19" t="s">
        <v>84</v>
      </c>
      <c r="G33" s="14"/>
      <c r="H33" s="14"/>
    </row>
    <row r="34" spans="1:8" s="20" customFormat="1" x14ac:dyDescent="0.2">
      <c r="A34" s="15" t="s">
        <v>85</v>
      </c>
      <c r="B34" s="17"/>
      <c r="C34" s="18"/>
      <c r="D34" s="22">
        <f>IF(ISERROR(SUM(D6:D33)),0,SUM(D6:D33))</f>
        <v>4430.0595759999997</v>
      </c>
      <c r="E34" s="22">
        <f>IF(ISERROR(SUM(E6:E33)),0,SUM(E6:E33))</f>
        <v>96.301397197491397</v>
      </c>
      <c r="F34" s="22"/>
      <c r="G34" s="14"/>
      <c r="H34" s="13"/>
    </row>
    <row r="35" spans="1:8" s="20" customFormat="1" x14ac:dyDescent="0.2">
      <c r="A35" s="15"/>
      <c r="B35" s="15"/>
      <c r="C35" s="23"/>
      <c r="D35" s="24"/>
      <c r="E35" s="24"/>
      <c r="F35" s="24"/>
      <c r="G35" s="14"/>
      <c r="H35" s="13"/>
    </row>
    <row r="36" spans="1:8" s="20" customFormat="1" x14ac:dyDescent="0.2">
      <c r="A36" s="15" t="s">
        <v>86</v>
      </c>
      <c r="B36" s="15"/>
      <c r="C36" s="23"/>
      <c r="D36" s="25" t="s">
        <v>87</v>
      </c>
      <c r="E36" s="25" t="s">
        <v>87</v>
      </c>
      <c r="F36" s="25"/>
      <c r="G36" s="14"/>
      <c r="H36" s="13"/>
    </row>
    <row r="37" spans="1:8" s="20" customFormat="1" x14ac:dyDescent="0.2">
      <c r="A37" s="15"/>
      <c r="B37" s="8"/>
      <c r="C37" s="23"/>
      <c r="D37" s="25"/>
      <c r="E37" s="25"/>
      <c r="F37" s="26"/>
      <c r="G37" s="14"/>
      <c r="H37" s="13"/>
    </row>
    <row r="38" spans="1:8" s="20" customFormat="1" x14ac:dyDescent="0.2">
      <c r="A38" s="15" t="s">
        <v>88</v>
      </c>
      <c r="B38" s="15"/>
      <c r="C38" s="23"/>
      <c r="D38" s="22">
        <f>IF(ISERROR(+D34),0,D34)+IF(ISERROR(+#REF!),0,#REF!)</f>
        <v>4430.0595759999997</v>
      </c>
      <c r="E38" s="22">
        <f>IF(ISERROR(+E34),0,E34)+IF(ISERROR(+#REF!),0,#REF!)</f>
        <v>96.301397197491397</v>
      </c>
      <c r="F38" s="27"/>
      <c r="G38" s="14"/>
      <c r="H38" s="13"/>
    </row>
    <row r="39" spans="1:8" s="20" customFormat="1" x14ac:dyDescent="0.2">
      <c r="A39" s="15"/>
      <c r="B39" s="8"/>
      <c r="C39" s="23"/>
      <c r="D39" s="25"/>
      <c r="E39" s="25"/>
      <c r="F39" s="26"/>
      <c r="G39" s="14"/>
      <c r="H39" s="13"/>
    </row>
    <row r="40" spans="1:8" s="20" customFormat="1" x14ac:dyDescent="0.2">
      <c r="A40" s="15" t="s">
        <v>89</v>
      </c>
      <c r="B40" s="8"/>
      <c r="C40" s="23"/>
      <c r="D40" s="25"/>
      <c r="E40" s="25"/>
      <c r="F40" s="26"/>
      <c r="G40" s="14"/>
      <c r="H40" s="13"/>
    </row>
    <row r="41" spans="1:8" s="20" customFormat="1" x14ac:dyDescent="0.2">
      <c r="A41" s="15" t="s">
        <v>11</v>
      </c>
      <c r="B41" s="8"/>
      <c r="C41" s="23"/>
      <c r="D41" s="25" t="s">
        <v>87</v>
      </c>
      <c r="E41" s="25" t="s">
        <v>87</v>
      </c>
      <c r="F41" s="28"/>
      <c r="G41" s="14"/>
      <c r="H41" s="13"/>
    </row>
    <row r="42" spans="1:8" s="20" customFormat="1" x14ac:dyDescent="0.2">
      <c r="A42" s="15"/>
      <c r="B42" s="8"/>
      <c r="C42" s="29"/>
      <c r="D42" s="28"/>
      <c r="E42" s="28"/>
      <c r="F42" s="28"/>
      <c r="G42" s="14"/>
      <c r="H42" s="13"/>
    </row>
    <row r="43" spans="1:8" s="20" customFormat="1" x14ac:dyDescent="0.2">
      <c r="A43" s="15"/>
      <c r="B43" s="8"/>
      <c r="C43" s="29"/>
      <c r="D43" s="28"/>
      <c r="E43" s="28"/>
      <c r="F43" s="28"/>
      <c r="G43" s="14"/>
      <c r="H43" s="13"/>
    </row>
    <row r="44" spans="1:8" s="20" customFormat="1" x14ac:dyDescent="0.2">
      <c r="A44" s="15" t="s">
        <v>90</v>
      </c>
      <c r="B44" s="8"/>
      <c r="C44" s="29"/>
      <c r="D44" s="25" t="s">
        <v>87</v>
      </c>
      <c r="E44" s="25" t="s">
        <v>87</v>
      </c>
      <c r="F44" s="26"/>
      <c r="G44" s="14"/>
      <c r="H44" s="13"/>
    </row>
    <row r="45" spans="1:8" s="20" customFormat="1" x14ac:dyDescent="0.2">
      <c r="A45" s="15"/>
      <c r="B45" s="8"/>
      <c r="C45" s="29"/>
      <c r="D45" s="25"/>
      <c r="E45" s="25"/>
      <c r="F45" s="25"/>
      <c r="G45" s="14"/>
      <c r="H45" s="13"/>
    </row>
    <row r="46" spans="1:8" s="20" customFormat="1" x14ac:dyDescent="0.2">
      <c r="A46" s="15" t="s">
        <v>91</v>
      </c>
      <c r="B46" s="8"/>
      <c r="C46" s="29"/>
      <c r="D46" s="25"/>
      <c r="E46" s="25"/>
      <c r="F46" s="25"/>
      <c r="G46" s="14"/>
      <c r="H46" s="13"/>
    </row>
    <row r="47" spans="1:8" s="20" customFormat="1" x14ac:dyDescent="0.2">
      <c r="A47" s="15"/>
      <c r="B47" s="8"/>
      <c r="C47" s="29"/>
      <c r="D47" s="19"/>
      <c r="E47" s="19"/>
      <c r="F47" s="30"/>
      <c r="G47" s="14"/>
      <c r="H47" s="13"/>
    </row>
    <row r="48" spans="1:8" s="20" customFormat="1" x14ac:dyDescent="0.2">
      <c r="A48" s="15" t="s">
        <v>92</v>
      </c>
      <c r="B48" s="8"/>
      <c r="C48" s="29"/>
      <c r="D48" s="25" t="s">
        <v>87</v>
      </c>
      <c r="E48" s="25" t="s">
        <v>87</v>
      </c>
      <c r="F48" s="25"/>
      <c r="G48" s="14"/>
      <c r="H48" s="13"/>
    </row>
    <row r="49" spans="1:8" s="20" customFormat="1" x14ac:dyDescent="0.2">
      <c r="A49" s="15"/>
      <c r="B49" s="8"/>
      <c r="C49" s="29"/>
      <c r="D49" s="25"/>
      <c r="E49" s="25"/>
      <c r="F49" s="25"/>
      <c r="G49" s="14"/>
      <c r="H49" s="13"/>
    </row>
    <row r="50" spans="1:8" s="20" customFormat="1" x14ac:dyDescent="0.2">
      <c r="A50" s="15" t="s">
        <v>93</v>
      </c>
      <c r="B50" s="8"/>
      <c r="C50" s="29"/>
      <c r="D50" s="25" t="s">
        <v>87</v>
      </c>
      <c r="E50" s="25" t="s">
        <v>87</v>
      </c>
      <c r="F50" s="25"/>
      <c r="G50" s="14"/>
      <c r="H50" s="13"/>
    </row>
    <row r="51" spans="1:8" s="20" customFormat="1" x14ac:dyDescent="0.2">
      <c r="A51" s="15"/>
      <c r="B51" s="8"/>
      <c r="C51" s="29"/>
      <c r="D51" s="25"/>
      <c r="E51" s="25"/>
      <c r="F51" s="25"/>
      <c r="G51" s="14"/>
      <c r="H51" s="13"/>
    </row>
    <row r="52" spans="1:8" s="20" customFormat="1" x14ac:dyDescent="0.2">
      <c r="A52" s="15" t="s">
        <v>94</v>
      </c>
      <c r="B52" s="8"/>
      <c r="C52" s="29"/>
      <c r="D52" s="25"/>
      <c r="E52" s="25"/>
      <c r="F52" s="26"/>
      <c r="G52" s="14"/>
      <c r="H52" s="13"/>
    </row>
    <row r="53" spans="1:8" s="20" customFormat="1" x14ac:dyDescent="0.2">
      <c r="A53" s="15"/>
      <c r="B53" s="31"/>
      <c r="C53" s="32"/>
      <c r="D53" s="28"/>
      <c r="E53" s="28"/>
      <c r="F53" s="33"/>
      <c r="G53" s="14"/>
      <c r="H53" s="13"/>
    </row>
    <row r="54" spans="1:8" s="20" customFormat="1" x14ac:dyDescent="0.2">
      <c r="A54" s="16" t="s">
        <v>95</v>
      </c>
      <c r="B54" s="17"/>
      <c r="C54" s="18">
        <v>0</v>
      </c>
      <c r="D54" s="19">
        <v>142.214911</v>
      </c>
      <c r="E54" s="19">
        <f>(+D54/$D$61*100)</f>
        <v>3.0914922015524811</v>
      </c>
      <c r="F54" s="19" t="s">
        <v>96</v>
      </c>
      <c r="G54" s="14">
        <v>6.4188000000000001</v>
      </c>
      <c r="H54" s="13"/>
    </row>
    <row r="55" spans="1:8" s="20" customFormat="1" x14ac:dyDescent="0.2">
      <c r="A55" s="15" t="s">
        <v>85</v>
      </c>
      <c r="B55" s="8"/>
      <c r="C55" s="29"/>
      <c r="D55" s="25">
        <f>IF(ISERROR(SUM(D54:D54)),0,SUM(D54:D54))</f>
        <v>142.214911</v>
      </c>
      <c r="E55" s="25">
        <f>IF(ISERROR(SUM(E54:E54)),0,SUM(E54:E54))</f>
        <v>3.0914922015524811</v>
      </c>
      <c r="F55" s="19"/>
      <c r="G55" s="14"/>
      <c r="H55" s="13"/>
    </row>
    <row r="56" spans="1:8" s="20" customFormat="1" x14ac:dyDescent="0.2">
      <c r="A56" s="15"/>
      <c r="B56" s="8"/>
      <c r="C56" s="29"/>
      <c r="D56" s="25"/>
      <c r="E56" s="25"/>
      <c r="F56" s="26"/>
      <c r="G56" s="14"/>
      <c r="H56" s="13"/>
    </row>
    <row r="57" spans="1:8" s="20" customFormat="1" x14ac:dyDescent="0.2">
      <c r="A57" s="15" t="s">
        <v>88</v>
      </c>
      <c r="B57" s="8"/>
      <c r="C57" s="29" t="s">
        <v>97</v>
      </c>
      <c r="D57" s="25">
        <f>+IF(ISERROR(#REF!),0,#REF!)+IF(ISERROR(D55),0,D55)+IF(ISERROR(D38),0,D38)+IF(ISERROR(#REF!),0,#REF!)+IF(ISERROR(#REF!),0,#REF!)+IF(ISERROR(#REF!),0,#REF!)+IF(ISERROR(#REF!),0,#REF!)+IF(ISERROR(#REF!),0,#REF!)+IF(ISERROR(#REF!),0,#REF!)</f>
        <v>4572.2744869999997</v>
      </c>
      <c r="E57" s="25">
        <f>+IF(ISERROR(#REF!),0,#REF!)+IF(ISERROR(E55),0,E55)+IF(ISERROR(E38),0,E38)+IF(ISERROR(#REF!),0,#REF!)+IF(ISERROR(#REF!),0,#REF!)+IF(ISERROR(#REF!),0,#REF!)+IF(ISERROR(#REF!),0,#REF!)+IF(ISERROR(#REF!),0,#REF!)+IF(ISERROR(#REF!),0,#REF!)</f>
        <v>99.392889399043881</v>
      </c>
      <c r="F57" s="25">
        <f>+IF(ISERROR(#REF!),0,#REF!)+IF(ISERROR(F55),0,F55)+IF(ISERROR(F38),0,F38)+IF(ISERROR(#REF!),0,#REF!)+IF(ISERROR(#REF!),0,#REF!)+IF(ISERROR(#REF!),0,#REF!)+IF(ISERROR(#REF!),0,#REF!)</f>
        <v>0</v>
      </c>
      <c r="G57" s="14"/>
      <c r="H57" s="13"/>
    </row>
    <row r="58" spans="1:8" s="20" customFormat="1" x14ac:dyDescent="0.2">
      <c r="A58" s="15"/>
      <c r="B58" s="8"/>
      <c r="C58" s="29"/>
      <c r="D58" s="25"/>
      <c r="E58" s="25"/>
      <c r="F58" s="34"/>
      <c r="H58" s="1"/>
    </row>
    <row r="59" spans="1:8" s="20" customFormat="1" x14ac:dyDescent="0.2">
      <c r="A59" s="15" t="s">
        <v>98</v>
      </c>
      <c r="B59" s="8"/>
      <c r="C59" s="29"/>
      <c r="D59" s="25">
        <f>+D61-D57</f>
        <v>27.928318900099839</v>
      </c>
      <c r="E59" s="25">
        <f>D59/$D$61*100</f>
        <v>0.60711060095610803</v>
      </c>
      <c r="F59" s="34"/>
      <c r="H59" s="1"/>
    </row>
    <row r="60" spans="1:8" s="20" customFormat="1" x14ac:dyDescent="0.2">
      <c r="A60" s="15"/>
      <c r="B60" s="8"/>
      <c r="C60" s="29"/>
      <c r="D60" s="28"/>
      <c r="E60" s="28"/>
      <c r="F60" s="34"/>
      <c r="H60" s="1"/>
    </row>
    <row r="61" spans="1:8" s="20" customFormat="1" x14ac:dyDescent="0.2">
      <c r="A61" s="15" t="s">
        <v>99</v>
      </c>
      <c r="B61" s="8"/>
      <c r="C61" s="29"/>
      <c r="D61" s="25">
        <v>4600.2028059000995</v>
      </c>
      <c r="E61" s="25">
        <f>+E57+E59</f>
        <v>99.999999999999986</v>
      </c>
      <c r="F61" s="34"/>
      <c r="H61" s="1"/>
    </row>
    <row r="62" spans="1:8" s="20" customFormat="1" x14ac:dyDescent="0.2">
      <c r="A62" s="35"/>
      <c r="B62" s="36"/>
      <c r="C62" s="37"/>
      <c r="D62" s="38"/>
      <c r="E62" s="38"/>
      <c r="F62" s="34"/>
      <c r="H62" s="1"/>
    </row>
    <row r="63" spans="1:8" s="20" customFormat="1" x14ac:dyDescent="0.2">
      <c r="A63" s="39"/>
      <c r="B63" s="36"/>
      <c r="C63" s="37"/>
      <c r="D63" s="38"/>
      <c r="E63" s="38"/>
      <c r="F63" s="40"/>
      <c r="H63" s="1"/>
    </row>
    <row r="64" spans="1:8" ht="15" x14ac:dyDescent="0.25">
      <c r="A64" s="73" t="s">
        <v>100</v>
      </c>
      <c r="B64" s="73"/>
      <c r="C64" s="73"/>
      <c r="D64" s="73"/>
      <c r="E64" s="73"/>
      <c r="F64" s="73"/>
      <c r="G64" s="41"/>
      <c r="H64" s="41"/>
    </row>
    <row r="65" spans="1:8" ht="31.5" customHeight="1" x14ac:dyDescent="0.2">
      <c r="A65" s="74" t="s">
        <v>101</v>
      </c>
      <c r="B65" s="74"/>
      <c r="C65" s="74"/>
      <c r="D65" s="74"/>
      <c r="E65" s="74"/>
      <c r="F65" s="74"/>
      <c r="G65" s="74"/>
      <c r="H65" s="74"/>
    </row>
    <row r="66" spans="1:8" ht="15" x14ac:dyDescent="0.2">
      <c r="A66" s="75" t="s">
        <v>102</v>
      </c>
      <c r="B66" s="75"/>
      <c r="C66" s="75"/>
      <c r="D66" s="75"/>
      <c r="E66" s="75"/>
      <c r="F66" s="75"/>
      <c r="G66" s="41"/>
      <c r="H66" s="41"/>
    </row>
    <row r="67" spans="1:8" ht="74.25" customHeight="1" x14ac:dyDescent="0.2">
      <c r="A67" s="76" t="s">
        <v>103</v>
      </c>
      <c r="B67" s="76"/>
      <c r="C67" s="76"/>
      <c r="D67" s="76"/>
      <c r="E67" s="76"/>
      <c r="F67" s="76"/>
      <c r="G67" s="76"/>
      <c r="H67" s="76"/>
    </row>
    <row r="68" spans="1:8" x14ac:dyDescent="0.2">
      <c r="A68" s="42"/>
      <c r="C68" s="42"/>
      <c r="D68" s="42"/>
      <c r="E68" s="43"/>
      <c r="G68" s="41"/>
      <c r="H68" s="41"/>
    </row>
    <row r="69" spans="1:8" x14ac:dyDescent="0.2">
      <c r="A69" s="44" t="s">
        <v>104</v>
      </c>
      <c r="B69" s="45"/>
      <c r="C69" s="46"/>
      <c r="D69" s="42"/>
      <c r="E69" s="43"/>
      <c r="G69" s="41"/>
      <c r="H69" s="41"/>
    </row>
    <row r="70" spans="1:8" x14ac:dyDescent="0.2">
      <c r="A70" s="47" t="s">
        <v>2</v>
      </c>
      <c r="B70" s="48" t="s">
        <v>3</v>
      </c>
      <c r="C70" s="49" t="s">
        <v>7</v>
      </c>
      <c r="D70" s="49" t="s">
        <v>4</v>
      </c>
      <c r="E70" s="43"/>
      <c r="G70" s="41"/>
      <c r="H70" s="41"/>
    </row>
    <row r="71" spans="1:8" x14ac:dyDescent="0.2">
      <c r="A71" s="50" t="s">
        <v>10</v>
      </c>
      <c r="B71" s="51"/>
      <c r="C71" s="52"/>
      <c r="D71" s="52"/>
      <c r="E71" s="43"/>
      <c r="G71" s="41"/>
      <c r="H71" s="41"/>
    </row>
    <row r="72" spans="1:8" x14ac:dyDescent="0.2">
      <c r="A72" s="53" t="s">
        <v>105</v>
      </c>
      <c r="B72" s="54" t="s">
        <v>16</v>
      </c>
      <c r="C72" s="55" t="s">
        <v>106</v>
      </c>
      <c r="D72" s="56">
        <v>489595</v>
      </c>
    </row>
    <row r="73" spans="1:8" x14ac:dyDescent="0.2">
      <c r="A73" s="57"/>
      <c r="B73" s="45"/>
      <c r="C73" s="46"/>
      <c r="D73" s="42"/>
    </row>
    <row r="74" spans="1:8" ht="25.5" customHeight="1" x14ac:dyDescent="0.2">
      <c r="A74" s="69" t="s">
        <v>107</v>
      </c>
      <c r="B74" s="69"/>
      <c r="C74" s="69"/>
      <c r="D74" s="69"/>
      <c r="E74" s="69"/>
      <c r="F74" s="69"/>
      <c r="G74" s="69"/>
      <c r="H74" s="69"/>
    </row>
    <row r="75" spans="1:8" ht="28.5" customHeight="1" x14ac:dyDescent="0.2">
      <c r="A75" s="70" t="s">
        <v>108</v>
      </c>
      <c r="B75" s="70"/>
      <c r="C75" s="70"/>
      <c r="D75" s="70"/>
      <c r="E75" s="70"/>
      <c r="F75" s="70"/>
      <c r="G75" s="70"/>
      <c r="H75" s="70"/>
    </row>
    <row r="76" spans="1:8" x14ac:dyDescent="0.2">
      <c r="A76" s="58"/>
      <c r="B76" s="59"/>
      <c r="C76" s="60"/>
      <c r="D76" s="61"/>
      <c r="E76" s="61"/>
    </row>
    <row r="77" spans="1:8" x14ac:dyDescent="0.2">
      <c r="A77" s="58"/>
      <c r="B77" s="59"/>
      <c r="C77" s="60"/>
      <c r="D77" s="61"/>
      <c r="E77" s="61"/>
    </row>
    <row r="78" spans="1:8" ht="15" x14ac:dyDescent="0.25">
      <c r="A78" s="62" t="s">
        <v>109</v>
      </c>
      <c r="B78" s="63"/>
    </row>
    <row r="79" spans="1:8" ht="15" x14ac:dyDescent="0.25">
      <c r="A79" s="65" t="s">
        <v>110</v>
      </c>
      <c r="B79" s="63"/>
      <c r="C79" s="63"/>
      <c r="D79" s="63"/>
    </row>
    <row r="80" spans="1:8" ht="15" x14ac:dyDescent="0.25">
      <c r="A80" s="65" t="s">
        <v>111</v>
      </c>
      <c r="B80" s="63"/>
      <c r="C80" s="63"/>
      <c r="D80" s="63"/>
    </row>
    <row r="81" spans="1:4" ht="15" x14ac:dyDescent="0.25">
      <c r="A81" s="65" t="s">
        <v>112</v>
      </c>
      <c r="B81" s="63"/>
      <c r="C81" s="63"/>
      <c r="D81" s="63"/>
    </row>
    <row r="82" spans="1:4" ht="15" x14ac:dyDescent="0.25">
      <c r="A82" s="65"/>
      <c r="B82" s="63"/>
      <c r="C82" s="1"/>
      <c r="D82" s="63"/>
    </row>
    <row r="83" spans="1:4" ht="14.25" x14ac:dyDescent="0.2">
      <c r="A83" s="66" t="s">
        <v>113</v>
      </c>
      <c r="C83" s="67" t="s">
        <v>114</v>
      </c>
    </row>
  </sheetData>
  <mergeCells count="8">
    <mergeCell ref="A74:H74"/>
    <mergeCell ref="A75:H75"/>
    <mergeCell ref="A1:H1"/>
    <mergeCell ref="A2:H2"/>
    <mergeCell ref="A64:F64"/>
    <mergeCell ref="A65:H65"/>
    <mergeCell ref="A66:F66"/>
    <mergeCell ref="A67:H6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Parab</dc:creator>
  <cp:lastModifiedBy>Valencia Barretto</cp:lastModifiedBy>
  <dcterms:created xsi:type="dcterms:W3CDTF">2023-02-07T10:25:47Z</dcterms:created>
  <dcterms:modified xsi:type="dcterms:W3CDTF">2023-02-09T12:28:14Z</dcterms:modified>
</cp:coreProperties>
</file>