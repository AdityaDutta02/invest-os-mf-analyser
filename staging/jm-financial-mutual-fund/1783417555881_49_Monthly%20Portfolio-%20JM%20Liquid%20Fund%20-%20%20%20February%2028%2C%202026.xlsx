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defaultThemeVersion="166925"/>
  <mc:AlternateContent xmlns:mc="http://schemas.openxmlformats.org/markup-compatibility/2006">
    <mc:Choice Requires="x15">
      <x15ac:absPath xmlns:x15ac="http://schemas.microsoft.com/office/spreadsheetml/2010/11/ac" url="G:\p\NAV All Files 2006-2007\Monthly Portfolio\Feb 2026\Monthly\Monthly\"/>
    </mc:Choice>
  </mc:AlternateContent>
  <xr:revisionPtr revIDLastSave="0" documentId="13_ncr:1_{15B016ED-253D-4D9B-9C93-C2C1BBA32C0F}" xr6:coauthVersionLast="47" xr6:coauthVersionMax="47" xr10:uidLastSave="{00000000-0000-0000-0000-000000000000}"/>
  <bookViews>
    <workbookView xWindow="-120" yWindow="-120" windowWidth="20730" windowHeight="11040" xr2:uid="{00000000-000D-0000-FFFF-FFFF00000000}"/>
  </bookViews>
  <sheets>
    <sheet name="JM Liquid Fund"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5" i="1" l="1"/>
  <c r="E78" i="1" s="1"/>
</calcChain>
</file>

<file path=xl/sharedStrings.xml><?xml version="1.0" encoding="utf-8"?>
<sst xmlns="http://schemas.openxmlformats.org/spreadsheetml/2006/main" count="297" uniqueCount="220">
  <si>
    <t>JM Financial Mutual Fund</t>
  </si>
  <si>
    <t>JM Liquid Fund (An Open-Ended Liquid Scheme A relatively low interest rate risk and moderate credit risk.)</t>
  </si>
  <si>
    <t>ISIN</t>
  </si>
  <si>
    <t>DEBT INSTRUMENTS</t>
  </si>
  <si>
    <t>(a) Listed / awaiting listing on Stock Exchanges</t>
  </si>
  <si>
    <t>Sub Total</t>
  </si>
  <si>
    <t>(b) Privately placed / Unlisted</t>
  </si>
  <si>
    <t>NIL</t>
  </si>
  <si>
    <t>(c) Securitized Debt Instruments</t>
  </si>
  <si>
    <t>(d) Government Securities / SDL</t>
  </si>
  <si>
    <t>Total</t>
  </si>
  <si>
    <t>MONEY MARKET INSTRUMENTS</t>
  </si>
  <si>
    <t>Treasury Bills</t>
  </si>
  <si>
    <t>SOVEREIGN</t>
  </si>
  <si>
    <t>Commercial Papers</t>
  </si>
  <si>
    <t>CRISIL A1+</t>
  </si>
  <si>
    <t>CARE A1+</t>
  </si>
  <si>
    <t>Certificate of Deposits</t>
  </si>
  <si>
    <t>IND A1+</t>
  </si>
  <si>
    <t>INF0RQ622028</t>
  </si>
  <si>
    <t>TREPS / Reverse Repo Investments / Corporate Debt Repo</t>
  </si>
  <si>
    <t>CCIL</t>
  </si>
  <si>
    <t>Cash &amp; Cash Equivalents</t>
  </si>
  <si>
    <t>Net Receivable/Payable</t>
  </si>
  <si>
    <t>Grand Total</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</si>
  <si>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</si>
  <si>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</si>
  <si>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</si>
  <si>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</si>
  <si>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</si>
  <si>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Regular Income over Short Term. </t>
  </si>
  <si>
    <t>• Investment in debt and money market securities with maturity of upto 91 days only.</t>
  </si>
  <si>
    <t>*Investors should consult their financial advisers if in doubt about whether the product is suitable for them.</t>
  </si>
  <si>
    <t>CRISIL Liquid Debt A-I Index</t>
  </si>
  <si>
    <t xml:space="preserve">   The risk of the benchmark is Low to Moderate </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</si>
  <si>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</si>
  <si>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</si>
  <si>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</si>
  <si>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</si>
  <si>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</si>
  <si>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</si>
  <si>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</si>
  <si>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B-I</t>
  </si>
  <si>
    <t>Moderate (Class II)</t>
  </si>
  <si>
    <t>Relatively High Class (Class III)</t>
  </si>
  <si>
    <t>Portfolio Information</t>
  </si>
  <si>
    <t>Scheme Name :</t>
  </si>
  <si>
    <t xml:space="preserve"> JM Liquid Fund</t>
  </si>
  <si>
    <t>Description (if any)</t>
  </si>
  <si>
    <t>Annualised Portfolio YTM* : (Regular &amp; Direct)</t>
  </si>
  <si>
    <t xml:space="preserve"> </t>
  </si>
  <si>
    <t xml:space="preserve">As on (Date) </t>
  </si>
  <si>
    <t xml:space="preserve">* in case of semi annual YTM,  it will be annualised </t>
  </si>
  <si>
    <t>**  Non Traded Security</t>
  </si>
  <si>
    <t># Unlisted Securities</t>
  </si>
  <si>
    <t>Name of Instrument</t>
  </si>
  <si>
    <t>Rating/Industry</t>
  </si>
  <si>
    <t>Market Value (In Rs. lakh)</t>
  </si>
  <si>
    <t>% To Net Assets</t>
  </si>
  <si>
    <t>Maturity Date</t>
  </si>
  <si>
    <t>Put/Call Option</t>
  </si>
  <si>
    <t>Yield</t>
  </si>
  <si>
    <t>Non Convertible Debentures / Bonds</t>
  </si>
  <si>
    <t>^YTC (AT1/Tier 2 bonds)</t>
  </si>
  <si>
    <t>Macaulay Duration (Days )</t>
  </si>
  <si>
    <t>Average Maturity  (Days )</t>
  </si>
  <si>
    <t xml:space="preserve">The risk of the scheme is Low to Moderate </t>
  </si>
  <si>
    <t>https://www.jmfinancialmf.com/products/Fixed-Income/JM-Liquid-Fund/J13/Regular-Plan-Growth-Option</t>
  </si>
  <si>
    <t>https://www.jmfinancialmf.com/products/Fixed-Income/JM-Liquid-Fund/J452/Direct-Plan-Growth-Option</t>
  </si>
  <si>
    <t>Regular Plan</t>
  </si>
  <si>
    <t>Direct Plan</t>
  </si>
  <si>
    <t>Scheme performance</t>
  </si>
  <si>
    <t>Quantity</t>
  </si>
  <si>
    <t>IN002024Z495</t>
  </si>
  <si>
    <t>364 Days Treasury Bills 19-Mar-2026</t>
  </si>
  <si>
    <t>19-MAR-2026</t>
  </si>
  <si>
    <t>IN002024Z479</t>
  </si>
  <si>
    <t>364 Days Treasury Bills 05-Mar-2026</t>
  </si>
  <si>
    <t>05-MAR-2026</t>
  </si>
  <si>
    <t>IN002024Z503</t>
  </si>
  <si>
    <t>364 Days Treasury Bill 26-Mar-2026</t>
  </si>
  <si>
    <t>26-MAR-2026</t>
  </si>
  <si>
    <t>12-MAR-2026</t>
  </si>
  <si>
    <t>INE01C314DR3</t>
  </si>
  <si>
    <t>BAJAJ FINANCIAL SECURITIES LIMITED 12-MAR-2026**</t>
  </si>
  <si>
    <t>INE850D14VG0</t>
  </si>
  <si>
    <t>Godrej Agrovet Limited 13-MAR-2026**</t>
  </si>
  <si>
    <t>13-MAR-2026</t>
  </si>
  <si>
    <t>INE296A14E12</t>
  </si>
  <si>
    <t>Bajaj Finance Limited 16-MAR-2026**</t>
  </si>
  <si>
    <t>16-MAR-2026</t>
  </si>
  <si>
    <t>INE248U14SR4</t>
  </si>
  <si>
    <t>360 ONE Prime Limited 18-MAR-2026**</t>
  </si>
  <si>
    <t>18-MAR-2026</t>
  </si>
  <si>
    <t>INE514E14TA7</t>
  </si>
  <si>
    <t>EXIM Bank 12-MAR-2026**</t>
  </si>
  <si>
    <t>INE115A14FK9</t>
  </si>
  <si>
    <t>11-MAR-2026</t>
  </si>
  <si>
    <t>INE763G14C61</t>
  </si>
  <si>
    <t>02-MAR-2026</t>
  </si>
  <si>
    <t>INE238AD6BR9</t>
  </si>
  <si>
    <t>INE476A16A73</t>
  </si>
  <si>
    <t>04-MAR-2026</t>
  </si>
  <si>
    <t>INE040A16HM6</t>
  </si>
  <si>
    <t>09-MAR-2026</t>
  </si>
  <si>
    <t>INE028A16IC0</t>
  </si>
  <si>
    <t>INE160A16TU0</t>
  </si>
  <si>
    <t>Punjab National Bank 13-MAR-2026**#</t>
  </si>
  <si>
    <t>Alternative Investment Fund Units</t>
  </si>
  <si>
    <t>Corporate Debt Market Development Fund - Class A2 Units</t>
  </si>
  <si>
    <t>7.22%</t>
  </si>
  <si>
    <t>INE115A07QG8</t>
  </si>
  <si>
    <t>8.1432% LIC Housing Finance Limited 25-MAR-2026**</t>
  </si>
  <si>
    <t>CRISIL AAA</t>
  </si>
  <si>
    <t>25-MAR-2026</t>
  </si>
  <si>
    <t>5.24%</t>
  </si>
  <si>
    <t>IN002025X430</t>
  </si>
  <si>
    <t>91 Days Treasury Bill 30-Apr-2026</t>
  </si>
  <si>
    <t>30-APR-2026</t>
  </si>
  <si>
    <t>7.25%</t>
  </si>
  <si>
    <t>INE296A14E38</t>
  </si>
  <si>
    <t>Bajaj Finance Limited 25-MAR-2026**</t>
  </si>
  <si>
    <t>INE865C14PE7</t>
  </si>
  <si>
    <t>Aditya Birla Money Limited 20-MAR-2026**</t>
  </si>
  <si>
    <t>20-MAR-2026</t>
  </si>
  <si>
    <t>LIC Housing Finance Limited 11-MAR-2026**</t>
  </si>
  <si>
    <t>ICRA A1+</t>
  </si>
  <si>
    <t>INE261F16991</t>
  </si>
  <si>
    <t>NABARD 24-MAR-2026**#</t>
  </si>
  <si>
    <t>24-MAR-2026</t>
  </si>
  <si>
    <t>INE160A16RM1</t>
  </si>
  <si>
    <t>INE562A16OI3</t>
  </si>
  <si>
    <t>INE692A16KR7</t>
  </si>
  <si>
    <t>02-APR-2026</t>
  </si>
  <si>
    <t>IN002025X471</t>
  </si>
  <si>
    <t>91 Days Treasury Bill 28-May-2026</t>
  </si>
  <si>
    <t>28-MAY-2026</t>
  </si>
  <si>
    <t>5.25%</t>
  </si>
  <si>
    <t>5.23%</t>
  </si>
  <si>
    <t>4.55%</t>
  </si>
  <si>
    <t>IN002025X455</t>
  </si>
  <si>
    <t>91 Days Treasury Bill 14-May-2026</t>
  </si>
  <si>
    <t>14-MAY-2026</t>
  </si>
  <si>
    <t>IN002025Y321</t>
  </si>
  <si>
    <t>182 Days Treasury Bill 08-May-2026</t>
  </si>
  <si>
    <t>08-MAY-2026</t>
  </si>
  <si>
    <t>6.06%</t>
  </si>
  <si>
    <t>ICICI Securities Limited 02-MAR-2026</t>
  </si>
  <si>
    <t>5.15%</t>
  </si>
  <si>
    <t>6.11%</t>
  </si>
  <si>
    <t>INE700G14SA9</t>
  </si>
  <si>
    <t>HDFC Securities Limited 12-MAY-2026**</t>
  </si>
  <si>
    <t>12-MAY-2026</t>
  </si>
  <si>
    <t>7.74%</t>
  </si>
  <si>
    <t>5.87%</t>
  </si>
  <si>
    <t>INE831R14FU4</t>
  </si>
  <si>
    <t>Aditya Birla Housing Finance Limited 07-MAY-2026**</t>
  </si>
  <si>
    <t>07-MAY-2026</t>
  </si>
  <si>
    <t>5.54%</t>
  </si>
  <si>
    <t>INE261F14OP1</t>
  </si>
  <si>
    <t>NABARD 07-MAY-2026**</t>
  </si>
  <si>
    <t>6.05%</t>
  </si>
  <si>
    <t>6.66%</t>
  </si>
  <si>
    <t>INE929O14ER2</t>
  </si>
  <si>
    <t>Reliance Retail Ventures Ltd 14-MAY-2026**</t>
  </si>
  <si>
    <t>7.29%</t>
  </si>
  <si>
    <t>INE756I14FV0</t>
  </si>
  <si>
    <t>HDB Financial Services Limited 20-MAR-2026**</t>
  </si>
  <si>
    <t>6.17%</t>
  </si>
  <si>
    <t>INE071G14HL5</t>
  </si>
  <si>
    <t>ICICI Home Finance Company Limited 18-MAY-2026**</t>
  </si>
  <si>
    <t>18-MAY-2026</t>
  </si>
  <si>
    <t>7.17%</t>
  </si>
  <si>
    <t>INE674K14BU2</t>
  </si>
  <si>
    <t>Aditya Birla Capital Limited 22-MAY-2026**</t>
  </si>
  <si>
    <t>22-MAY-2026</t>
  </si>
  <si>
    <t>7.49%</t>
  </si>
  <si>
    <t>6.82%</t>
  </si>
  <si>
    <t>INE514E14TF6</t>
  </si>
  <si>
    <t>EXIM Bank 27-MAY-2026**</t>
  </si>
  <si>
    <t>27-MAY-2026</t>
  </si>
  <si>
    <t>7.05%</t>
  </si>
  <si>
    <t>5.93%</t>
  </si>
  <si>
    <t>INE238AD6BA5</t>
  </si>
  <si>
    <t>Axis Bank Limited 15-MAY-2026#</t>
  </si>
  <si>
    <t>15-MAY-2026</t>
  </si>
  <si>
    <t>7.21%</t>
  </si>
  <si>
    <t>Bank of Baroda 13-MAR-2026#</t>
  </si>
  <si>
    <t>5.55%</t>
  </si>
  <si>
    <t>INE556F16BC4</t>
  </si>
  <si>
    <t>SIDBI 06-MAR-2026**#</t>
  </si>
  <si>
    <t>06-MAR-2026</t>
  </si>
  <si>
    <t>5.53%</t>
  </si>
  <si>
    <t>INE562A16QK4</t>
  </si>
  <si>
    <t>Indian Bank 12-MAY-2026**#</t>
  </si>
  <si>
    <t>INE476A16G69</t>
  </si>
  <si>
    <t>Canara Bank 08-MAY-2026**#</t>
  </si>
  <si>
    <t>7.19%</t>
  </si>
  <si>
    <t>INE040A16IN2</t>
  </si>
  <si>
    <t>HDFC Bank Limited 07-MAY-2026**#</t>
  </si>
  <si>
    <t>INE692A16LA1</t>
  </si>
  <si>
    <t>Union Bank of India 07-MAY-2026**#</t>
  </si>
  <si>
    <t>Union Bank of India 02-APR-2026**#</t>
  </si>
  <si>
    <t>6.5%</t>
  </si>
  <si>
    <t>Punjab National Bank 20-MAR-2026#</t>
  </si>
  <si>
    <t>5.64%</t>
  </si>
  <si>
    <t>Axis Bank Limited 18-MAR-2026**#</t>
  </si>
  <si>
    <t>Canara Bank 04-MAR-2026#</t>
  </si>
  <si>
    <t>5.47%</t>
  </si>
  <si>
    <t>HDFC Bank Limited 09-MAR-2026**#</t>
  </si>
  <si>
    <t>Indian Bank 12-MAR-2026#</t>
  </si>
  <si>
    <t>INE040A16GW7</t>
  </si>
  <si>
    <t>HDFC Bank Limited 19-MAY-2026**#</t>
  </si>
  <si>
    <t>19-MAY-2026</t>
  </si>
  <si>
    <t>7.18%</t>
  </si>
  <si>
    <t>Note - Traded Securities (Debt) as on February 27, 2026</t>
  </si>
  <si>
    <t>Note - Aggregate market value of investments by other scheme (s) of JM Financial Mutual Fund at the end of the period is Rs.1,432.28 Lakhs.</t>
  </si>
  <si>
    <t>28.02.2026</t>
  </si>
  <si>
    <t xml:space="preserve">    Riskometer of the scheme </t>
  </si>
  <si>
    <t>Monthly Portfolio Statement for the period ended 28.02.2026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</si>
</sst>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 #,##0.00_ ;_ * \-#,##0.00_ ;_ * &quot;-&quot;??_ ;_ @_ "/>
    <numFmt numFmtId="164" formatCode="_(* #,##0_);_(* \(#,##0\);_(* &quot;-&quot;??_);_(@_)"/>
    <numFmt numFmtId="165" formatCode="0.0000"/>
    <numFmt numFmtId="166" formatCode="#,##0.00;\(#,##0.00\)"/>
    <numFmt numFmtId="167" formatCode="0.00\%"/>
    <numFmt numFmtId="168" formatCode="#,##0.00%"/>
    <numFmt numFmtId="169" formatCode="#,##0%"/>
  </numFmts>
  <fonts count="21" x14ac:knownFonts="1">
    <font>
      <sz val="11"/>
      <color theme="1"/>
      <name val="Calibri"/>
      <family val="2"/>
      <scheme val="minor"/>
    </font>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sz val="10"/>
      <name val="Mangal"/>
      <family val="2"/>
    </font>
    <font>
      <sz val="10"/>
      <name val="Century Gothic"/>
      <family val="2"/>
    </font>
    <font>
      <sz val="8"/>
      <color theme="1"/>
      <name val="Century Gothic"/>
      <family val="2"/>
    </font>
    <font>
      <b/>
      <sz val="8"/>
      <color indexed="72"/>
      <name val="Century Gothic"/>
      <family val="2"/>
    </font>
    <font>
      <b/>
      <sz val="8"/>
      <color indexed="56"/>
      <name val="Century Gothic"/>
      <family val="2"/>
    </font>
    <font>
      <u/>
      <sz val="11"/>
      <color theme="10"/>
      <name val="Calibri"/>
      <family val="2"/>
      <scheme val="minor"/>
    </font>
    <font>
      <b/>
      <sz val="8"/>
      <color theme="4"/>
      <name val="Century Gothic"/>
      <family val="2"/>
    </font>
    <font>
      <sz val="8"/>
      <color indexed="72"/>
      <name val="Century Gothic"/>
      <family val="2"/>
    </font>
    <font>
      <b/>
      <u/>
      <sz val="8"/>
      <color theme="10"/>
      <name val="Century Gothic"/>
      <family val="2"/>
    </font>
  </fonts>
  <fills count="5">
    <fill>
      <patternFill patternType="none"/>
    </fill>
    <fill>
      <patternFill patternType="gray125"/>
    </fill>
    <fill>
      <patternFill patternType="solid">
        <fgColor indexed="8"/>
        <bgColor indexed="64"/>
      </patternFill>
    </fill>
    <fill>
      <patternFill patternType="solid">
        <fgColor indexed="9"/>
        <bgColor indexed="64"/>
      </patternFill>
    </fill>
    <fill>
      <patternFill patternType="solid">
        <fgColor theme="1"/>
        <bgColor indexed="64"/>
      </patternFill>
    </fill>
  </fills>
  <borders count="11">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2">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0" fontId="2" fillId="0" borderId="0"/>
    <xf numFmtId="0" fontId="7" fillId="0" borderId="0"/>
    <xf numFmtId="0" fontId="2" fillId="0" borderId="0"/>
    <xf numFmtId="0" fontId="7" fillId="0" borderId="0"/>
    <xf numFmtId="0" fontId="7" fillId="0" borderId="0"/>
    <xf numFmtId="0" fontId="7" fillId="0" borderId="0"/>
    <xf numFmtId="0" fontId="12" fillId="0" borderId="0" applyNumberFormat="0" applyFill="0" applyBorder="0" applyProtection="0"/>
    <xf numFmtId="0" fontId="17" fillId="0" borderId="0" applyNumberFormat="0" applyFill="0" applyBorder="0" applyAlignment="0" applyProtection="0"/>
  </cellStyleXfs>
  <cellXfs count="124">
    <xf numFmtId="0" fontId="0" fillId="0" borderId="0" xfId="0"/>
    <xf numFmtId="0" fontId="4" fillId="0" borderId="0" xfId="0" applyFont="1"/>
    <xf numFmtId="164" fontId="5" fillId="0" borderId="0" xfId="1" applyNumberFormat="1" applyFont="1" applyFill="1" applyBorder="1" applyAlignment="1">
      <alignment horizontal="right"/>
    </xf>
    <xf numFmtId="43" fontId="5" fillId="0" borderId="0" xfId="1" applyFont="1" applyFill="1" applyBorder="1" applyAlignment="1">
      <alignment horizontal="right"/>
    </xf>
    <xf numFmtId="0" fontId="6" fillId="0" borderId="0" xfId="3" applyFont="1" applyAlignment="1">
      <alignment wrapText="1"/>
    </xf>
    <xf numFmtId="0" fontId="5" fillId="0" borderId="0" xfId="3" applyFont="1" applyAlignment="1">
      <alignment horizontal="left" wrapText="1"/>
    </xf>
    <xf numFmtId="4" fontId="6" fillId="0" borderId="0" xfId="3" applyNumberFormat="1" applyFont="1" applyAlignment="1">
      <alignment horizontal="right"/>
    </xf>
    <xf numFmtId="4" fontId="6" fillId="0" borderId="0" xfId="3" applyNumberFormat="1" applyFont="1"/>
    <xf numFmtId="0" fontId="6" fillId="0" borderId="0" xfId="3" applyFont="1"/>
    <xf numFmtId="0" fontId="8" fillId="0" borderId="0" xfId="5" applyFont="1"/>
    <xf numFmtId="0" fontId="6" fillId="0" borderId="0" xfId="6" applyFont="1" applyAlignment="1">
      <alignment horizontal="left" vertical="top" wrapText="1"/>
    </xf>
    <xf numFmtId="4" fontId="6" fillId="0" borderId="0" xfId="6" applyNumberFormat="1" applyFont="1" applyAlignment="1">
      <alignment horizontal="left" vertical="top" wrapText="1"/>
    </xf>
    <xf numFmtId="0" fontId="6" fillId="0" borderId="0" xfId="3" applyFont="1" applyAlignment="1">
      <alignment horizontal="left" wrapText="1"/>
    </xf>
    <xf numFmtId="164" fontId="6" fillId="0" borderId="0" xfId="1" applyNumberFormat="1" applyFont="1" applyFill="1"/>
    <xf numFmtId="43" fontId="6" fillId="0" borderId="0" xfId="1" applyFont="1" applyFill="1" applyAlignment="1">
      <alignment horizontal="right"/>
    </xf>
    <xf numFmtId="0" fontId="6" fillId="0" borderId="0" xfId="3" applyFont="1" applyAlignment="1">
      <alignment horizontal="right"/>
    </xf>
    <xf numFmtId="0" fontId="8" fillId="0" borderId="0" xfId="7" applyFont="1" applyAlignment="1">
      <alignment horizontal="left" vertical="center" wrapText="1"/>
    </xf>
    <xf numFmtId="0" fontId="10" fillId="0" borderId="0" xfId="8" applyFont="1"/>
    <xf numFmtId="0" fontId="11" fillId="0" borderId="0" xfId="3" applyFont="1" applyAlignment="1">
      <alignment horizontal="left" wrapText="1"/>
    </xf>
    <xf numFmtId="43" fontId="6" fillId="0" borderId="0" xfId="1" applyFont="1" applyFill="1" applyBorder="1" applyAlignment="1">
      <alignment horizontal="right"/>
    </xf>
    <xf numFmtId="0" fontId="8" fillId="0" borderId="0" xfId="8" applyFont="1"/>
    <xf numFmtId="0" fontId="8" fillId="0" borderId="0" xfId="9" applyFont="1"/>
    <xf numFmtId="0" fontId="10" fillId="0" borderId="0" xfId="5" applyFont="1" applyAlignment="1">
      <alignment horizontal="center"/>
    </xf>
    <xf numFmtId="0" fontId="5" fillId="0" borderId="0" xfId="3" applyFont="1" applyAlignment="1">
      <alignment horizontal="center"/>
    </xf>
    <xf numFmtId="0" fontId="5" fillId="0" borderId="0" xfId="3" applyFont="1" applyAlignment="1">
      <alignment horizontal="left"/>
    </xf>
    <xf numFmtId="0" fontId="8" fillId="0" borderId="0" xfId="3" applyFont="1"/>
    <xf numFmtId="164" fontId="6" fillId="0" borderId="0" xfId="1" applyNumberFormat="1" applyFont="1"/>
    <xf numFmtId="43" fontId="6" fillId="0" borderId="0" xfId="1" applyFont="1" applyFill="1" applyBorder="1"/>
    <xf numFmtId="0" fontId="10" fillId="0" borderId="6" xfId="3" applyFont="1" applyBorder="1" applyAlignment="1">
      <alignment vertical="center" wrapText="1"/>
    </xf>
    <xf numFmtId="0" fontId="6" fillId="0" borderId="6" xfId="3" applyFont="1" applyBorder="1" applyAlignment="1">
      <alignment vertical="center" wrapText="1"/>
    </xf>
    <xf numFmtId="0" fontId="8" fillId="3" borderId="8" xfId="3" applyFont="1" applyFill="1" applyBorder="1" applyAlignment="1">
      <alignment horizontal="center" vertical="center" wrapText="1"/>
    </xf>
    <xf numFmtId="0" fontId="8" fillId="0" borderId="8" xfId="3" applyFont="1" applyBorder="1" applyAlignment="1">
      <alignment vertical="center" wrapText="1"/>
    </xf>
    <xf numFmtId="0" fontId="8" fillId="0" borderId="6" xfId="3" applyFont="1" applyBorder="1" applyAlignment="1">
      <alignment vertical="center" wrapText="1"/>
    </xf>
    <xf numFmtId="0" fontId="8" fillId="0" borderId="0" xfId="3" applyFont="1" applyAlignment="1">
      <alignment vertical="center" wrapText="1"/>
    </xf>
    <xf numFmtId="4" fontId="6" fillId="0" borderId="0" xfId="1" applyNumberFormat="1" applyFont="1"/>
    <xf numFmtId="0" fontId="6" fillId="0" borderId="2" xfId="3" applyFont="1" applyBorder="1" applyAlignment="1">
      <alignment wrapText="1"/>
    </xf>
    <xf numFmtId="0" fontId="6" fillId="0" borderId="2" xfId="3" applyFont="1" applyBorder="1" applyAlignment="1">
      <alignment horizontal="center" wrapText="1"/>
    </xf>
    <xf numFmtId="0" fontId="6" fillId="0" borderId="2" xfId="3" applyFont="1" applyBorder="1" applyAlignment="1">
      <alignment horizontal="left" wrapText="1"/>
    </xf>
    <xf numFmtId="0" fontId="6" fillId="0" borderId="10" xfId="3" applyFont="1" applyBorder="1" applyAlignment="1">
      <alignment horizontal="left" wrapText="1"/>
    </xf>
    <xf numFmtId="0" fontId="6" fillId="0" borderId="9" xfId="3" applyFont="1" applyBorder="1" applyAlignment="1">
      <alignment horizontal="left" wrapText="1"/>
    </xf>
    <xf numFmtId="14" fontId="6" fillId="0" borderId="2" xfId="3" applyNumberFormat="1" applyFont="1" applyBorder="1" applyAlignment="1">
      <alignment horizontal="center" wrapText="1"/>
    </xf>
    <xf numFmtId="0" fontId="5" fillId="0" borderId="2" xfId="0" applyFont="1" applyBorder="1" applyAlignment="1">
      <alignment horizontal="center" vertical="center" wrapText="1"/>
    </xf>
    <xf numFmtId="0" fontId="13" fillId="4" borderId="0" xfId="0" applyFont="1" applyFill="1"/>
    <xf numFmtId="0" fontId="6" fillId="0" borderId="2" xfId="0" applyFont="1" applyBorder="1"/>
    <xf numFmtId="4" fontId="6" fillId="0" borderId="2" xfId="0" applyNumberFormat="1" applyFont="1" applyBorder="1"/>
    <xf numFmtId="0" fontId="14" fillId="0" borderId="0" xfId="0" applyFont="1"/>
    <xf numFmtId="0" fontId="6" fillId="0" borderId="0" xfId="0" applyFont="1"/>
    <xf numFmtId="0" fontId="5" fillId="0" borderId="0" xfId="3" applyFont="1" applyAlignment="1">
      <alignment horizontal="center" wrapText="1"/>
    </xf>
    <xf numFmtId="0" fontId="16" fillId="0" borderId="0" xfId="0" applyFont="1"/>
    <xf numFmtId="0" fontId="15" fillId="0" borderId="0" xfId="0" applyFont="1" applyAlignment="1">
      <alignment horizontal="left" vertical="top"/>
    </xf>
    <xf numFmtId="0" fontId="6" fillId="0" borderId="0" xfId="0" applyFont="1" applyAlignment="1">
      <alignment wrapText="1"/>
    </xf>
    <xf numFmtId="0" fontId="6" fillId="0" borderId="0" xfId="0" applyFont="1" applyAlignment="1">
      <alignment horizontal="left" wrapText="1"/>
    </xf>
    <xf numFmtId="0" fontId="5" fillId="0" borderId="0" xfId="0" applyFont="1" applyAlignment="1">
      <alignment wrapText="1"/>
    </xf>
    <xf numFmtId="0" fontId="18" fillId="0" borderId="0" xfId="0" applyFont="1" applyAlignment="1">
      <alignment horizontal="left" wrapText="1"/>
    </xf>
    <xf numFmtId="0" fontId="18" fillId="0" borderId="0" xfId="0" applyFont="1"/>
    <xf numFmtId="10" fontId="6" fillId="0" borderId="2" xfId="2" applyNumberFormat="1" applyFont="1" applyFill="1" applyBorder="1" applyAlignment="1">
      <alignment horizontal="center" wrapText="1"/>
    </xf>
    <xf numFmtId="165" fontId="6" fillId="0" borderId="2" xfId="3" applyNumberFormat="1" applyFont="1" applyBorder="1" applyAlignment="1">
      <alignment horizontal="center" wrapText="1"/>
    </xf>
    <xf numFmtId="2" fontId="6" fillId="0" borderId="2" xfId="3" applyNumberFormat="1" applyFont="1" applyBorder="1" applyAlignment="1">
      <alignment horizontal="center"/>
    </xf>
    <xf numFmtId="0" fontId="5" fillId="0" borderId="2" xfId="0" applyFont="1" applyBorder="1" applyAlignment="1">
      <alignment horizontal="left" vertical="center" wrapText="1"/>
    </xf>
    <xf numFmtId="164" fontId="5" fillId="0" borderId="2" xfId="1" applyNumberFormat="1" applyFont="1" applyFill="1" applyBorder="1" applyAlignment="1">
      <alignment horizontal="center" vertical="center"/>
    </xf>
    <xf numFmtId="164" fontId="5" fillId="0" borderId="2" xfId="1" applyNumberFormat="1" applyFont="1" applyFill="1" applyBorder="1" applyAlignment="1">
      <alignment horizontal="center" vertical="center" wrapText="1"/>
    </xf>
    <xf numFmtId="43" fontId="5" fillId="0" borderId="2" xfId="1" applyFont="1" applyBorder="1" applyAlignment="1">
      <alignment horizontal="center" vertical="center" wrapText="1"/>
    </xf>
    <xf numFmtId="10" fontId="5" fillId="0" borderId="2" xfId="0" applyNumberFormat="1" applyFont="1" applyBorder="1" applyAlignment="1">
      <alignment horizontal="center" vertical="center" wrapText="1"/>
    </xf>
    <xf numFmtId="0" fontId="4" fillId="0" borderId="0" xfId="0" applyFont="1" applyAlignment="1">
      <alignment horizontal="center"/>
    </xf>
    <xf numFmtId="0" fontId="8" fillId="0" borderId="2" xfId="0" applyFont="1" applyBorder="1"/>
    <xf numFmtId="0" fontId="15" fillId="0" borderId="2" xfId="0" applyFont="1" applyBorder="1" applyAlignment="1">
      <alignment horizontal="left" vertical="top"/>
    </xf>
    <xf numFmtId="167" fontId="8" fillId="0" borderId="2" xfId="0" applyNumberFormat="1" applyFont="1" applyBorder="1"/>
    <xf numFmtId="0" fontId="8" fillId="0" borderId="2" xfId="0" applyFont="1" applyBorder="1" applyAlignment="1">
      <alignment horizontal="right"/>
    </xf>
    <xf numFmtId="0" fontId="19" fillId="0" borderId="2" xfId="0" applyFont="1" applyBorder="1" applyAlignment="1">
      <alignment horizontal="right" vertical="top"/>
    </xf>
    <xf numFmtId="0" fontId="19" fillId="0" borderId="2" xfId="0" applyFont="1" applyBorder="1" applyAlignment="1">
      <alignment horizontal="left" vertical="top"/>
    </xf>
    <xf numFmtId="4" fontId="19" fillId="0" borderId="2" xfId="0" applyNumberFormat="1" applyFont="1" applyBorder="1" applyAlignment="1">
      <alignment horizontal="left" vertical="top"/>
    </xf>
    <xf numFmtId="4" fontId="5" fillId="0" borderId="2" xfId="0" applyNumberFormat="1" applyFont="1" applyBorder="1" applyAlignment="1">
      <alignment horizontal="right" vertical="top"/>
    </xf>
    <xf numFmtId="167" fontId="5" fillId="0" borderId="2" xfId="0" applyNumberFormat="1" applyFont="1" applyBorder="1" applyAlignment="1">
      <alignment horizontal="right" vertical="top"/>
    </xf>
    <xf numFmtId="4" fontId="10" fillId="0" borderId="2" xfId="0" applyNumberFormat="1" applyFont="1" applyBorder="1" applyAlignment="1">
      <alignment horizontal="right"/>
    </xf>
    <xf numFmtId="4" fontId="19" fillId="0" borderId="2" xfId="0" applyNumberFormat="1" applyFont="1" applyBorder="1" applyAlignment="1">
      <alignment horizontal="right" vertical="top"/>
    </xf>
    <xf numFmtId="168" fontId="19" fillId="0" borderId="2" xfId="0" applyNumberFormat="1" applyFont="1" applyBorder="1" applyAlignment="1">
      <alignment horizontal="right" vertical="top"/>
    </xf>
    <xf numFmtId="10" fontId="19" fillId="0" borderId="2" xfId="0" applyNumberFormat="1" applyFont="1" applyBorder="1" applyAlignment="1">
      <alignment horizontal="right" vertical="top"/>
    </xf>
    <xf numFmtId="4" fontId="8" fillId="0" borderId="2" xfId="0" applyNumberFormat="1" applyFont="1" applyBorder="1"/>
    <xf numFmtId="4" fontId="15" fillId="0" borderId="2" xfId="0" applyNumberFormat="1" applyFont="1" applyBorder="1" applyAlignment="1">
      <alignment horizontal="right" vertical="top"/>
    </xf>
    <xf numFmtId="168" fontId="5" fillId="0" borderId="2" xfId="0" applyNumberFormat="1" applyFont="1" applyBorder="1" applyAlignment="1">
      <alignment horizontal="right" vertical="top"/>
    </xf>
    <xf numFmtId="168" fontId="6" fillId="0" borderId="2" xfId="0" applyNumberFormat="1" applyFont="1" applyBorder="1" applyAlignment="1">
      <alignment horizontal="right" vertical="top"/>
    </xf>
    <xf numFmtId="0" fontId="10" fillId="0" borderId="2" xfId="0" applyFont="1" applyBorder="1"/>
    <xf numFmtId="4" fontId="10" fillId="0" borderId="2" xfId="0" applyNumberFormat="1" applyFont="1" applyBorder="1"/>
    <xf numFmtId="0" fontId="19" fillId="0" borderId="2" xfId="0" applyFont="1" applyBorder="1" applyAlignment="1">
      <alignment horizontal="left" vertical="top" wrapText="1"/>
    </xf>
    <xf numFmtId="0" fontId="19" fillId="0" borderId="2" xfId="0" applyFont="1" applyBorder="1" applyAlignment="1">
      <alignment horizontal="right" vertical="top" wrapText="1"/>
    </xf>
    <xf numFmtId="168" fontId="19" fillId="0" borderId="2" xfId="0" applyNumberFormat="1" applyFont="1" applyBorder="1" applyAlignment="1">
      <alignment horizontal="right" vertical="top" wrapText="1"/>
    </xf>
    <xf numFmtId="168" fontId="6" fillId="0" borderId="2" xfId="0" applyNumberFormat="1" applyFont="1" applyBorder="1" applyAlignment="1">
      <alignment horizontal="right"/>
    </xf>
    <xf numFmtId="168" fontId="5" fillId="0" borderId="2" xfId="0" applyNumberFormat="1" applyFont="1" applyBorder="1" applyAlignment="1">
      <alignment horizontal="right"/>
    </xf>
    <xf numFmtId="0" fontId="5" fillId="0" borderId="2" xfId="0" applyFont="1" applyBorder="1" applyAlignment="1">
      <alignment horizontal="left" vertical="top" wrapText="1"/>
    </xf>
    <xf numFmtId="166" fontId="19" fillId="0" borderId="2" xfId="0" applyNumberFormat="1" applyFont="1" applyBorder="1" applyAlignment="1">
      <alignment horizontal="right" vertical="top" wrapText="1"/>
    </xf>
    <xf numFmtId="167" fontId="19" fillId="0" borderId="2" xfId="0" applyNumberFormat="1" applyFont="1" applyBorder="1" applyAlignment="1">
      <alignment horizontal="right" vertical="top" wrapText="1"/>
    </xf>
    <xf numFmtId="4" fontId="10" fillId="0" borderId="2" xfId="0" applyNumberFormat="1" applyFont="1" applyBorder="1" applyAlignment="1">
      <alignment horizontal="right" vertical="top"/>
    </xf>
    <xf numFmtId="10" fontId="8" fillId="0" borderId="2" xfId="2" applyNumberFormat="1" applyFont="1" applyFill="1" applyBorder="1" applyAlignment="1">
      <alignment horizontal="right"/>
    </xf>
    <xf numFmtId="10" fontId="8" fillId="0" borderId="2" xfId="2" applyNumberFormat="1" applyFont="1" applyFill="1" applyBorder="1" applyAlignment="1"/>
    <xf numFmtId="0" fontId="5" fillId="0" borderId="2" xfId="0" applyFont="1" applyBorder="1" applyAlignment="1">
      <alignment wrapText="1"/>
    </xf>
    <xf numFmtId="0" fontId="6" fillId="0" borderId="2" xfId="0" applyFont="1" applyBorder="1" applyAlignment="1">
      <alignment wrapText="1"/>
    </xf>
    <xf numFmtId="10" fontId="19" fillId="0" borderId="2" xfId="2" applyNumberFormat="1" applyFont="1" applyBorder="1" applyAlignment="1">
      <alignment horizontal="right" vertical="top"/>
    </xf>
    <xf numFmtId="169" fontId="6" fillId="0" borderId="2" xfId="0" applyNumberFormat="1" applyFont="1" applyBorder="1" applyAlignment="1">
      <alignment horizontal="right" vertical="top"/>
    </xf>
    <xf numFmtId="169" fontId="5" fillId="0" borderId="2" xfId="0" applyNumberFormat="1" applyFont="1" applyBorder="1" applyAlignment="1">
      <alignment horizontal="right" vertical="top"/>
    </xf>
    <xf numFmtId="0" fontId="14" fillId="0" borderId="2" xfId="0" applyFont="1" applyBorder="1"/>
    <xf numFmtId="0" fontId="14" fillId="0" borderId="2" xfId="0" applyFont="1" applyBorder="1" applyAlignment="1">
      <alignment horizontal="right"/>
    </xf>
    <xf numFmtId="4" fontId="6" fillId="0" borderId="0" xfId="0" applyNumberFormat="1" applyFont="1"/>
    <xf numFmtId="4" fontId="14" fillId="0" borderId="0" xfId="0" applyNumberFormat="1" applyFont="1"/>
    <xf numFmtId="0" fontId="6" fillId="0" borderId="0" xfId="6" applyFont="1" applyAlignment="1">
      <alignment horizontal="left" vertical="top" wrapText="1"/>
    </xf>
    <xf numFmtId="0" fontId="3" fillId="2" borderId="0" xfId="3" applyFont="1" applyFill="1" applyAlignment="1">
      <alignment horizontal="center" vertical="center"/>
    </xf>
    <xf numFmtId="0" fontId="3" fillId="2" borderId="0" xfId="3" applyFont="1" applyFill="1" applyAlignment="1">
      <alignment horizontal="center" vertical="top" wrapText="1"/>
    </xf>
    <xf numFmtId="0" fontId="3" fillId="2" borderId="0" xfId="3" applyFont="1" applyFill="1" applyAlignment="1">
      <alignment horizontal="center" vertical="center" wrapText="1"/>
    </xf>
    <xf numFmtId="0" fontId="5" fillId="0" borderId="0" xfId="3" applyFont="1" applyAlignment="1">
      <alignment horizontal="center" wrapText="1"/>
    </xf>
    <xf numFmtId="0" fontId="9" fillId="0" borderId="0" xfId="7" applyFont="1" applyAlignment="1">
      <alignment horizontal="left" vertical="top" wrapText="1"/>
    </xf>
    <xf numFmtId="0" fontId="14" fillId="0" borderId="0" xfId="0" applyFont="1" applyAlignment="1">
      <alignment wrapText="1"/>
    </xf>
    <xf numFmtId="0" fontId="20" fillId="0" borderId="0" xfId="11" applyFont="1" applyAlignment="1"/>
    <xf numFmtId="0" fontId="18" fillId="0" borderId="0" xfId="0" applyFont="1"/>
    <xf numFmtId="0" fontId="6" fillId="0" borderId="1" xfId="3" applyFont="1" applyBorder="1" applyAlignment="1">
      <alignment horizontal="center" wrapText="1"/>
    </xf>
    <xf numFmtId="0" fontId="6" fillId="0" borderId="9" xfId="3" applyFont="1" applyBorder="1" applyAlignment="1">
      <alignment horizontal="center" wrapText="1"/>
    </xf>
    <xf numFmtId="0" fontId="8" fillId="0" borderId="0" xfId="7" applyFont="1" applyAlignment="1">
      <alignment horizontal="left" vertical="top" wrapText="1"/>
    </xf>
    <xf numFmtId="0" fontId="10" fillId="0" borderId="3" xfId="3" applyFont="1" applyBorder="1" applyAlignment="1">
      <alignment horizontal="center" vertical="center" wrapText="1"/>
    </xf>
    <xf numFmtId="0" fontId="10" fillId="0" borderId="4" xfId="3" applyFont="1" applyBorder="1" applyAlignment="1">
      <alignment horizontal="center" vertical="center" wrapText="1"/>
    </xf>
    <xf numFmtId="0" fontId="10" fillId="0" borderId="5" xfId="3" applyFont="1" applyBorder="1" applyAlignment="1">
      <alignment horizontal="center" vertical="center" wrapText="1"/>
    </xf>
    <xf numFmtId="0" fontId="10" fillId="0" borderId="7" xfId="3" applyFont="1" applyBorder="1" applyAlignment="1">
      <alignment horizontal="left" vertical="top" wrapText="1"/>
    </xf>
    <xf numFmtId="0" fontId="10" fillId="0" borderId="6" xfId="3" applyFont="1" applyBorder="1" applyAlignment="1">
      <alignment horizontal="left" vertical="top" wrapText="1"/>
    </xf>
    <xf numFmtId="0" fontId="10" fillId="0" borderId="0" xfId="5" applyFont="1" applyAlignment="1">
      <alignment horizontal="center"/>
    </xf>
    <xf numFmtId="0" fontId="5" fillId="0" borderId="0" xfId="3" applyFont="1" applyAlignment="1">
      <alignment horizontal="center"/>
    </xf>
    <xf numFmtId="0" fontId="5" fillId="0" borderId="0" xfId="3" applyFont="1"/>
    <xf numFmtId="0" fontId="5" fillId="0" borderId="0" xfId="0" applyFont="1"/>
  </cellXfs>
  <cellStyles count="12">
    <cellStyle name="Comma" xfId="1" builtinId="3"/>
    <cellStyle name="Hyperlink" xfId="11" builtinId="8"/>
    <cellStyle name="Normal" xfId="0" builtinId="0"/>
    <cellStyle name="Normal 2 2 2" xfId="3" xr:uid="{00000000-0005-0000-0000-000003000000}"/>
    <cellStyle name="Normal 2 2_Template Portfolio Disclosure -31.01 2025" xfId="4" xr:uid="{00000000-0005-0000-0000-000004000000}"/>
    <cellStyle name="Normal 2 3 2" xfId="6" xr:uid="{00000000-0005-0000-0000-000005000000}"/>
    <cellStyle name="Normal 3" xfId="10" xr:uid="{00000000-0005-0000-0000-000006000000}"/>
    <cellStyle name="Normal 4_IF" xfId="5" xr:uid="{00000000-0005-0000-0000-000007000000}"/>
    <cellStyle name="Normal 4_LD" xfId="7" xr:uid="{00000000-0005-0000-0000-000008000000}"/>
    <cellStyle name="Normal 4_LF" xfId="8" xr:uid="{00000000-0005-0000-0000-000009000000}"/>
    <cellStyle name="Normal 4_ON" xfId="9" xr:uid="{00000000-0005-0000-0000-00000A00000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476250</xdr:colOff>
      <xdr:row>103</xdr:row>
      <xdr:rowOff>104775</xdr:rowOff>
    </xdr:from>
    <xdr:to>
      <xdr:col>0</xdr:col>
      <xdr:colOff>3124200</xdr:colOff>
      <xdr:row>106</xdr:row>
      <xdr:rowOff>0</xdr:rowOff>
    </xdr:to>
    <xdr:sp macro="" textlink="">
      <xdr:nvSpPr>
        <xdr:cNvPr id="2" name="TextBox 1">
          <a:extLst>
            <a:ext uri="{FF2B5EF4-FFF2-40B4-BE49-F238E27FC236}">
              <a16:creationId xmlns:a16="http://schemas.microsoft.com/office/drawing/2014/main" id="{C89B7C23-1BE8-4060-890E-23B2413AA1E6}"/>
            </a:ext>
          </a:extLst>
        </xdr:cNvPr>
        <xdr:cNvSpPr txBox="1"/>
      </xdr:nvSpPr>
      <xdr:spPr>
        <a:xfrm>
          <a:off x="476250" y="19497675"/>
          <a:ext cx="2647950"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100">
            <a:solidFill>
              <a:sysClr val="windowText" lastClr="000000"/>
            </a:solidFill>
          </a:endParaRPr>
        </a:p>
      </xdr:txBody>
    </xdr:sp>
    <xdr:clientData/>
  </xdr:twoCellAnchor>
  <xdr:twoCellAnchor>
    <xdr:from>
      <xdr:col>1</xdr:col>
      <xdr:colOff>209550</xdr:colOff>
      <xdr:row>103</xdr:row>
      <xdr:rowOff>104775</xdr:rowOff>
    </xdr:from>
    <xdr:to>
      <xdr:col>3</xdr:col>
      <xdr:colOff>476250</xdr:colOff>
      <xdr:row>106</xdr:row>
      <xdr:rowOff>0</xdr:rowOff>
    </xdr:to>
    <xdr:sp macro="" textlink="">
      <xdr:nvSpPr>
        <xdr:cNvPr id="3" name="TextBox 2">
          <a:extLst>
            <a:ext uri="{FF2B5EF4-FFF2-40B4-BE49-F238E27FC236}">
              <a16:creationId xmlns:a16="http://schemas.microsoft.com/office/drawing/2014/main" id="{0BF92D8C-4EE3-44D7-8BCB-C967ED9DED54}"/>
            </a:ext>
          </a:extLst>
        </xdr:cNvPr>
        <xdr:cNvSpPr txBox="1"/>
      </xdr:nvSpPr>
      <xdr:spPr>
        <a:xfrm>
          <a:off x="4064000" y="19497675"/>
          <a:ext cx="3060700"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100">
            <a:solidFill>
              <a:sysClr val="windowText" lastClr="000000"/>
            </a:solidFill>
          </a:endParaRPr>
        </a:p>
      </xdr:txBody>
    </xdr:sp>
    <xdr:clientData/>
  </xdr:twoCellAnchor>
  <xdr:twoCellAnchor>
    <xdr:from>
      <xdr:col>0</xdr:col>
      <xdr:colOff>501650</xdr:colOff>
      <xdr:row>103</xdr:row>
      <xdr:rowOff>92075</xdr:rowOff>
    </xdr:from>
    <xdr:to>
      <xdr:col>0</xdr:col>
      <xdr:colOff>3276600</xdr:colOff>
      <xdr:row>106</xdr:row>
      <xdr:rowOff>104</xdr:rowOff>
    </xdr:to>
    <xdr:sp macro="" textlink="">
      <xdr:nvSpPr>
        <xdr:cNvPr id="6" name="TextBox 5">
          <a:extLst>
            <a:ext uri="{FF2B5EF4-FFF2-40B4-BE49-F238E27FC236}">
              <a16:creationId xmlns:a16="http://schemas.microsoft.com/office/drawing/2014/main" id="{573F6FC9-6B2E-4562-A417-F634FBB23597}"/>
            </a:ext>
          </a:extLst>
        </xdr:cNvPr>
        <xdr:cNvSpPr txBox="1"/>
      </xdr:nvSpPr>
      <xdr:spPr>
        <a:xfrm>
          <a:off x="501650" y="19484975"/>
          <a:ext cx="2774950" cy="4033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100">
            <a:solidFill>
              <a:sysClr val="windowText" lastClr="000000"/>
            </a:solidFill>
          </a:endParaRPr>
        </a:p>
      </xdr:txBody>
    </xdr:sp>
    <xdr:clientData/>
  </xdr:twoCellAnchor>
  <xdr:twoCellAnchor>
    <xdr:from>
      <xdr:col>1</xdr:col>
      <xdr:colOff>222250</xdr:colOff>
      <xdr:row>103</xdr:row>
      <xdr:rowOff>92075</xdr:rowOff>
    </xdr:from>
    <xdr:to>
      <xdr:col>3</xdr:col>
      <xdr:colOff>501650</xdr:colOff>
      <xdr:row>106</xdr:row>
      <xdr:rowOff>104</xdr:rowOff>
    </xdr:to>
    <xdr:sp macro="" textlink="">
      <xdr:nvSpPr>
        <xdr:cNvPr id="7" name="TextBox 6">
          <a:extLst>
            <a:ext uri="{FF2B5EF4-FFF2-40B4-BE49-F238E27FC236}">
              <a16:creationId xmlns:a16="http://schemas.microsoft.com/office/drawing/2014/main" id="{4D238994-9EC5-4EAE-8969-C9AC0ED80A22}"/>
            </a:ext>
          </a:extLst>
        </xdr:cNvPr>
        <xdr:cNvSpPr txBox="1"/>
      </xdr:nvSpPr>
      <xdr:spPr>
        <a:xfrm>
          <a:off x="4076700" y="19484975"/>
          <a:ext cx="3073400" cy="4033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100">
            <a:solidFill>
              <a:sysClr val="windowText" lastClr="000000"/>
            </a:solidFill>
          </a:endParaRPr>
        </a:p>
      </xdr:txBody>
    </xdr:sp>
    <xdr:clientData/>
  </xdr:twoCellAnchor>
  <xdr:twoCellAnchor editAs="oneCell">
    <xdr:from>
      <xdr:col>1</xdr:col>
      <xdr:colOff>3724275</xdr:colOff>
      <xdr:row>98</xdr:row>
      <xdr:rowOff>66675</xdr:rowOff>
    </xdr:from>
    <xdr:to>
      <xdr:col>5</xdr:col>
      <xdr:colOff>38100</xdr:colOff>
      <xdr:row>107</xdr:row>
      <xdr:rowOff>47625</xdr:rowOff>
    </xdr:to>
    <xdr:pic>
      <xdr:nvPicPr>
        <xdr:cNvPr id="9" name="Picture 8">
          <a:extLst>
            <a:ext uri="{FF2B5EF4-FFF2-40B4-BE49-F238E27FC236}">
              <a16:creationId xmlns:a16="http://schemas.microsoft.com/office/drawing/2014/main" id="{3FE77473-FAE0-4431-A2CA-7D9B3125BEE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72050" y="17935575"/>
          <a:ext cx="2905125" cy="152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990600</xdr:colOff>
      <xdr:row>98</xdr:row>
      <xdr:rowOff>57150</xdr:rowOff>
    </xdr:from>
    <xdr:to>
      <xdr:col>1</xdr:col>
      <xdr:colOff>2647950</xdr:colOff>
      <xdr:row>107</xdr:row>
      <xdr:rowOff>50800</xdr:rowOff>
    </xdr:to>
    <xdr:pic>
      <xdr:nvPicPr>
        <xdr:cNvPr id="10" name="Picture 9">
          <a:extLst>
            <a:ext uri="{FF2B5EF4-FFF2-40B4-BE49-F238E27FC236}">
              <a16:creationId xmlns:a16="http://schemas.microsoft.com/office/drawing/2014/main" id="{EA3D9569-5568-425D-BB8B-855BC4BC58C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90600" y="17926050"/>
          <a:ext cx="2905125" cy="153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jmfinancialmf.com/products/Fixed-Income/JM-Liquid-Fund/J13/Regular-Plan-Growth-Op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35"/>
  <sheetViews>
    <sheetView tabSelected="1" topLeftCell="A97" zoomScaleNormal="100" workbookViewId="0">
      <selection activeCell="A111" sqref="A111:XFD111"/>
    </sheetView>
  </sheetViews>
  <sheetFormatPr defaultColWidth="9.140625" defaultRowHeight="13.5" x14ac:dyDescent="0.3"/>
  <cols>
    <col min="1" max="1" width="18.7109375" style="50" customWidth="1"/>
    <col min="2" max="2" width="57" style="51" customWidth="1"/>
    <col min="3" max="3" width="15.85546875" style="26" customWidth="1"/>
    <col min="4" max="4" width="13.42578125" style="46" bestFit="1" customWidth="1"/>
    <col min="5" max="5" width="12.5703125" style="46" customWidth="1"/>
    <col min="6" max="6" width="15.28515625" style="46" bestFit="1" customWidth="1"/>
    <col min="7" max="7" width="11.5703125" style="46" bestFit="1" customWidth="1"/>
    <col min="8" max="8" width="9.42578125" style="46" bestFit="1" customWidth="1"/>
    <col min="9" max="9" width="8.140625" style="46" bestFit="1" customWidth="1"/>
    <col min="10" max="10" width="12.140625" style="46" bestFit="1" customWidth="1"/>
    <col min="11" max="16384" width="9.140625" style="46"/>
  </cols>
  <sheetData>
    <row r="1" spans="1:10" s="1" customFormat="1" x14ac:dyDescent="0.25">
      <c r="A1" s="104" t="s">
        <v>0</v>
      </c>
      <c r="B1" s="104"/>
      <c r="C1" s="104"/>
      <c r="D1" s="104"/>
      <c r="E1" s="104"/>
      <c r="F1" s="104"/>
      <c r="G1" s="104"/>
      <c r="H1" s="104"/>
      <c r="I1" s="104"/>
      <c r="J1" s="42"/>
    </row>
    <row r="2" spans="1:10" s="1" customFormat="1" ht="12.95" customHeight="1" x14ac:dyDescent="0.25">
      <c r="A2" s="105" t="s">
        <v>1</v>
      </c>
      <c r="B2" s="105"/>
      <c r="C2" s="105"/>
      <c r="D2" s="105"/>
      <c r="E2" s="105"/>
      <c r="F2" s="105"/>
      <c r="G2" s="105"/>
      <c r="H2" s="105"/>
      <c r="I2" s="105"/>
      <c r="J2" s="42"/>
    </row>
    <row r="3" spans="1:10" s="1" customFormat="1" ht="12.75" customHeight="1" x14ac:dyDescent="0.25">
      <c r="A3" s="106" t="s">
        <v>219</v>
      </c>
      <c r="B3" s="106"/>
      <c r="C3" s="106"/>
      <c r="D3" s="106"/>
      <c r="E3" s="106"/>
      <c r="F3" s="106"/>
      <c r="G3" s="106"/>
      <c r="H3" s="106"/>
      <c r="I3" s="106"/>
      <c r="J3" s="42"/>
    </row>
    <row r="4" spans="1:10" s="63" customFormat="1" ht="25.5" x14ac:dyDescent="0.2">
      <c r="A4" s="41" t="s">
        <v>2</v>
      </c>
      <c r="B4" s="58" t="s">
        <v>55</v>
      </c>
      <c r="C4" s="59" t="s">
        <v>56</v>
      </c>
      <c r="D4" s="60" t="s">
        <v>72</v>
      </c>
      <c r="E4" s="61" t="s">
        <v>57</v>
      </c>
      <c r="F4" s="62" t="s">
        <v>58</v>
      </c>
      <c r="G4" s="41" t="s">
        <v>59</v>
      </c>
      <c r="H4" s="41" t="s">
        <v>60</v>
      </c>
      <c r="I4" s="41" t="s">
        <v>61</v>
      </c>
      <c r="J4" s="41" t="s">
        <v>63</v>
      </c>
    </row>
    <row r="5" spans="1:10" x14ac:dyDescent="0.3">
      <c r="A5" s="64"/>
      <c r="B5" s="65" t="s">
        <v>3</v>
      </c>
      <c r="C5" s="64"/>
      <c r="D5" s="64"/>
      <c r="E5" s="64"/>
      <c r="F5" s="66"/>
      <c r="G5" s="67"/>
      <c r="H5" s="64"/>
      <c r="I5" s="68"/>
      <c r="J5" s="43"/>
    </row>
    <row r="6" spans="1:10" ht="29.25" customHeight="1" x14ac:dyDescent="0.3">
      <c r="A6" s="69"/>
      <c r="B6" s="65" t="s">
        <v>4</v>
      </c>
      <c r="C6" s="69"/>
      <c r="D6" s="70"/>
      <c r="E6" s="71"/>
      <c r="F6" s="72"/>
      <c r="G6" s="68"/>
      <c r="H6" s="69"/>
      <c r="I6" s="68"/>
      <c r="J6" s="43"/>
    </row>
    <row r="7" spans="1:10" x14ac:dyDescent="0.3">
      <c r="A7" s="69"/>
      <c r="B7" s="65" t="s">
        <v>62</v>
      </c>
      <c r="C7" s="69"/>
      <c r="D7" s="70"/>
      <c r="E7" s="73"/>
      <c r="F7" s="73"/>
      <c r="G7" s="68"/>
      <c r="H7" s="69"/>
      <c r="I7" s="68"/>
      <c r="J7" s="43"/>
    </row>
    <row r="8" spans="1:10" x14ac:dyDescent="0.3">
      <c r="A8" s="69" t="s">
        <v>111</v>
      </c>
      <c r="B8" s="69" t="s">
        <v>112</v>
      </c>
      <c r="C8" s="69" t="s">
        <v>113</v>
      </c>
      <c r="D8" s="74">
        <v>2500000</v>
      </c>
      <c r="E8" s="74">
        <v>2502.41</v>
      </c>
      <c r="F8" s="75">
        <v>9.7111227769027791E-3</v>
      </c>
      <c r="G8" s="75" t="s">
        <v>114</v>
      </c>
      <c r="H8" s="75"/>
      <c r="I8" s="76">
        <v>6.2E-2</v>
      </c>
      <c r="J8" s="43"/>
    </row>
    <row r="9" spans="1:10" x14ac:dyDescent="0.3">
      <c r="A9" s="64"/>
      <c r="B9" s="65" t="s">
        <v>5</v>
      </c>
      <c r="C9" s="64"/>
      <c r="D9" s="77"/>
      <c r="E9" s="78">
        <v>2502.41</v>
      </c>
      <c r="F9" s="79">
        <v>9.7111227769027791E-3</v>
      </c>
      <c r="G9" s="80"/>
      <c r="H9" s="79"/>
      <c r="I9" s="68"/>
      <c r="J9" s="43"/>
    </row>
    <row r="10" spans="1:10" x14ac:dyDescent="0.3">
      <c r="A10" s="81"/>
      <c r="B10" s="65" t="s">
        <v>6</v>
      </c>
      <c r="C10" s="81"/>
      <c r="D10" s="82"/>
      <c r="E10" s="73"/>
      <c r="F10" s="73"/>
      <c r="G10" s="80"/>
      <c r="H10" s="79"/>
      <c r="I10" s="68"/>
      <c r="J10" s="43"/>
    </row>
    <row r="11" spans="1:10" x14ac:dyDescent="0.3">
      <c r="A11" s="83"/>
      <c r="B11" s="65" t="s">
        <v>5</v>
      </c>
      <c r="C11" s="83"/>
      <c r="D11" s="83"/>
      <c r="E11" s="73" t="s">
        <v>7</v>
      </c>
      <c r="F11" s="73" t="s">
        <v>7</v>
      </c>
      <c r="G11" s="84"/>
      <c r="H11" s="83"/>
      <c r="I11" s="68"/>
      <c r="J11" s="43"/>
    </row>
    <row r="12" spans="1:10" x14ac:dyDescent="0.3">
      <c r="A12" s="83"/>
      <c r="B12" s="65" t="s">
        <v>8</v>
      </c>
      <c r="C12" s="83"/>
      <c r="D12" s="84"/>
      <c r="E12" s="73" t="s">
        <v>7</v>
      </c>
      <c r="F12" s="73" t="s">
        <v>7</v>
      </c>
      <c r="G12" s="85"/>
      <c r="H12" s="85"/>
      <c r="I12" s="68"/>
      <c r="J12" s="43"/>
    </row>
    <row r="13" spans="1:10" x14ac:dyDescent="0.3">
      <c r="A13" s="81"/>
      <c r="B13" s="65" t="s">
        <v>5</v>
      </c>
      <c r="C13" s="81"/>
      <c r="D13" s="82"/>
      <c r="E13" s="78" t="s">
        <v>7</v>
      </c>
      <c r="F13" s="79" t="s">
        <v>7</v>
      </c>
      <c r="G13" s="86"/>
      <c r="H13" s="87"/>
      <c r="I13" s="68"/>
      <c r="J13" s="43"/>
    </row>
    <row r="14" spans="1:10" x14ac:dyDescent="0.3">
      <c r="A14" s="81"/>
      <c r="B14" s="65" t="s">
        <v>9</v>
      </c>
      <c r="C14" s="81"/>
      <c r="D14" s="82"/>
      <c r="E14" s="73" t="s">
        <v>7</v>
      </c>
      <c r="F14" s="73" t="s">
        <v>7</v>
      </c>
      <c r="G14" s="86"/>
      <c r="H14" s="87"/>
      <c r="I14" s="68"/>
      <c r="J14" s="43"/>
    </row>
    <row r="15" spans="1:10" x14ac:dyDescent="0.3">
      <c r="A15" s="81"/>
      <c r="B15" s="65" t="s">
        <v>5</v>
      </c>
      <c r="C15" s="81"/>
      <c r="D15" s="82"/>
      <c r="E15" s="78" t="s">
        <v>7</v>
      </c>
      <c r="F15" s="79" t="s">
        <v>7</v>
      </c>
      <c r="G15" s="80"/>
      <c r="H15" s="79"/>
      <c r="I15" s="68"/>
      <c r="J15" s="43"/>
    </row>
    <row r="16" spans="1:10" x14ac:dyDescent="0.3">
      <c r="A16" s="81"/>
      <c r="B16" s="88" t="s">
        <v>10</v>
      </c>
      <c r="C16" s="81"/>
      <c r="D16" s="82"/>
      <c r="E16" s="78">
        <v>2502.41</v>
      </c>
      <c r="F16" s="79">
        <v>9.7111227769027791E-3</v>
      </c>
      <c r="G16" s="80"/>
      <c r="H16" s="79"/>
      <c r="I16" s="68"/>
      <c r="J16" s="43"/>
    </row>
    <row r="17" spans="1:10" x14ac:dyDescent="0.3">
      <c r="A17" s="83"/>
      <c r="B17" s="83"/>
      <c r="C17" s="83"/>
      <c r="D17" s="89"/>
      <c r="E17" s="89"/>
      <c r="F17" s="90"/>
      <c r="G17" s="85"/>
      <c r="H17" s="85"/>
      <c r="I17" s="68"/>
      <c r="J17" s="43"/>
    </row>
    <row r="18" spans="1:10" x14ac:dyDescent="0.3">
      <c r="A18" s="81"/>
      <c r="B18" s="65" t="s">
        <v>11</v>
      </c>
      <c r="C18" s="81"/>
      <c r="D18" s="82"/>
      <c r="E18" s="91"/>
      <c r="F18" s="72"/>
      <c r="G18" s="80"/>
      <c r="H18" s="79"/>
      <c r="I18" s="68"/>
      <c r="J18" s="43"/>
    </row>
    <row r="19" spans="1:10" x14ac:dyDescent="0.3">
      <c r="A19" s="81"/>
      <c r="B19" s="65" t="s">
        <v>12</v>
      </c>
      <c r="C19" s="81"/>
      <c r="D19" s="82"/>
      <c r="E19" s="91"/>
      <c r="F19" s="72"/>
      <c r="G19" s="80"/>
      <c r="H19" s="79"/>
      <c r="I19" s="68"/>
      <c r="J19" s="43"/>
    </row>
    <row r="20" spans="1:10" x14ac:dyDescent="0.3">
      <c r="A20" s="69" t="s">
        <v>143</v>
      </c>
      <c r="B20" s="69" t="s">
        <v>144</v>
      </c>
      <c r="C20" s="69" t="s">
        <v>13</v>
      </c>
      <c r="D20" s="74">
        <v>11500000</v>
      </c>
      <c r="E20" s="74">
        <v>11388.817999999999</v>
      </c>
      <c r="F20" s="75">
        <v>4.4196678354786127E-2</v>
      </c>
      <c r="G20" s="80" t="s">
        <v>145</v>
      </c>
      <c r="H20" s="79"/>
      <c r="I20" s="68" t="s">
        <v>115</v>
      </c>
      <c r="J20" s="43"/>
    </row>
    <row r="21" spans="1:10" x14ac:dyDescent="0.3">
      <c r="A21" s="69" t="s">
        <v>76</v>
      </c>
      <c r="B21" s="69" t="s">
        <v>77</v>
      </c>
      <c r="C21" s="69" t="s">
        <v>13</v>
      </c>
      <c r="D21" s="74">
        <v>7900000</v>
      </c>
      <c r="E21" s="74">
        <v>7895.6707999999999</v>
      </c>
      <c r="F21" s="75">
        <v>3.0640793692802613E-2</v>
      </c>
      <c r="G21" s="80" t="s">
        <v>78</v>
      </c>
      <c r="H21" s="79"/>
      <c r="I21" s="76">
        <v>0.05</v>
      </c>
      <c r="J21" s="43"/>
    </row>
    <row r="22" spans="1:10" x14ac:dyDescent="0.3">
      <c r="A22" s="69" t="s">
        <v>116</v>
      </c>
      <c r="B22" s="69" t="s">
        <v>117</v>
      </c>
      <c r="C22" s="69" t="s">
        <v>13</v>
      </c>
      <c r="D22" s="74">
        <v>6700000</v>
      </c>
      <c r="E22" s="74">
        <v>6642.9494999999997</v>
      </c>
      <c r="F22" s="75">
        <v>2.5779347986646845E-2</v>
      </c>
      <c r="G22" s="80" t="s">
        <v>118</v>
      </c>
      <c r="H22" s="79"/>
      <c r="I22" s="68" t="s">
        <v>138</v>
      </c>
      <c r="J22" s="43"/>
    </row>
    <row r="23" spans="1:10" x14ac:dyDescent="0.3">
      <c r="A23" s="69" t="s">
        <v>73</v>
      </c>
      <c r="B23" s="69" t="s">
        <v>74</v>
      </c>
      <c r="C23" s="69" t="s">
        <v>13</v>
      </c>
      <c r="D23" s="74">
        <v>5000000</v>
      </c>
      <c r="E23" s="74">
        <v>4988.6850000000004</v>
      </c>
      <c r="F23" s="75">
        <v>1.9359630328480641E-2</v>
      </c>
      <c r="G23" s="80" t="s">
        <v>75</v>
      </c>
      <c r="H23" s="79"/>
      <c r="I23" s="76">
        <v>4.5999999999999999E-2</v>
      </c>
      <c r="J23" s="43"/>
    </row>
    <row r="24" spans="1:10" x14ac:dyDescent="0.3">
      <c r="A24" s="69" t="s">
        <v>140</v>
      </c>
      <c r="B24" s="69" t="s">
        <v>141</v>
      </c>
      <c r="C24" s="69" t="s">
        <v>13</v>
      </c>
      <c r="D24" s="74">
        <v>5000000</v>
      </c>
      <c r="E24" s="74">
        <v>4947.4449999999997</v>
      </c>
      <c r="F24" s="75">
        <v>1.9199589926100748E-2</v>
      </c>
      <c r="G24" s="80" t="s">
        <v>142</v>
      </c>
      <c r="H24" s="79"/>
      <c r="I24" s="68" t="s">
        <v>115</v>
      </c>
      <c r="J24" s="43"/>
    </row>
    <row r="25" spans="1:10" x14ac:dyDescent="0.3">
      <c r="A25" s="69" t="s">
        <v>134</v>
      </c>
      <c r="B25" s="69" t="s">
        <v>135</v>
      </c>
      <c r="C25" s="69" t="s">
        <v>13</v>
      </c>
      <c r="D25" s="74">
        <v>5000000</v>
      </c>
      <c r="E25" s="74">
        <v>4937.5649999999996</v>
      </c>
      <c r="F25" s="75">
        <v>1.9161248529992275E-2</v>
      </c>
      <c r="G25" s="80" t="s">
        <v>136</v>
      </c>
      <c r="H25" s="79"/>
      <c r="I25" s="68" t="s">
        <v>137</v>
      </c>
      <c r="J25" s="43"/>
    </row>
    <row r="26" spans="1:10" x14ac:dyDescent="0.3">
      <c r="A26" s="69" t="s">
        <v>79</v>
      </c>
      <c r="B26" s="69" t="s">
        <v>80</v>
      </c>
      <c r="C26" s="69" t="s">
        <v>13</v>
      </c>
      <c r="D26" s="74">
        <v>2500000</v>
      </c>
      <c r="E26" s="74">
        <v>2492.2325000000001</v>
      </c>
      <c r="F26" s="75">
        <v>9.6716268701321356E-3</v>
      </c>
      <c r="G26" s="80" t="s">
        <v>81</v>
      </c>
      <c r="H26" s="79"/>
      <c r="I26" s="68" t="s">
        <v>139</v>
      </c>
      <c r="J26" s="43"/>
    </row>
    <row r="27" spans="1:10" x14ac:dyDescent="0.3">
      <c r="A27" s="64"/>
      <c r="B27" s="65" t="s">
        <v>5</v>
      </c>
      <c r="C27" s="64"/>
      <c r="D27" s="77"/>
      <c r="E27" s="71">
        <v>43293.3658</v>
      </c>
      <c r="F27" s="79">
        <v>0.16800891568894138</v>
      </c>
      <c r="G27" s="92"/>
      <c r="H27" s="93"/>
      <c r="I27" s="68"/>
      <c r="J27" s="43"/>
    </row>
    <row r="28" spans="1:10" x14ac:dyDescent="0.3">
      <c r="A28" s="81"/>
      <c r="B28" s="65" t="s">
        <v>14</v>
      </c>
      <c r="C28" s="81"/>
      <c r="D28" s="82"/>
      <c r="E28" s="91"/>
      <c r="F28" s="72"/>
      <c r="G28" s="80"/>
      <c r="H28" s="79"/>
      <c r="I28" s="68"/>
      <c r="J28" s="43"/>
    </row>
    <row r="29" spans="1:10" x14ac:dyDescent="0.3">
      <c r="A29" s="69" t="s">
        <v>98</v>
      </c>
      <c r="B29" s="69" t="s">
        <v>147</v>
      </c>
      <c r="C29" s="69" t="s">
        <v>15</v>
      </c>
      <c r="D29" s="74">
        <v>10000000</v>
      </c>
      <c r="E29" s="74">
        <v>9998.59</v>
      </c>
      <c r="F29" s="75">
        <v>3.8801609283016118E-2</v>
      </c>
      <c r="G29" s="80" t="s">
        <v>99</v>
      </c>
      <c r="H29" s="79"/>
      <c r="I29" s="68" t="s">
        <v>148</v>
      </c>
      <c r="J29" s="43"/>
    </row>
    <row r="30" spans="1:10" x14ac:dyDescent="0.3">
      <c r="A30" s="69" t="s">
        <v>178</v>
      </c>
      <c r="B30" s="69" t="s">
        <v>179</v>
      </c>
      <c r="C30" s="69" t="s">
        <v>15</v>
      </c>
      <c r="D30" s="74">
        <v>10000000</v>
      </c>
      <c r="E30" s="74">
        <v>9834.74</v>
      </c>
      <c r="F30" s="75">
        <v>3.816575525949658E-2</v>
      </c>
      <c r="G30" s="80" t="s">
        <v>180</v>
      </c>
      <c r="H30" s="79"/>
      <c r="I30" s="68" t="s">
        <v>181</v>
      </c>
      <c r="J30" s="43"/>
    </row>
    <row r="31" spans="1:10" x14ac:dyDescent="0.3">
      <c r="A31" s="69" t="s">
        <v>96</v>
      </c>
      <c r="B31" s="69" t="s">
        <v>125</v>
      </c>
      <c r="C31" s="69" t="s">
        <v>15</v>
      </c>
      <c r="D31" s="74">
        <v>5000000</v>
      </c>
      <c r="E31" s="74">
        <v>4991.9750000000004</v>
      </c>
      <c r="F31" s="75">
        <v>1.9372397858156438E-2</v>
      </c>
      <c r="G31" s="80" t="s">
        <v>97</v>
      </c>
      <c r="H31" s="79"/>
      <c r="I31" s="68" t="s">
        <v>154</v>
      </c>
      <c r="J31" s="43"/>
    </row>
    <row r="32" spans="1:10" x14ac:dyDescent="0.3">
      <c r="A32" s="69" t="s">
        <v>83</v>
      </c>
      <c r="B32" s="69" t="s">
        <v>84</v>
      </c>
      <c r="C32" s="69" t="s">
        <v>15</v>
      </c>
      <c r="D32" s="74">
        <v>5000000</v>
      </c>
      <c r="E32" s="74">
        <v>4990.8050000000003</v>
      </c>
      <c r="F32" s="75">
        <v>1.936785742966991E-2</v>
      </c>
      <c r="G32" s="80" t="s">
        <v>82</v>
      </c>
      <c r="H32" s="79"/>
      <c r="I32" s="68" t="s">
        <v>149</v>
      </c>
      <c r="J32" s="43"/>
    </row>
    <row r="33" spans="1:10" x14ac:dyDescent="0.3">
      <c r="A33" s="69" t="s">
        <v>85</v>
      </c>
      <c r="B33" s="69" t="s">
        <v>86</v>
      </c>
      <c r="C33" s="69" t="s">
        <v>15</v>
      </c>
      <c r="D33" s="74">
        <v>5000000</v>
      </c>
      <c r="E33" s="74">
        <v>4990.28</v>
      </c>
      <c r="F33" s="75">
        <v>1.9365820057913131E-2</v>
      </c>
      <c r="G33" s="80" t="s">
        <v>87</v>
      </c>
      <c r="H33" s="79"/>
      <c r="I33" s="68" t="s">
        <v>182</v>
      </c>
      <c r="J33" s="43"/>
    </row>
    <row r="34" spans="1:10" x14ac:dyDescent="0.3">
      <c r="A34" s="69" t="s">
        <v>88</v>
      </c>
      <c r="B34" s="69" t="s">
        <v>89</v>
      </c>
      <c r="C34" s="69" t="s">
        <v>15</v>
      </c>
      <c r="D34" s="74">
        <v>5000000</v>
      </c>
      <c r="E34" s="74">
        <v>4987.59</v>
      </c>
      <c r="F34" s="75">
        <v>1.9355380953102221E-2</v>
      </c>
      <c r="G34" s="80" t="s">
        <v>90</v>
      </c>
      <c r="H34" s="79"/>
      <c r="I34" s="68" t="s">
        <v>161</v>
      </c>
      <c r="J34" s="43"/>
    </row>
    <row r="35" spans="1:10" x14ac:dyDescent="0.3">
      <c r="A35" s="69" t="s">
        <v>91</v>
      </c>
      <c r="B35" s="69" t="s">
        <v>92</v>
      </c>
      <c r="C35" s="69" t="s">
        <v>16</v>
      </c>
      <c r="D35" s="74">
        <v>5000000</v>
      </c>
      <c r="E35" s="74">
        <v>4984.18</v>
      </c>
      <c r="F35" s="75">
        <v>1.9342147738453448E-2</v>
      </c>
      <c r="G35" s="80" t="s">
        <v>93</v>
      </c>
      <c r="H35" s="79"/>
      <c r="I35" s="68" t="s">
        <v>177</v>
      </c>
      <c r="J35" s="43"/>
    </row>
    <row r="36" spans="1:10" x14ac:dyDescent="0.3">
      <c r="A36" s="69" t="s">
        <v>166</v>
      </c>
      <c r="B36" s="69" t="s">
        <v>167</v>
      </c>
      <c r="C36" s="69" t="s">
        <v>16</v>
      </c>
      <c r="D36" s="74">
        <v>5000000</v>
      </c>
      <c r="E36" s="74">
        <v>4983.9949999999999</v>
      </c>
      <c r="F36" s="75">
        <v>1.9341429807453441E-2</v>
      </c>
      <c r="G36" s="80" t="s">
        <v>124</v>
      </c>
      <c r="H36" s="79"/>
      <c r="I36" s="68" t="s">
        <v>168</v>
      </c>
      <c r="J36" s="43"/>
    </row>
    <row r="37" spans="1:10" x14ac:dyDescent="0.3">
      <c r="A37" s="69" t="s">
        <v>122</v>
      </c>
      <c r="B37" s="69" t="s">
        <v>123</v>
      </c>
      <c r="C37" s="69" t="s">
        <v>15</v>
      </c>
      <c r="D37" s="74">
        <v>5000000</v>
      </c>
      <c r="E37" s="74">
        <v>4982.74</v>
      </c>
      <c r="F37" s="75">
        <v>1.9336559518777718E-2</v>
      </c>
      <c r="G37" s="80" t="s">
        <v>124</v>
      </c>
      <c r="H37" s="79"/>
      <c r="I37" s="68" t="s">
        <v>162</v>
      </c>
      <c r="J37" s="43"/>
    </row>
    <row r="38" spans="1:10" x14ac:dyDescent="0.3">
      <c r="A38" s="69" t="s">
        <v>120</v>
      </c>
      <c r="B38" s="69" t="s">
        <v>121</v>
      </c>
      <c r="C38" s="69" t="s">
        <v>15</v>
      </c>
      <c r="D38" s="74">
        <v>5000000</v>
      </c>
      <c r="E38" s="74">
        <v>4980.1450000000004</v>
      </c>
      <c r="F38" s="75">
        <v>1.9326489081237085E-2</v>
      </c>
      <c r="G38" s="80" t="s">
        <v>114</v>
      </c>
      <c r="H38" s="79"/>
      <c r="I38" s="68" t="s">
        <v>146</v>
      </c>
      <c r="J38" s="43"/>
    </row>
    <row r="39" spans="1:10" x14ac:dyDescent="0.3">
      <c r="A39" s="69" t="s">
        <v>155</v>
      </c>
      <c r="B39" s="69" t="s">
        <v>156</v>
      </c>
      <c r="C39" s="69" t="s">
        <v>15</v>
      </c>
      <c r="D39" s="74">
        <v>5000000</v>
      </c>
      <c r="E39" s="74">
        <v>4933.92</v>
      </c>
      <c r="F39" s="75">
        <v>1.9147103348938089E-2</v>
      </c>
      <c r="G39" s="80" t="s">
        <v>157</v>
      </c>
      <c r="H39" s="79"/>
      <c r="I39" s="76">
        <v>7.2999999999999995E-2</v>
      </c>
      <c r="J39" s="43"/>
    </row>
    <row r="40" spans="1:10" x14ac:dyDescent="0.3">
      <c r="A40" s="69" t="s">
        <v>159</v>
      </c>
      <c r="B40" s="69" t="s">
        <v>160</v>
      </c>
      <c r="C40" s="69" t="s">
        <v>15</v>
      </c>
      <c r="D40" s="74">
        <v>5000000</v>
      </c>
      <c r="E40" s="74">
        <v>4933.8850000000002</v>
      </c>
      <c r="F40" s="75">
        <v>1.9146967524154304E-2</v>
      </c>
      <c r="G40" s="80" t="s">
        <v>157</v>
      </c>
      <c r="H40" s="79"/>
      <c r="I40" s="76">
        <v>7.2999999999999995E-2</v>
      </c>
      <c r="J40" s="43"/>
    </row>
    <row r="41" spans="1:10" x14ac:dyDescent="0.3">
      <c r="A41" s="69" t="s">
        <v>163</v>
      </c>
      <c r="B41" s="69" t="s">
        <v>164</v>
      </c>
      <c r="C41" s="69" t="s">
        <v>16</v>
      </c>
      <c r="D41" s="74">
        <v>5000000</v>
      </c>
      <c r="E41" s="74">
        <v>4927.18</v>
      </c>
      <c r="F41" s="75">
        <v>1.912094737628919E-2</v>
      </c>
      <c r="G41" s="80" t="s">
        <v>142</v>
      </c>
      <c r="H41" s="79"/>
      <c r="I41" s="68" t="s">
        <v>165</v>
      </c>
      <c r="J41" s="43"/>
    </row>
    <row r="42" spans="1:10" x14ac:dyDescent="0.3">
      <c r="A42" s="69" t="s">
        <v>150</v>
      </c>
      <c r="B42" s="69" t="s">
        <v>151</v>
      </c>
      <c r="C42" s="69" t="s">
        <v>16</v>
      </c>
      <c r="D42" s="74">
        <v>5000000</v>
      </c>
      <c r="E42" s="74">
        <v>4924.8599999999997</v>
      </c>
      <c r="F42" s="75">
        <v>1.9111944133478297E-2</v>
      </c>
      <c r="G42" s="80" t="s">
        <v>152</v>
      </c>
      <c r="H42" s="79"/>
      <c r="I42" s="68" t="s">
        <v>153</v>
      </c>
      <c r="J42" s="43"/>
    </row>
    <row r="43" spans="1:10" x14ac:dyDescent="0.3">
      <c r="A43" s="69" t="s">
        <v>169</v>
      </c>
      <c r="B43" s="69" t="s">
        <v>170</v>
      </c>
      <c r="C43" s="69" t="s">
        <v>16</v>
      </c>
      <c r="D43" s="74">
        <v>5000000</v>
      </c>
      <c r="E43" s="74">
        <v>4924.6000000000004</v>
      </c>
      <c r="F43" s="75">
        <v>1.9110935149370178E-2</v>
      </c>
      <c r="G43" s="80" t="s">
        <v>171</v>
      </c>
      <c r="H43" s="79"/>
      <c r="I43" s="68" t="s">
        <v>172</v>
      </c>
      <c r="J43" s="43"/>
    </row>
    <row r="44" spans="1:10" x14ac:dyDescent="0.3">
      <c r="A44" s="69" t="s">
        <v>173</v>
      </c>
      <c r="B44" s="69" t="s">
        <v>174</v>
      </c>
      <c r="C44" s="69" t="s">
        <v>126</v>
      </c>
      <c r="D44" s="74">
        <v>4500000</v>
      </c>
      <c r="E44" s="74">
        <v>4425.5339999999997</v>
      </c>
      <c r="F44" s="75">
        <v>1.7174205676670756E-2</v>
      </c>
      <c r="G44" s="80" t="s">
        <v>175</v>
      </c>
      <c r="H44" s="79"/>
      <c r="I44" s="68" t="s">
        <v>176</v>
      </c>
      <c r="J44" s="43"/>
    </row>
    <row r="45" spans="1:10" x14ac:dyDescent="0.3">
      <c r="A45" s="69" t="s">
        <v>94</v>
      </c>
      <c r="B45" s="69" t="s">
        <v>95</v>
      </c>
      <c r="C45" s="69" t="s">
        <v>15</v>
      </c>
      <c r="D45" s="74">
        <v>2500000</v>
      </c>
      <c r="E45" s="74">
        <v>2495.8325</v>
      </c>
      <c r="F45" s="75">
        <v>9.6855974193214567E-3</v>
      </c>
      <c r="G45" s="80" t="s">
        <v>82</v>
      </c>
      <c r="H45" s="79"/>
      <c r="I45" s="68" t="s">
        <v>158</v>
      </c>
      <c r="J45" s="43"/>
    </row>
    <row r="46" spans="1:10" x14ac:dyDescent="0.3">
      <c r="A46" s="64"/>
      <c r="B46" s="65" t="s">
        <v>5</v>
      </c>
      <c r="C46" s="64"/>
      <c r="D46" s="77"/>
      <c r="E46" s="71">
        <v>91290.851500000004</v>
      </c>
      <c r="F46" s="79">
        <v>0.354273147615498</v>
      </c>
      <c r="G46" s="92"/>
      <c r="H46" s="93"/>
      <c r="I46" s="68"/>
      <c r="J46" s="43"/>
    </row>
    <row r="47" spans="1:10" x14ac:dyDescent="0.3">
      <c r="A47" s="81"/>
      <c r="B47" s="65" t="s">
        <v>17</v>
      </c>
      <c r="C47" s="81"/>
      <c r="D47" s="82"/>
      <c r="E47" s="91"/>
      <c r="F47" s="72"/>
      <c r="G47" s="80"/>
      <c r="H47" s="79"/>
      <c r="I47" s="68"/>
      <c r="J47" s="43"/>
    </row>
    <row r="48" spans="1:10" x14ac:dyDescent="0.3">
      <c r="A48" s="69" t="s">
        <v>105</v>
      </c>
      <c r="B48" s="69" t="s">
        <v>187</v>
      </c>
      <c r="C48" s="69" t="s">
        <v>18</v>
      </c>
      <c r="D48" s="74">
        <v>12500000</v>
      </c>
      <c r="E48" s="74">
        <v>12477.237499999999</v>
      </c>
      <c r="F48" s="75">
        <v>4.8420516733499105E-2</v>
      </c>
      <c r="G48" s="80" t="s">
        <v>87</v>
      </c>
      <c r="H48" s="79"/>
      <c r="I48" s="68" t="s">
        <v>188</v>
      </c>
      <c r="J48" s="43"/>
    </row>
    <row r="49" spans="1:10" x14ac:dyDescent="0.3">
      <c r="A49" s="69" t="s">
        <v>131</v>
      </c>
      <c r="B49" s="69" t="s">
        <v>210</v>
      </c>
      <c r="C49" s="69" t="s">
        <v>15</v>
      </c>
      <c r="D49" s="74">
        <v>10500000</v>
      </c>
      <c r="E49" s="74">
        <v>10482.486000000001</v>
      </c>
      <c r="F49" s="75">
        <v>4.0679468413714982E-2</v>
      </c>
      <c r="G49" s="80" t="s">
        <v>82</v>
      </c>
      <c r="H49" s="79"/>
      <c r="I49" s="68" t="s">
        <v>188</v>
      </c>
      <c r="J49" s="43"/>
    </row>
    <row r="50" spans="1:10" x14ac:dyDescent="0.3">
      <c r="A50" s="69" t="s">
        <v>189</v>
      </c>
      <c r="B50" s="69" t="s">
        <v>190</v>
      </c>
      <c r="C50" s="69" t="s">
        <v>16</v>
      </c>
      <c r="D50" s="74">
        <v>10000000</v>
      </c>
      <c r="E50" s="74">
        <v>9992.44</v>
      </c>
      <c r="F50" s="75">
        <v>3.8777742928151025E-2</v>
      </c>
      <c r="G50" s="80" t="s">
        <v>191</v>
      </c>
      <c r="H50" s="79"/>
      <c r="I50" s="68" t="s">
        <v>192</v>
      </c>
      <c r="J50" s="43"/>
    </row>
    <row r="51" spans="1:10" x14ac:dyDescent="0.3">
      <c r="A51" s="69" t="s">
        <v>106</v>
      </c>
      <c r="B51" s="69" t="s">
        <v>107</v>
      </c>
      <c r="C51" s="69" t="s">
        <v>18</v>
      </c>
      <c r="D51" s="74">
        <v>10000000</v>
      </c>
      <c r="E51" s="74">
        <v>9981.7900000000009</v>
      </c>
      <c r="F51" s="75">
        <v>3.8736413386799284E-2</v>
      </c>
      <c r="G51" s="80" t="s">
        <v>87</v>
      </c>
      <c r="H51" s="79"/>
      <c r="I51" s="68" t="s">
        <v>188</v>
      </c>
      <c r="J51" s="43"/>
    </row>
    <row r="52" spans="1:10" x14ac:dyDescent="0.3">
      <c r="A52" s="69" t="s">
        <v>127</v>
      </c>
      <c r="B52" s="69" t="s">
        <v>128</v>
      </c>
      <c r="C52" s="69" t="s">
        <v>15</v>
      </c>
      <c r="D52" s="74">
        <v>10000000</v>
      </c>
      <c r="E52" s="74">
        <v>9964.58</v>
      </c>
      <c r="F52" s="75">
        <v>3.866962640025811E-2</v>
      </c>
      <c r="G52" s="80" t="s">
        <v>129</v>
      </c>
      <c r="H52" s="79"/>
      <c r="I52" s="68" t="s">
        <v>205</v>
      </c>
      <c r="J52" s="43"/>
    </row>
    <row r="53" spans="1:10" x14ac:dyDescent="0.3">
      <c r="A53" s="69" t="s">
        <v>193</v>
      </c>
      <c r="B53" s="69" t="s">
        <v>194</v>
      </c>
      <c r="C53" s="69" t="s">
        <v>15</v>
      </c>
      <c r="D53" s="74">
        <v>10000000</v>
      </c>
      <c r="E53" s="74">
        <v>9859.68</v>
      </c>
      <c r="F53" s="75">
        <v>3.8262540119713716E-2</v>
      </c>
      <c r="G53" s="80" t="s">
        <v>152</v>
      </c>
      <c r="H53" s="79"/>
      <c r="I53" s="68" t="s">
        <v>110</v>
      </c>
      <c r="J53" s="43"/>
    </row>
    <row r="54" spans="1:10" x14ac:dyDescent="0.3">
      <c r="A54" s="69" t="s">
        <v>183</v>
      </c>
      <c r="B54" s="69" t="s">
        <v>184</v>
      </c>
      <c r="C54" s="69" t="s">
        <v>15</v>
      </c>
      <c r="D54" s="74">
        <v>10000000</v>
      </c>
      <c r="E54" s="74">
        <v>9854.01</v>
      </c>
      <c r="F54" s="75">
        <v>3.8240536504740533E-2</v>
      </c>
      <c r="G54" s="80" t="s">
        <v>185</v>
      </c>
      <c r="H54" s="79"/>
      <c r="I54" s="68" t="s">
        <v>186</v>
      </c>
      <c r="J54" s="43"/>
    </row>
    <row r="55" spans="1:10" x14ac:dyDescent="0.3">
      <c r="A55" s="69" t="s">
        <v>130</v>
      </c>
      <c r="B55" s="69" t="s">
        <v>204</v>
      </c>
      <c r="C55" s="69" t="s">
        <v>16</v>
      </c>
      <c r="D55" s="74">
        <v>7500000</v>
      </c>
      <c r="E55" s="74">
        <v>7478.3924999999999</v>
      </c>
      <c r="F55" s="75">
        <v>2.902145841063971E-2</v>
      </c>
      <c r="G55" s="80" t="s">
        <v>124</v>
      </c>
      <c r="H55" s="79"/>
      <c r="I55" s="68" t="s">
        <v>188</v>
      </c>
      <c r="J55" s="43"/>
    </row>
    <row r="56" spans="1:10" x14ac:dyDescent="0.3">
      <c r="A56" s="69" t="s">
        <v>103</v>
      </c>
      <c r="B56" s="69" t="s">
        <v>209</v>
      </c>
      <c r="C56" s="69" t="s">
        <v>15</v>
      </c>
      <c r="D56" s="74">
        <v>5000000</v>
      </c>
      <c r="E56" s="74">
        <v>4993.9250000000002</v>
      </c>
      <c r="F56" s="75">
        <v>1.9379965238967321E-2</v>
      </c>
      <c r="G56" s="80" t="s">
        <v>104</v>
      </c>
      <c r="H56" s="79"/>
      <c r="I56" s="68" t="s">
        <v>188</v>
      </c>
      <c r="J56" s="43"/>
    </row>
    <row r="57" spans="1:10" x14ac:dyDescent="0.3">
      <c r="A57" s="69" t="s">
        <v>100</v>
      </c>
      <c r="B57" s="69" t="s">
        <v>206</v>
      </c>
      <c r="C57" s="69" t="s">
        <v>15</v>
      </c>
      <c r="D57" s="74">
        <v>5000000</v>
      </c>
      <c r="E57" s="74">
        <v>4987.125</v>
      </c>
      <c r="F57" s="75">
        <v>1.9353576423831936E-2</v>
      </c>
      <c r="G57" s="80" t="s">
        <v>93</v>
      </c>
      <c r="H57" s="79"/>
      <c r="I57" s="68" t="s">
        <v>158</v>
      </c>
      <c r="J57" s="43"/>
    </row>
    <row r="58" spans="1:10" x14ac:dyDescent="0.3">
      <c r="A58" s="69" t="s">
        <v>132</v>
      </c>
      <c r="B58" s="69" t="s">
        <v>202</v>
      </c>
      <c r="C58" s="69" t="s">
        <v>126</v>
      </c>
      <c r="D58" s="74">
        <v>5000000</v>
      </c>
      <c r="E58" s="74">
        <v>4971.67</v>
      </c>
      <c r="F58" s="75">
        <v>1.9293600080020557E-2</v>
      </c>
      <c r="G58" s="80" t="s">
        <v>133</v>
      </c>
      <c r="H58" s="79"/>
      <c r="I58" s="68" t="s">
        <v>203</v>
      </c>
      <c r="J58" s="44"/>
    </row>
    <row r="59" spans="1:10" x14ac:dyDescent="0.3">
      <c r="A59" s="69" t="s">
        <v>200</v>
      </c>
      <c r="B59" s="69" t="s">
        <v>201</v>
      </c>
      <c r="C59" s="69" t="s">
        <v>126</v>
      </c>
      <c r="D59" s="74">
        <v>5000000</v>
      </c>
      <c r="E59" s="74">
        <v>4935.05</v>
      </c>
      <c r="F59" s="75">
        <v>1.9151488549100291E-2</v>
      </c>
      <c r="G59" s="80" t="s">
        <v>157</v>
      </c>
      <c r="H59" s="79"/>
      <c r="I59" s="68" t="s">
        <v>172</v>
      </c>
      <c r="J59" s="43"/>
    </row>
    <row r="60" spans="1:10" x14ac:dyDescent="0.3">
      <c r="A60" s="69" t="s">
        <v>195</v>
      </c>
      <c r="B60" s="69" t="s">
        <v>196</v>
      </c>
      <c r="C60" s="69" t="s">
        <v>15</v>
      </c>
      <c r="D60" s="74">
        <v>5000000</v>
      </c>
      <c r="E60" s="74">
        <v>4933.91</v>
      </c>
      <c r="F60" s="75">
        <v>1.9147064541857006E-2</v>
      </c>
      <c r="G60" s="80" t="s">
        <v>145</v>
      </c>
      <c r="H60" s="79"/>
      <c r="I60" s="68" t="s">
        <v>197</v>
      </c>
      <c r="J60" s="43"/>
    </row>
    <row r="61" spans="1:10" x14ac:dyDescent="0.3">
      <c r="A61" s="69" t="s">
        <v>198</v>
      </c>
      <c r="B61" s="69" t="s">
        <v>199</v>
      </c>
      <c r="C61" s="69" t="s">
        <v>16</v>
      </c>
      <c r="D61" s="74">
        <v>4500000</v>
      </c>
      <c r="E61" s="74">
        <v>4440.942</v>
      </c>
      <c r="F61" s="75">
        <v>1.7233999627201051E-2</v>
      </c>
      <c r="G61" s="80" t="s">
        <v>157</v>
      </c>
      <c r="H61" s="79"/>
      <c r="I61" s="68" t="s">
        <v>119</v>
      </c>
      <c r="J61" s="43"/>
    </row>
    <row r="62" spans="1:10" x14ac:dyDescent="0.3">
      <c r="A62" s="69" t="s">
        <v>211</v>
      </c>
      <c r="B62" s="69" t="s">
        <v>212</v>
      </c>
      <c r="C62" s="69" t="s">
        <v>16</v>
      </c>
      <c r="D62" s="74">
        <v>2500000</v>
      </c>
      <c r="E62" s="74">
        <v>2461.7575000000002</v>
      </c>
      <c r="F62" s="75">
        <v>9.5533622905364206E-3</v>
      </c>
      <c r="G62" s="80" t="s">
        <v>213</v>
      </c>
      <c r="H62" s="79"/>
      <c r="I62" s="68" t="s">
        <v>214</v>
      </c>
      <c r="J62" s="43"/>
    </row>
    <row r="63" spans="1:10" x14ac:dyDescent="0.3">
      <c r="A63" s="69" t="s">
        <v>101</v>
      </c>
      <c r="B63" s="69" t="s">
        <v>207</v>
      </c>
      <c r="C63" s="69" t="s">
        <v>15</v>
      </c>
      <c r="D63" s="74">
        <v>2000000</v>
      </c>
      <c r="E63" s="74">
        <v>1999.1</v>
      </c>
      <c r="F63" s="75">
        <v>7.7579235789923895E-3</v>
      </c>
      <c r="G63" s="80" t="s">
        <v>102</v>
      </c>
      <c r="H63" s="79"/>
      <c r="I63" s="68" t="s">
        <v>208</v>
      </c>
      <c r="J63" s="43"/>
    </row>
    <row r="64" spans="1:10" x14ac:dyDescent="0.3">
      <c r="A64" s="64"/>
      <c r="B64" s="65" t="s">
        <v>5</v>
      </c>
      <c r="C64" s="64"/>
      <c r="D64" s="77"/>
      <c r="E64" s="71">
        <v>113814.09550000002</v>
      </c>
      <c r="F64" s="79">
        <v>0.44167928322802352</v>
      </c>
      <c r="G64" s="92"/>
      <c r="H64" s="93"/>
      <c r="I64" s="68"/>
      <c r="J64" s="43"/>
    </row>
    <row r="65" spans="1:10" x14ac:dyDescent="0.3">
      <c r="A65" s="81"/>
      <c r="B65" s="81" t="s">
        <v>10</v>
      </c>
      <c r="C65" s="81"/>
      <c r="D65" s="82"/>
      <c r="E65" s="71">
        <f>E64+E46+E27+E16</f>
        <v>250900.72280000005</v>
      </c>
      <c r="F65" s="79"/>
      <c r="G65" s="80"/>
      <c r="H65" s="79"/>
      <c r="I65" s="68"/>
      <c r="J65" s="43"/>
    </row>
    <row r="66" spans="1:10" x14ac:dyDescent="0.3">
      <c r="A66" s="81"/>
      <c r="B66" s="81"/>
      <c r="C66" s="81"/>
      <c r="D66" s="82"/>
      <c r="E66" s="71"/>
      <c r="F66" s="79"/>
      <c r="G66" s="80"/>
      <c r="H66" s="79"/>
      <c r="I66" s="68"/>
      <c r="J66" s="43"/>
    </row>
    <row r="67" spans="1:10" x14ac:dyDescent="0.3">
      <c r="A67" s="81"/>
      <c r="B67" s="94" t="s">
        <v>108</v>
      </c>
      <c r="C67" s="81"/>
      <c r="D67" s="82"/>
      <c r="E67" s="82"/>
      <c r="F67" s="72"/>
      <c r="G67" s="80"/>
      <c r="H67" s="79"/>
      <c r="I67" s="68"/>
      <c r="J67" s="43"/>
    </row>
    <row r="68" spans="1:10" x14ac:dyDescent="0.3">
      <c r="A68" s="64" t="s">
        <v>19</v>
      </c>
      <c r="B68" s="95" t="s">
        <v>109</v>
      </c>
      <c r="C68" s="64"/>
      <c r="D68" s="74">
        <v>7050.085</v>
      </c>
      <c r="E68" s="74">
        <v>822.4394393</v>
      </c>
      <c r="F68" s="75">
        <v>3.1916474005496223E-3</v>
      </c>
      <c r="G68" s="80"/>
      <c r="H68" s="79"/>
      <c r="I68" s="76">
        <v>5.45E-2</v>
      </c>
      <c r="J68" s="43"/>
    </row>
    <row r="69" spans="1:10" x14ac:dyDescent="0.3">
      <c r="A69" s="81"/>
      <c r="B69" s="65" t="s">
        <v>10</v>
      </c>
      <c r="C69" s="81"/>
      <c r="D69" s="82"/>
      <c r="E69" s="71">
        <v>822.4394393</v>
      </c>
      <c r="F69" s="79">
        <v>3.1916474005496223E-3</v>
      </c>
      <c r="G69" s="80"/>
      <c r="H69" s="79"/>
      <c r="I69" s="68"/>
      <c r="J69" s="43"/>
    </row>
    <row r="70" spans="1:10" x14ac:dyDescent="0.3">
      <c r="A70" s="81"/>
      <c r="B70" s="81"/>
      <c r="C70" s="81"/>
      <c r="D70" s="82"/>
      <c r="E70" s="82"/>
      <c r="F70" s="72"/>
      <c r="G70" s="80"/>
      <c r="H70" s="79"/>
      <c r="I70" s="68"/>
      <c r="J70" s="43"/>
    </row>
    <row r="71" spans="1:10" x14ac:dyDescent="0.3">
      <c r="A71" s="81"/>
      <c r="B71" s="94" t="s">
        <v>20</v>
      </c>
      <c r="C71" s="81"/>
      <c r="D71" s="82"/>
      <c r="E71" s="82"/>
      <c r="F71" s="72"/>
      <c r="G71" s="80"/>
      <c r="H71" s="79"/>
      <c r="I71" s="68"/>
      <c r="J71" s="43"/>
    </row>
    <row r="72" spans="1:10" x14ac:dyDescent="0.3">
      <c r="A72" s="69"/>
      <c r="B72" s="69" t="s">
        <v>21</v>
      </c>
      <c r="C72" s="69"/>
      <c r="D72" s="74">
        <v>56351.2232</v>
      </c>
      <c r="E72" s="74">
        <v>5634.3635152999996</v>
      </c>
      <c r="F72" s="75">
        <v>2.1865320178060286E-2</v>
      </c>
      <c r="G72" s="80" t="s">
        <v>99</v>
      </c>
      <c r="H72" s="79"/>
      <c r="I72" s="96">
        <v>4.916943E-2</v>
      </c>
      <c r="J72" s="43"/>
    </row>
    <row r="73" spans="1:10" x14ac:dyDescent="0.3">
      <c r="A73" s="81"/>
      <c r="B73" s="94" t="s">
        <v>10</v>
      </c>
      <c r="C73" s="81"/>
      <c r="D73" s="82"/>
      <c r="E73" s="71">
        <v>5634.3635152999996</v>
      </c>
      <c r="F73" s="79">
        <v>2.1865320178060286E-2</v>
      </c>
      <c r="G73" s="80"/>
      <c r="H73" s="79"/>
      <c r="I73" s="68"/>
      <c r="J73" s="43"/>
    </row>
    <row r="74" spans="1:10" x14ac:dyDescent="0.3">
      <c r="A74" s="81"/>
      <c r="B74" s="94"/>
      <c r="C74" s="81"/>
      <c r="D74" s="82"/>
      <c r="E74" s="82"/>
      <c r="F74" s="72"/>
      <c r="G74" s="80"/>
      <c r="H74" s="79"/>
      <c r="I74" s="68"/>
      <c r="J74" s="43"/>
    </row>
    <row r="75" spans="1:10" x14ac:dyDescent="0.3">
      <c r="A75" s="81"/>
      <c r="B75" s="94" t="s">
        <v>22</v>
      </c>
      <c r="C75" s="81"/>
      <c r="D75" s="82"/>
      <c r="E75" s="82"/>
      <c r="F75" s="72"/>
      <c r="G75" s="80"/>
      <c r="H75" s="79"/>
      <c r="I75" s="68"/>
      <c r="J75" s="43"/>
    </row>
    <row r="76" spans="1:10" x14ac:dyDescent="0.3">
      <c r="A76" s="64"/>
      <c r="B76" s="94" t="s">
        <v>23</v>
      </c>
      <c r="C76" s="64"/>
      <c r="D76" s="77"/>
      <c r="E76" s="77">
        <v>327.4049675</v>
      </c>
      <c r="F76" s="75">
        <v>1.2705631120241544E-3</v>
      </c>
      <c r="G76" s="80"/>
      <c r="H76" s="80"/>
      <c r="I76" s="68"/>
      <c r="J76" s="43"/>
    </row>
    <row r="77" spans="1:10" x14ac:dyDescent="0.3">
      <c r="A77" s="81"/>
      <c r="B77" s="94" t="s">
        <v>10</v>
      </c>
      <c r="C77" s="81"/>
      <c r="D77" s="82"/>
      <c r="E77" s="82">
        <v>327.4049675</v>
      </c>
      <c r="F77" s="79">
        <v>1.2705631120241544E-3</v>
      </c>
      <c r="G77" s="97"/>
      <c r="H77" s="98"/>
      <c r="I77" s="68"/>
      <c r="J77" s="43"/>
    </row>
    <row r="78" spans="1:10" x14ac:dyDescent="0.3">
      <c r="A78" s="99"/>
      <c r="B78" s="94" t="s">
        <v>24</v>
      </c>
      <c r="C78" s="99"/>
      <c r="D78" s="99"/>
      <c r="E78" s="82">
        <f>E65+E69+E73+E77</f>
        <v>257684.93072210008</v>
      </c>
      <c r="F78" s="79">
        <v>1</v>
      </c>
      <c r="G78" s="100"/>
      <c r="H78" s="99"/>
      <c r="I78" s="68"/>
      <c r="J78" s="43"/>
    </row>
    <row r="79" spans="1:10" x14ac:dyDescent="0.3">
      <c r="A79" s="45"/>
      <c r="B79" s="48"/>
      <c r="C79" s="45"/>
      <c r="D79" s="45"/>
      <c r="E79" s="45"/>
      <c r="F79" s="45"/>
      <c r="G79" s="45"/>
      <c r="H79" s="45"/>
    </row>
    <row r="80" spans="1:10" x14ac:dyDescent="0.3">
      <c r="A80" s="49" t="s">
        <v>53</v>
      </c>
      <c r="B80" s="45"/>
      <c r="C80" s="45"/>
      <c r="D80" s="45"/>
      <c r="E80" s="45"/>
      <c r="F80" s="45"/>
      <c r="G80" s="45"/>
      <c r="H80" s="45"/>
    </row>
    <row r="81" spans="1:10" x14ac:dyDescent="0.3">
      <c r="A81" s="49"/>
      <c r="B81" s="45"/>
      <c r="C81" s="45"/>
      <c r="D81" s="45"/>
      <c r="E81" s="45"/>
      <c r="F81" s="45"/>
      <c r="G81" s="45"/>
      <c r="H81" s="45"/>
    </row>
    <row r="82" spans="1:10" x14ac:dyDescent="0.3">
      <c r="A82" s="49" t="s">
        <v>54</v>
      </c>
      <c r="B82" s="45"/>
      <c r="C82" s="45"/>
      <c r="D82" s="45"/>
      <c r="E82" s="45"/>
      <c r="F82" s="45"/>
      <c r="G82" s="45"/>
      <c r="H82" s="45"/>
    </row>
    <row r="83" spans="1:10" x14ac:dyDescent="0.3">
      <c r="A83" s="4"/>
      <c r="B83" s="5"/>
      <c r="C83" s="2"/>
      <c r="D83" s="3"/>
      <c r="E83" s="3"/>
      <c r="F83" s="6"/>
      <c r="G83" s="7"/>
      <c r="H83" s="8"/>
    </row>
    <row r="84" spans="1:10" x14ac:dyDescent="0.3">
      <c r="A84" s="9" t="s">
        <v>215</v>
      </c>
      <c r="B84" s="10"/>
      <c r="C84" s="10"/>
      <c r="D84" s="10"/>
      <c r="E84" s="10"/>
      <c r="F84" s="11"/>
      <c r="G84" s="10"/>
      <c r="H84" s="10"/>
    </row>
    <row r="85" spans="1:10" x14ac:dyDescent="0.3">
      <c r="A85" s="9"/>
      <c r="B85" s="10"/>
      <c r="C85" s="10"/>
      <c r="D85" s="10"/>
      <c r="E85" s="10"/>
      <c r="F85" s="11"/>
      <c r="G85" s="10"/>
      <c r="H85" s="10"/>
      <c r="J85" s="101"/>
    </row>
    <row r="86" spans="1:10" ht="12.95" customHeight="1" x14ac:dyDescent="0.3">
      <c r="A86" s="103" t="s">
        <v>216</v>
      </c>
      <c r="B86" s="103"/>
      <c r="C86" s="103"/>
      <c r="D86" s="103"/>
      <c r="E86" s="103"/>
      <c r="F86" s="103"/>
      <c r="G86" s="103"/>
      <c r="H86" s="103"/>
      <c r="J86" s="102"/>
    </row>
    <row r="87" spans="1:10" x14ac:dyDescent="0.3">
      <c r="A87" s="4"/>
      <c r="B87" s="12"/>
      <c r="C87" s="13"/>
      <c r="D87" s="14"/>
      <c r="E87" s="14"/>
      <c r="F87" s="15"/>
      <c r="G87" s="8"/>
      <c r="H87" s="8"/>
      <c r="J87" s="45"/>
    </row>
    <row r="88" spans="1:10" ht="12.95" customHeight="1" x14ac:dyDescent="0.3">
      <c r="A88" s="103" t="s">
        <v>25</v>
      </c>
      <c r="B88" s="103"/>
      <c r="C88" s="103"/>
      <c r="D88" s="103"/>
      <c r="E88" s="103"/>
      <c r="F88" s="103"/>
      <c r="G88" s="103"/>
      <c r="H88" s="103"/>
      <c r="J88" s="45"/>
    </row>
    <row r="89" spans="1:10" ht="12.95" customHeight="1" x14ac:dyDescent="0.3">
      <c r="A89" s="103" t="s">
        <v>26</v>
      </c>
      <c r="B89" s="103"/>
      <c r="C89" s="103"/>
      <c r="D89" s="103"/>
      <c r="E89" s="103"/>
      <c r="F89" s="103"/>
      <c r="G89" s="103"/>
      <c r="H89" s="103"/>
      <c r="J89" s="45"/>
    </row>
    <row r="90" spans="1:10" ht="12.95" customHeight="1" x14ac:dyDescent="0.3">
      <c r="A90" s="114" t="s">
        <v>27</v>
      </c>
      <c r="B90" s="114"/>
      <c r="C90" s="114"/>
      <c r="D90" s="114"/>
      <c r="E90" s="114"/>
      <c r="F90" s="114"/>
      <c r="G90" s="114"/>
      <c r="H90" s="114"/>
      <c r="J90" s="45"/>
    </row>
    <row r="91" spans="1:10" ht="61.5" customHeight="1" x14ac:dyDescent="0.3">
      <c r="A91" s="108" t="s">
        <v>28</v>
      </c>
      <c r="B91" s="108"/>
      <c r="C91" s="108"/>
      <c r="D91" s="108"/>
      <c r="E91" s="108"/>
      <c r="F91" s="108"/>
      <c r="G91" s="108"/>
      <c r="H91" s="108"/>
      <c r="I91" s="109"/>
      <c r="J91" s="109"/>
    </row>
    <row r="92" spans="1:10" x14ac:dyDescent="0.3">
      <c r="A92" s="16"/>
      <c r="B92" s="16"/>
      <c r="C92" s="16"/>
      <c r="D92" s="16"/>
      <c r="E92" s="16"/>
      <c r="F92" s="16"/>
      <c r="G92" s="14"/>
      <c r="H92" s="14"/>
      <c r="J92" s="45"/>
    </row>
    <row r="93" spans="1:10" x14ac:dyDescent="0.3">
      <c r="A93" s="17" t="s">
        <v>29</v>
      </c>
      <c r="B93" s="18"/>
      <c r="C93" s="18"/>
      <c r="D93" s="8"/>
      <c r="E93" s="8"/>
      <c r="F93" s="19"/>
      <c r="G93" s="8"/>
      <c r="H93" s="8"/>
      <c r="J93" s="45"/>
    </row>
    <row r="94" spans="1:10" x14ac:dyDescent="0.3">
      <c r="A94" s="20" t="s">
        <v>30</v>
      </c>
      <c r="B94" s="18"/>
      <c r="C94" s="18"/>
      <c r="D94" s="8"/>
      <c r="E94" s="8"/>
      <c r="F94" s="8"/>
      <c r="G94" s="8"/>
      <c r="H94" s="7"/>
      <c r="J94" s="45"/>
    </row>
    <row r="95" spans="1:10" x14ac:dyDescent="0.3">
      <c r="A95" s="20" t="s">
        <v>31</v>
      </c>
      <c r="B95" s="18"/>
      <c r="C95" s="18"/>
      <c r="D95" s="8"/>
      <c r="E95" s="8"/>
      <c r="F95" s="8"/>
      <c r="G95" s="8"/>
      <c r="H95" s="7"/>
      <c r="J95" s="45"/>
    </row>
    <row r="96" spans="1:10" x14ac:dyDescent="0.3">
      <c r="A96" s="20" t="s">
        <v>32</v>
      </c>
      <c r="B96" s="18"/>
      <c r="C96" s="18"/>
      <c r="D96" s="8"/>
      <c r="E96" s="8"/>
      <c r="F96" s="8"/>
      <c r="G96" s="8"/>
      <c r="H96" s="8"/>
      <c r="J96" s="45"/>
    </row>
    <row r="97" spans="1:10" x14ac:dyDescent="0.3">
      <c r="A97" s="21"/>
      <c r="B97" s="18"/>
      <c r="C97" s="18"/>
      <c r="D97" s="8"/>
      <c r="E97" s="8"/>
      <c r="F97" s="8"/>
      <c r="G97" s="8"/>
      <c r="H97" s="8"/>
    </row>
    <row r="98" spans="1:10" x14ac:dyDescent="0.3">
      <c r="A98" s="120" t="s">
        <v>218</v>
      </c>
      <c r="B98" s="120"/>
      <c r="C98" s="121" t="s">
        <v>33</v>
      </c>
      <c r="D98" s="121"/>
      <c r="E98" s="121"/>
      <c r="F98" s="8"/>
      <c r="G98" s="8"/>
      <c r="H98" s="8"/>
      <c r="J98" s="45"/>
    </row>
    <row r="99" spans="1:10" x14ac:dyDescent="0.3">
      <c r="A99" s="22"/>
      <c r="B99" s="23"/>
      <c r="C99" s="23"/>
      <c r="D99" s="23"/>
      <c r="E99" s="24"/>
      <c r="F99" s="8"/>
      <c r="G99" s="8"/>
      <c r="H99" s="8"/>
      <c r="J99" s="45"/>
    </row>
    <row r="100" spans="1:10" x14ac:dyDescent="0.3">
      <c r="A100" s="25"/>
      <c r="B100" s="18"/>
      <c r="C100" s="18"/>
      <c r="D100" s="8"/>
      <c r="E100" s="8"/>
      <c r="F100" s="8"/>
      <c r="G100" s="8"/>
      <c r="H100" s="8"/>
      <c r="J100" s="45"/>
    </row>
    <row r="101" spans="1:10" x14ac:dyDescent="0.3">
      <c r="A101" s="18"/>
      <c r="B101" s="18"/>
      <c r="C101" s="18"/>
      <c r="D101" s="8"/>
      <c r="E101" s="8"/>
      <c r="F101" s="8"/>
      <c r="G101" s="8"/>
      <c r="H101" s="8"/>
      <c r="J101" s="45"/>
    </row>
    <row r="102" spans="1:10" x14ac:dyDescent="0.3">
      <c r="A102" s="4"/>
      <c r="B102" s="12"/>
      <c r="D102" s="8"/>
      <c r="E102" s="8"/>
      <c r="F102" s="8"/>
      <c r="G102" s="8"/>
      <c r="H102" s="8"/>
      <c r="J102" s="45"/>
    </row>
    <row r="103" spans="1:10" x14ac:dyDescent="0.3">
      <c r="A103" s="4"/>
      <c r="B103" s="12"/>
      <c r="D103" s="8"/>
      <c r="E103" s="8"/>
      <c r="F103" s="8"/>
      <c r="G103" s="8"/>
      <c r="H103" s="8"/>
    </row>
    <row r="104" spans="1:10" x14ac:dyDescent="0.3">
      <c r="A104" s="4"/>
      <c r="B104" s="12"/>
      <c r="D104" s="8"/>
      <c r="E104" s="8"/>
      <c r="F104" s="8"/>
      <c r="G104" s="8"/>
      <c r="H104" s="8"/>
    </row>
    <row r="105" spans="1:10" x14ac:dyDescent="0.3">
      <c r="A105" s="4"/>
      <c r="B105" s="12"/>
      <c r="D105" s="8"/>
      <c r="E105" s="8"/>
      <c r="F105" s="8"/>
      <c r="G105" s="8"/>
      <c r="H105" s="8"/>
    </row>
    <row r="106" spans="1:10" x14ac:dyDescent="0.3">
      <c r="A106" s="4"/>
      <c r="B106" s="12"/>
      <c r="D106" s="8"/>
      <c r="E106" s="8"/>
      <c r="F106" s="8"/>
      <c r="G106" s="8"/>
      <c r="H106" s="8"/>
    </row>
    <row r="107" spans="1:10" x14ac:dyDescent="0.3">
      <c r="A107" s="4"/>
      <c r="B107" s="12"/>
      <c r="D107" s="8"/>
      <c r="E107" s="8"/>
      <c r="F107" s="8"/>
      <c r="G107" s="8"/>
      <c r="H107" s="8"/>
    </row>
    <row r="108" spans="1:10" x14ac:dyDescent="0.3">
      <c r="A108" s="4"/>
      <c r="B108" s="12"/>
      <c r="D108" s="8"/>
      <c r="E108" s="8"/>
      <c r="F108" s="8"/>
      <c r="G108" s="8"/>
      <c r="H108" s="8"/>
    </row>
    <row r="109" spans="1:10" ht="12.95" customHeight="1" x14ac:dyDescent="0.3">
      <c r="A109" s="107" t="s">
        <v>66</v>
      </c>
      <c r="B109" s="107"/>
      <c r="C109" s="107" t="s">
        <v>34</v>
      </c>
      <c r="D109" s="107"/>
      <c r="E109" s="107"/>
      <c r="F109" s="8"/>
      <c r="G109" s="8"/>
      <c r="H109" s="8"/>
    </row>
    <row r="110" spans="1:10" ht="12.95" customHeight="1" thickBot="1" x14ac:dyDescent="0.35">
      <c r="A110" s="47"/>
      <c r="B110" s="47"/>
      <c r="C110" s="47"/>
      <c r="D110" s="47"/>
      <c r="E110" s="47"/>
      <c r="F110" s="8"/>
      <c r="G110" s="8"/>
      <c r="H110" s="8"/>
    </row>
    <row r="111" spans="1:10" ht="14.25" thickBot="1" x14ac:dyDescent="0.35">
      <c r="A111" s="115" t="s">
        <v>35</v>
      </c>
      <c r="B111" s="116"/>
      <c r="C111" s="116"/>
      <c r="D111" s="117"/>
      <c r="E111" s="27"/>
      <c r="F111" s="8"/>
      <c r="G111" s="8"/>
      <c r="H111" s="8"/>
    </row>
    <row r="112" spans="1:10" ht="14.25" thickBot="1" x14ac:dyDescent="0.35">
      <c r="A112" s="28" t="s">
        <v>36</v>
      </c>
      <c r="B112" s="118" t="s">
        <v>37</v>
      </c>
      <c r="C112" s="118" t="s">
        <v>38</v>
      </c>
      <c r="D112" s="118" t="s">
        <v>39</v>
      </c>
      <c r="E112" s="27"/>
      <c r="F112" s="8"/>
      <c r="G112" s="8"/>
      <c r="H112" s="8"/>
    </row>
    <row r="113" spans="1:8" ht="14.25" thickBot="1" x14ac:dyDescent="0.35">
      <c r="A113" s="28" t="s">
        <v>40</v>
      </c>
      <c r="B113" s="119"/>
      <c r="C113" s="119"/>
      <c r="D113" s="119"/>
      <c r="E113" s="27"/>
      <c r="F113" s="8"/>
      <c r="G113" s="8"/>
      <c r="H113" s="8"/>
    </row>
    <row r="114" spans="1:8" ht="14.25" thickBot="1" x14ac:dyDescent="0.35">
      <c r="A114" s="29" t="s">
        <v>41</v>
      </c>
      <c r="B114" s="30"/>
      <c r="C114" s="30" t="s">
        <v>42</v>
      </c>
      <c r="D114" s="31"/>
      <c r="E114" s="27"/>
      <c r="F114" s="8"/>
      <c r="G114" s="8"/>
      <c r="H114" s="8"/>
    </row>
    <row r="115" spans="1:8" ht="14.25" thickBot="1" x14ac:dyDescent="0.35">
      <c r="A115" s="32" t="s">
        <v>43</v>
      </c>
      <c r="B115" s="31"/>
      <c r="C115" s="31"/>
      <c r="D115" s="31"/>
      <c r="E115" s="27"/>
      <c r="F115" s="8"/>
      <c r="G115" s="8"/>
      <c r="H115" s="8"/>
    </row>
    <row r="116" spans="1:8" ht="27.75" thickBot="1" x14ac:dyDescent="0.35">
      <c r="A116" s="32" t="s">
        <v>44</v>
      </c>
      <c r="B116" s="31"/>
      <c r="C116" s="31"/>
      <c r="D116" s="31"/>
      <c r="E116" s="27"/>
      <c r="F116" s="8"/>
      <c r="G116" s="8"/>
      <c r="H116" s="8"/>
    </row>
    <row r="117" spans="1:8" x14ac:dyDescent="0.3">
      <c r="A117" s="9"/>
      <c r="B117" s="33"/>
      <c r="C117" s="33"/>
      <c r="D117" s="33"/>
      <c r="E117" s="27"/>
      <c r="F117" s="8"/>
      <c r="G117" s="8"/>
      <c r="H117" s="8"/>
    </row>
    <row r="118" spans="1:8" x14ac:dyDescent="0.3">
      <c r="A118" s="112" t="s">
        <v>45</v>
      </c>
      <c r="B118" s="113"/>
      <c r="D118" s="8"/>
      <c r="E118" s="27"/>
      <c r="F118" s="8"/>
      <c r="G118" s="8"/>
      <c r="H118" s="8"/>
    </row>
    <row r="119" spans="1:8" x14ac:dyDescent="0.3">
      <c r="A119" s="35" t="s">
        <v>46</v>
      </c>
      <c r="B119" s="36" t="s">
        <v>47</v>
      </c>
      <c r="D119" s="8"/>
      <c r="E119" s="27"/>
      <c r="F119" s="8"/>
      <c r="G119" s="8"/>
      <c r="H119" s="8"/>
    </row>
    <row r="120" spans="1:8" x14ac:dyDescent="0.3">
      <c r="A120" s="35" t="s">
        <v>48</v>
      </c>
      <c r="B120" s="37"/>
      <c r="D120" s="8"/>
      <c r="E120" s="27"/>
      <c r="F120" s="8"/>
      <c r="G120" s="8"/>
      <c r="H120" s="8"/>
    </row>
    <row r="121" spans="1:8" x14ac:dyDescent="0.3">
      <c r="A121" s="35"/>
      <c r="B121" s="37"/>
      <c r="D121" s="8"/>
      <c r="E121" s="27"/>
      <c r="F121" s="8"/>
      <c r="G121" s="8"/>
      <c r="H121" s="8"/>
    </row>
    <row r="122" spans="1:8" ht="40.5" x14ac:dyDescent="0.3">
      <c r="A122" s="35" t="s">
        <v>49</v>
      </c>
      <c r="B122" s="55">
        <v>6.0674562040658797E-2</v>
      </c>
      <c r="D122" s="8"/>
      <c r="E122" s="27"/>
      <c r="F122" s="8"/>
      <c r="G122" s="8"/>
      <c r="H122" s="8"/>
    </row>
    <row r="123" spans="1:8" x14ac:dyDescent="0.3">
      <c r="A123" s="35" t="s">
        <v>50</v>
      </c>
      <c r="B123" s="56"/>
      <c r="D123" s="8"/>
      <c r="E123" s="27"/>
      <c r="F123" s="8"/>
      <c r="G123" s="8"/>
      <c r="H123" s="8"/>
    </row>
    <row r="124" spans="1:8" ht="27" x14ac:dyDescent="0.3">
      <c r="A124" s="35" t="s">
        <v>64</v>
      </c>
      <c r="B124" s="57">
        <v>38.14</v>
      </c>
      <c r="C124" s="34"/>
      <c r="D124" s="8"/>
      <c r="E124" s="27"/>
      <c r="F124" s="8"/>
      <c r="G124" s="8"/>
      <c r="H124" s="8"/>
    </row>
    <row r="125" spans="1:8" ht="27" x14ac:dyDescent="0.3">
      <c r="A125" s="35" t="s">
        <v>65</v>
      </c>
      <c r="B125" s="57">
        <v>38.33</v>
      </c>
      <c r="D125" s="8"/>
      <c r="E125" s="27"/>
      <c r="F125" s="8"/>
      <c r="G125" s="8"/>
      <c r="H125" s="8"/>
    </row>
    <row r="126" spans="1:8" x14ac:dyDescent="0.3">
      <c r="A126" s="35" t="s">
        <v>50</v>
      </c>
      <c r="B126" s="37"/>
      <c r="D126" s="8"/>
      <c r="E126" s="27"/>
      <c r="F126" s="8"/>
      <c r="G126" s="8"/>
      <c r="H126" s="8"/>
    </row>
    <row r="127" spans="1:8" x14ac:dyDescent="0.3">
      <c r="A127" s="35" t="s">
        <v>51</v>
      </c>
      <c r="B127" s="40" t="s">
        <v>217</v>
      </c>
      <c r="D127" s="8"/>
      <c r="E127" s="27"/>
      <c r="F127" s="8"/>
      <c r="G127" s="8"/>
      <c r="H127" s="8"/>
    </row>
    <row r="128" spans="1:8" ht="40.5" x14ac:dyDescent="0.3">
      <c r="A128" s="38" t="s">
        <v>52</v>
      </c>
      <c r="B128" s="39"/>
      <c r="D128" s="8"/>
      <c r="E128" s="27"/>
      <c r="F128" s="8"/>
      <c r="G128" s="8"/>
      <c r="H128" s="8"/>
    </row>
    <row r="130" spans="1:2" x14ac:dyDescent="0.3">
      <c r="A130" s="122" t="s">
        <v>71</v>
      </c>
      <c r="B130" s="123"/>
    </row>
    <row r="131" spans="1:2" x14ac:dyDescent="0.3">
      <c r="A131" s="52" t="s">
        <v>69</v>
      </c>
    </row>
    <row r="132" spans="1:2" x14ac:dyDescent="0.3">
      <c r="A132" s="110" t="s">
        <v>67</v>
      </c>
      <c r="B132" s="111"/>
    </row>
    <row r="133" spans="1:2" x14ac:dyDescent="0.3">
      <c r="A133" s="54"/>
      <c r="B133" s="54"/>
    </row>
    <row r="134" spans="1:2" x14ac:dyDescent="0.3">
      <c r="A134" s="52" t="s">
        <v>70</v>
      </c>
      <c r="B134" s="53"/>
    </row>
    <row r="135" spans="1:2" x14ac:dyDescent="0.3">
      <c r="A135" s="110" t="s">
        <v>68</v>
      </c>
      <c r="B135" s="111"/>
    </row>
  </sheetData>
  <sortState xmlns:xlrd2="http://schemas.microsoft.com/office/spreadsheetml/2017/richdata2" ref="A48:J63">
    <sortCondition descending="1" ref="E48:E63"/>
  </sortState>
  <mergeCells count="20">
    <mergeCell ref="A109:B109"/>
    <mergeCell ref="A91:J91"/>
    <mergeCell ref="A132:B132"/>
    <mergeCell ref="A135:B135"/>
    <mergeCell ref="A89:H89"/>
    <mergeCell ref="A118:B118"/>
    <mergeCell ref="A90:H90"/>
    <mergeCell ref="A111:D111"/>
    <mergeCell ref="B112:B113"/>
    <mergeCell ref="C112:C113"/>
    <mergeCell ref="D112:D113"/>
    <mergeCell ref="A98:B98"/>
    <mergeCell ref="C98:E98"/>
    <mergeCell ref="C109:E109"/>
    <mergeCell ref="A130:B130"/>
    <mergeCell ref="A86:H86"/>
    <mergeCell ref="A88:H88"/>
    <mergeCell ref="A1:I1"/>
    <mergeCell ref="A2:I2"/>
    <mergeCell ref="A3:I3"/>
  </mergeCells>
  <hyperlinks>
    <hyperlink ref="A132" r:id="rId1" xr:uid="{00000000-0004-0000-0000-000000000000}"/>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JM Liquid Fund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Vraj Desai</dc:creator>
  <cp:lastModifiedBy>Shashidhar Maindan</cp:lastModifiedBy>
  <dcterms:created xsi:type="dcterms:W3CDTF">2025-04-15T12:27:05Z</dcterms:created>
  <dcterms:modified xsi:type="dcterms:W3CDTF">2026-03-07T12:10:26Z</dcterms:modified>
</cp:coreProperties>
</file>