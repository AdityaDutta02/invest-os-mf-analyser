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I:\TandC\REPORTS\MONTHLY\Monthly portfolio\January 2024\Monthly\"/>
    </mc:Choice>
  </mc:AlternateContent>
  <bookViews>
    <workbookView xWindow="0" yWindow="0" windowWidth="23040" windowHeight="9330"/>
  </bookViews>
  <sheets>
    <sheet name="JM Midcap Fund" sheetId="1" r:id="rId1"/>
  </sheets>
  <definedNames>
    <definedName name="_xlnm._FilterDatabase" localSheetId="0" hidden="1">'JM Midcap Fund'!$A$1:$I$155</definedName>
    <definedName name="AAAAA">#REF!</definedName>
    <definedName name="Afs">#REF!</definedName>
    <definedName name="_xlnm.Database">#REF!</definedName>
    <definedName name="EBLDB">#REF!</definedName>
    <definedName name="fl">#REF!</definedName>
    <definedName name="_xlnm.Print_Area" localSheetId="0">'JM Midcap Fund'!$A$1:$E$75</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77" i="1" l="1"/>
  <c r="D79" i="1" s="1"/>
  <c r="D81" i="1" s="1"/>
  <c r="E81" i="1" s="1"/>
  <c r="E76" i="1"/>
  <c r="E77" i="1" s="1"/>
  <c r="D58" i="1"/>
  <c r="D62" i="1" s="1"/>
  <c r="E57" i="1"/>
  <c r="E56" i="1"/>
  <c r="E55" i="1"/>
  <c r="E54" i="1"/>
  <c r="E53" i="1"/>
  <c r="E52" i="1"/>
  <c r="E51" i="1"/>
  <c r="E50" i="1"/>
  <c r="E49" i="1"/>
  <c r="E48" i="1"/>
  <c r="E47" i="1"/>
  <c r="E46" i="1"/>
  <c r="E45" i="1"/>
  <c r="E44" i="1"/>
  <c r="E43" i="1"/>
  <c r="E42" i="1"/>
  <c r="E41" i="1"/>
  <c r="E40" i="1"/>
  <c r="E39" i="1"/>
  <c r="E38" i="1"/>
  <c r="E37" i="1"/>
  <c r="E36" i="1"/>
  <c r="E35" i="1"/>
  <c r="E34" i="1"/>
  <c r="E33" i="1"/>
  <c r="E32" i="1"/>
  <c r="E31" i="1"/>
  <c r="E30" i="1"/>
  <c r="E29" i="1"/>
  <c r="E28" i="1"/>
  <c r="E27" i="1"/>
  <c r="E26" i="1"/>
  <c r="E25" i="1"/>
  <c r="E24" i="1"/>
  <c r="E23" i="1"/>
  <c r="E22" i="1"/>
  <c r="E21" i="1"/>
  <c r="E20" i="1"/>
  <c r="E19" i="1"/>
  <c r="E18" i="1"/>
  <c r="E17" i="1"/>
  <c r="E16" i="1"/>
  <c r="E15" i="1"/>
  <c r="E14" i="1"/>
  <c r="E13" i="1"/>
  <c r="E12" i="1"/>
  <c r="E11" i="1"/>
  <c r="E10" i="1"/>
  <c r="E9" i="1"/>
  <c r="E8" i="1"/>
  <c r="E7" i="1"/>
  <c r="E58" i="1" s="1"/>
  <c r="E62" i="1" s="1"/>
  <c r="E79" i="1" l="1"/>
  <c r="E83" i="1" s="1"/>
</calcChain>
</file>

<file path=xl/sharedStrings.xml><?xml version="1.0" encoding="utf-8"?>
<sst xmlns="http://schemas.openxmlformats.org/spreadsheetml/2006/main" count="203" uniqueCount="164">
  <si>
    <t>JM Financial Mutual Fund</t>
  </si>
  <si>
    <t>JM Midcap Fund (An open ended equity scheme predominantly investing in mid cap stocks)</t>
  </si>
  <si>
    <t>Monthly Portfolio Statement for the period ended 31.01.2024</t>
  </si>
  <si>
    <t>Name of the Instruments</t>
  </si>
  <si>
    <t>Industry/Rating</t>
  </si>
  <si>
    <t>Quantity</t>
  </si>
  <si>
    <t>Market Value (Rs. In Lakhs)</t>
  </si>
  <si>
    <t>% age to NAV</t>
  </si>
  <si>
    <t>ISIN</t>
  </si>
  <si>
    <t>Yield %</t>
  </si>
  <si>
    <t>^YTC (AT1/Tier 2 bonds)</t>
  </si>
  <si>
    <t>EQUITY &amp; EQUITY RELATED</t>
  </si>
  <si>
    <t>a) Listed/Awaiting Listing On  Stock Exchange</t>
  </si>
  <si>
    <t>NHPC Ltd.</t>
  </si>
  <si>
    <t>Power</t>
  </si>
  <si>
    <t>INE848E01016</t>
  </si>
  <si>
    <t>Bank of Maharashtra</t>
  </si>
  <si>
    <t>Banks</t>
  </si>
  <si>
    <t>INE457A01014</t>
  </si>
  <si>
    <t>Bharat Heavy Electricals Ltd.</t>
  </si>
  <si>
    <t>Electrical Equipment</t>
  </si>
  <si>
    <t>INE257A01026</t>
  </si>
  <si>
    <t>Cummins India Ltd.</t>
  </si>
  <si>
    <t>Industrial Products</t>
  </si>
  <si>
    <t>INE298A01020</t>
  </si>
  <si>
    <t>Bharat Forge Ltd.</t>
  </si>
  <si>
    <t>INE465A01025</t>
  </si>
  <si>
    <t>Voltas Ltd.</t>
  </si>
  <si>
    <t>Consumer Durables</t>
  </si>
  <si>
    <t>INE226A01021</t>
  </si>
  <si>
    <t>Coforge Ltd.</t>
  </si>
  <si>
    <t>IT - Software</t>
  </si>
  <si>
    <t>INE591G01017</t>
  </si>
  <si>
    <t>Arvind Ltd.</t>
  </si>
  <si>
    <t>Textiles &amp; Apparels</t>
  </si>
  <si>
    <t>INE034A01011</t>
  </si>
  <si>
    <t>Glenmark Pharmaceuticals Ltd.</t>
  </si>
  <si>
    <t>Pharmaceuticals &amp; Biotechnology</t>
  </si>
  <si>
    <t>INE935A01035</t>
  </si>
  <si>
    <t>REC Ltd.</t>
  </si>
  <si>
    <t>Finance</t>
  </si>
  <si>
    <t>INE020B01018</t>
  </si>
  <si>
    <t>Godrej Properties Ltd.</t>
  </si>
  <si>
    <t>Realty</t>
  </si>
  <si>
    <t>INE484J01027</t>
  </si>
  <si>
    <t>Schaeffler India Ltd.</t>
  </si>
  <si>
    <t>Auto Components</t>
  </si>
  <si>
    <t>INE513A01022</t>
  </si>
  <si>
    <t>Aurobindo Pharma Ltd.</t>
  </si>
  <si>
    <t>INE406A01037</t>
  </si>
  <si>
    <t>Hitachi Energy India Ltd.</t>
  </si>
  <si>
    <t>INE07Y701011</t>
  </si>
  <si>
    <t>Fortis Healthcare Ltd.</t>
  </si>
  <si>
    <t>Healthcare Services</t>
  </si>
  <si>
    <t>INE061F01013</t>
  </si>
  <si>
    <t>Dr. Lal Path Labs Ltd.</t>
  </si>
  <si>
    <t>INE600L01024</t>
  </si>
  <si>
    <t>Thomas Cook  (India)  Ltd.</t>
  </si>
  <si>
    <t>Leisure Services</t>
  </si>
  <si>
    <t>INE332A01027</t>
  </si>
  <si>
    <t>PB Fintech Ltd.</t>
  </si>
  <si>
    <t>Financial Technology (Fintech)</t>
  </si>
  <si>
    <t>INE417T01026</t>
  </si>
  <si>
    <t>Thermax Ltd.</t>
  </si>
  <si>
    <t>INE152A01029</t>
  </si>
  <si>
    <t>Timken India Ltd.</t>
  </si>
  <si>
    <t>INE325A01013</t>
  </si>
  <si>
    <t>Sterling and Wilson Renewable Energy Ltd.</t>
  </si>
  <si>
    <t>Construction</t>
  </si>
  <si>
    <t>INE00M201021</t>
  </si>
  <si>
    <t>Tube Investments of India Ltd.</t>
  </si>
  <si>
    <t>INE974X01010</t>
  </si>
  <si>
    <t>The Federal Bank  Ltd.</t>
  </si>
  <si>
    <t>INE171A01029</t>
  </si>
  <si>
    <t>Poonawalla Fincorp Ltd.</t>
  </si>
  <si>
    <t>INE511C01022</t>
  </si>
  <si>
    <t>Sun TV Network Ltd.</t>
  </si>
  <si>
    <t>Entertainment</t>
  </si>
  <si>
    <t>INE424H01027</t>
  </si>
  <si>
    <t>Tata Technologies Ltd.</t>
  </si>
  <si>
    <t>IT - Services</t>
  </si>
  <si>
    <t>INE142M01025</t>
  </si>
  <si>
    <t>The Phoenix Mills Ltd.</t>
  </si>
  <si>
    <t>INE211B01039</t>
  </si>
  <si>
    <t>Sumitomo Chemical India Ltd.</t>
  </si>
  <si>
    <t>Fertilizers &amp; Agrochemicals</t>
  </si>
  <si>
    <t>INE258G01013</t>
  </si>
  <si>
    <t>Dalmia Bharat Ltd.</t>
  </si>
  <si>
    <t>Cement &amp; Cement Products</t>
  </si>
  <si>
    <t>INE00R701025</t>
  </si>
  <si>
    <t>Jubilant Foodworks Ltd.</t>
  </si>
  <si>
    <t>INE797F01020</t>
  </si>
  <si>
    <t>Equitas Small Finance Bank Ltd.</t>
  </si>
  <si>
    <t>INE063P01018</t>
  </si>
  <si>
    <t>Hindustan Petroleum Corporation Ltd.</t>
  </si>
  <si>
    <t>Petroleum Products</t>
  </si>
  <si>
    <t>INE094A01015</t>
  </si>
  <si>
    <t>Steel Authority of India Ltd.</t>
  </si>
  <si>
    <t>Ferrous Metals</t>
  </si>
  <si>
    <t>INE114A01011</t>
  </si>
  <si>
    <t>Zomato Ltd.</t>
  </si>
  <si>
    <t>Retailing</t>
  </si>
  <si>
    <t>INE758T01015</t>
  </si>
  <si>
    <t>Ahluwalia Contracts (India) Ltd.</t>
  </si>
  <si>
    <t>INE758C01029</t>
  </si>
  <si>
    <t>Jyothy Labs Ltd.</t>
  </si>
  <si>
    <t>Household Products</t>
  </si>
  <si>
    <t>INE668F01031</t>
  </si>
  <si>
    <t>Amber Enterprises India Ltd.</t>
  </si>
  <si>
    <t>INE371P01015</t>
  </si>
  <si>
    <t>Birlasoft Ltd.</t>
  </si>
  <si>
    <t>INE836A01035</t>
  </si>
  <si>
    <t>Narayana Hrudayalaya Ltd</t>
  </si>
  <si>
    <t>INE410P01011</t>
  </si>
  <si>
    <t>HEG Ltd.</t>
  </si>
  <si>
    <t>INE545A01016</t>
  </si>
  <si>
    <t>Blue Star Ltd.</t>
  </si>
  <si>
    <t>INE472A01039</t>
  </si>
  <si>
    <t>Escorts Kubota Ltd.</t>
  </si>
  <si>
    <t>Agricultural, Commercial &amp; Construction Vehicles</t>
  </si>
  <si>
    <t>INE042A01014</t>
  </si>
  <si>
    <t>Sundram Fasteners Ltd.</t>
  </si>
  <si>
    <t>INE387A01021</t>
  </si>
  <si>
    <t>Tata Steel Ltd.</t>
  </si>
  <si>
    <t>INE081A01020</t>
  </si>
  <si>
    <t>PVR INOX Ltd.</t>
  </si>
  <si>
    <t>INE191H01014</t>
  </si>
  <si>
    <t>Balkrishna Industries Ltd.</t>
  </si>
  <si>
    <t>INE787D01026</t>
  </si>
  <si>
    <t>Credo Brands Marketing Ltd.</t>
  </si>
  <si>
    <t>INE220Q01020</t>
  </si>
  <si>
    <t>Mastek Ltd.</t>
  </si>
  <si>
    <t>INE759A01021</t>
  </si>
  <si>
    <t>Coromandel International Ltd.</t>
  </si>
  <si>
    <t>INE169A01031</t>
  </si>
  <si>
    <t>Mukand Ltd.</t>
  </si>
  <si>
    <t>INE304A01026</t>
  </si>
  <si>
    <t>Orchid Pharma Ltd.</t>
  </si>
  <si>
    <t>INE191A01027</t>
  </si>
  <si>
    <t>Sub Total:</t>
  </si>
  <si>
    <t>b) Unlisted</t>
  </si>
  <si>
    <t>NIL</t>
  </si>
  <si>
    <t>Total:</t>
  </si>
  <si>
    <t>DEBT INSTRUMENTS</t>
  </si>
  <si>
    <t>b) Privately Placed / Unlisted</t>
  </si>
  <si>
    <t>TERM DEPOSITS</t>
  </si>
  <si>
    <t>Deposits (Maturity not exceeding 91 days)</t>
  </si>
  <si>
    <t>Deposits (Placed as F &amp; O margin)</t>
  </si>
  <si>
    <t>MONEY MARKET INSTRUMENTS</t>
  </si>
  <si>
    <t>TREPS-Triparty Repo</t>
  </si>
  <si>
    <t/>
  </si>
  <si>
    <t xml:space="preserve"> </t>
  </si>
  <si>
    <t>Net Current Assets</t>
  </si>
  <si>
    <t>Net Assets</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</si>
  <si>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</si>
  <si>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</si>
  <si>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</si>
  <si>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</si>
  <si>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</si>
  <si>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Long Term wealth creation</t>
  </si>
  <si>
    <t>• An open ended equity scheme that aims for capital appreciation
by investing in diversified mid cap companies.</t>
  </si>
  <si>
    <t>*Investors should consult their financial advisers if in doubt
about whether the product is suitable for them.</t>
  </si>
  <si>
    <t xml:space="preserve">         Riskometer of the scheme </t>
  </si>
  <si>
    <t>Benchmark of the Scheme - Nifty Midcap 150 TRI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</si>
</sst>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1" x14ac:knownFonts="1">
    <font>
      <sz val="11"/>
      <color theme="1"/>
      <name val="Calibri"/>
      <family val="2"/>
      <scheme val="minor"/>
    </font>
    <font>
      <sz val="10"/>
      <name val="Arial"/>
      <family val="2"/>
    </font>
    <font>
      <b/>
      <sz val="10"/>
      <color indexed="9"/>
      <name val="Century Gothic"/>
      <family val="2"/>
    </font>
    <font>
      <sz val="10"/>
      <name val="Times New Roman"/>
      <family val="1"/>
    </font>
    <font>
      <b/>
      <sz val="8"/>
      <name val="Century Gothic"/>
      <family val="2"/>
    </font>
    <font>
      <sz val="8"/>
      <name val="Century Gothic"/>
      <family val="2"/>
    </font>
    <font>
      <sz val="11"/>
      <color indexed="8"/>
      <name val="Calibri"/>
      <family val="2"/>
    </font>
    <font>
      <sz val="8"/>
      <color indexed="8"/>
      <name val="Century Gothic"/>
      <family val="2"/>
    </font>
    <font>
      <i/>
      <sz val="8"/>
      <color indexed="8"/>
      <name val="Century Gothic"/>
      <family val="2"/>
    </font>
    <font>
      <b/>
      <sz val="8"/>
      <color indexed="8"/>
      <name val="Century Gothic"/>
      <family val="2"/>
    </font>
    <font>
      <b/>
      <sz val="8"/>
      <color indexed="9"/>
      <name val="Century Gothic"/>
      <family val="2"/>
    </font>
  </fonts>
  <fills count="3">
    <fill>
      <patternFill patternType="none"/>
    </fill>
    <fill>
      <patternFill patternType="gray125"/>
    </fill>
    <fill>
      <patternFill patternType="solid">
        <fgColor indexed="8"/>
        <bgColor indexed="64"/>
      </patternFill>
    </fill>
  </fills>
  <borders count="5">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9">
    <xf numFmtId="0" fontId="0" fillId="0" borderId="0"/>
    <xf numFmtId="164" fontId="1" fillId="0" borderId="0" applyFont="0" applyFill="0" applyBorder="0" applyAlignment="0" applyProtection="0"/>
    <xf numFmtId="0" fontId="1" fillId="0" borderId="0"/>
    <xf numFmtId="0" fontId="1" fillId="0" borderId="0"/>
    <xf numFmtId="0" fontId="1" fillId="0" borderId="0"/>
    <xf numFmtId="0" fontId="6" fillId="0" borderId="0"/>
    <xf numFmtId="164" fontId="1" fillId="0" borderId="0" applyFont="0" applyFill="0" applyBorder="0" applyAlignment="0" applyProtection="0"/>
    <xf numFmtId="0" fontId="6" fillId="0" borderId="0"/>
    <xf numFmtId="0" fontId="6" fillId="0" borderId="0"/>
  </cellStyleXfs>
  <cellXfs count="61">
    <xf numFmtId="0" fontId="0" fillId="0" borderId="0" xfId="0"/>
    <xf numFmtId="0" fontId="3" fillId="0" borderId="0" xfId="2" applyFont="1"/>
    <xf numFmtId="0" fontId="3" fillId="0" borderId="0" xfId="2" applyFont="1" applyAlignment="1">
      <alignment horizontal="center"/>
    </xf>
    <xf numFmtId="0" fontId="4" fillId="0" borderId="3" xfId="2" applyFont="1" applyFill="1" applyBorder="1" applyAlignment="1">
      <alignment horizontal="left" wrapText="1"/>
    </xf>
    <xf numFmtId="0" fontId="5" fillId="0" borderId="3" xfId="2" applyFont="1" applyFill="1" applyBorder="1" applyAlignment="1">
      <alignment horizontal="center" wrapText="1"/>
    </xf>
    <xf numFmtId="165" fontId="5" fillId="0" borderId="3" xfId="1" applyNumberFormat="1" applyFont="1" applyFill="1" applyBorder="1" applyAlignment="1">
      <alignment horizontal="center"/>
    </xf>
    <xf numFmtId="0" fontId="4" fillId="0" borderId="3" xfId="2" applyFont="1" applyFill="1" applyBorder="1" applyAlignment="1">
      <alignment horizontal="center" wrapText="1"/>
    </xf>
    <xf numFmtId="0" fontId="5" fillId="0" borderId="3" xfId="2" applyFont="1" applyFill="1" applyBorder="1" applyAlignment="1">
      <alignment horizontal="center"/>
    </xf>
    <xf numFmtId="0" fontId="5" fillId="0" borderId="3" xfId="2" applyFont="1" applyBorder="1"/>
    <xf numFmtId="166" fontId="5" fillId="0" borderId="3" xfId="2" applyNumberFormat="1" applyFont="1" applyFill="1" applyBorder="1"/>
    <xf numFmtId="0" fontId="4" fillId="0" borderId="3" xfId="2" applyFont="1" applyFill="1" applyBorder="1" applyAlignment="1">
      <alignment wrapText="1"/>
    </xf>
    <xf numFmtId="4" fontId="5" fillId="0" borderId="3" xfId="2" applyNumberFormat="1" applyFont="1" applyFill="1" applyBorder="1" applyAlignment="1">
      <alignment wrapText="1"/>
    </xf>
    <xf numFmtId="0" fontId="5" fillId="0" borderId="3" xfId="2" applyFont="1" applyFill="1" applyBorder="1" applyAlignment="1">
      <alignment wrapText="1"/>
    </xf>
    <xf numFmtId="165" fontId="5" fillId="0" borderId="3" xfId="1" applyNumberFormat="1" applyFont="1" applyFill="1" applyBorder="1"/>
    <xf numFmtId="164" fontId="5" fillId="0" borderId="3" xfId="1" applyFont="1" applyFill="1" applyBorder="1"/>
    <xf numFmtId="0" fontId="3" fillId="0" borderId="0" xfId="2" applyFont="1" applyFill="1"/>
    <xf numFmtId="0" fontId="5" fillId="0" borderId="3" xfId="2" applyFont="1" applyFill="1" applyBorder="1"/>
    <xf numFmtId="164" fontId="4" fillId="0" borderId="3" xfId="1" applyFont="1" applyFill="1" applyBorder="1"/>
    <xf numFmtId="165" fontId="4" fillId="0" borderId="3" xfId="1" applyNumberFormat="1" applyFont="1" applyFill="1" applyBorder="1"/>
    <xf numFmtId="164" fontId="5" fillId="0" borderId="3" xfId="1" applyFont="1" applyFill="1" applyBorder="1" applyAlignment="1">
      <alignment horizontal="center"/>
    </xf>
    <xf numFmtId="164" fontId="4" fillId="0" borderId="3" xfId="1" applyFont="1" applyFill="1" applyBorder="1" applyAlignment="1">
      <alignment horizontal="right"/>
    </xf>
    <xf numFmtId="0" fontId="5" fillId="0" borderId="3" xfId="2" applyFont="1" applyFill="1" applyBorder="1" applyAlignment="1">
      <alignment horizontal="right"/>
    </xf>
    <xf numFmtId="4" fontId="4" fillId="0" borderId="3" xfId="1" applyNumberFormat="1" applyFont="1" applyFill="1" applyBorder="1"/>
    <xf numFmtId="164" fontId="5" fillId="0" borderId="3" xfId="1" applyFont="1" applyFill="1" applyBorder="1" applyAlignment="1">
      <alignment horizontal="right"/>
    </xf>
    <xf numFmtId="165" fontId="4" fillId="0" borderId="3" xfId="1" applyNumberFormat="1" applyFont="1" applyFill="1" applyBorder="1" applyAlignment="1">
      <alignment horizontal="right"/>
    </xf>
    <xf numFmtId="164" fontId="5" fillId="0" borderId="4" xfId="1" applyFont="1" applyFill="1" applyBorder="1"/>
    <xf numFmtId="0" fontId="5" fillId="0" borderId="0" xfId="2" applyFont="1" applyFill="1" applyBorder="1" applyAlignment="1">
      <alignment horizontal="right"/>
    </xf>
    <xf numFmtId="0" fontId="5" fillId="0" borderId="0" xfId="2" applyFont="1" applyFill="1"/>
    <xf numFmtId="0" fontId="5" fillId="0" borderId="0" xfId="2" applyFont="1"/>
    <xf numFmtId="0" fontId="4" fillId="0" borderId="0" xfId="2" applyFont="1" applyFill="1" applyBorder="1" applyAlignment="1">
      <alignment wrapText="1"/>
    </xf>
    <xf numFmtId="0" fontId="4" fillId="0" borderId="0" xfId="2" applyFont="1" applyFill="1" applyBorder="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5" fillId="0" borderId="0" xfId="2" applyFont="1" applyFill="1" applyBorder="1" applyAlignment="1">
      <alignment wrapText="1"/>
    </xf>
    <xf numFmtId="0" fontId="5" fillId="0" borderId="0" xfId="2" applyFont="1" applyFill="1" applyBorder="1" applyAlignment="1">
      <alignment horizontal="left" wrapText="1"/>
    </xf>
    <xf numFmtId="165" fontId="5" fillId="0" borderId="0" xfId="6" applyNumberFormat="1" applyFont="1" applyFill="1" applyBorder="1"/>
    <xf numFmtId="0" fontId="9" fillId="0" borderId="0" xfId="7" applyFont="1" applyBorder="1"/>
    <xf numFmtId="0" fontId="10" fillId="0" borderId="0" xfId="2" applyFont="1" applyFill="1" applyBorder="1" applyAlignment="1">
      <alignment horizontal="left" wrapText="1"/>
    </xf>
    <xf numFmtId="0" fontId="7" fillId="0" borderId="0" xfId="7" applyFont="1" applyBorder="1"/>
    <xf numFmtId="0" fontId="7" fillId="0" borderId="0" xfId="7" applyFont="1" applyBorder="1" applyAlignment="1"/>
    <xf numFmtId="0" fontId="7" fillId="0" borderId="0" xfId="7" applyFont="1" applyBorder="1" applyAlignment="1">
      <alignment horizontal="left" wrapText="1"/>
    </xf>
    <xf numFmtId="0" fontId="9" fillId="0" borderId="0" xfId="8" applyFont="1" applyAlignment="1">
      <alignment horizontal="center"/>
    </xf>
    <xf numFmtId="0" fontId="4" fillId="0" borderId="0" xfId="2" applyFont="1" applyFill="1" applyBorder="1" applyAlignment="1">
      <alignment horizontal="center"/>
    </xf>
    <xf numFmtId="165" fontId="3" fillId="0" borderId="0" xfId="1" applyNumberFormat="1" applyFont="1"/>
    <xf numFmtId="0" fontId="4" fillId="0" borderId="0" xfId="2" applyFont="1" applyFill="1" applyBorder="1" applyAlignment="1"/>
    <xf numFmtId="0" fontId="4" fillId="0" borderId="0" xfId="2" applyFont="1" applyFill="1" applyBorder="1" applyAlignment="1">
      <alignment horizontal="left"/>
    </xf>
    <xf numFmtId="0" fontId="5" fillId="0" borderId="0" xfId="2" applyFont="1" applyAlignment="1">
      <alignment wrapText="1"/>
    </xf>
    <xf numFmtId="0" fontId="5" fillId="0" borderId="0" xfId="2" applyFont="1" applyAlignment="1">
      <alignment horizontal="left" wrapText="1"/>
    </xf>
    <xf numFmtId="165" fontId="5" fillId="0" borderId="0" xfId="1" applyNumberFormat="1" applyFont="1"/>
    <xf numFmtId="164" fontId="5" fillId="0" borderId="0" xfId="1" applyFont="1" applyFill="1" applyBorder="1"/>
    <xf numFmtId="0" fontId="3" fillId="0" borderId="0" xfId="2" applyFont="1" applyAlignment="1">
      <alignment wrapText="1"/>
    </xf>
    <xf numFmtId="0" fontId="3" fillId="0" borderId="0" xfId="2" applyFont="1" applyAlignment="1">
      <alignment horizontal="left" wrapText="1"/>
    </xf>
    <xf numFmtId="0" fontId="4" fillId="0" borderId="3" xfId="2" applyFont="1" applyFill="1" applyBorder="1" applyAlignment="1">
      <alignment horizontal="center" vertical="top" wrapText="1"/>
    </xf>
    <xf numFmtId="165" fontId="4" fillId="0" borderId="3" xfId="1" applyNumberFormat="1" applyFont="1" applyFill="1" applyBorder="1" applyAlignment="1">
      <alignment horizontal="center" vertical="top"/>
    </xf>
    <xf numFmtId="0" fontId="8" fillId="0" borderId="0" xfId="5" applyFont="1" applyBorder="1" applyAlignment="1">
      <alignment horizontal="left" vertical="top" wrapText="1"/>
    </xf>
    <xf numFmtId="0" fontId="2" fillId="2" borderId="1" xfId="2" applyFont="1" applyFill="1" applyBorder="1" applyAlignment="1">
      <alignment horizontal="center" vertical="center"/>
    </xf>
    <xf numFmtId="0" fontId="2" fillId="2" borderId="0" xfId="2" applyFont="1" applyFill="1" applyBorder="1" applyAlignment="1">
      <alignment horizontal="center" vertical="center" wrapText="1"/>
    </xf>
    <xf numFmtId="0" fontId="2" fillId="2" borderId="2" xfId="3" applyFont="1" applyFill="1" applyBorder="1" applyAlignment="1">
      <alignment horizontal="center" vertical="center" wrapText="1"/>
    </xf>
    <xf numFmtId="0" fontId="5" fillId="0" borderId="0" xfId="4" applyFont="1" applyAlignment="1">
      <alignment horizontal="left" vertical="top" wrapText="1"/>
    </xf>
    <xf numFmtId="0" fontId="5" fillId="0" borderId="0" xfId="4" applyFont="1" applyAlignment="1">
      <alignment vertical="top" wrapText="1"/>
    </xf>
    <xf numFmtId="0" fontId="7" fillId="0" borderId="0" xfId="5" applyFont="1" applyBorder="1" applyAlignment="1">
      <alignment horizontal="left" vertical="top" wrapText="1"/>
    </xf>
  </cellXfs>
  <cellStyles count="9">
    <cellStyle name="Comma" xfId="1" builtinId="3"/>
    <cellStyle name="Comma 4" xfId="6"/>
    <cellStyle name="Normal" xfId="0" builtinId="0"/>
    <cellStyle name="Normal 2 2" xfId="2"/>
    <cellStyle name="Normal 2 2 2" xfId="3"/>
    <cellStyle name="Normal 2 3 2" xfId="4"/>
    <cellStyle name="Normal 4_IF" xfId="8"/>
    <cellStyle name="Normal 4_LD" xfId="5"/>
    <cellStyle name="Normal 4_TG" xfId="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891540</xdr:colOff>
      <xdr:row>95</xdr:row>
      <xdr:rowOff>76200</xdr:rowOff>
    </xdr:from>
    <xdr:to>
      <xdr:col>0</xdr:col>
      <xdr:colOff>2880360</xdr:colOff>
      <xdr:row>101</xdr:row>
      <xdr:rowOff>45720</xdr:rowOff>
    </xdr:to>
    <xdr:pic>
      <xdr:nvPicPr>
        <xdr:cNvPr id="2" name="Picture 13"/>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1540" y="16824960"/>
          <a:ext cx="1988820" cy="9753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373380</xdr:colOff>
      <xdr:row>95</xdr:row>
      <xdr:rowOff>91440</xdr:rowOff>
    </xdr:from>
    <xdr:to>
      <xdr:col>1</xdr:col>
      <xdr:colOff>2293620</xdr:colOff>
      <xdr:row>101</xdr:row>
      <xdr:rowOff>38100</xdr:rowOff>
    </xdr:to>
    <xdr:pic>
      <xdr:nvPicPr>
        <xdr:cNvPr id="3" name="Picture 14"/>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596640" y="16840200"/>
          <a:ext cx="1920240" cy="952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1"/>
    <pageSetUpPr fitToPage="1"/>
  </sheetPr>
  <dimension ref="A1:H155"/>
  <sheetViews>
    <sheetView tabSelected="1" topLeftCell="A85" zoomScaleNormal="85" workbookViewId="0">
      <selection sqref="A1:H1"/>
    </sheetView>
  </sheetViews>
  <sheetFormatPr defaultColWidth="9.140625" defaultRowHeight="12.75" x14ac:dyDescent="0.2"/>
  <cols>
    <col min="1" max="1" width="47" style="50" customWidth="1"/>
    <col min="2" max="2" width="39" style="51" customWidth="1"/>
    <col min="3" max="3" width="13.42578125" style="43" customWidth="1"/>
    <col min="4" max="4" width="12.28515625" style="1" customWidth="1"/>
    <col min="5" max="5" width="8.85546875" style="1" customWidth="1"/>
    <col min="6" max="6" width="14.42578125" style="1" customWidth="1"/>
    <col min="7" max="7" width="9.5703125" style="1" bestFit="1" customWidth="1"/>
    <col min="8" max="8" width="12.28515625" style="1" customWidth="1"/>
    <col min="9" max="16384" width="9.140625" style="1"/>
  </cols>
  <sheetData>
    <row r="1" spans="1:8" x14ac:dyDescent="0.2">
      <c r="A1" s="55" t="s">
        <v>0</v>
      </c>
      <c r="B1" s="55"/>
      <c r="C1" s="55"/>
      <c r="D1" s="55"/>
      <c r="E1" s="55"/>
      <c r="F1" s="55"/>
      <c r="G1" s="55"/>
      <c r="H1" s="55"/>
    </row>
    <row r="2" spans="1:8" x14ac:dyDescent="0.2">
      <c r="A2" s="56" t="s">
        <v>1</v>
      </c>
      <c r="B2" s="56"/>
      <c r="C2" s="56"/>
      <c r="D2" s="56"/>
      <c r="E2" s="56"/>
      <c r="F2" s="56"/>
      <c r="G2" s="56"/>
      <c r="H2" s="56"/>
    </row>
    <row r="3" spans="1:8" x14ac:dyDescent="0.2">
      <c r="A3" s="57" t="s">
        <v>2</v>
      </c>
      <c r="B3" s="57"/>
      <c r="C3" s="57"/>
      <c r="D3" s="57"/>
      <c r="E3" s="57"/>
      <c r="F3" s="57"/>
      <c r="G3" s="57"/>
      <c r="H3" s="57"/>
    </row>
    <row r="4" spans="1:8" s="2" customFormat="1" ht="25.5" x14ac:dyDescent="0.2">
      <c r="A4" s="52" t="s">
        <v>3</v>
      </c>
      <c r="B4" s="52" t="s">
        <v>4</v>
      </c>
      <c r="C4" s="53" t="s">
        <v>5</v>
      </c>
      <c r="D4" s="52" t="s">
        <v>6</v>
      </c>
      <c r="E4" s="52" t="s">
        <v>7</v>
      </c>
      <c r="F4" s="52" t="s">
        <v>8</v>
      </c>
      <c r="G4" s="52" t="s">
        <v>9</v>
      </c>
      <c r="H4" s="52" t="s">
        <v>10</v>
      </c>
    </row>
    <row r="5" spans="1:8" ht="14.25" x14ac:dyDescent="0.3">
      <c r="A5" s="3" t="s">
        <v>11</v>
      </c>
      <c r="B5" s="4"/>
      <c r="C5" s="5"/>
      <c r="D5" s="6"/>
      <c r="E5" s="6"/>
      <c r="F5" s="7"/>
      <c r="G5" s="8"/>
      <c r="H5" s="9"/>
    </row>
    <row r="6" spans="1:8" ht="14.25" x14ac:dyDescent="0.3">
      <c r="A6" s="10" t="s">
        <v>12</v>
      </c>
      <c r="B6" s="4"/>
      <c r="C6" s="5"/>
      <c r="D6" s="6"/>
      <c r="E6" s="6"/>
      <c r="F6" s="7"/>
      <c r="G6" s="8"/>
      <c r="H6" s="9"/>
    </row>
    <row r="7" spans="1:8" s="15" customFormat="1" ht="14.25" x14ac:dyDescent="0.3">
      <c r="A7" s="11" t="s">
        <v>13</v>
      </c>
      <c r="B7" s="12" t="s">
        <v>14</v>
      </c>
      <c r="C7" s="13">
        <v>3514831</v>
      </c>
      <c r="D7" s="14">
        <v>3196.7387945</v>
      </c>
      <c r="E7" s="14">
        <f t="shared" ref="E7:E57" si="0">(+D7/$D$83*100)</f>
        <v>4.0905744128950667</v>
      </c>
      <c r="F7" s="14" t="s">
        <v>15</v>
      </c>
      <c r="G7" s="9"/>
      <c r="H7" s="8"/>
    </row>
    <row r="8" spans="1:8" s="15" customFormat="1" ht="14.25" x14ac:dyDescent="0.3">
      <c r="A8" s="11" t="s">
        <v>16</v>
      </c>
      <c r="B8" s="12" t="s">
        <v>17</v>
      </c>
      <c r="C8" s="13">
        <v>5565000</v>
      </c>
      <c r="D8" s="14">
        <v>3074.6624999999999</v>
      </c>
      <c r="E8" s="14">
        <f t="shared" si="0"/>
        <v>3.9343645381433667</v>
      </c>
      <c r="F8" s="14" t="s">
        <v>18</v>
      </c>
      <c r="G8" s="9"/>
      <c r="H8" s="16"/>
    </row>
    <row r="9" spans="1:8" s="15" customFormat="1" ht="14.25" x14ac:dyDescent="0.3">
      <c r="A9" s="11" t="s">
        <v>19</v>
      </c>
      <c r="B9" s="12" t="s">
        <v>20</v>
      </c>
      <c r="C9" s="13">
        <v>1268000</v>
      </c>
      <c r="D9" s="14">
        <v>2894.21</v>
      </c>
      <c r="E9" s="14">
        <f t="shared" si="0"/>
        <v>3.703455969538092</v>
      </c>
      <c r="F9" s="14" t="s">
        <v>21</v>
      </c>
      <c r="G9" s="9"/>
      <c r="H9" s="9"/>
    </row>
    <row r="10" spans="1:8" s="15" customFormat="1" ht="14.25" x14ac:dyDescent="0.3">
      <c r="A10" s="11" t="s">
        <v>22</v>
      </c>
      <c r="B10" s="12" t="s">
        <v>23</v>
      </c>
      <c r="C10" s="13">
        <v>116603</v>
      </c>
      <c r="D10" s="14">
        <v>2674.6979154999999</v>
      </c>
      <c r="E10" s="14">
        <f t="shared" si="0"/>
        <v>3.4225664211890523</v>
      </c>
      <c r="F10" s="14" t="s">
        <v>24</v>
      </c>
      <c r="G10" s="9"/>
      <c r="H10" s="9"/>
    </row>
    <row r="11" spans="1:8" s="15" customFormat="1" ht="14.25" x14ac:dyDescent="0.3">
      <c r="A11" s="11" t="s">
        <v>25</v>
      </c>
      <c r="B11" s="12" t="s">
        <v>23</v>
      </c>
      <c r="C11" s="13">
        <v>195650</v>
      </c>
      <c r="D11" s="14">
        <v>2416.7666250000002</v>
      </c>
      <c r="E11" s="14">
        <f t="shared" si="0"/>
        <v>3.0925153269239889</v>
      </c>
      <c r="F11" s="14" t="s">
        <v>26</v>
      </c>
      <c r="G11" s="9"/>
      <c r="H11" s="9"/>
    </row>
    <row r="12" spans="1:8" s="15" customFormat="1" ht="14.25" x14ac:dyDescent="0.3">
      <c r="A12" s="11" t="s">
        <v>27</v>
      </c>
      <c r="B12" s="12" t="s">
        <v>28</v>
      </c>
      <c r="C12" s="13">
        <v>214150</v>
      </c>
      <c r="D12" s="14">
        <v>2340.1241249999998</v>
      </c>
      <c r="E12" s="14">
        <f t="shared" si="0"/>
        <v>2.9944429257695031</v>
      </c>
      <c r="F12" s="14" t="s">
        <v>29</v>
      </c>
      <c r="G12" s="9"/>
      <c r="H12" s="8"/>
    </row>
    <row r="13" spans="1:8" s="15" customFormat="1" ht="14.25" x14ac:dyDescent="0.3">
      <c r="A13" s="11" t="s">
        <v>30</v>
      </c>
      <c r="B13" s="12" t="s">
        <v>31</v>
      </c>
      <c r="C13" s="13">
        <v>34500</v>
      </c>
      <c r="D13" s="14">
        <v>2156.2845000000002</v>
      </c>
      <c r="E13" s="14">
        <f t="shared" si="0"/>
        <v>2.7592001629278666</v>
      </c>
      <c r="F13" s="14" t="s">
        <v>32</v>
      </c>
      <c r="G13" s="9"/>
      <c r="H13" s="9"/>
    </row>
    <row r="14" spans="1:8" s="15" customFormat="1" ht="14.25" x14ac:dyDescent="0.3">
      <c r="A14" s="11" t="s">
        <v>33</v>
      </c>
      <c r="B14" s="12" t="s">
        <v>34</v>
      </c>
      <c r="C14" s="13">
        <v>678432</v>
      </c>
      <c r="D14" s="14">
        <v>2137.0608000000002</v>
      </c>
      <c r="E14" s="14">
        <f t="shared" si="0"/>
        <v>2.7346013513275995</v>
      </c>
      <c r="F14" s="14" t="s">
        <v>35</v>
      </c>
      <c r="G14" s="9"/>
      <c r="H14" s="9"/>
    </row>
    <row r="15" spans="1:8" s="15" customFormat="1" ht="14.25" x14ac:dyDescent="0.3">
      <c r="A15" s="11" t="s">
        <v>36</v>
      </c>
      <c r="B15" s="12" t="s">
        <v>37</v>
      </c>
      <c r="C15" s="13">
        <v>233000</v>
      </c>
      <c r="D15" s="14">
        <v>2120.7660000000001</v>
      </c>
      <c r="E15" s="14">
        <f t="shared" si="0"/>
        <v>2.7137503853187646</v>
      </c>
      <c r="F15" s="14" t="s">
        <v>38</v>
      </c>
      <c r="G15" s="9"/>
      <c r="H15" s="9"/>
    </row>
    <row r="16" spans="1:8" s="15" customFormat="1" ht="14.25" x14ac:dyDescent="0.3">
      <c r="A16" s="11" t="s">
        <v>39</v>
      </c>
      <c r="B16" s="12" t="s">
        <v>40</v>
      </c>
      <c r="C16" s="13">
        <v>415100</v>
      </c>
      <c r="D16" s="14">
        <v>2071.5565499999998</v>
      </c>
      <c r="E16" s="14">
        <f t="shared" si="0"/>
        <v>2.6507815505209487</v>
      </c>
      <c r="F16" s="14" t="s">
        <v>41</v>
      </c>
      <c r="G16" s="9"/>
      <c r="H16" s="8"/>
    </row>
    <row r="17" spans="1:8" s="15" customFormat="1" ht="14.25" x14ac:dyDescent="0.3">
      <c r="A17" s="11" t="s">
        <v>42</v>
      </c>
      <c r="B17" s="12" t="s">
        <v>43</v>
      </c>
      <c r="C17" s="13">
        <v>86800</v>
      </c>
      <c r="D17" s="14">
        <v>2063.3661999999999</v>
      </c>
      <c r="E17" s="14">
        <f t="shared" si="0"/>
        <v>2.6403011083277055</v>
      </c>
      <c r="F17" s="14" t="s">
        <v>44</v>
      </c>
      <c r="G17" s="9"/>
      <c r="H17" s="9"/>
    </row>
    <row r="18" spans="1:8" s="15" customFormat="1" ht="14.25" x14ac:dyDescent="0.3">
      <c r="A18" s="11" t="s">
        <v>45</v>
      </c>
      <c r="B18" s="12" t="s">
        <v>46</v>
      </c>
      <c r="C18" s="13">
        <v>59300</v>
      </c>
      <c r="D18" s="14">
        <v>1856.8016</v>
      </c>
      <c r="E18" s="14">
        <f t="shared" si="0"/>
        <v>2.3759792723291953</v>
      </c>
      <c r="F18" s="14" t="s">
        <v>47</v>
      </c>
      <c r="G18" s="9"/>
      <c r="H18" s="8"/>
    </row>
    <row r="19" spans="1:8" s="15" customFormat="1" ht="14.25" x14ac:dyDescent="0.3">
      <c r="A19" s="11" t="s">
        <v>48</v>
      </c>
      <c r="B19" s="12" t="s">
        <v>37</v>
      </c>
      <c r="C19" s="13">
        <v>157528</v>
      </c>
      <c r="D19" s="14">
        <v>1812.2021119999999</v>
      </c>
      <c r="E19" s="14">
        <f t="shared" si="0"/>
        <v>2.3189093844938475</v>
      </c>
      <c r="F19" s="14" t="s">
        <v>49</v>
      </c>
      <c r="G19" s="9"/>
      <c r="H19" s="9"/>
    </row>
    <row r="20" spans="1:8" s="15" customFormat="1" ht="14.25" x14ac:dyDescent="0.3">
      <c r="A20" s="11" t="s">
        <v>50</v>
      </c>
      <c r="B20" s="12" t="s">
        <v>20</v>
      </c>
      <c r="C20" s="13">
        <v>29446</v>
      </c>
      <c r="D20" s="14">
        <v>1746.103631</v>
      </c>
      <c r="E20" s="14">
        <f t="shared" si="0"/>
        <v>2.234329200596739</v>
      </c>
      <c r="F20" s="14" t="s">
        <v>51</v>
      </c>
      <c r="G20" s="9"/>
      <c r="H20" s="8"/>
    </row>
    <row r="21" spans="1:8" s="15" customFormat="1" ht="14.25" x14ac:dyDescent="0.3">
      <c r="A21" s="11" t="s">
        <v>52</v>
      </c>
      <c r="B21" s="12" t="s">
        <v>53</v>
      </c>
      <c r="C21" s="13">
        <v>392500</v>
      </c>
      <c r="D21" s="14">
        <v>1695.2075</v>
      </c>
      <c r="E21" s="14">
        <f t="shared" si="0"/>
        <v>2.1692020743072362</v>
      </c>
      <c r="F21" s="14" t="s">
        <v>54</v>
      </c>
      <c r="G21" s="9"/>
      <c r="H21" s="9"/>
    </row>
    <row r="22" spans="1:8" s="15" customFormat="1" ht="14.25" x14ac:dyDescent="0.3">
      <c r="A22" s="11" t="s">
        <v>55</v>
      </c>
      <c r="B22" s="12" t="s">
        <v>53</v>
      </c>
      <c r="C22" s="13">
        <v>66620</v>
      </c>
      <c r="D22" s="14">
        <v>1677.0918799999999</v>
      </c>
      <c r="E22" s="14">
        <f t="shared" si="0"/>
        <v>2.146021171390418</v>
      </c>
      <c r="F22" s="14" t="s">
        <v>56</v>
      </c>
      <c r="G22" s="9"/>
      <c r="H22" s="16"/>
    </row>
    <row r="23" spans="1:8" s="15" customFormat="1" ht="14.25" x14ac:dyDescent="0.3">
      <c r="A23" s="11" t="s">
        <v>57</v>
      </c>
      <c r="B23" s="12" t="s">
        <v>58</v>
      </c>
      <c r="C23" s="13">
        <v>937963</v>
      </c>
      <c r="D23" s="14">
        <v>1621.2690455000002</v>
      </c>
      <c r="E23" s="14">
        <f t="shared" si="0"/>
        <v>2.0745897929950834</v>
      </c>
      <c r="F23" s="14" t="s">
        <v>59</v>
      </c>
      <c r="G23" s="9"/>
      <c r="H23" s="8"/>
    </row>
    <row r="24" spans="1:8" s="15" customFormat="1" ht="14.25" x14ac:dyDescent="0.3">
      <c r="A24" s="11" t="s">
        <v>60</v>
      </c>
      <c r="B24" s="12" t="s">
        <v>61</v>
      </c>
      <c r="C24" s="13">
        <v>155400</v>
      </c>
      <c r="D24" s="14">
        <v>1557.7295999999999</v>
      </c>
      <c r="E24" s="14">
        <f t="shared" si="0"/>
        <v>1.9932841728990582</v>
      </c>
      <c r="F24" s="14" t="s">
        <v>62</v>
      </c>
      <c r="G24" s="9"/>
      <c r="H24" s="8"/>
    </row>
    <row r="25" spans="1:8" s="15" customFormat="1" ht="14.25" x14ac:dyDescent="0.3">
      <c r="A25" s="11" t="s">
        <v>63</v>
      </c>
      <c r="B25" s="12" t="s">
        <v>20</v>
      </c>
      <c r="C25" s="13">
        <v>48852</v>
      </c>
      <c r="D25" s="14">
        <v>1554.1042500000001</v>
      </c>
      <c r="E25" s="14">
        <f t="shared" si="0"/>
        <v>1.9886451439069797</v>
      </c>
      <c r="F25" s="14" t="s">
        <v>64</v>
      </c>
      <c r="G25" s="9"/>
      <c r="H25" s="8"/>
    </row>
    <row r="26" spans="1:8" s="15" customFormat="1" ht="14.25" x14ac:dyDescent="0.3">
      <c r="A26" s="11" t="s">
        <v>65</v>
      </c>
      <c r="B26" s="12" t="s">
        <v>23</v>
      </c>
      <c r="C26" s="13">
        <v>45800</v>
      </c>
      <c r="D26" s="14">
        <v>1551.5666000000001</v>
      </c>
      <c r="E26" s="14">
        <f t="shared" si="0"/>
        <v>1.9853979451753403</v>
      </c>
      <c r="F26" s="14" t="s">
        <v>66</v>
      </c>
      <c r="G26" s="9"/>
      <c r="H26" s="8"/>
    </row>
    <row r="27" spans="1:8" s="15" customFormat="1" ht="14.25" x14ac:dyDescent="0.3">
      <c r="A27" s="11" t="s">
        <v>67</v>
      </c>
      <c r="B27" s="12" t="s">
        <v>68</v>
      </c>
      <c r="C27" s="13">
        <v>272500</v>
      </c>
      <c r="D27" s="14">
        <v>1544.2574999999999</v>
      </c>
      <c r="E27" s="14">
        <f t="shared" si="0"/>
        <v>1.9760451580496818</v>
      </c>
      <c r="F27" s="14" t="s">
        <v>69</v>
      </c>
      <c r="G27" s="9"/>
      <c r="H27" s="8"/>
    </row>
    <row r="28" spans="1:8" s="15" customFormat="1" ht="14.25" x14ac:dyDescent="0.3">
      <c r="A28" s="11" t="s">
        <v>70</v>
      </c>
      <c r="B28" s="12" t="s">
        <v>46</v>
      </c>
      <c r="C28" s="13">
        <v>39000</v>
      </c>
      <c r="D28" s="14">
        <v>1520.2394999999999</v>
      </c>
      <c r="E28" s="14">
        <f t="shared" si="0"/>
        <v>1.9453115189991754</v>
      </c>
      <c r="F28" s="14" t="s">
        <v>71</v>
      </c>
      <c r="G28" s="9"/>
      <c r="H28" s="8"/>
    </row>
    <row r="29" spans="1:8" s="15" customFormat="1" ht="14.25" x14ac:dyDescent="0.3">
      <c r="A29" s="11" t="s">
        <v>72</v>
      </c>
      <c r="B29" s="12" t="s">
        <v>17</v>
      </c>
      <c r="C29" s="13">
        <v>1027500</v>
      </c>
      <c r="D29" s="14">
        <v>1513.5074999999999</v>
      </c>
      <c r="E29" s="14">
        <f t="shared" si="0"/>
        <v>1.9366971939892661</v>
      </c>
      <c r="F29" s="14" t="s">
        <v>73</v>
      </c>
      <c r="G29" s="9"/>
      <c r="H29" s="9"/>
    </row>
    <row r="30" spans="1:8" s="15" customFormat="1" ht="14.25" x14ac:dyDescent="0.3">
      <c r="A30" s="11" t="s">
        <v>74</v>
      </c>
      <c r="B30" s="12" t="s">
        <v>40</v>
      </c>
      <c r="C30" s="13">
        <v>313500</v>
      </c>
      <c r="D30" s="14">
        <v>1499.4704999999999</v>
      </c>
      <c r="E30" s="14">
        <f t="shared" si="0"/>
        <v>1.9187353282489064</v>
      </c>
      <c r="F30" s="14" t="s">
        <v>75</v>
      </c>
      <c r="G30" s="9"/>
      <c r="H30" s="8"/>
    </row>
    <row r="31" spans="1:8" s="15" customFormat="1" ht="14.25" x14ac:dyDescent="0.3">
      <c r="A31" s="11" t="s">
        <v>76</v>
      </c>
      <c r="B31" s="12" t="s">
        <v>77</v>
      </c>
      <c r="C31" s="13">
        <v>219571</v>
      </c>
      <c r="D31" s="14">
        <v>1446.0946059999999</v>
      </c>
      <c r="E31" s="14">
        <f t="shared" si="0"/>
        <v>1.8504350759300587</v>
      </c>
      <c r="F31" s="14" t="s">
        <v>78</v>
      </c>
      <c r="G31" s="9"/>
      <c r="H31" s="8"/>
    </row>
    <row r="32" spans="1:8" s="15" customFormat="1" ht="14.25" x14ac:dyDescent="0.3">
      <c r="A32" s="11" t="s">
        <v>79</v>
      </c>
      <c r="B32" s="12" t="s">
        <v>80</v>
      </c>
      <c r="C32" s="13">
        <v>130020</v>
      </c>
      <c r="D32" s="14">
        <v>1445.0422799999999</v>
      </c>
      <c r="E32" s="14">
        <f t="shared" si="0"/>
        <v>1.8490885105437873</v>
      </c>
      <c r="F32" s="14" t="s">
        <v>81</v>
      </c>
      <c r="G32" s="9"/>
      <c r="H32" s="8"/>
    </row>
    <row r="33" spans="1:8" s="15" customFormat="1" ht="14.25" x14ac:dyDescent="0.3">
      <c r="A33" s="11" t="s">
        <v>82</v>
      </c>
      <c r="B33" s="12" t="s">
        <v>43</v>
      </c>
      <c r="C33" s="13">
        <v>58700</v>
      </c>
      <c r="D33" s="14">
        <v>1422.7706000000001</v>
      </c>
      <c r="E33" s="14">
        <f t="shared" si="0"/>
        <v>1.8205894775615084</v>
      </c>
      <c r="F33" s="14" t="s">
        <v>83</v>
      </c>
      <c r="G33" s="9"/>
      <c r="H33" s="8"/>
    </row>
    <row r="34" spans="1:8" s="15" customFormat="1" ht="14.25" x14ac:dyDescent="0.3">
      <c r="A34" s="11" t="s">
        <v>84</v>
      </c>
      <c r="B34" s="12" t="s">
        <v>85</v>
      </c>
      <c r="C34" s="13">
        <v>335298</v>
      </c>
      <c r="D34" s="14">
        <v>1393.4984880000002</v>
      </c>
      <c r="E34" s="14">
        <f t="shared" si="0"/>
        <v>1.7831326316770055</v>
      </c>
      <c r="F34" s="14" t="s">
        <v>86</v>
      </c>
      <c r="G34" s="9"/>
      <c r="H34" s="8"/>
    </row>
    <row r="35" spans="1:8" s="15" customFormat="1" ht="14.25" x14ac:dyDescent="0.3">
      <c r="A35" s="11" t="s">
        <v>87</v>
      </c>
      <c r="B35" s="12" t="s">
        <v>88</v>
      </c>
      <c r="C35" s="13">
        <v>61000</v>
      </c>
      <c r="D35" s="14">
        <v>1390.6780000000001</v>
      </c>
      <c r="E35" s="14">
        <f t="shared" si="0"/>
        <v>1.7795235110117424</v>
      </c>
      <c r="F35" s="14" t="s">
        <v>89</v>
      </c>
      <c r="G35" s="9"/>
      <c r="H35" s="9"/>
    </row>
    <row r="36" spans="1:8" s="15" customFormat="1" ht="14.25" x14ac:dyDescent="0.3">
      <c r="A36" s="11" t="s">
        <v>90</v>
      </c>
      <c r="B36" s="12" t="s">
        <v>58</v>
      </c>
      <c r="C36" s="13">
        <v>260462</v>
      </c>
      <c r="D36" s="14">
        <v>1353.230321</v>
      </c>
      <c r="E36" s="14">
        <f t="shared" si="0"/>
        <v>1.7316051393877425</v>
      </c>
      <c r="F36" s="14" t="s">
        <v>91</v>
      </c>
      <c r="G36" s="9"/>
      <c r="H36" s="9"/>
    </row>
    <row r="37" spans="1:8" s="15" customFormat="1" ht="14.25" x14ac:dyDescent="0.3">
      <c r="A37" s="11" t="s">
        <v>92</v>
      </c>
      <c r="B37" s="12" t="s">
        <v>17</v>
      </c>
      <c r="C37" s="13">
        <v>1266500</v>
      </c>
      <c r="D37" s="14">
        <v>1313.9937500000001</v>
      </c>
      <c r="E37" s="14">
        <f t="shared" si="0"/>
        <v>1.6813976861987361</v>
      </c>
      <c r="F37" s="14" t="s">
        <v>93</v>
      </c>
      <c r="G37" s="9"/>
      <c r="H37" s="9"/>
    </row>
    <row r="38" spans="1:8" s="15" customFormat="1" ht="14.25" x14ac:dyDescent="0.3">
      <c r="A38" s="11" t="s">
        <v>94</v>
      </c>
      <c r="B38" s="12" t="s">
        <v>95</v>
      </c>
      <c r="C38" s="13">
        <v>278000</v>
      </c>
      <c r="D38" s="14">
        <v>1287.835</v>
      </c>
      <c r="E38" s="14">
        <f t="shared" si="0"/>
        <v>1.6479247250649018</v>
      </c>
      <c r="F38" s="14" t="s">
        <v>96</v>
      </c>
      <c r="G38" s="9"/>
      <c r="H38" s="9"/>
    </row>
    <row r="39" spans="1:8" s="15" customFormat="1" ht="14.25" x14ac:dyDescent="0.3">
      <c r="A39" s="11" t="s">
        <v>97</v>
      </c>
      <c r="B39" s="12" t="s">
        <v>98</v>
      </c>
      <c r="C39" s="13">
        <v>1010000</v>
      </c>
      <c r="D39" s="14">
        <v>1237.25</v>
      </c>
      <c r="E39" s="14">
        <f t="shared" si="0"/>
        <v>1.5831957246747832</v>
      </c>
      <c r="F39" s="14" t="s">
        <v>99</v>
      </c>
      <c r="G39" s="9"/>
      <c r="H39" s="8"/>
    </row>
    <row r="40" spans="1:8" s="15" customFormat="1" ht="14.25" x14ac:dyDescent="0.3">
      <c r="A40" s="11" t="s">
        <v>100</v>
      </c>
      <c r="B40" s="12" t="s">
        <v>101</v>
      </c>
      <c r="C40" s="13">
        <v>860000</v>
      </c>
      <c r="D40" s="14">
        <v>1200.1300000000001</v>
      </c>
      <c r="E40" s="14">
        <f t="shared" si="0"/>
        <v>1.5356966539130716</v>
      </c>
      <c r="F40" s="14" t="s">
        <v>102</v>
      </c>
      <c r="G40" s="9"/>
      <c r="H40" s="8"/>
    </row>
    <row r="41" spans="1:8" s="15" customFormat="1" ht="14.25" x14ac:dyDescent="0.3">
      <c r="A41" s="11" t="s">
        <v>103</v>
      </c>
      <c r="B41" s="12" t="s">
        <v>68</v>
      </c>
      <c r="C41" s="13">
        <v>137926</v>
      </c>
      <c r="D41" s="14">
        <v>1185.6118959999999</v>
      </c>
      <c r="E41" s="14">
        <f t="shared" si="0"/>
        <v>1.5171191633629126</v>
      </c>
      <c r="F41" s="14" t="s">
        <v>104</v>
      </c>
      <c r="G41" s="9"/>
      <c r="H41" s="9"/>
    </row>
    <row r="42" spans="1:8" s="15" customFormat="1" ht="14.25" x14ac:dyDescent="0.3">
      <c r="A42" s="11" t="s">
        <v>105</v>
      </c>
      <c r="B42" s="12" t="s">
        <v>106</v>
      </c>
      <c r="C42" s="13">
        <v>221500</v>
      </c>
      <c r="D42" s="14">
        <v>1141.0572500000001</v>
      </c>
      <c r="E42" s="14">
        <f t="shared" si="0"/>
        <v>1.460106655735838</v>
      </c>
      <c r="F42" s="14" t="s">
        <v>107</v>
      </c>
      <c r="G42" s="9"/>
      <c r="H42" s="9"/>
    </row>
    <row r="43" spans="1:8" s="15" customFormat="1" ht="14.25" x14ac:dyDescent="0.3">
      <c r="A43" s="11" t="s">
        <v>108</v>
      </c>
      <c r="B43" s="12" t="s">
        <v>28</v>
      </c>
      <c r="C43" s="13">
        <v>23900</v>
      </c>
      <c r="D43" s="14">
        <v>1060.4549500000001</v>
      </c>
      <c r="E43" s="14">
        <f t="shared" si="0"/>
        <v>1.3569672604972407</v>
      </c>
      <c r="F43" s="14" t="s">
        <v>109</v>
      </c>
      <c r="G43" s="9"/>
      <c r="H43" s="9"/>
    </row>
    <row r="44" spans="1:8" s="15" customFormat="1" ht="14.25" x14ac:dyDescent="0.3">
      <c r="A44" s="11" t="s">
        <v>110</v>
      </c>
      <c r="B44" s="12" t="s">
        <v>31</v>
      </c>
      <c r="C44" s="13">
        <v>124751</v>
      </c>
      <c r="D44" s="14">
        <v>1058.4498595</v>
      </c>
      <c r="E44" s="14">
        <f t="shared" si="0"/>
        <v>1.3544015294750658</v>
      </c>
      <c r="F44" s="14" t="s">
        <v>111</v>
      </c>
      <c r="G44" s="9"/>
      <c r="H44" s="9"/>
    </row>
    <row r="45" spans="1:8" s="15" customFormat="1" ht="14.25" x14ac:dyDescent="0.3">
      <c r="A45" s="11" t="s">
        <v>112</v>
      </c>
      <c r="B45" s="12" t="s">
        <v>53</v>
      </c>
      <c r="C45" s="13">
        <v>77150</v>
      </c>
      <c r="D45" s="14">
        <v>1015.949775</v>
      </c>
      <c r="E45" s="14">
        <f t="shared" si="0"/>
        <v>1.3000180563865897</v>
      </c>
      <c r="F45" s="14" t="s">
        <v>113</v>
      </c>
      <c r="G45" s="9"/>
      <c r="H45" s="8"/>
    </row>
    <row r="46" spans="1:8" s="15" customFormat="1" ht="14.25" x14ac:dyDescent="0.3">
      <c r="A46" s="11" t="s">
        <v>114</v>
      </c>
      <c r="B46" s="12" t="s">
        <v>23</v>
      </c>
      <c r="C46" s="13">
        <v>57000</v>
      </c>
      <c r="D46" s="14">
        <v>1002.573</v>
      </c>
      <c r="E46" s="14">
        <f t="shared" si="0"/>
        <v>1.2829010202258004</v>
      </c>
      <c r="F46" s="14" t="s">
        <v>115</v>
      </c>
      <c r="G46" s="9"/>
      <c r="H46" s="9"/>
    </row>
    <row r="47" spans="1:8" s="15" customFormat="1" ht="14.25" x14ac:dyDescent="0.3">
      <c r="A47" s="11" t="s">
        <v>116</v>
      </c>
      <c r="B47" s="12" t="s">
        <v>28</v>
      </c>
      <c r="C47" s="13">
        <v>85100</v>
      </c>
      <c r="D47" s="14">
        <v>969.71450000000004</v>
      </c>
      <c r="E47" s="14">
        <f t="shared" si="0"/>
        <v>1.2408550014589979</v>
      </c>
      <c r="F47" s="14" t="s">
        <v>117</v>
      </c>
      <c r="G47" s="9"/>
      <c r="H47" s="9"/>
    </row>
    <row r="48" spans="1:8" s="15" customFormat="1" ht="14.25" x14ac:dyDescent="0.3">
      <c r="A48" s="11" t="s">
        <v>118</v>
      </c>
      <c r="B48" s="12" t="s">
        <v>119</v>
      </c>
      <c r="C48" s="13">
        <v>31850</v>
      </c>
      <c r="D48" s="14">
        <v>950.16512499999999</v>
      </c>
      <c r="E48" s="14">
        <f t="shared" si="0"/>
        <v>1.2158394533320518</v>
      </c>
      <c r="F48" s="14" t="s">
        <v>120</v>
      </c>
      <c r="G48" s="9"/>
      <c r="H48" s="9"/>
    </row>
    <row r="49" spans="1:8" s="15" customFormat="1" ht="14.25" x14ac:dyDescent="0.3">
      <c r="A49" s="11" t="s">
        <v>121</v>
      </c>
      <c r="B49" s="12" t="s">
        <v>46</v>
      </c>
      <c r="C49" s="13">
        <v>74600</v>
      </c>
      <c r="D49" s="14">
        <v>909.48590000000002</v>
      </c>
      <c r="E49" s="14">
        <f t="shared" si="0"/>
        <v>1.1637859676960982</v>
      </c>
      <c r="F49" s="14" t="s">
        <v>122</v>
      </c>
      <c r="G49" s="9"/>
      <c r="H49" s="8"/>
    </row>
    <row r="50" spans="1:8" s="15" customFormat="1" ht="14.25" x14ac:dyDescent="0.3">
      <c r="A50" s="11" t="s">
        <v>123</v>
      </c>
      <c r="B50" s="12" t="s">
        <v>98</v>
      </c>
      <c r="C50" s="13">
        <v>647055</v>
      </c>
      <c r="D50" s="14">
        <v>879.67127249999999</v>
      </c>
      <c r="E50" s="14">
        <f t="shared" si="0"/>
        <v>1.1256349143190352</v>
      </c>
      <c r="F50" s="14" t="s">
        <v>124</v>
      </c>
      <c r="G50" s="9"/>
      <c r="H50" s="8"/>
    </row>
    <row r="51" spans="1:8" s="15" customFormat="1" ht="14.25" x14ac:dyDescent="0.3">
      <c r="A51" s="11" t="s">
        <v>125</v>
      </c>
      <c r="B51" s="12" t="s">
        <v>77</v>
      </c>
      <c r="C51" s="13">
        <v>60000</v>
      </c>
      <c r="D51" s="14">
        <v>873</v>
      </c>
      <c r="E51" s="14">
        <f t="shared" si="0"/>
        <v>1.1170982967396126</v>
      </c>
      <c r="F51" s="14" t="s">
        <v>126</v>
      </c>
      <c r="G51" s="9"/>
      <c r="H51" s="8"/>
    </row>
    <row r="52" spans="1:8" s="15" customFormat="1" ht="14.25" x14ac:dyDescent="0.3">
      <c r="A52" s="11" t="s">
        <v>127</v>
      </c>
      <c r="B52" s="12" t="s">
        <v>46</v>
      </c>
      <c r="C52" s="13">
        <v>35350</v>
      </c>
      <c r="D52" s="14">
        <v>867.57737499999996</v>
      </c>
      <c r="E52" s="14">
        <f t="shared" si="0"/>
        <v>1.1101594592237389</v>
      </c>
      <c r="F52" s="14" t="s">
        <v>128</v>
      </c>
      <c r="G52" s="9"/>
      <c r="H52" s="9"/>
    </row>
    <row r="53" spans="1:8" s="15" customFormat="1" ht="14.25" x14ac:dyDescent="0.3">
      <c r="A53" s="11" t="s">
        <v>129</v>
      </c>
      <c r="B53" s="12" t="s">
        <v>101</v>
      </c>
      <c r="C53" s="13">
        <v>291387</v>
      </c>
      <c r="D53" s="14">
        <v>772.61263050000002</v>
      </c>
      <c r="E53" s="14">
        <f t="shared" si="0"/>
        <v>0.9886417566678829</v>
      </c>
      <c r="F53" s="14" t="s">
        <v>130</v>
      </c>
      <c r="G53" s="9"/>
      <c r="H53" s="8"/>
    </row>
    <row r="54" spans="1:8" s="15" customFormat="1" ht="14.25" x14ac:dyDescent="0.3">
      <c r="A54" s="11" t="s">
        <v>131</v>
      </c>
      <c r="B54" s="12" t="s">
        <v>31</v>
      </c>
      <c r="C54" s="13">
        <v>24243</v>
      </c>
      <c r="D54" s="14">
        <v>690.64670549999994</v>
      </c>
      <c r="E54" s="14">
        <f t="shared" si="0"/>
        <v>0.88375745516938697</v>
      </c>
      <c r="F54" s="14" t="s">
        <v>132</v>
      </c>
      <c r="G54" s="9"/>
      <c r="H54" s="16"/>
    </row>
    <row r="55" spans="1:8" s="15" customFormat="1" ht="14.25" x14ac:dyDescent="0.3">
      <c r="A55" s="11" t="s">
        <v>133</v>
      </c>
      <c r="B55" s="12" t="s">
        <v>85</v>
      </c>
      <c r="C55" s="13">
        <v>65357</v>
      </c>
      <c r="D55" s="14">
        <v>686.18314299999997</v>
      </c>
      <c r="E55" s="14">
        <f t="shared" si="0"/>
        <v>0.87804584226430016</v>
      </c>
      <c r="F55" s="14" t="s">
        <v>134</v>
      </c>
      <c r="G55" s="9"/>
      <c r="H55" s="9"/>
    </row>
    <row r="56" spans="1:8" s="15" customFormat="1" ht="14.25" x14ac:dyDescent="0.3">
      <c r="A56" s="11" t="s">
        <v>135</v>
      </c>
      <c r="B56" s="12" t="s">
        <v>98</v>
      </c>
      <c r="C56" s="13">
        <v>276583</v>
      </c>
      <c r="D56" s="14">
        <v>514.58267149999995</v>
      </c>
      <c r="E56" s="14">
        <f t="shared" si="0"/>
        <v>0.65846440534292039</v>
      </c>
      <c r="F56" s="14" t="s">
        <v>136</v>
      </c>
      <c r="G56" s="9"/>
      <c r="H56" s="8"/>
    </row>
    <row r="57" spans="1:8" s="15" customFormat="1" ht="14.25" x14ac:dyDescent="0.3">
      <c r="A57" s="11" t="s">
        <v>137</v>
      </c>
      <c r="B57" s="12" t="s">
        <v>37</v>
      </c>
      <c r="C57" s="13">
        <v>55000</v>
      </c>
      <c r="D57" s="14">
        <v>464.69499999999999</v>
      </c>
      <c r="E57" s="14">
        <f t="shared" si="0"/>
        <v>0.59462771248959256</v>
      </c>
      <c r="F57" s="14" t="s">
        <v>138</v>
      </c>
      <c r="G57" s="9"/>
      <c r="H57" s="8"/>
    </row>
    <row r="58" spans="1:8" s="15" customFormat="1" ht="14.25" x14ac:dyDescent="0.3">
      <c r="A58" s="10" t="s">
        <v>139</v>
      </c>
      <c r="B58" s="12"/>
      <c r="C58" s="13"/>
      <c r="D58" s="17">
        <f>IF(ISERROR(SUM(D7:D57)),0,SUM(D7:D57))</f>
        <v>76828.739327000003</v>
      </c>
      <c r="E58" s="17">
        <f>IF(ISERROR(SUM(E7:E57)),0,SUM(E7:E57))</f>
        <v>98.310714596613309</v>
      </c>
      <c r="F58" s="17"/>
      <c r="G58" s="9"/>
      <c r="H58" s="8"/>
    </row>
    <row r="59" spans="1:8" s="15" customFormat="1" ht="14.25" x14ac:dyDescent="0.3">
      <c r="A59" s="10"/>
      <c r="B59" s="10"/>
      <c r="C59" s="18"/>
      <c r="D59" s="19"/>
      <c r="E59" s="19"/>
      <c r="F59" s="19"/>
      <c r="G59" s="9"/>
      <c r="H59" s="8"/>
    </row>
    <row r="60" spans="1:8" s="15" customFormat="1" ht="14.25" x14ac:dyDescent="0.3">
      <c r="A60" s="10" t="s">
        <v>140</v>
      </c>
      <c r="B60" s="10"/>
      <c r="C60" s="18"/>
      <c r="D60" s="20" t="s">
        <v>141</v>
      </c>
      <c r="E60" s="20" t="s">
        <v>141</v>
      </c>
      <c r="F60" s="20"/>
      <c r="G60" s="9"/>
      <c r="H60" s="8"/>
    </row>
    <row r="61" spans="1:8" s="15" customFormat="1" ht="14.25" x14ac:dyDescent="0.3">
      <c r="A61" s="10"/>
      <c r="B61" s="3"/>
      <c r="C61" s="18"/>
      <c r="D61" s="20"/>
      <c r="E61" s="20"/>
      <c r="F61" s="21"/>
      <c r="G61" s="9"/>
      <c r="H61" s="8"/>
    </row>
    <row r="62" spans="1:8" s="15" customFormat="1" ht="14.25" x14ac:dyDescent="0.3">
      <c r="A62" s="10" t="s">
        <v>142</v>
      </c>
      <c r="B62" s="10"/>
      <c r="C62" s="18"/>
      <c r="D62" s="17">
        <f>IF(ISERROR(+D58),0,D58)+IF(ISERROR(+#REF!),0,#REF!)</f>
        <v>76828.739327000003</v>
      </c>
      <c r="E62" s="17">
        <f>IF(ISERROR(+E58),0,E58)+IF(ISERROR(+#REF!),0,#REF!)</f>
        <v>98.310714596613309</v>
      </c>
      <c r="F62" s="22"/>
      <c r="G62" s="9"/>
      <c r="H62" s="8"/>
    </row>
    <row r="63" spans="1:8" s="15" customFormat="1" ht="14.25" x14ac:dyDescent="0.3">
      <c r="A63" s="10"/>
      <c r="B63" s="3"/>
      <c r="C63" s="18"/>
      <c r="D63" s="20"/>
      <c r="E63" s="20"/>
      <c r="F63" s="21"/>
      <c r="G63" s="9"/>
      <c r="H63" s="8"/>
    </row>
    <row r="64" spans="1:8" s="15" customFormat="1" ht="14.25" x14ac:dyDescent="0.3">
      <c r="A64" s="10" t="s">
        <v>143</v>
      </c>
      <c r="B64" s="3"/>
      <c r="C64" s="18"/>
      <c r="D64" s="20"/>
      <c r="E64" s="20"/>
      <c r="F64" s="21"/>
      <c r="G64" s="9"/>
      <c r="H64" s="8"/>
    </row>
    <row r="65" spans="1:8" s="15" customFormat="1" ht="14.25" x14ac:dyDescent="0.3">
      <c r="A65" s="10" t="s">
        <v>12</v>
      </c>
      <c r="B65" s="3"/>
      <c r="C65" s="18"/>
      <c r="D65" s="20" t="s">
        <v>141</v>
      </c>
      <c r="E65" s="20" t="s">
        <v>141</v>
      </c>
      <c r="F65" s="23"/>
      <c r="G65" s="9"/>
      <c r="H65" s="8"/>
    </row>
    <row r="66" spans="1:8" s="15" customFormat="1" ht="14.25" x14ac:dyDescent="0.3">
      <c r="A66" s="10"/>
      <c r="B66" s="3"/>
      <c r="C66" s="24"/>
      <c r="D66" s="23"/>
      <c r="E66" s="23"/>
      <c r="F66" s="23"/>
      <c r="G66" s="9"/>
      <c r="H66" s="8"/>
    </row>
    <row r="67" spans="1:8" s="15" customFormat="1" ht="14.25" x14ac:dyDescent="0.3">
      <c r="A67" s="10" t="s">
        <v>144</v>
      </c>
      <c r="B67" s="3"/>
      <c r="C67" s="24"/>
      <c r="D67" s="20" t="s">
        <v>141</v>
      </c>
      <c r="E67" s="20" t="s">
        <v>141</v>
      </c>
      <c r="F67" s="21"/>
      <c r="G67" s="9"/>
      <c r="H67" s="8"/>
    </row>
    <row r="68" spans="1:8" s="15" customFormat="1" ht="14.25" x14ac:dyDescent="0.3">
      <c r="A68" s="10"/>
      <c r="B68" s="3"/>
      <c r="C68" s="24"/>
      <c r="D68" s="20"/>
      <c r="E68" s="20"/>
      <c r="F68" s="20"/>
      <c r="G68" s="9"/>
      <c r="H68" s="8"/>
    </row>
    <row r="69" spans="1:8" s="15" customFormat="1" ht="14.25" x14ac:dyDescent="0.3">
      <c r="A69" s="10" t="s">
        <v>145</v>
      </c>
      <c r="B69" s="3"/>
      <c r="C69" s="24"/>
      <c r="D69" s="20"/>
      <c r="E69" s="20"/>
      <c r="F69" s="20"/>
      <c r="G69" s="9"/>
      <c r="H69" s="8"/>
    </row>
    <row r="70" spans="1:8" s="15" customFormat="1" ht="14.25" x14ac:dyDescent="0.3">
      <c r="A70" s="10"/>
      <c r="B70" s="3"/>
      <c r="C70" s="24"/>
      <c r="D70" s="14"/>
      <c r="E70" s="14"/>
      <c r="F70" s="25"/>
      <c r="G70" s="9"/>
      <c r="H70" s="8"/>
    </row>
    <row r="71" spans="1:8" s="15" customFormat="1" ht="14.25" x14ac:dyDescent="0.3">
      <c r="A71" s="10" t="s">
        <v>146</v>
      </c>
      <c r="B71" s="3"/>
      <c r="C71" s="24"/>
      <c r="D71" s="20" t="s">
        <v>141</v>
      </c>
      <c r="E71" s="20" t="s">
        <v>141</v>
      </c>
      <c r="F71" s="20"/>
      <c r="G71" s="9"/>
      <c r="H71" s="8"/>
    </row>
    <row r="72" spans="1:8" s="15" customFormat="1" ht="14.25" x14ac:dyDescent="0.3">
      <c r="A72" s="10"/>
      <c r="B72" s="3"/>
      <c r="C72" s="24"/>
      <c r="D72" s="20"/>
      <c r="E72" s="20"/>
      <c r="F72" s="20"/>
      <c r="G72" s="9"/>
      <c r="H72" s="8"/>
    </row>
    <row r="73" spans="1:8" s="15" customFormat="1" ht="14.25" x14ac:dyDescent="0.3">
      <c r="A73" s="10" t="s">
        <v>147</v>
      </c>
      <c r="B73" s="3"/>
      <c r="C73" s="24"/>
      <c r="D73" s="20" t="s">
        <v>141</v>
      </c>
      <c r="E73" s="20" t="s">
        <v>141</v>
      </c>
      <c r="F73" s="20"/>
      <c r="G73" s="9"/>
      <c r="H73" s="8"/>
    </row>
    <row r="74" spans="1:8" s="15" customFormat="1" ht="14.25" x14ac:dyDescent="0.3">
      <c r="A74" s="10"/>
      <c r="B74" s="3"/>
      <c r="C74" s="24"/>
      <c r="D74" s="20"/>
      <c r="E74" s="20"/>
      <c r="F74" s="20"/>
      <c r="G74" s="9"/>
      <c r="H74" s="8"/>
    </row>
    <row r="75" spans="1:8" s="15" customFormat="1" ht="14.25" x14ac:dyDescent="0.3">
      <c r="A75" s="10" t="s">
        <v>148</v>
      </c>
      <c r="B75" s="3"/>
      <c r="C75" s="24"/>
      <c r="D75" s="20"/>
      <c r="E75" s="20"/>
      <c r="F75" s="21"/>
      <c r="G75" s="9"/>
      <c r="H75" s="8"/>
    </row>
    <row r="76" spans="1:8" s="15" customFormat="1" ht="14.25" x14ac:dyDescent="0.3">
      <c r="A76" s="11" t="s">
        <v>149</v>
      </c>
      <c r="B76" s="12"/>
      <c r="C76" s="13"/>
      <c r="D76" s="14">
        <v>736.62387989999991</v>
      </c>
      <c r="E76" s="14">
        <f>(+D76/$D$83*100)</f>
        <v>0.94259024235282352</v>
      </c>
      <c r="F76" s="14" t="s">
        <v>150</v>
      </c>
      <c r="G76" s="9">
        <v>6.6959999999999997</v>
      </c>
      <c r="H76" s="8"/>
    </row>
    <row r="77" spans="1:8" s="15" customFormat="1" ht="14.25" x14ac:dyDescent="0.3">
      <c r="A77" s="10" t="s">
        <v>139</v>
      </c>
      <c r="B77" s="3"/>
      <c r="C77" s="24"/>
      <c r="D77" s="20">
        <f>IF(ISERROR(SUM(D76:D76)),0,SUM(D76:D76))</f>
        <v>736.62387989999991</v>
      </c>
      <c r="E77" s="20">
        <f>IF(ISERROR(SUM(E76:E76)),0,SUM(E76:E76))</f>
        <v>0.94259024235282352</v>
      </c>
      <c r="F77" s="14"/>
      <c r="G77" s="9"/>
      <c r="H77" s="8"/>
    </row>
    <row r="78" spans="1:8" s="15" customFormat="1" ht="14.25" x14ac:dyDescent="0.3">
      <c r="A78" s="10"/>
      <c r="B78" s="3"/>
      <c r="C78" s="24"/>
      <c r="D78" s="20"/>
      <c r="E78" s="20"/>
      <c r="F78" s="21"/>
      <c r="G78" s="9"/>
      <c r="H78" s="8"/>
    </row>
    <row r="79" spans="1:8" s="15" customFormat="1" ht="14.25" x14ac:dyDescent="0.3">
      <c r="A79" s="10" t="s">
        <v>142</v>
      </c>
      <c r="B79" s="3"/>
      <c r="C79" s="24" t="s">
        <v>151</v>
      </c>
      <c r="D79" s="20">
        <f>+IF(ISERROR(#REF!),0,#REF!)+IF(ISERROR(D77),0,D77)+IF(ISERROR(D62),0,D62)+IF(ISERROR(#REF!),0,#REF!)+IF(ISERROR(#REF!),0,#REF!)+IF(ISERROR(#REF!),0,#REF!)+IF(ISERROR(#REF!),0,#REF!)+IF(ISERROR(#REF!),0,#REF!)+IF(ISERROR(#REF!),0,#REF!)+IF(ISERROR(#REF!),0,#REF!)+IF(ISERROR(#REF!),0,#REF!)</f>
        <v>77565.363206900001</v>
      </c>
      <c r="E79" s="20">
        <f>+IF(ISERROR(#REF!),0,#REF!)+IF(ISERROR(E77),0,E77)+IF(ISERROR(E62),0,E62)+IF(ISERROR(#REF!),0,#REF!)+IF(ISERROR(#REF!),0,#REF!)+IF(ISERROR(#REF!),0,#REF!)+IF(ISERROR(#REF!),0,#REF!)+IF(ISERROR(#REF!),0,#REF!)+IF(ISERROR(#REF!),0,#REF!)+IF(ISERROR(#REF!),0,#REF!)+IF(ISERROR(#REF!),0,#REF!)</f>
        <v>99.25330483896613</v>
      </c>
      <c r="F79" s="20"/>
      <c r="G79" s="9"/>
      <c r="H79" s="8"/>
    </row>
    <row r="80" spans="1:8" s="15" customFormat="1" ht="14.25" x14ac:dyDescent="0.3">
      <c r="A80" s="10"/>
      <c r="B80" s="3"/>
      <c r="C80" s="24"/>
      <c r="D80" s="20"/>
      <c r="E80" s="20"/>
      <c r="F80" s="26"/>
      <c r="G80" s="27"/>
      <c r="H80" s="28"/>
    </row>
    <row r="81" spans="1:8" s="15" customFormat="1" ht="14.25" x14ac:dyDescent="0.3">
      <c r="A81" s="10" t="s">
        <v>152</v>
      </c>
      <c r="B81" s="3"/>
      <c r="C81" s="24"/>
      <c r="D81" s="20">
        <f>+D83-D79</f>
        <v>583.53403409989551</v>
      </c>
      <c r="E81" s="20">
        <f>D81/$D$83*100</f>
        <v>0.74669516103389277</v>
      </c>
      <c r="F81" s="26"/>
      <c r="G81" s="27"/>
      <c r="H81" s="28"/>
    </row>
    <row r="82" spans="1:8" s="15" customFormat="1" ht="14.25" x14ac:dyDescent="0.3">
      <c r="A82" s="10"/>
      <c r="B82" s="3"/>
      <c r="C82" s="24"/>
      <c r="D82" s="23"/>
      <c r="E82" s="23"/>
      <c r="F82" s="26"/>
      <c r="G82" s="27"/>
      <c r="H82" s="28"/>
    </row>
    <row r="83" spans="1:8" s="15" customFormat="1" ht="14.25" x14ac:dyDescent="0.3">
      <c r="A83" s="10" t="s">
        <v>153</v>
      </c>
      <c r="B83" s="3"/>
      <c r="C83" s="24"/>
      <c r="D83" s="20">
        <v>78148.897240999897</v>
      </c>
      <c r="E83" s="20">
        <f>+E79+E81</f>
        <v>100.00000000000003</v>
      </c>
      <c r="F83" s="26"/>
      <c r="G83" s="27"/>
      <c r="H83" s="28"/>
    </row>
    <row r="84" spans="1:8" s="15" customFormat="1" ht="14.25" x14ac:dyDescent="0.3">
      <c r="A84" s="29"/>
      <c r="B84" s="30"/>
      <c r="C84" s="31"/>
      <c r="D84" s="32"/>
      <c r="E84" s="32"/>
      <c r="F84" s="26"/>
      <c r="G84" s="27"/>
      <c r="H84" s="28"/>
    </row>
    <row r="85" spans="1:8" s="15" customFormat="1" ht="13.5" x14ac:dyDescent="0.2">
      <c r="A85" s="58" t="s">
        <v>154</v>
      </c>
      <c r="B85" s="58"/>
      <c r="C85" s="58"/>
      <c r="D85" s="58"/>
      <c r="E85" s="58"/>
      <c r="F85" s="58"/>
      <c r="G85" s="58"/>
      <c r="H85" s="58"/>
    </row>
    <row r="86" spans="1:8" s="15" customFormat="1" ht="24" customHeight="1" x14ac:dyDescent="0.2">
      <c r="A86" s="59" t="s">
        <v>155</v>
      </c>
      <c r="B86" s="59"/>
      <c r="C86" s="59"/>
      <c r="D86" s="59"/>
      <c r="E86" s="59"/>
      <c r="F86" s="59"/>
      <c r="G86" s="59"/>
      <c r="H86" s="59"/>
    </row>
    <row r="87" spans="1:8" s="15" customFormat="1" ht="13.5" x14ac:dyDescent="0.2">
      <c r="A87" s="60" t="s">
        <v>156</v>
      </c>
      <c r="B87" s="60"/>
      <c r="C87" s="60"/>
      <c r="D87" s="60"/>
      <c r="E87" s="60"/>
      <c r="F87" s="60"/>
      <c r="G87" s="60"/>
      <c r="H87" s="60"/>
    </row>
    <row r="88" spans="1:8" s="15" customFormat="1" ht="51" customHeight="1" x14ac:dyDescent="0.2">
      <c r="A88" s="54" t="s">
        <v>157</v>
      </c>
      <c r="B88" s="54"/>
      <c r="C88" s="54"/>
      <c r="D88" s="54"/>
      <c r="E88" s="54"/>
      <c r="F88" s="54"/>
      <c r="G88" s="54"/>
      <c r="H88" s="54"/>
    </row>
    <row r="89" spans="1:8" s="15" customFormat="1" ht="14.25" x14ac:dyDescent="0.3">
      <c r="A89" s="33"/>
      <c r="B89" s="34"/>
      <c r="C89" s="35"/>
      <c r="D89" s="26"/>
      <c r="E89" s="28"/>
      <c r="F89" s="28"/>
      <c r="G89" s="26"/>
      <c r="H89" s="26"/>
    </row>
    <row r="90" spans="1:8" s="15" customFormat="1" ht="14.25" x14ac:dyDescent="0.3">
      <c r="A90" s="36" t="s">
        <v>158</v>
      </c>
      <c r="B90" s="37"/>
      <c r="C90" s="37"/>
      <c r="D90" s="28"/>
      <c r="E90" s="28"/>
      <c r="F90" s="28"/>
      <c r="G90" s="26"/>
      <c r="H90" s="26"/>
    </row>
    <row r="91" spans="1:8" ht="14.25" x14ac:dyDescent="0.3">
      <c r="A91" s="38" t="s">
        <v>159</v>
      </c>
      <c r="B91" s="37"/>
      <c r="C91" s="28"/>
      <c r="D91" s="28"/>
      <c r="E91" s="28"/>
      <c r="F91" s="28"/>
      <c r="G91" s="28"/>
      <c r="H91" s="28"/>
    </row>
    <row r="92" spans="1:8" ht="14.25" x14ac:dyDescent="0.3">
      <c r="A92" s="39" t="s">
        <v>160</v>
      </c>
      <c r="B92" s="40"/>
      <c r="C92" s="40"/>
      <c r="D92" s="28"/>
      <c r="E92" s="28"/>
      <c r="F92" s="28"/>
      <c r="G92" s="28"/>
      <c r="H92" s="28"/>
    </row>
    <row r="93" spans="1:8" ht="14.25" x14ac:dyDescent="0.3">
      <c r="A93" s="39" t="s">
        <v>161</v>
      </c>
      <c r="B93" s="37"/>
      <c r="C93" s="37"/>
      <c r="D93" s="28"/>
      <c r="E93" s="28"/>
      <c r="F93" s="28"/>
      <c r="G93" s="28"/>
      <c r="H93" s="28"/>
    </row>
    <row r="94" spans="1:8" ht="14.25" x14ac:dyDescent="0.3">
      <c r="A94" s="39"/>
      <c r="B94" s="37"/>
      <c r="C94" s="37"/>
      <c r="D94" s="28"/>
      <c r="E94" s="28"/>
      <c r="F94" s="28"/>
      <c r="G94" s="28"/>
      <c r="H94" s="28"/>
    </row>
    <row r="95" spans="1:8" ht="14.25" x14ac:dyDescent="0.3">
      <c r="A95" s="41" t="s">
        <v>162</v>
      </c>
      <c r="B95" s="42" t="s">
        <v>163</v>
      </c>
      <c r="D95" s="44"/>
      <c r="E95" s="28"/>
      <c r="F95" s="45"/>
      <c r="G95" s="37"/>
      <c r="H95" s="28"/>
    </row>
    <row r="96" spans="1:8" ht="14.25" x14ac:dyDescent="0.3">
      <c r="A96" s="39"/>
      <c r="B96" s="37"/>
      <c r="C96" s="37"/>
      <c r="D96" s="28"/>
      <c r="E96" s="28"/>
      <c r="F96" s="37"/>
      <c r="G96" s="37"/>
      <c r="H96" s="28"/>
    </row>
    <row r="97" spans="1:8" ht="14.25" x14ac:dyDescent="0.3">
      <c r="A97" s="39"/>
      <c r="B97" s="37"/>
      <c r="C97" s="37"/>
      <c r="D97" s="28"/>
      <c r="E97" s="28"/>
      <c r="F97" s="37"/>
      <c r="G97" s="37"/>
      <c r="H97" s="28"/>
    </row>
    <row r="98" spans="1:8" ht="14.25" x14ac:dyDescent="0.3">
      <c r="A98" s="37"/>
      <c r="B98" s="37"/>
      <c r="C98" s="37"/>
      <c r="D98" s="28"/>
      <c r="E98" s="28"/>
      <c r="F98" s="37"/>
      <c r="G98" s="37"/>
      <c r="H98" s="28"/>
    </row>
    <row r="99" spans="1:8" ht="14.25" x14ac:dyDescent="0.3">
      <c r="A99" s="37"/>
      <c r="B99" s="37"/>
      <c r="C99" s="37"/>
      <c r="D99" s="28"/>
      <c r="E99" s="28"/>
      <c r="F99" s="37"/>
      <c r="G99" s="37"/>
      <c r="H99" s="28"/>
    </row>
    <row r="100" spans="1:8" ht="14.25" x14ac:dyDescent="0.3">
      <c r="A100" s="37"/>
      <c r="B100" s="37"/>
      <c r="C100" s="37"/>
      <c r="D100" s="28"/>
      <c r="E100" s="28"/>
      <c r="F100" s="37"/>
      <c r="G100" s="37"/>
      <c r="H100" s="28"/>
    </row>
    <row r="101" spans="1:8" ht="14.25" x14ac:dyDescent="0.3">
      <c r="A101" s="37"/>
      <c r="B101" s="37"/>
      <c r="C101" s="37"/>
      <c r="D101" s="28"/>
      <c r="E101" s="28"/>
      <c r="F101" s="37"/>
      <c r="G101" s="37"/>
      <c r="H101" s="28"/>
    </row>
    <row r="102" spans="1:8" ht="14.25" x14ac:dyDescent="0.3">
      <c r="A102" s="46"/>
      <c r="B102" s="47"/>
      <c r="C102" s="48"/>
      <c r="D102" s="28"/>
      <c r="E102" s="49"/>
      <c r="F102" s="28"/>
      <c r="G102" s="28"/>
      <c r="H102" s="28"/>
    </row>
    <row r="103" spans="1:8" ht="14.25" x14ac:dyDescent="0.3">
      <c r="A103" s="46"/>
      <c r="B103" s="47"/>
      <c r="C103" s="48"/>
      <c r="D103" s="28"/>
      <c r="E103" s="49"/>
      <c r="F103" s="28"/>
      <c r="G103" s="28"/>
      <c r="H103" s="28"/>
    </row>
    <row r="104" spans="1:8" ht="14.25" x14ac:dyDescent="0.3">
      <c r="A104" s="46"/>
      <c r="B104" s="47"/>
      <c r="C104" s="48"/>
      <c r="D104" s="28"/>
      <c r="E104" s="49"/>
      <c r="F104" s="28"/>
      <c r="G104" s="28"/>
      <c r="H104" s="28"/>
    </row>
    <row r="105" spans="1:8" ht="14.25" x14ac:dyDescent="0.3">
      <c r="A105" s="46"/>
      <c r="B105" s="47"/>
      <c r="C105" s="48"/>
      <c r="D105" s="28"/>
      <c r="E105" s="49"/>
      <c r="F105" s="28"/>
      <c r="G105" s="28"/>
      <c r="H105" s="28"/>
    </row>
    <row r="106" spans="1:8" ht="14.25" x14ac:dyDescent="0.3">
      <c r="A106" s="46"/>
      <c r="B106" s="47"/>
      <c r="C106" s="48"/>
      <c r="D106" s="28"/>
      <c r="E106" s="49"/>
      <c r="F106" s="28"/>
      <c r="G106" s="28"/>
      <c r="H106" s="28"/>
    </row>
    <row r="107" spans="1:8" ht="14.25" x14ac:dyDescent="0.3">
      <c r="A107" s="46"/>
      <c r="B107" s="47"/>
      <c r="C107" s="48"/>
      <c r="D107" s="28"/>
      <c r="E107" s="49"/>
      <c r="F107" s="28"/>
      <c r="G107" s="28"/>
      <c r="H107" s="28"/>
    </row>
    <row r="108" spans="1:8" ht="14.25" x14ac:dyDescent="0.3">
      <c r="A108" s="46"/>
      <c r="B108" s="47"/>
      <c r="C108" s="48"/>
      <c r="D108" s="28"/>
      <c r="E108" s="49"/>
      <c r="F108" s="28"/>
      <c r="G108" s="28"/>
      <c r="H108" s="28"/>
    </row>
    <row r="109" spans="1:8" ht="14.25" x14ac:dyDescent="0.3">
      <c r="A109" s="46"/>
      <c r="B109" s="47"/>
      <c r="C109" s="48"/>
      <c r="D109" s="28"/>
      <c r="E109" s="49"/>
      <c r="F109" s="28"/>
      <c r="G109" s="28"/>
      <c r="H109" s="28"/>
    </row>
    <row r="110" spans="1:8" ht="14.25" x14ac:dyDescent="0.3">
      <c r="A110" s="46"/>
      <c r="B110" s="47"/>
      <c r="C110" s="48"/>
      <c r="D110" s="28"/>
      <c r="E110" s="49"/>
      <c r="F110" s="28"/>
      <c r="G110" s="28"/>
      <c r="H110" s="28"/>
    </row>
    <row r="111" spans="1:8" ht="14.25" x14ac:dyDescent="0.3">
      <c r="A111" s="46"/>
      <c r="B111" s="47"/>
      <c r="C111" s="48"/>
      <c r="D111" s="28"/>
      <c r="E111" s="49"/>
      <c r="F111" s="28"/>
      <c r="G111" s="28"/>
      <c r="H111" s="28"/>
    </row>
    <row r="112" spans="1:8" ht="14.25" x14ac:dyDescent="0.3">
      <c r="A112" s="46"/>
      <c r="B112" s="47"/>
      <c r="C112" s="48"/>
      <c r="D112" s="28"/>
      <c r="E112" s="49"/>
      <c r="F112" s="28"/>
      <c r="G112" s="28"/>
      <c r="H112" s="28"/>
    </row>
    <row r="113" spans="1:8" ht="14.25" x14ac:dyDescent="0.3">
      <c r="A113" s="46"/>
      <c r="B113" s="47"/>
      <c r="C113" s="48"/>
      <c r="D113" s="28"/>
      <c r="E113" s="49"/>
      <c r="F113" s="28"/>
      <c r="G113" s="28"/>
      <c r="H113" s="28"/>
    </row>
    <row r="114" spans="1:8" ht="14.25" x14ac:dyDescent="0.3">
      <c r="A114" s="46"/>
      <c r="B114" s="47"/>
      <c r="C114" s="48"/>
      <c r="D114" s="28"/>
      <c r="E114" s="49"/>
      <c r="F114" s="28"/>
      <c r="G114" s="28"/>
      <c r="H114" s="28"/>
    </row>
    <row r="115" spans="1:8" ht="14.25" x14ac:dyDescent="0.3">
      <c r="A115" s="46"/>
      <c r="B115" s="47"/>
      <c r="C115" s="48"/>
      <c r="D115" s="28"/>
      <c r="E115" s="28"/>
      <c r="F115" s="28"/>
      <c r="G115" s="28"/>
      <c r="H115" s="28"/>
    </row>
    <row r="116" spans="1:8" ht="14.25" x14ac:dyDescent="0.3">
      <c r="A116" s="46"/>
      <c r="B116" s="47"/>
      <c r="C116" s="48"/>
      <c r="D116" s="28"/>
      <c r="E116" s="28"/>
      <c r="F116" s="28"/>
      <c r="G116" s="28"/>
      <c r="H116" s="28"/>
    </row>
    <row r="117" spans="1:8" ht="14.25" x14ac:dyDescent="0.3">
      <c r="A117" s="46"/>
      <c r="B117" s="47"/>
      <c r="C117" s="48"/>
      <c r="D117" s="28"/>
      <c r="E117" s="28"/>
      <c r="F117" s="28"/>
      <c r="G117" s="28"/>
      <c r="H117" s="28"/>
    </row>
    <row r="118" spans="1:8" ht="14.25" x14ac:dyDescent="0.3">
      <c r="A118" s="46"/>
      <c r="B118" s="47"/>
      <c r="C118" s="48"/>
      <c r="D118" s="28"/>
      <c r="E118" s="28"/>
      <c r="F118" s="28"/>
      <c r="G118" s="28"/>
      <c r="H118" s="28"/>
    </row>
    <row r="119" spans="1:8" ht="14.25" x14ac:dyDescent="0.3">
      <c r="A119" s="46"/>
      <c r="B119" s="47"/>
      <c r="C119" s="48"/>
      <c r="D119" s="28"/>
      <c r="E119" s="28"/>
      <c r="F119" s="28"/>
      <c r="G119" s="28"/>
      <c r="H119" s="28"/>
    </row>
    <row r="120" spans="1:8" ht="14.25" x14ac:dyDescent="0.3">
      <c r="A120" s="46"/>
      <c r="B120" s="47"/>
      <c r="C120" s="48"/>
      <c r="D120" s="28"/>
      <c r="E120" s="28"/>
      <c r="F120" s="28"/>
      <c r="G120" s="28"/>
      <c r="H120" s="28"/>
    </row>
    <row r="121" spans="1:8" ht="14.25" x14ac:dyDescent="0.3">
      <c r="A121" s="46"/>
      <c r="B121" s="47"/>
      <c r="C121" s="48"/>
      <c r="D121" s="28"/>
      <c r="E121" s="28"/>
      <c r="F121" s="28"/>
      <c r="G121" s="28"/>
      <c r="H121" s="28"/>
    </row>
    <row r="122" spans="1:8" ht="14.25" x14ac:dyDescent="0.3">
      <c r="A122" s="46"/>
      <c r="B122" s="47"/>
      <c r="C122" s="48"/>
      <c r="D122" s="28"/>
      <c r="E122" s="28"/>
      <c r="F122" s="28"/>
      <c r="G122" s="28"/>
      <c r="H122" s="28"/>
    </row>
    <row r="123" spans="1:8" ht="14.25" x14ac:dyDescent="0.3">
      <c r="A123" s="46"/>
      <c r="B123" s="47"/>
      <c r="C123" s="48"/>
      <c r="D123" s="28"/>
      <c r="E123" s="28"/>
      <c r="F123" s="28"/>
      <c r="G123" s="28"/>
      <c r="H123" s="28"/>
    </row>
    <row r="124" spans="1:8" ht="14.25" x14ac:dyDescent="0.3">
      <c r="A124" s="46"/>
      <c r="B124" s="47"/>
      <c r="C124" s="48"/>
      <c r="D124" s="28"/>
      <c r="E124" s="28"/>
      <c r="F124" s="28"/>
      <c r="G124" s="28"/>
      <c r="H124" s="28"/>
    </row>
    <row r="125" spans="1:8" ht="14.25" x14ac:dyDescent="0.3">
      <c r="A125" s="46"/>
      <c r="B125" s="47"/>
      <c r="C125" s="48"/>
      <c r="D125" s="28"/>
      <c r="E125" s="28"/>
      <c r="F125" s="28"/>
      <c r="G125" s="28"/>
      <c r="H125" s="28"/>
    </row>
    <row r="126" spans="1:8" ht="14.25" x14ac:dyDescent="0.3">
      <c r="A126" s="46"/>
      <c r="B126" s="47"/>
      <c r="C126" s="48"/>
      <c r="D126" s="28"/>
      <c r="E126" s="28"/>
      <c r="F126" s="28"/>
      <c r="G126" s="28"/>
      <c r="H126" s="28"/>
    </row>
    <row r="127" spans="1:8" ht="14.25" x14ac:dyDescent="0.3">
      <c r="A127" s="46"/>
      <c r="B127" s="47"/>
      <c r="C127" s="48"/>
      <c r="D127" s="28"/>
      <c r="E127" s="28"/>
      <c r="F127" s="28"/>
      <c r="G127" s="28"/>
      <c r="H127" s="28"/>
    </row>
    <row r="128" spans="1:8" ht="14.25" x14ac:dyDescent="0.3">
      <c r="A128" s="46"/>
      <c r="B128" s="47"/>
      <c r="C128" s="48"/>
      <c r="D128" s="28"/>
      <c r="E128" s="28"/>
      <c r="F128" s="28"/>
      <c r="G128" s="28"/>
      <c r="H128" s="28"/>
    </row>
    <row r="129" spans="1:8" ht="14.25" x14ac:dyDescent="0.3">
      <c r="A129" s="46"/>
      <c r="B129" s="47"/>
      <c r="C129" s="48"/>
      <c r="D129" s="28"/>
      <c r="E129" s="28"/>
      <c r="F129" s="28"/>
      <c r="G129" s="28"/>
      <c r="H129" s="28"/>
    </row>
    <row r="130" spans="1:8" ht="14.25" x14ac:dyDescent="0.3">
      <c r="A130" s="46"/>
      <c r="B130" s="47"/>
      <c r="C130" s="48"/>
      <c r="D130" s="28"/>
      <c r="E130" s="28"/>
      <c r="F130" s="28"/>
      <c r="G130" s="28"/>
      <c r="H130" s="28"/>
    </row>
    <row r="131" spans="1:8" ht="14.25" x14ac:dyDescent="0.3">
      <c r="A131" s="46"/>
      <c r="B131" s="47"/>
      <c r="C131" s="48"/>
      <c r="D131" s="28"/>
      <c r="E131" s="28"/>
      <c r="F131" s="28"/>
      <c r="G131" s="28"/>
      <c r="H131" s="28"/>
    </row>
    <row r="132" spans="1:8" ht="14.25" x14ac:dyDescent="0.3">
      <c r="A132" s="46"/>
      <c r="B132" s="47"/>
      <c r="C132" s="48"/>
      <c r="D132" s="28"/>
      <c r="E132" s="28"/>
      <c r="F132" s="28"/>
      <c r="G132" s="28"/>
      <c r="H132" s="28"/>
    </row>
    <row r="133" spans="1:8" ht="14.25" x14ac:dyDescent="0.3">
      <c r="A133" s="46"/>
      <c r="B133" s="47"/>
      <c r="C133" s="48"/>
      <c r="D133" s="28"/>
      <c r="E133" s="28"/>
      <c r="F133" s="28"/>
      <c r="G133" s="28"/>
      <c r="H133" s="28"/>
    </row>
    <row r="134" spans="1:8" ht="14.25" x14ac:dyDescent="0.3">
      <c r="A134" s="46"/>
      <c r="B134" s="47"/>
      <c r="C134" s="48"/>
      <c r="D134" s="28"/>
      <c r="E134" s="28"/>
      <c r="F134" s="28"/>
      <c r="G134" s="28"/>
      <c r="H134" s="28"/>
    </row>
    <row r="135" spans="1:8" ht="14.25" x14ac:dyDescent="0.3">
      <c r="A135" s="46"/>
      <c r="B135" s="47"/>
      <c r="C135" s="48"/>
      <c r="D135" s="28"/>
      <c r="E135" s="28"/>
      <c r="F135" s="28"/>
      <c r="G135" s="28"/>
      <c r="H135" s="28"/>
    </row>
    <row r="136" spans="1:8" ht="14.25" x14ac:dyDescent="0.3">
      <c r="A136" s="46"/>
      <c r="B136" s="47"/>
      <c r="C136" s="48"/>
      <c r="D136" s="28"/>
      <c r="E136" s="28"/>
      <c r="F136" s="28"/>
      <c r="G136" s="28"/>
      <c r="H136" s="28"/>
    </row>
    <row r="137" spans="1:8" ht="14.25" x14ac:dyDescent="0.3">
      <c r="A137" s="46"/>
      <c r="B137" s="47"/>
      <c r="C137" s="48"/>
      <c r="D137" s="28"/>
      <c r="E137" s="28"/>
      <c r="F137" s="28"/>
      <c r="G137" s="28"/>
      <c r="H137" s="28"/>
    </row>
    <row r="138" spans="1:8" ht="14.25" x14ac:dyDescent="0.3">
      <c r="A138" s="46"/>
      <c r="B138" s="47"/>
      <c r="C138" s="48"/>
      <c r="D138" s="28"/>
      <c r="E138" s="28"/>
      <c r="F138" s="28"/>
      <c r="G138" s="28"/>
      <c r="H138" s="28"/>
    </row>
    <row r="139" spans="1:8" ht="14.25" x14ac:dyDescent="0.3">
      <c r="A139" s="46"/>
      <c r="B139" s="47"/>
      <c r="C139" s="48"/>
      <c r="D139" s="28"/>
      <c r="E139" s="28"/>
      <c r="F139" s="28"/>
      <c r="G139" s="28"/>
      <c r="H139" s="28"/>
    </row>
    <row r="140" spans="1:8" ht="14.25" x14ac:dyDescent="0.3">
      <c r="A140" s="46"/>
      <c r="B140" s="47"/>
      <c r="C140" s="48"/>
      <c r="D140" s="28"/>
      <c r="E140" s="28"/>
      <c r="F140" s="28"/>
      <c r="G140" s="28"/>
      <c r="H140" s="28"/>
    </row>
    <row r="141" spans="1:8" ht="14.25" x14ac:dyDescent="0.3">
      <c r="A141" s="46"/>
      <c r="B141" s="47"/>
      <c r="C141" s="48"/>
      <c r="D141" s="28"/>
      <c r="E141" s="28"/>
      <c r="F141" s="28"/>
      <c r="G141" s="28"/>
      <c r="H141" s="28"/>
    </row>
    <row r="142" spans="1:8" ht="14.25" x14ac:dyDescent="0.3">
      <c r="A142" s="46"/>
      <c r="B142" s="47"/>
      <c r="C142" s="48"/>
      <c r="D142" s="28"/>
      <c r="E142" s="28"/>
      <c r="F142" s="28"/>
      <c r="G142" s="28"/>
      <c r="H142" s="28"/>
    </row>
    <row r="143" spans="1:8" ht="14.25" x14ac:dyDescent="0.3">
      <c r="A143" s="46"/>
      <c r="B143" s="47"/>
      <c r="C143" s="48"/>
      <c r="D143" s="28"/>
      <c r="E143" s="28"/>
      <c r="F143" s="28"/>
      <c r="G143" s="28"/>
      <c r="H143" s="28"/>
    </row>
    <row r="144" spans="1:8" ht="14.25" x14ac:dyDescent="0.3">
      <c r="A144" s="46"/>
      <c r="B144" s="47"/>
      <c r="C144" s="48"/>
      <c r="D144" s="28"/>
      <c r="E144" s="28"/>
      <c r="F144" s="28"/>
      <c r="G144" s="28"/>
      <c r="H144" s="28"/>
    </row>
    <row r="145" spans="1:8" ht="14.25" x14ac:dyDescent="0.3">
      <c r="A145" s="46"/>
      <c r="B145" s="47"/>
      <c r="C145" s="48"/>
      <c r="D145" s="28"/>
      <c r="E145" s="28"/>
      <c r="F145" s="28"/>
      <c r="G145" s="28"/>
      <c r="H145" s="28"/>
    </row>
    <row r="146" spans="1:8" ht="14.25" x14ac:dyDescent="0.3">
      <c r="A146" s="46"/>
      <c r="B146" s="47"/>
      <c r="C146" s="48"/>
      <c r="D146" s="28"/>
      <c r="E146" s="28"/>
      <c r="F146" s="28"/>
      <c r="G146" s="28"/>
      <c r="H146" s="28"/>
    </row>
    <row r="147" spans="1:8" ht="14.25" x14ac:dyDescent="0.3">
      <c r="A147" s="46"/>
      <c r="B147" s="47"/>
      <c r="C147" s="48"/>
      <c r="D147" s="28"/>
      <c r="E147" s="28"/>
      <c r="F147" s="28"/>
      <c r="G147" s="28"/>
      <c r="H147" s="28"/>
    </row>
    <row r="148" spans="1:8" ht="14.25" x14ac:dyDescent="0.3">
      <c r="A148" s="46"/>
      <c r="B148" s="47"/>
      <c r="C148" s="48"/>
      <c r="D148" s="28"/>
      <c r="E148" s="28"/>
      <c r="F148" s="28"/>
      <c r="G148" s="28"/>
      <c r="H148" s="28"/>
    </row>
    <row r="149" spans="1:8" ht="14.25" x14ac:dyDescent="0.3">
      <c r="A149" s="46"/>
      <c r="B149" s="47"/>
      <c r="C149" s="48"/>
      <c r="D149" s="28"/>
      <c r="E149" s="28"/>
      <c r="F149" s="28"/>
      <c r="G149" s="28"/>
      <c r="H149" s="28"/>
    </row>
    <row r="150" spans="1:8" ht="14.25" x14ac:dyDescent="0.3">
      <c r="A150" s="46"/>
      <c r="B150" s="47"/>
      <c r="C150" s="48"/>
      <c r="D150" s="28"/>
      <c r="E150" s="28"/>
      <c r="F150" s="28"/>
      <c r="G150" s="28"/>
      <c r="H150" s="28"/>
    </row>
    <row r="151" spans="1:8" ht="14.25" x14ac:dyDescent="0.3">
      <c r="A151" s="46"/>
      <c r="B151" s="47"/>
      <c r="C151" s="48"/>
      <c r="D151" s="28"/>
      <c r="E151" s="28"/>
      <c r="F151" s="28"/>
      <c r="G151" s="28"/>
      <c r="H151" s="28"/>
    </row>
    <row r="152" spans="1:8" ht="14.25" x14ac:dyDescent="0.3">
      <c r="A152" s="46"/>
      <c r="B152" s="47"/>
      <c r="C152" s="48"/>
      <c r="D152" s="28"/>
      <c r="E152" s="28"/>
      <c r="F152" s="28"/>
      <c r="G152" s="28"/>
      <c r="H152" s="28"/>
    </row>
    <row r="153" spans="1:8" ht="14.25" x14ac:dyDescent="0.3">
      <c r="A153" s="46"/>
      <c r="B153" s="47"/>
      <c r="C153" s="48"/>
      <c r="D153" s="28"/>
      <c r="E153" s="28"/>
      <c r="F153" s="28"/>
      <c r="G153" s="28"/>
      <c r="H153" s="28"/>
    </row>
    <row r="154" spans="1:8" ht="14.25" x14ac:dyDescent="0.3">
      <c r="A154" s="46"/>
      <c r="B154" s="47"/>
      <c r="C154" s="48"/>
      <c r="D154" s="28"/>
      <c r="E154" s="28"/>
      <c r="F154" s="28"/>
      <c r="G154" s="28"/>
      <c r="H154" s="28"/>
    </row>
    <row r="155" spans="1:8" ht="14.25" x14ac:dyDescent="0.3">
      <c r="A155" s="46"/>
      <c r="B155" s="47"/>
      <c r="C155" s="48"/>
      <c r="D155" s="28"/>
      <c r="E155" s="28"/>
      <c r="F155" s="28"/>
      <c r="G155" s="28"/>
      <c r="H155" s="28"/>
    </row>
  </sheetData>
  <mergeCells count="7">
    <mergeCell ref="A88:H88"/>
    <mergeCell ref="A1:H1"/>
    <mergeCell ref="A2:H2"/>
    <mergeCell ref="A3:H3"/>
    <mergeCell ref="A85:H85"/>
    <mergeCell ref="A86:H86"/>
    <mergeCell ref="A87:H87"/>
  </mergeCells>
  <pageMargins left="0.75" right="0.25" top="1" bottom="1" header="0.5" footer="0.5"/>
  <pageSetup paperSize="9" scale="22"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Midcap Fund</vt:lpstr>
      <vt:lpstr>'JM Midcap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Tejasvi Gupta</dc:creator>
  <cp:lastModifiedBy>Rajesh Gurav</cp:lastModifiedBy>
  <dcterms:created xsi:type="dcterms:W3CDTF">2024-02-02T11:02:27Z</dcterms:created>
  <dcterms:modified xsi:type="dcterms:W3CDTF">2024-02-06T03:59:48Z</dcterms:modified>
</cp:coreProperties>
</file>