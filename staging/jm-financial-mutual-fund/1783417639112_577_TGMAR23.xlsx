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March 2023\MonthlyHalf yearly\Portfolio for sent\"/>
    </mc:Choice>
  </mc:AlternateContent>
  <bookViews>
    <workbookView xWindow="0" yWindow="0" windowWidth="20490" windowHeight="7770"/>
  </bookViews>
  <sheets>
    <sheet name="TG" sheetId="1" r:id="rId1"/>
  </sheets>
  <externalReferences>
    <externalReference r:id="rId2"/>
    <externalReference r:id="rId3"/>
    <externalReference r:id="rId4"/>
  </externalReferences>
  <definedNames>
    <definedName name="_xlnm._FilterDatabase" localSheetId="0" hidden="1">TG!$A$3:$F$68</definedName>
    <definedName name="Afs">#REF!</definedName>
    <definedName name="_xlnm.Database">#REF!</definedName>
    <definedName name="EBLDB">#REF!</definedName>
    <definedName name="fl">#REF!</definedName>
    <definedName name="_xlnm.Print_Area" localSheetId="0">TG!$A$1:$E$58</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63" i="1" l="1"/>
  <c r="D60" i="1"/>
  <c r="E59" i="1"/>
  <c r="E60" i="1" s="1"/>
  <c r="D41" i="1"/>
  <c r="D45" i="1" s="1"/>
  <c r="E40" i="1"/>
  <c r="E39" i="1"/>
  <c r="E38" i="1"/>
  <c r="E37" i="1"/>
  <c r="E36" i="1"/>
  <c r="E35" i="1"/>
  <c r="E34" i="1"/>
  <c r="E33" i="1"/>
  <c r="E32" i="1"/>
  <c r="E31" i="1"/>
  <c r="E30" i="1"/>
  <c r="E29" i="1"/>
  <c r="E28" i="1"/>
  <c r="E27" i="1"/>
  <c r="E26" i="1"/>
  <c r="E25" i="1"/>
  <c r="E24" i="1"/>
  <c r="E23" i="1"/>
  <c r="E22" i="1"/>
  <c r="E21" i="1"/>
  <c r="E20" i="1"/>
  <c r="E19" i="1"/>
  <c r="E18" i="1"/>
  <c r="E17" i="1"/>
  <c r="E16" i="1"/>
  <c r="E15" i="1"/>
  <c r="E14" i="1"/>
  <c r="E13" i="1"/>
  <c r="E12" i="1"/>
  <c r="E11" i="1"/>
  <c r="E10" i="1"/>
  <c r="E9" i="1"/>
  <c r="E8" i="1"/>
  <c r="E7" i="1"/>
  <c r="E6" i="1"/>
  <c r="E41" i="1" s="1"/>
  <c r="E45" i="1" s="1"/>
  <c r="E63" i="1" l="1"/>
  <c r="D63" i="1"/>
  <c r="D65" i="1" s="1"/>
  <c r="E65" i="1" s="1"/>
  <c r="E67" i="1" l="1"/>
</calcChain>
</file>

<file path=xl/sharedStrings.xml><?xml version="1.0" encoding="utf-8"?>
<sst xmlns="http://schemas.openxmlformats.org/spreadsheetml/2006/main" count="154" uniqueCount="127">
  <si>
    <t>JM Tax Gain Fund (An open ended equity linked saving scheme with a statutory lock in of 3 years and tax benefit).</t>
  </si>
  <si>
    <t>Portfolio as on 31.03.2023</t>
  </si>
  <si>
    <t>Name of the Instruments</t>
  </si>
  <si>
    <t>Industry/Rating</t>
  </si>
  <si>
    <t>Quantity</t>
  </si>
  <si>
    <t>Market Value (Rs. In Lakhs)</t>
  </si>
  <si>
    <t>% age to NAV</t>
  </si>
  <si>
    <t>ISIN</t>
  </si>
  <si>
    <t>Yield %</t>
  </si>
  <si>
    <t>^YTC (AT1/Tier 2 bonds)</t>
  </si>
  <si>
    <t>EQUITY &amp; EQUITY RELATED</t>
  </si>
  <si>
    <t>a) Listed/Awaiting Listing On  Stock Exchange</t>
  </si>
  <si>
    <t>HDFC Bank Ltd.</t>
  </si>
  <si>
    <t>Banks</t>
  </si>
  <si>
    <t>INE040A01034</t>
  </si>
  <si>
    <t>ICICI Bank Ltd.</t>
  </si>
  <si>
    <t>INE090A01021</t>
  </si>
  <si>
    <t>Infosys Ltd.</t>
  </si>
  <si>
    <t>IT - Software</t>
  </si>
  <si>
    <t>INE009A01021</t>
  </si>
  <si>
    <t>Ultratech Cement Ltd.</t>
  </si>
  <si>
    <t>Cement &amp; Cement Products</t>
  </si>
  <si>
    <t>INE481G01011</t>
  </si>
  <si>
    <t>Larsen &amp; Toubro Ltd.</t>
  </si>
  <si>
    <t>Construction</t>
  </si>
  <si>
    <t>INE018A01030</t>
  </si>
  <si>
    <t>Gujarat Gas Ltd.</t>
  </si>
  <si>
    <t>Gas</t>
  </si>
  <si>
    <t>INE844O01030</t>
  </si>
  <si>
    <t>Maruti Suzuki India Ltd.</t>
  </si>
  <si>
    <t>Automobiles</t>
  </si>
  <si>
    <t>INE585B01010</t>
  </si>
  <si>
    <t>Reliance Industries Ltd.</t>
  </si>
  <si>
    <t>Petroleum Products</t>
  </si>
  <si>
    <t>INE002A01018</t>
  </si>
  <si>
    <t>Hindustan Aeronautics Ltd.</t>
  </si>
  <si>
    <t>Aerospace &amp; Defense</t>
  </si>
  <si>
    <t>INE066F01012</t>
  </si>
  <si>
    <t>Jubilant Foodworks Ltd.</t>
  </si>
  <si>
    <t>Leisure Services</t>
  </si>
  <si>
    <t>INE797F01020</t>
  </si>
  <si>
    <t>Vardhman Textiles Ltd.</t>
  </si>
  <si>
    <t>Textiles &amp; Apparels</t>
  </si>
  <si>
    <t>INE825A01020</t>
  </si>
  <si>
    <t>Axis Bank Ltd.</t>
  </si>
  <si>
    <t>INE238A01034</t>
  </si>
  <si>
    <t>Kalpataru Power Transmission Ltd.</t>
  </si>
  <si>
    <t>INE220B01022</t>
  </si>
  <si>
    <t>Fortis Healthcare Ltd.</t>
  </si>
  <si>
    <t>Healthcare Services</t>
  </si>
  <si>
    <t>INE061F01013</t>
  </si>
  <si>
    <t>Bank of Baroda</t>
  </si>
  <si>
    <t>INE028A01039</t>
  </si>
  <si>
    <t>One 97 Communications Ltd.</t>
  </si>
  <si>
    <t>Financial Technology (Fintech)</t>
  </si>
  <si>
    <t>INE982J01020</t>
  </si>
  <si>
    <t>Godrej Consumer Products Ltd.</t>
  </si>
  <si>
    <t>Personal Products</t>
  </si>
  <si>
    <t>INE102D01028</t>
  </si>
  <si>
    <t>The Indian Hotels Company Ltd.</t>
  </si>
  <si>
    <t>INE053A01029</t>
  </si>
  <si>
    <t>Varun Beverages Ltd.</t>
  </si>
  <si>
    <t>Beverages</t>
  </si>
  <si>
    <t>INE200M01013</t>
  </si>
  <si>
    <t>Power Finance Corporation Ltd.</t>
  </si>
  <si>
    <t>Finance</t>
  </si>
  <si>
    <t>INE134E01011</t>
  </si>
  <si>
    <t>SKF India Ltd.</t>
  </si>
  <si>
    <t>Industrial Products</t>
  </si>
  <si>
    <t>INE640A01023</t>
  </si>
  <si>
    <t>Mahindra &amp; Mahindra Ltd.</t>
  </si>
  <si>
    <t>INE101A01026</t>
  </si>
  <si>
    <t>JK Cement Ltd.</t>
  </si>
  <si>
    <t>INE823G01014</t>
  </si>
  <si>
    <t>Equitas Small Finance Bank Ltd.</t>
  </si>
  <si>
    <t>INE063P01018</t>
  </si>
  <si>
    <t>Blue Star Ltd.</t>
  </si>
  <si>
    <t>Consumer Durables</t>
  </si>
  <si>
    <t>INE472A01039</t>
  </si>
  <si>
    <t>Mahindra &amp; Mahindra Financial Services Ltd.</t>
  </si>
  <si>
    <t>INE774D01024</t>
  </si>
  <si>
    <t>The Phoenix Mills Ltd.</t>
  </si>
  <si>
    <t>Realty</t>
  </si>
  <si>
    <t>INE211B01039</t>
  </si>
  <si>
    <t>Hitachi Energy India Ltd.</t>
  </si>
  <si>
    <t>Electrical Equipment</t>
  </si>
  <si>
    <t>INE07Y701011</t>
  </si>
  <si>
    <t>State Bank of India</t>
  </si>
  <si>
    <t>INE062A01020</t>
  </si>
  <si>
    <t>Trent Ltd.</t>
  </si>
  <si>
    <t>Retailing</t>
  </si>
  <si>
    <t>INE849A01020</t>
  </si>
  <si>
    <t>Can Fin Homes Ltd.</t>
  </si>
  <si>
    <t>INE477A01020</t>
  </si>
  <si>
    <t>Cummins India Ltd.</t>
  </si>
  <si>
    <t>INE298A01020</t>
  </si>
  <si>
    <t>Tech Mahindra Ltd.</t>
  </si>
  <si>
    <t>INE669C01036</t>
  </si>
  <si>
    <t>Dixon Technologies (India) Ltd.</t>
  </si>
  <si>
    <t>INE935N01020</t>
  </si>
  <si>
    <t>Indian Oil Corporation Ltd.</t>
  </si>
  <si>
    <t>INE242A01010</t>
  </si>
  <si>
    <t>Sub Total:</t>
  </si>
  <si>
    <t>b) Unlisted</t>
  </si>
  <si>
    <t>NIL</t>
  </si>
  <si>
    <t>Total:</t>
  </si>
  <si>
    <t>DEBT INSTRUMENTS</t>
  </si>
  <si>
    <t>b) Privately Placed / Unlisted</t>
  </si>
  <si>
    <t>TERM DEPOSITS</t>
  </si>
  <si>
    <t>Deposits (Maturity not exceeding 91 days)</t>
  </si>
  <si>
    <t>Deposits (Placed as F &amp; O margin)</t>
  </si>
  <si>
    <t>MONEY MARKET INSTRUMENTS</t>
  </si>
  <si>
    <t>TREPS-Triparty Repo</t>
  </si>
  <si>
    <t/>
  </si>
  <si>
    <t xml:space="preserve"> </t>
  </si>
  <si>
    <t>Net Current Assets</t>
  </si>
  <si>
    <t>Net Assets</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</si>
  <si>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</si>
  <si>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</si>
  <si>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</si>
  <si>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</si>
  <si>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</si>
  <si>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Capital Appreciation Over Long Term</t>
  </si>
  <si>
    <t>• Investment predominantly in Equity &amp; Equity related securities and to enable investors tax deduction from total income as permitted under Income Tax Act, 1961 from time to time.</t>
  </si>
  <si>
    <t>*Investors should consult their financial advisers if in doubt about whether the product is suitable for them.</t>
  </si>
  <si>
    <t xml:space="preserve">         Riskometer of the scheme </t>
  </si>
  <si>
    <t>Benchmark of the Scheme - S&amp;P BSE 500 TRI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</si>
</sst>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1" x14ac:knownFonts="1">
    <font>
      <sz val="10"/>
      <name val="Arial"/>
      <family val="2"/>
    </font>
    <font>
      <sz val="10"/>
      <name val="Arial"/>
      <family val="2"/>
    </font>
    <font>
      <b/>
      <sz val="10"/>
      <color indexed="9"/>
      <name val="Times New Roman"/>
      <family val="1"/>
    </font>
    <font>
      <sz val="10"/>
      <name val="Times New Roman"/>
      <family val="1"/>
    </font>
    <font>
      <b/>
      <sz val="10"/>
      <name val="Times New Roman"/>
      <family val="1"/>
    </font>
    <font>
      <sz val="11"/>
      <name val="Calibri"/>
      <family val="2"/>
    </font>
    <font>
      <sz val="11"/>
      <color indexed="8"/>
      <name val="Calibri"/>
      <family val="2"/>
    </font>
    <font>
      <i/>
      <sz val="11"/>
      <color indexed="8"/>
      <name val="Calibri"/>
      <family val="2"/>
    </font>
    <font>
      <b/>
      <sz val="11"/>
      <color indexed="8"/>
      <name val="Calibri"/>
      <family val="2"/>
    </font>
    <font>
      <b/>
      <sz val="11"/>
      <color indexed="8"/>
      <name val="Times New Roman"/>
      <family val="1"/>
    </font>
    <font>
      <b/>
      <sz val="11"/>
      <name val="Calibri"/>
      <family val="2"/>
    </font>
  </fonts>
  <fills count="3">
    <fill>
      <patternFill patternType="none"/>
    </fill>
    <fill>
      <patternFill patternType="gray125"/>
    </fill>
    <fill>
      <patternFill patternType="solid">
        <fgColor indexed="8"/>
        <bgColor indexed="64"/>
      </patternFill>
    </fill>
  </fills>
  <borders count="4">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s>
  <cellStyleXfs count="7">
    <xf numFmtId="0" fontId="0" fillId="0" borderId="0"/>
    <xf numFmtId="164" fontId="1" fillId="0" borderId="0" applyFont="0" applyFill="0" applyBorder="0" applyAlignment="0" applyProtection="0"/>
    <xf numFmtId="164" fontId="1" fillId="0" borderId="0" applyFont="0" applyFill="0" applyBorder="0" applyAlignment="0" applyProtection="0"/>
    <xf numFmtId="0" fontId="1" fillId="0" borderId="0"/>
    <xf numFmtId="0" fontId="6" fillId="0" borderId="0"/>
    <xf numFmtId="0" fontId="6" fillId="0" borderId="0"/>
    <xf numFmtId="0" fontId="6" fillId="0" borderId="0"/>
  </cellStyleXfs>
  <cellXfs count="55">
    <xf numFmtId="0" fontId="0" fillId="0" borderId="0" xfId="0"/>
    <xf numFmtId="0" fontId="2" fillId="2" borderId="1" xfId="0" applyFont="1" applyFill="1" applyBorder="1" applyAlignment="1">
      <alignment horizontal="left"/>
    </xf>
    <xf numFmtId="0" fontId="3" fillId="0" borderId="0" xfId="0" applyFont="1"/>
    <xf numFmtId="0" fontId="2" fillId="2" borderId="2" xfId="0" applyFont="1" applyFill="1" applyBorder="1" applyAlignment="1">
      <alignment horizontal="left" wrapText="1"/>
    </xf>
    <xf numFmtId="0" fontId="2" fillId="2" borderId="1" xfId="0" applyFont="1" applyFill="1" applyBorder="1" applyAlignment="1">
      <alignment horizontal="left"/>
    </xf>
    <xf numFmtId="0" fontId="4" fillId="0" borderId="3" xfId="0" applyFont="1" applyFill="1" applyBorder="1" applyAlignment="1">
      <alignment horizontal="center" vertical="center" wrapText="1"/>
    </xf>
    <xf numFmtId="0" fontId="4" fillId="0" borderId="3" xfId="0" applyFont="1" applyFill="1" applyBorder="1" applyAlignment="1">
      <alignment horizontal="left" vertical="center" wrapText="1"/>
    </xf>
    <xf numFmtId="165" fontId="4" fillId="0" borderId="3" xfId="1" applyNumberFormat="1" applyFont="1" applyFill="1" applyBorder="1" applyAlignment="1">
      <alignment horizontal="center" vertical="center"/>
    </xf>
    <xf numFmtId="0" fontId="4" fillId="0" borderId="3" xfId="0" applyFont="1" applyBorder="1" applyAlignment="1">
      <alignment horizontal="center"/>
    </xf>
    <xf numFmtId="0" fontId="4" fillId="0" borderId="3" xfId="0" applyFont="1" applyBorder="1" applyAlignment="1">
      <alignment horizontal="center" wrapText="1"/>
    </xf>
    <xf numFmtId="0" fontId="3" fillId="0" borderId="0" xfId="0" applyFont="1" applyAlignment="1">
      <alignment horizontal="center"/>
    </xf>
    <xf numFmtId="0" fontId="4" fillId="0" borderId="3" xfId="0" applyFont="1" applyFill="1" applyBorder="1" applyAlignment="1">
      <alignment horizontal="left" wrapText="1"/>
    </xf>
    <xf numFmtId="0" fontId="3" fillId="0" borderId="3" xfId="0" applyFont="1" applyFill="1" applyBorder="1" applyAlignment="1">
      <alignment horizontal="center" wrapText="1"/>
    </xf>
    <xf numFmtId="165" fontId="3" fillId="0" borderId="3" xfId="1" applyNumberFormat="1" applyFont="1" applyFill="1" applyBorder="1" applyAlignment="1">
      <alignment horizontal="center"/>
    </xf>
    <xf numFmtId="0" fontId="4" fillId="0" borderId="3" xfId="0" applyFont="1" applyFill="1" applyBorder="1" applyAlignment="1">
      <alignment horizontal="center" wrapText="1"/>
    </xf>
    <xf numFmtId="0" fontId="3" fillId="0" borderId="3" xfId="0" applyFont="1" applyFill="1" applyBorder="1" applyAlignment="1">
      <alignment horizontal="center"/>
    </xf>
    <xf numFmtId="166" fontId="3" fillId="0" borderId="3" xfId="0" applyNumberFormat="1" applyFont="1" applyFill="1" applyBorder="1"/>
    <xf numFmtId="0" fontId="4" fillId="0" borderId="3" xfId="0" applyFont="1" applyFill="1" applyBorder="1" applyAlignment="1">
      <alignment wrapText="1"/>
    </xf>
    <xf numFmtId="0" fontId="3" fillId="0" borderId="3" xfId="0" applyFont="1" applyBorder="1"/>
    <xf numFmtId="4" fontId="3" fillId="0" borderId="3" xfId="0" applyNumberFormat="1" applyFont="1" applyFill="1" applyBorder="1" applyAlignment="1">
      <alignment wrapText="1"/>
    </xf>
    <xf numFmtId="0" fontId="3" fillId="0" borderId="3" xfId="0" applyFont="1" applyFill="1" applyBorder="1" applyAlignment="1">
      <alignment wrapText="1"/>
    </xf>
    <xf numFmtId="165" fontId="3" fillId="0" borderId="3" xfId="1" applyNumberFormat="1" applyFont="1" applyFill="1" applyBorder="1"/>
    <xf numFmtId="164" fontId="3" fillId="0" borderId="3" xfId="1" applyFont="1" applyFill="1" applyBorder="1"/>
    <xf numFmtId="166" fontId="3" fillId="0" borderId="3" xfId="0" applyNumberFormat="1" applyFont="1" applyBorder="1"/>
    <xf numFmtId="0" fontId="3" fillId="0" borderId="0" xfId="0" applyFont="1" applyFill="1"/>
    <xf numFmtId="164" fontId="4" fillId="0" borderId="3" xfId="1" applyFont="1" applyFill="1" applyBorder="1"/>
    <xf numFmtId="165" fontId="4" fillId="0" borderId="3" xfId="1" applyNumberFormat="1" applyFont="1" applyFill="1" applyBorder="1"/>
    <xf numFmtId="164" fontId="3" fillId="0" borderId="3" xfId="1" applyFont="1" applyFill="1" applyBorder="1" applyAlignment="1">
      <alignment horizontal="center"/>
    </xf>
    <xf numFmtId="164" fontId="4" fillId="0" borderId="3" xfId="1" applyFont="1" applyFill="1" applyBorder="1" applyAlignment="1">
      <alignment horizontal="right"/>
    </xf>
    <xf numFmtId="0" fontId="3" fillId="0" borderId="3" xfId="0" applyFont="1" applyFill="1" applyBorder="1" applyAlignment="1">
      <alignment horizontal="right"/>
    </xf>
    <xf numFmtId="4" fontId="4" fillId="0" borderId="3" xfId="1" applyNumberFormat="1" applyFont="1" applyFill="1" applyBorder="1"/>
    <xf numFmtId="164" fontId="3" fillId="0" borderId="3" xfId="1" applyFont="1" applyFill="1" applyBorder="1" applyAlignment="1">
      <alignment horizontal="right"/>
    </xf>
    <xf numFmtId="165" fontId="4" fillId="0" borderId="3" xfId="1" applyNumberFormat="1" applyFont="1" applyFill="1" applyBorder="1" applyAlignment="1">
      <alignment horizontal="right"/>
    </xf>
    <xf numFmtId="0" fontId="3" fillId="0" borderId="0" xfId="0" applyFont="1" applyFill="1" applyAlignment="1">
      <alignment horizontal="right"/>
    </xf>
    <xf numFmtId="0" fontId="4" fillId="0" borderId="0" xfId="0" applyFont="1" applyFill="1" applyBorder="1" applyAlignment="1">
      <alignment wrapText="1"/>
    </xf>
    <xf numFmtId="0" fontId="4" fillId="0" borderId="0" xfId="0" applyFont="1" applyFill="1" applyBorder="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3" fillId="0" borderId="0" xfId="0" applyFont="1" applyFill="1" applyBorder="1" applyAlignment="1">
      <alignment wrapText="1"/>
    </xf>
    <xf numFmtId="0" fontId="3" fillId="0" borderId="0" xfId="0" applyFont="1" applyFill="1" applyBorder="1" applyAlignment="1">
      <alignment horizontal="left" wrapText="1"/>
    </xf>
    <xf numFmtId="165" fontId="3" fillId="0" borderId="0" xfId="2" applyNumberFormat="1" applyFont="1" applyFill="1" applyBorder="1"/>
    <xf numFmtId="0" fontId="3" fillId="0" borderId="0" xfId="0" applyFont="1" applyFill="1" applyBorder="1" applyAlignment="1">
      <alignment horizontal="right"/>
    </xf>
    <xf numFmtId="0" fontId="8" fillId="0" borderId="0" xfId="5" applyFont="1" applyBorder="1"/>
    <xf numFmtId="0" fontId="2" fillId="0" borderId="0" xfId="0" applyFont="1" applyFill="1" applyBorder="1" applyAlignment="1">
      <alignment horizontal="left" wrapText="1"/>
    </xf>
    <xf numFmtId="0" fontId="6" fillId="0" borderId="0" xfId="5" applyBorder="1"/>
    <xf numFmtId="0" fontId="6" fillId="0" borderId="0" xfId="5" applyBorder="1" applyAlignment="1">
      <alignment horizontal="left" wrapText="1"/>
    </xf>
    <xf numFmtId="0" fontId="9" fillId="0" borderId="0" xfId="6" applyFont="1"/>
    <xf numFmtId="0" fontId="10" fillId="0" borderId="0" xfId="0" applyFont="1" applyFill="1" applyBorder="1" applyAlignment="1">
      <alignment horizontal="left"/>
    </xf>
    <xf numFmtId="0" fontId="3" fillId="0" borderId="0" xfId="0" applyFont="1" applyAlignment="1">
      <alignment wrapText="1"/>
    </xf>
    <xf numFmtId="0" fontId="3" fillId="0" borderId="0" xfId="0" applyFont="1" applyAlignment="1">
      <alignment horizontal="left" wrapText="1"/>
    </xf>
    <xf numFmtId="165" fontId="3" fillId="0" borderId="0" xfId="1" applyNumberFormat="1" applyFont="1"/>
    <xf numFmtId="0" fontId="5" fillId="0" borderId="0" xfId="3" applyFont="1" applyAlignment="1">
      <alignment horizontal="left" wrapText="1"/>
    </xf>
    <xf numFmtId="0" fontId="0" fillId="0" borderId="0" xfId="0" applyAlignment="1">
      <alignment horizontal="left" wrapText="1"/>
    </xf>
    <xf numFmtId="0" fontId="6" fillId="0" borderId="0" xfId="4" applyBorder="1" applyAlignment="1">
      <alignment horizontal="left" wrapText="1"/>
    </xf>
    <xf numFmtId="0" fontId="7" fillId="0" borderId="0" xfId="4" applyFont="1" applyBorder="1" applyAlignment="1">
      <alignment horizontal="left" wrapText="1"/>
    </xf>
  </cellXfs>
  <cellStyles count="7">
    <cellStyle name="Comma" xfId="1" builtinId="3"/>
    <cellStyle name="Comma 4" xfId="2"/>
    <cellStyle name="Normal" xfId="0" builtinId="0"/>
    <cellStyle name="Normal 2 3 2" xfId="3"/>
    <cellStyle name="Normal 4_IF" xfId="6"/>
    <cellStyle name="Normal 4_LD" xfId="4"/>
    <cellStyle name="Normal 4_TG" xf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externalLink" Target="externalLinks/externalLink2.xml"/><Relationship Id="rId7" Type="http://schemas.openxmlformats.org/officeDocument/2006/relationships/sharedStrings" Target="sharedString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3.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80</xdr:row>
      <xdr:rowOff>9525</xdr:rowOff>
    </xdr:from>
    <xdr:to>
      <xdr:col>0</xdr:col>
      <xdr:colOff>3943350</xdr:colOff>
      <xdr:row>93</xdr:row>
      <xdr:rowOff>123825</xdr:rowOff>
    </xdr:to>
    <xdr:pic>
      <xdr:nvPicPr>
        <xdr:cNvPr id="2" name="Picture 13"/>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5516225"/>
          <a:ext cx="3943350" cy="2219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47625</xdr:colOff>
      <xdr:row>79</xdr:row>
      <xdr:rowOff>133350</xdr:rowOff>
    </xdr:from>
    <xdr:to>
      <xdr:col>6</xdr:col>
      <xdr:colOff>352425</xdr:colOff>
      <xdr:row>93</xdr:row>
      <xdr:rowOff>57150</xdr:rowOff>
    </xdr:to>
    <xdr:pic>
      <xdr:nvPicPr>
        <xdr:cNvPr id="3" name="Picture 14"/>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657850" y="15478125"/>
          <a:ext cx="3829050" cy="2190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80</xdr:row>
      <xdr:rowOff>9525</xdr:rowOff>
    </xdr:from>
    <xdr:to>
      <xdr:col>0</xdr:col>
      <xdr:colOff>3943350</xdr:colOff>
      <xdr:row>93</xdr:row>
      <xdr:rowOff>123825</xdr:rowOff>
    </xdr:to>
    <xdr:pic>
      <xdr:nvPicPr>
        <xdr:cNvPr id="4" name="Picture 13"/>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5516225"/>
          <a:ext cx="3943350" cy="2219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47625</xdr:colOff>
      <xdr:row>79</xdr:row>
      <xdr:rowOff>133350</xdr:rowOff>
    </xdr:from>
    <xdr:to>
      <xdr:col>6</xdr:col>
      <xdr:colOff>352425</xdr:colOff>
      <xdr:row>93</xdr:row>
      <xdr:rowOff>57150</xdr:rowOff>
    </xdr:to>
    <xdr:pic>
      <xdr:nvPicPr>
        <xdr:cNvPr id="5" name="Picture 14"/>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657850" y="15478125"/>
          <a:ext cx="3829050" cy="2190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80</xdr:row>
      <xdr:rowOff>0</xdr:rowOff>
    </xdr:from>
    <xdr:to>
      <xdr:col>0</xdr:col>
      <xdr:colOff>3943350</xdr:colOff>
      <xdr:row>93</xdr:row>
      <xdr:rowOff>104775</xdr:rowOff>
    </xdr:to>
    <xdr:pic>
      <xdr:nvPicPr>
        <xdr:cNvPr id="6" name="Picture 13"/>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5506700"/>
          <a:ext cx="3943350" cy="2209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p\NAV%20All%20Files%202006-2007\NAV%20EXCEL%202007-2008\NAV%20UP%20TO%2031.03.2008\NAV%20FIXED%20MATURITY%20SCHEMES%202007-08.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Documents%20and%20Settings\bharatk\Desktop\A\Final%20Portfolio%20Disclosure%20-%2031.12.2012-sent.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p\NAV%20All%20Files%202006-2007\NAV%20EXCEL%202007-2008\NAV%20Tax%20Gain%20Fund%20-%20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QSA2 From Apr 01, 2004 "/>
      <sheetName val="QSB2 From Apr 01, 2004 "/>
      <sheetName val="QSC2 From Apr 01, 2004 "/>
      <sheetName val="FMP S-IV-YEARLY"/>
      <sheetName val="FMP SERIES IV- YEARLY"/>
      <sheetName val="FMP SERIES IV-13M1-working"/>
      <sheetName val="FMP SERIES IV- 13M"/>
      <sheetName val="FMP S-IV-13M1 "/>
      <sheetName val="FMP SERIES IV- 15M1"/>
      <sheetName val="FMP S-IV-15M1"/>
      <sheetName val="FMP SERIES IV- 15M-2"/>
      <sheetName val="FMP S4-15M2 Regular"/>
      <sheetName val="FMP S4-15M2 insti"/>
      <sheetName val="FMP SERIES VII- 13M"/>
      <sheetName val="FMP S7-13M Regular "/>
      <sheetName val="FMP S7-13M Insti"/>
      <sheetName val="Rectification"/>
      <sheetName val="FMP SERIES VII- 18M"/>
      <sheetName val="FMP S7-18M Regular "/>
      <sheetName val="FMP S7-18M Insti"/>
      <sheetName val="FMP SERIES VII- 18M (working)"/>
      <sheetName val="FMP SERIES VII- 15M 1"/>
      <sheetName val="FMP S7-15M Regular "/>
      <sheetName val="FMP S7-15M1 Insti"/>
      <sheetName val="Entries"/>
      <sheetName val="FMP SERIES IX- 15M"/>
      <sheetName val="FMP SERIES XI- 13M1"/>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GF"/>
      <sheetName val="MMF-SPP"/>
      <sheetName val="MMF-SP"/>
      <sheetName val="MMF-RP"/>
      <sheetName val="JMSTF"/>
      <sheetName val="JMMSF"/>
      <sheetName val="JMMIP"/>
      <sheetName val="JMLGRO"/>
      <sheetName val="JMFST"/>
      <sheetName val="JMFLT"/>
      <sheetName val="JMEQ"/>
      <sheetName val="JMBAL"/>
      <sheetName val="JMAAF"/>
      <sheetName val="GSEC-RD"/>
      <sheetName val="FMP-S22-A"/>
      <sheetName val="DEBTG"/>
      <sheetName val="CORE 11-1"/>
      <sheetName val="BASICF"/>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 from APR 01 2005_ 1"/>
      <sheetName val="master010419"/>
      <sheetName val="JM TAX GAIN FUND-I"/>
      <sheetName val="B30"/>
      <sheetName val="b30-haribhakti-TGF"/>
      <sheetName val="INC SHIFT"/>
      <sheetName val="Health from APR 01 2005_1"/>
      <sheetName val="ENTRY"/>
      <sheetName val="tgf-040515"/>
      <sheetName val="tgf - 25.03"/>
    </sheetNames>
    <sheetDataSet>
      <sheetData sheetId="0"/>
      <sheetData sheetId="1"/>
      <sheetData sheetId="2"/>
      <sheetData sheetId="3"/>
      <sheetData sheetId="4"/>
      <sheetData sheetId="5"/>
      <sheetData sheetId="6"/>
      <sheetData sheetId="7"/>
      <sheetData sheetId="8" refreshError="1"/>
      <sheetData sheetId="9"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3">
    <tabColor indexed="11"/>
    <pageSetUpPr fitToPage="1"/>
  </sheetPr>
  <dimension ref="A1:H93"/>
  <sheetViews>
    <sheetView tabSelected="1" zoomScaleNormal="100" workbookViewId="0">
      <pane xSplit="1" ySplit="3" topLeftCell="B4" activePane="bottomRight" state="frozen"/>
      <selection activeCell="A88" sqref="A88:E89"/>
      <selection pane="topRight" activeCell="A88" sqref="A88:E89"/>
      <selection pane="bottomLeft" activeCell="A88" sqref="A88:E89"/>
      <selection pane="bottomRight" activeCell="D58" sqref="D58"/>
    </sheetView>
  </sheetViews>
  <sheetFormatPr defaultRowHeight="12.75" x14ac:dyDescent="0.2"/>
  <cols>
    <col min="1" max="1" width="63.28515625" style="48" customWidth="1"/>
    <col min="2" max="2" width="27.7109375" style="49" customWidth="1"/>
    <col min="3" max="3" width="13" style="50" customWidth="1"/>
    <col min="4" max="4" width="13.7109375" style="2" customWidth="1"/>
    <col min="5" max="5" width="12.42578125" style="2" bestFit="1" customWidth="1"/>
    <col min="6" max="6" width="13.7109375" style="2" bestFit="1" customWidth="1"/>
    <col min="7" max="7" width="7.5703125" style="2" bestFit="1" customWidth="1"/>
    <col min="8" max="8" width="16" style="2" customWidth="1"/>
    <col min="9" max="16384" width="9.140625" style="2"/>
  </cols>
  <sheetData>
    <row r="1" spans="1:8" x14ac:dyDescent="0.2">
      <c r="A1" s="1" t="s">
        <v>0</v>
      </c>
      <c r="B1" s="1"/>
      <c r="C1" s="1"/>
      <c r="D1" s="1"/>
      <c r="E1" s="1"/>
      <c r="F1" s="1"/>
      <c r="G1" s="1"/>
      <c r="H1" s="1"/>
    </row>
    <row r="2" spans="1:8" x14ac:dyDescent="0.2">
      <c r="A2" s="3" t="s">
        <v>1</v>
      </c>
      <c r="B2" s="3"/>
      <c r="C2" s="3"/>
      <c r="D2" s="3"/>
      <c r="E2" s="3"/>
      <c r="F2" s="3"/>
      <c r="G2" s="4"/>
      <c r="H2" s="4"/>
    </row>
    <row r="3" spans="1:8" s="10" customFormat="1" ht="25.5" x14ac:dyDescent="0.2">
      <c r="A3" s="5" t="s">
        <v>2</v>
      </c>
      <c r="B3" s="6" t="s">
        <v>3</v>
      </c>
      <c r="C3" s="7" t="s">
        <v>4</v>
      </c>
      <c r="D3" s="5" t="s">
        <v>5</v>
      </c>
      <c r="E3" s="5" t="s">
        <v>6</v>
      </c>
      <c r="F3" s="5" t="s">
        <v>7</v>
      </c>
      <c r="G3" s="8" t="s">
        <v>8</v>
      </c>
      <c r="H3" s="9" t="s">
        <v>9</v>
      </c>
    </row>
    <row r="4" spans="1:8" x14ac:dyDescent="0.2">
      <c r="A4" s="11" t="s">
        <v>10</v>
      </c>
      <c r="B4" s="12"/>
      <c r="C4" s="13"/>
      <c r="D4" s="14"/>
      <c r="E4" s="14"/>
      <c r="F4" s="15"/>
      <c r="H4" s="16"/>
    </row>
    <row r="5" spans="1:8" x14ac:dyDescent="0.2">
      <c r="A5" s="17" t="s">
        <v>11</v>
      </c>
      <c r="B5" s="12"/>
      <c r="C5" s="13"/>
      <c r="D5" s="14"/>
      <c r="E5" s="14"/>
      <c r="F5" s="15"/>
      <c r="G5" s="18"/>
      <c r="H5" s="16"/>
    </row>
    <row r="6" spans="1:8" s="24" customFormat="1" x14ac:dyDescent="0.2">
      <c r="A6" s="19" t="s">
        <v>12</v>
      </c>
      <c r="B6" s="20" t="s">
        <v>13</v>
      </c>
      <c r="C6" s="21">
        <v>25631</v>
      </c>
      <c r="D6" s="22">
        <v>412.54376049999996</v>
      </c>
      <c r="E6" s="22">
        <f t="shared" ref="E6:E40" si="0">(+D6/$D$67*100)</f>
        <v>5.7496734238712843</v>
      </c>
      <c r="F6" s="22" t="s">
        <v>14</v>
      </c>
      <c r="G6" s="23"/>
      <c r="H6" s="16"/>
    </row>
    <row r="7" spans="1:8" s="24" customFormat="1" x14ac:dyDescent="0.2">
      <c r="A7" s="19" t="s">
        <v>15</v>
      </c>
      <c r="B7" s="20" t="s">
        <v>13</v>
      </c>
      <c r="C7" s="21">
        <v>41825</v>
      </c>
      <c r="D7" s="22">
        <v>366.90981249999999</v>
      </c>
      <c r="E7" s="22">
        <f t="shared" si="0"/>
        <v>5.1136674454414539</v>
      </c>
      <c r="F7" s="22" t="s">
        <v>16</v>
      </c>
      <c r="G7" s="23"/>
      <c r="H7" s="16"/>
    </row>
    <row r="8" spans="1:8" s="24" customFormat="1" x14ac:dyDescent="0.2">
      <c r="A8" s="19" t="s">
        <v>17</v>
      </c>
      <c r="B8" s="20" t="s">
        <v>18</v>
      </c>
      <c r="C8" s="21">
        <v>25565</v>
      </c>
      <c r="D8" s="22">
        <v>365.05541749999998</v>
      </c>
      <c r="E8" s="22">
        <f t="shared" si="0"/>
        <v>5.0878225129282644</v>
      </c>
      <c r="F8" s="22" t="s">
        <v>19</v>
      </c>
      <c r="G8" s="23"/>
      <c r="H8" s="16"/>
    </row>
    <row r="9" spans="1:8" s="24" customFormat="1" x14ac:dyDescent="0.2">
      <c r="A9" s="19" t="s">
        <v>20</v>
      </c>
      <c r="B9" s="20" t="s">
        <v>21</v>
      </c>
      <c r="C9" s="21">
        <v>4550</v>
      </c>
      <c r="D9" s="22">
        <v>346.80782499999998</v>
      </c>
      <c r="E9" s="22">
        <f t="shared" si="0"/>
        <v>4.8335035589348179</v>
      </c>
      <c r="F9" s="22" t="s">
        <v>22</v>
      </c>
      <c r="G9" s="23"/>
      <c r="H9" s="16"/>
    </row>
    <row r="10" spans="1:8" s="24" customFormat="1" x14ac:dyDescent="0.2">
      <c r="A10" s="19" t="s">
        <v>23</v>
      </c>
      <c r="B10" s="20" t="s">
        <v>24</v>
      </c>
      <c r="C10" s="21">
        <v>13200</v>
      </c>
      <c r="D10" s="22">
        <v>285.67439999999999</v>
      </c>
      <c r="E10" s="22">
        <f t="shared" si="0"/>
        <v>3.9814794521910479</v>
      </c>
      <c r="F10" s="22" t="s">
        <v>25</v>
      </c>
      <c r="G10" s="23"/>
      <c r="H10" s="16"/>
    </row>
    <row r="11" spans="1:8" s="24" customFormat="1" x14ac:dyDescent="0.2">
      <c r="A11" s="19" t="s">
        <v>26</v>
      </c>
      <c r="B11" s="20" t="s">
        <v>27</v>
      </c>
      <c r="C11" s="21">
        <v>43900</v>
      </c>
      <c r="D11" s="22">
        <v>201.76439999999999</v>
      </c>
      <c r="E11" s="22">
        <f t="shared" si="0"/>
        <v>2.8120154020929262</v>
      </c>
      <c r="F11" s="22" t="s">
        <v>28</v>
      </c>
      <c r="G11" s="23"/>
      <c r="H11" s="16"/>
    </row>
    <row r="12" spans="1:8" s="24" customFormat="1" x14ac:dyDescent="0.2">
      <c r="A12" s="19" t="s">
        <v>29</v>
      </c>
      <c r="B12" s="20" t="s">
        <v>30</v>
      </c>
      <c r="C12" s="21">
        <v>2424</v>
      </c>
      <c r="D12" s="22">
        <v>201.00171600000002</v>
      </c>
      <c r="E12" s="22">
        <f t="shared" si="0"/>
        <v>2.8013857808369975</v>
      </c>
      <c r="F12" s="22" t="s">
        <v>31</v>
      </c>
      <c r="G12" s="23"/>
      <c r="H12" s="16"/>
    </row>
    <row r="13" spans="1:8" s="24" customFormat="1" x14ac:dyDescent="0.2">
      <c r="A13" s="19" t="s">
        <v>32</v>
      </c>
      <c r="B13" s="20" t="s">
        <v>33</v>
      </c>
      <c r="C13" s="21">
        <v>8450</v>
      </c>
      <c r="D13" s="22">
        <v>196.973725</v>
      </c>
      <c r="E13" s="22">
        <f t="shared" si="0"/>
        <v>2.745247171986815</v>
      </c>
      <c r="F13" s="22" t="s">
        <v>34</v>
      </c>
      <c r="G13" s="23"/>
      <c r="H13" s="16"/>
    </row>
    <row r="14" spans="1:8" s="24" customFormat="1" x14ac:dyDescent="0.2">
      <c r="A14" s="19" t="s">
        <v>35</v>
      </c>
      <c r="B14" s="20" t="s">
        <v>36</v>
      </c>
      <c r="C14" s="21">
        <v>7050</v>
      </c>
      <c r="D14" s="22">
        <v>192.54255000000001</v>
      </c>
      <c r="E14" s="22">
        <f t="shared" si="0"/>
        <v>2.6834893378527007</v>
      </c>
      <c r="F14" s="22" t="s">
        <v>37</v>
      </c>
      <c r="G14" s="23"/>
      <c r="H14" s="16"/>
    </row>
    <row r="15" spans="1:8" s="24" customFormat="1" x14ac:dyDescent="0.2">
      <c r="A15" s="19" t="s">
        <v>38</v>
      </c>
      <c r="B15" s="20" t="s">
        <v>39</v>
      </c>
      <c r="C15" s="21">
        <v>43600</v>
      </c>
      <c r="D15" s="22">
        <v>191.8836</v>
      </c>
      <c r="E15" s="22">
        <f t="shared" si="0"/>
        <v>2.6743054701872002</v>
      </c>
      <c r="F15" s="22" t="s">
        <v>40</v>
      </c>
      <c r="G15" s="23"/>
      <c r="H15" s="16"/>
    </row>
    <row r="16" spans="1:8" s="24" customFormat="1" x14ac:dyDescent="0.2">
      <c r="A16" s="19" t="s">
        <v>41</v>
      </c>
      <c r="B16" s="20" t="s">
        <v>42</v>
      </c>
      <c r="C16" s="21">
        <v>64747</v>
      </c>
      <c r="D16" s="22">
        <v>190.16193899999999</v>
      </c>
      <c r="E16" s="22">
        <f t="shared" si="0"/>
        <v>2.6503104678518885</v>
      </c>
      <c r="F16" s="22" t="s">
        <v>43</v>
      </c>
      <c r="G16" s="23"/>
      <c r="H16" s="16"/>
    </row>
    <row r="17" spans="1:8" s="24" customFormat="1" x14ac:dyDescent="0.2">
      <c r="A17" s="19" t="s">
        <v>44</v>
      </c>
      <c r="B17" s="20" t="s">
        <v>13</v>
      </c>
      <c r="C17" s="21">
        <v>22050</v>
      </c>
      <c r="D17" s="22">
        <v>189.29925</v>
      </c>
      <c r="E17" s="22">
        <f t="shared" si="0"/>
        <v>2.6382870645398269</v>
      </c>
      <c r="F17" s="22" t="s">
        <v>45</v>
      </c>
      <c r="G17" s="23"/>
      <c r="H17" s="16"/>
    </row>
    <row r="18" spans="1:8" s="24" customFormat="1" x14ac:dyDescent="0.2">
      <c r="A18" s="19" t="s">
        <v>46</v>
      </c>
      <c r="B18" s="20" t="s">
        <v>24</v>
      </c>
      <c r="C18" s="21">
        <v>35000</v>
      </c>
      <c r="D18" s="22">
        <v>186.98750000000001</v>
      </c>
      <c r="E18" s="22">
        <f t="shared" si="0"/>
        <v>2.6060679188144742</v>
      </c>
      <c r="F18" s="22" t="s">
        <v>47</v>
      </c>
      <c r="G18" s="23"/>
      <c r="H18" s="16"/>
    </row>
    <row r="19" spans="1:8" s="24" customFormat="1" x14ac:dyDescent="0.2">
      <c r="A19" s="19" t="s">
        <v>48</v>
      </c>
      <c r="B19" s="20" t="s">
        <v>49</v>
      </c>
      <c r="C19" s="21">
        <v>71250</v>
      </c>
      <c r="D19" s="22">
        <v>185.17875000000001</v>
      </c>
      <c r="E19" s="22">
        <f t="shared" si="0"/>
        <v>2.5808591463128061</v>
      </c>
      <c r="F19" s="22" t="s">
        <v>50</v>
      </c>
      <c r="G19" s="23"/>
      <c r="H19" s="16"/>
    </row>
    <row r="20" spans="1:8" s="24" customFormat="1" x14ac:dyDescent="0.2">
      <c r="A20" s="19" t="s">
        <v>51</v>
      </c>
      <c r="B20" s="20" t="s">
        <v>13</v>
      </c>
      <c r="C20" s="21">
        <v>108500</v>
      </c>
      <c r="D20" s="22">
        <v>183.20224999999999</v>
      </c>
      <c r="E20" s="22">
        <f t="shared" si="0"/>
        <v>2.5533124213096006</v>
      </c>
      <c r="F20" s="22" t="s">
        <v>52</v>
      </c>
      <c r="G20" s="23"/>
      <c r="H20" s="16"/>
    </row>
    <row r="21" spans="1:8" s="24" customFormat="1" x14ac:dyDescent="0.2">
      <c r="A21" s="19" t="s">
        <v>53</v>
      </c>
      <c r="B21" s="20" t="s">
        <v>54</v>
      </c>
      <c r="C21" s="21">
        <v>28500</v>
      </c>
      <c r="D21" s="22">
        <v>181.488</v>
      </c>
      <c r="E21" s="22">
        <f t="shared" si="0"/>
        <v>2.5294207069980685</v>
      </c>
      <c r="F21" s="22" t="s">
        <v>55</v>
      </c>
      <c r="G21" s="23"/>
      <c r="H21" s="16"/>
    </row>
    <row r="22" spans="1:8" s="24" customFormat="1" x14ac:dyDescent="0.2">
      <c r="A22" s="19" t="s">
        <v>56</v>
      </c>
      <c r="B22" s="20" t="s">
        <v>57</v>
      </c>
      <c r="C22" s="21">
        <v>18700</v>
      </c>
      <c r="D22" s="22">
        <v>181.04405</v>
      </c>
      <c r="E22" s="22">
        <f t="shared" si="0"/>
        <v>2.5232333209291724</v>
      </c>
      <c r="F22" s="22" t="s">
        <v>58</v>
      </c>
      <c r="G22" s="23"/>
      <c r="H22" s="16"/>
    </row>
    <row r="23" spans="1:8" s="24" customFormat="1" x14ac:dyDescent="0.2">
      <c r="A23" s="19" t="s">
        <v>59</v>
      </c>
      <c r="B23" s="20" t="s">
        <v>39</v>
      </c>
      <c r="C23" s="21">
        <v>55500</v>
      </c>
      <c r="D23" s="22">
        <v>180.01425</v>
      </c>
      <c r="E23" s="22">
        <f t="shared" si="0"/>
        <v>2.5088808709376216</v>
      </c>
      <c r="F23" s="22" t="s">
        <v>60</v>
      </c>
      <c r="G23" s="23"/>
      <c r="H23" s="16"/>
    </row>
    <row r="24" spans="1:8" s="24" customFormat="1" x14ac:dyDescent="0.2">
      <c r="A24" s="19" t="s">
        <v>61</v>
      </c>
      <c r="B24" s="20" t="s">
        <v>62</v>
      </c>
      <c r="C24" s="21">
        <v>12800</v>
      </c>
      <c r="D24" s="22">
        <v>177.536</v>
      </c>
      <c r="E24" s="22">
        <f t="shared" si="0"/>
        <v>2.4743411941153632</v>
      </c>
      <c r="F24" s="22" t="s">
        <v>63</v>
      </c>
      <c r="G24" s="23"/>
      <c r="H24" s="16"/>
    </row>
    <row r="25" spans="1:8" s="24" customFormat="1" x14ac:dyDescent="0.2">
      <c r="A25" s="19" t="s">
        <v>64</v>
      </c>
      <c r="B25" s="20" t="s">
        <v>65</v>
      </c>
      <c r="C25" s="21">
        <v>110000</v>
      </c>
      <c r="D25" s="22">
        <v>166.92500000000001</v>
      </c>
      <c r="E25" s="22">
        <f t="shared" si="0"/>
        <v>2.3264543744801451</v>
      </c>
      <c r="F25" s="22" t="s">
        <v>66</v>
      </c>
      <c r="G25" s="23"/>
      <c r="H25" s="16"/>
    </row>
    <row r="26" spans="1:8" s="24" customFormat="1" x14ac:dyDescent="0.2">
      <c r="A26" s="19" t="s">
        <v>67</v>
      </c>
      <c r="B26" s="20" t="s">
        <v>68</v>
      </c>
      <c r="C26" s="21">
        <v>3908</v>
      </c>
      <c r="D26" s="22">
        <v>166.31470999999999</v>
      </c>
      <c r="E26" s="22">
        <f t="shared" si="0"/>
        <v>2.3179486872541362</v>
      </c>
      <c r="F26" s="22" t="s">
        <v>69</v>
      </c>
      <c r="G26" s="23"/>
      <c r="H26" s="16"/>
    </row>
    <row r="27" spans="1:8" s="24" customFormat="1" x14ac:dyDescent="0.2">
      <c r="A27" s="19" t="s">
        <v>70</v>
      </c>
      <c r="B27" s="20" t="s">
        <v>30</v>
      </c>
      <c r="C27" s="21">
        <v>14150</v>
      </c>
      <c r="D27" s="22">
        <v>163.95605</v>
      </c>
      <c r="E27" s="22">
        <f t="shared" si="0"/>
        <v>2.2850757510557758</v>
      </c>
      <c r="F27" s="22" t="s">
        <v>71</v>
      </c>
      <c r="G27" s="23"/>
      <c r="H27" s="16"/>
    </row>
    <row r="28" spans="1:8" s="24" customFormat="1" x14ac:dyDescent="0.2">
      <c r="A28" s="19" t="s">
        <v>72</v>
      </c>
      <c r="B28" s="20" t="s">
        <v>21</v>
      </c>
      <c r="C28" s="21">
        <v>5578</v>
      </c>
      <c r="D28" s="22">
        <v>163.08398600000001</v>
      </c>
      <c r="E28" s="22">
        <f t="shared" si="0"/>
        <v>2.2729216872089788</v>
      </c>
      <c r="F28" s="22" t="s">
        <v>73</v>
      </c>
      <c r="G28" s="23"/>
      <c r="H28" s="16"/>
    </row>
    <row r="29" spans="1:8" s="24" customFormat="1" x14ac:dyDescent="0.2">
      <c r="A29" s="19" t="s">
        <v>74</v>
      </c>
      <c r="B29" s="20" t="s">
        <v>13</v>
      </c>
      <c r="C29" s="21">
        <v>238000</v>
      </c>
      <c r="D29" s="22">
        <v>159.69800000000001</v>
      </c>
      <c r="E29" s="22">
        <f t="shared" si="0"/>
        <v>2.2257307814631133</v>
      </c>
      <c r="F29" s="22" t="s">
        <v>75</v>
      </c>
      <c r="G29" s="23"/>
      <c r="H29" s="16"/>
    </row>
    <row r="30" spans="1:8" s="24" customFormat="1" x14ac:dyDescent="0.2">
      <c r="A30" s="19" t="s">
        <v>76</v>
      </c>
      <c r="B30" s="20" t="s">
        <v>77</v>
      </c>
      <c r="C30" s="21">
        <v>11200</v>
      </c>
      <c r="D30" s="22">
        <v>154.4648</v>
      </c>
      <c r="E30" s="22">
        <f t="shared" si="0"/>
        <v>2.152795025689386</v>
      </c>
      <c r="F30" s="22" t="s">
        <v>78</v>
      </c>
      <c r="G30" s="23"/>
      <c r="H30" s="16"/>
    </row>
    <row r="31" spans="1:8" s="24" customFormat="1" x14ac:dyDescent="0.2">
      <c r="A31" s="19" t="s">
        <v>79</v>
      </c>
      <c r="B31" s="20" t="s">
        <v>65</v>
      </c>
      <c r="C31" s="21">
        <v>66650</v>
      </c>
      <c r="D31" s="22">
        <v>154.39472499999999</v>
      </c>
      <c r="E31" s="22">
        <f t="shared" si="0"/>
        <v>2.1518183817457479</v>
      </c>
      <c r="F31" s="22" t="s">
        <v>80</v>
      </c>
      <c r="G31" s="23"/>
      <c r="H31" s="16"/>
    </row>
    <row r="32" spans="1:8" s="24" customFormat="1" x14ac:dyDescent="0.2">
      <c r="A32" s="19" t="s">
        <v>81</v>
      </c>
      <c r="B32" s="20" t="s">
        <v>82</v>
      </c>
      <c r="C32" s="21">
        <v>11550</v>
      </c>
      <c r="D32" s="22">
        <v>150.259725</v>
      </c>
      <c r="E32" s="22">
        <f t="shared" si="0"/>
        <v>2.0941883752250026</v>
      </c>
      <c r="F32" s="22" t="s">
        <v>83</v>
      </c>
      <c r="G32" s="23"/>
      <c r="H32" s="16"/>
    </row>
    <row r="33" spans="1:8" s="24" customFormat="1" x14ac:dyDescent="0.2">
      <c r="A33" s="19" t="s">
        <v>84</v>
      </c>
      <c r="B33" s="20" t="s">
        <v>85</v>
      </c>
      <c r="C33" s="21">
        <v>4286</v>
      </c>
      <c r="D33" s="22">
        <v>143.298124</v>
      </c>
      <c r="E33" s="22">
        <f t="shared" si="0"/>
        <v>1.9971636809021909</v>
      </c>
      <c r="F33" s="22" t="s">
        <v>86</v>
      </c>
      <c r="G33" s="23"/>
      <c r="H33" s="16"/>
    </row>
    <row r="34" spans="1:8" s="24" customFormat="1" x14ac:dyDescent="0.2">
      <c r="A34" s="19" t="s">
        <v>87</v>
      </c>
      <c r="B34" s="20" t="s">
        <v>13</v>
      </c>
      <c r="C34" s="21">
        <v>27150</v>
      </c>
      <c r="D34" s="22">
        <v>142.198125</v>
      </c>
      <c r="E34" s="22">
        <f t="shared" si="0"/>
        <v>1.9818328587636631</v>
      </c>
      <c r="F34" s="22" t="s">
        <v>88</v>
      </c>
      <c r="G34" s="23"/>
      <c r="H34" s="16"/>
    </row>
    <row r="35" spans="1:8" s="24" customFormat="1" x14ac:dyDescent="0.2">
      <c r="A35" s="19" t="s">
        <v>89</v>
      </c>
      <c r="B35" s="20" t="s">
        <v>90</v>
      </c>
      <c r="C35" s="21">
        <v>9846</v>
      </c>
      <c r="D35" s="22">
        <v>135.377577</v>
      </c>
      <c r="E35" s="22">
        <f t="shared" si="0"/>
        <v>1.8867740375508324</v>
      </c>
      <c r="F35" s="22" t="s">
        <v>91</v>
      </c>
      <c r="G35" s="23"/>
      <c r="H35" s="16"/>
    </row>
    <row r="36" spans="1:8" s="24" customFormat="1" x14ac:dyDescent="0.2">
      <c r="A36" s="19" t="s">
        <v>92</v>
      </c>
      <c r="B36" s="20" t="s">
        <v>65</v>
      </c>
      <c r="C36" s="21">
        <v>25300</v>
      </c>
      <c r="D36" s="22">
        <v>133.88759999999999</v>
      </c>
      <c r="E36" s="22">
        <f t="shared" si="0"/>
        <v>1.8660080437840219</v>
      </c>
      <c r="F36" s="22" t="s">
        <v>93</v>
      </c>
      <c r="G36" s="23"/>
      <c r="H36" s="16"/>
    </row>
    <row r="37" spans="1:8" s="24" customFormat="1" x14ac:dyDescent="0.2">
      <c r="A37" s="19" t="s">
        <v>94</v>
      </c>
      <c r="B37" s="20" t="s">
        <v>68</v>
      </c>
      <c r="C37" s="21">
        <v>7867</v>
      </c>
      <c r="D37" s="22">
        <v>128.20063199999998</v>
      </c>
      <c r="E37" s="22">
        <f t="shared" si="0"/>
        <v>1.7867480672608609</v>
      </c>
      <c r="F37" s="22" t="s">
        <v>95</v>
      </c>
      <c r="G37" s="23"/>
      <c r="H37" s="16"/>
    </row>
    <row r="38" spans="1:8" s="24" customFormat="1" x14ac:dyDescent="0.2">
      <c r="A38" s="19" t="s">
        <v>96</v>
      </c>
      <c r="B38" s="20" t="s">
        <v>18</v>
      </c>
      <c r="C38" s="21">
        <v>10800</v>
      </c>
      <c r="D38" s="22">
        <v>118.99979999999999</v>
      </c>
      <c r="E38" s="22">
        <f t="shared" si="0"/>
        <v>1.6585149334866698</v>
      </c>
      <c r="F38" s="22" t="s">
        <v>97</v>
      </c>
      <c r="G38" s="23"/>
      <c r="H38" s="16"/>
    </row>
    <row r="39" spans="1:8" s="24" customFormat="1" x14ac:dyDescent="0.2">
      <c r="A39" s="19" t="s">
        <v>98</v>
      </c>
      <c r="B39" s="20" t="s">
        <v>77</v>
      </c>
      <c r="C39" s="21">
        <v>4103</v>
      </c>
      <c r="D39" s="22">
        <v>117.39913900000001</v>
      </c>
      <c r="E39" s="22">
        <f t="shared" si="0"/>
        <v>1.6362063231196802</v>
      </c>
      <c r="F39" s="22" t="s">
        <v>99</v>
      </c>
      <c r="G39" s="23"/>
      <c r="H39" s="16"/>
    </row>
    <row r="40" spans="1:8" s="24" customFormat="1" x14ac:dyDescent="0.2">
      <c r="A40" s="19" t="s">
        <v>100</v>
      </c>
      <c r="B40" s="20" t="s">
        <v>33</v>
      </c>
      <c r="C40" s="21">
        <v>136000</v>
      </c>
      <c r="D40" s="22">
        <v>105.944</v>
      </c>
      <c r="E40" s="22">
        <f t="shared" si="0"/>
        <v>1.4765546338171303</v>
      </c>
      <c r="F40" s="22" t="s">
        <v>101</v>
      </c>
      <c r="G40" s="23"/>
      <c r="H40" s="16"/>
    </row>
    <row r="41" spans="1:8" s="24" customFormat="1" x14ac:dyDescent="0.2">
      <c r="A41" s="17" t="s">
        <v>102</v>
      </c>
      <c r="B41" s="20"/>
      <c r="C41" s="21"/>
      <c r="D41" s="25">
        <f>IF(ISERROR(SUM(D6:D40)),0,SUM(D6:D40))</f>
        <v>6720.4711884999997</v>
      </c>
      <c r="E41" s="25">
        <f>IF(ISERROR(SUM(E6:E40)),0,SUM(E6:E40))</f>
        <v>93.664038310939645</v>
      </c>
      <c r="F41" s="25"/>
      <c r="G41" s="23"/>
      <c r="H41" s="16"/>
    </row>
    <row r="42" spans="1:8" s="24" customFormat="1" x14ac:dyDescent="0.2">
      <c r="A42" s="17"/>
      <c r="B42" s="17"/>
      <c r="C42" s="26"/>
      <c r="D42" s="27"/>
      <c r="E42" s="27"/>
      <c r="F42" s="27"/>
      <c r="G42" s="23"/>
      <c r="H42" s="16"/>
    </row>
    <row r="43" spans="1:8" s="24" customFormat="1" x14ac:dyDescent="0.2">
      <c r="A43" s="17" t="s">
        <v>103</v>
      </c>
      <c r="B43" s="17"/>
      <c r="C43" s="26"/>
      <c r="D43" s="28" t="s">
        <v>104</v>
      </c>
      <c r="E43" s="28" t="s">
        <v>104</v>
      </c>
      <c r="F43" s="28"/>
      <c r="G43" s="23"/>
      <c r="H43" s="16"/>
    </row>
    <row r="44" spans="1:8" s="24" customFormat="1" x14ac:dyDescent="0.2">
      <c r="A44" s="17"/>
      <c r="B44" s="11"/>
      <c r="C44" s="26"/>
      <c r="D44" s="28"/>
      <c r="E44" s="28"/>
      <c r="F44" s="29"/>
      <c r="G44" s="23"/>
      <c r="H44" s="16"/>
    </row>
    <row r="45" spans="1:8" s="24" customFormat="1" x14ac:dyDescent="0.2">
      <c r="A45" s="17" t="s">
        <v>105</v>
      </c>
      <c r="B45" s="17"/>
      <c r="C45" s="26"/>
      <c r="D45" s="25">
        <f>IF(ISERROR(+D41),0,D41)+IF(ISERROR(+#REF!),0,#REF!)</f>
        <v>6720.4711884999997</v>
      </c>
      <c r="E45" s="25">
        <f>IF(ISERROR(+E41),0,E41)+IF(ISERROR(+#REF!),0,#REF!)</f>
        <v>93.664038310939645</v>
      </c>
      <c r="F45" s="30"/>
      <c r="G45" s="23"/>
      <c r="H45" s="16"/>
    </row>
    <row r="46" spans="1:8" s="24" customFormat="1" x14ac:dyDescent="0.2">
      <c r="A46" s="17"/>
      <c r="B46" s="11"/>
      <c r="C46" s="26"/>
      <c r="D46" s="28"/>
      <c r="E46" s="28"/>
      <c r="F46" s="29"/>
      <c r="G46" s="23"/>
      <c r="H46" s="16"/>
    </row>
    <row r="47" spans="1:8" s="24" customFormat="1" x14ac:dyDescent="0.2">
      <c r="A47" s="17" t="s">
        <v>106</v>
      </c>
      <c r="B47" s="11"/>
      <c r="C47" s="26"/>
      <c r="D47" s="28"/>
      <c r="E47" s="28"/>
      <c r="F47" s="29"/>
      <c r="G47" s="23"/>
      <c r="H47" s="16"/>
    </row>
    <row r="48" spans="1:8" s="24" customFormat="1" x14ac:dyDescent="0.2">
      <c r="A48" s="17" t="s">
        <v>11</v>
      </c>
      <c r="B48" s="11"/>
      <c r="C48" s="26"/>
      <c r="D48" s="28" t="s">
        <v>104</v>
      </c>
      <c r="E48" s="28" t="s">
        <v>104</v>
      </c>
      <c r="F48" s="31"/>
      <c r="G48" s="23"/>
      <c r="H48" s="16"/>
    </row>
    <row r="49" spans="1:8" s="24" customFormat="1" x14ac:dyDescent="0.2">
      <c r="A49" s="17"/>
      <c r="B49" s="11"/>
      <c r="C49" s="32"/>
      <c r="D49" s="31"/>
      <c r="E49" s="31"/>
      <c r="F49" s="31"/>
      <c r="G49" s="18"/>
      <c r="H49" s="16"/>
    </row>
    <row r="50" spans="1:8" s="24" customFormat="1" x14ac:dyDescent="0.2">
      <c r="A50" s="17" t="s">
        <v>107</v>
      </c>
      <c r="B50" s="11"/>
      <c r="C50" s="32"/>
      <c r="D50" s="28" t="s">
        <v>104</v>
      </c>
      <c r="E50" s="28" t="s">
        <v>104</v>
      </c>
      <c r="F50" s="29"/>
      <c r="G50" s="18"/>
      <c r="H50" s="16"/>
    </row>
    <row r="51" spans="1:8" s="24" customFormat="1" x14ac:dyDescent="0.2">
      <c r="A51" s="17"/>
      <c r="B51" s="11"/>
      <c r="C51" s="32"/>
      <c r="D51" s="28"/>
      <c r="E51" s="28"/>
      <c r="F51" s="28"/>
      <c r="G51" s="18"/>
      <c r="H51" s="16"/>
    </row>
    <row r="52" spans="1:8" s="24" customFormat="1" x14ac:dyDescent="0.2">
      <c r="A52" s="17" t="s">
        <v>108</v>
      </c>
      <c r="B52" s="11"/>
      <c r="C52" s="32"/>
      <c r="D52" s="28"/>
      <c r="E52" s="28"/>
      <c r="F52" s="28"/>
      <c r="G52" s="18"/>
      <c r="H52" s="16"/>
    </row>
    <row r="53" spans="1:8" s="24" customFormat="1" x14ac:dyDescent="0.2">
      <c r="A53" s="17"/>
      <c r="B53" s="11"/>
      <c r="C53" s="32"/>
      <c r="D53" s="28"/>
      <c r="E53" s="28"/>
      <c r="F53" s="28"/>
      <c r="G53" s="18"/>
      <c r="H53" s="16"/>
    </row>
    <row r="54" spans="1:8" s="24" customFormat="1" x14ac:dyDescent="0.2">
      <c r="A54" s="17" t="s">
        <v>109</v>
      </c>
      <c r="B54" s="11"/>
      <c r="C54" s="32"/>
      <c r="D54" s="28" t="s">
        <v>104</v>
      </c>
      <c r="E54" s="28" t="s">
        <v>104</v>
      </c>
      <c r="F54" s="28"/>
      <c r="G54" s="18"/>
      <c r="H54" s="16"/>
    </row>
    <row r="55" spans="1:8" s="24" customFormat="1" x14ac:dyDescent="0.2">
      <c r="A55" s="17"/>
      <c r="B55" s="11"/>
      <c r="C55" s="32"/>
      <c r="D55" s="28"/>
      <c r="E55" s="28"/>
      <c r="F55" s="28"/>
      <c r="G55" s="18"/>
      <c r="H55" s="16"/>
    </row>
    <row r="56" spans="1:8" s="24" customFormat="1" x14ac:dyDescent="0.2">
      <c r="A56" s="17" t="s">
        <v>110</v>
      </c>
      <c r="B56" s="11"/>
      <c r="C56" s="32"/>
      <c r="D56" s="28" t="s">
        <v>104</v>
      </c>
      <c r="E56" s="28" t="s">
        <v>104</v>
      </c>
      <c r="F56" s="28"/>
      <c r="G56" s="18"/>
      <c r="H56" s="16"/>
    </row>
    <row r="57" spans="1:8" s="24" customFormat="1" x14ac:dyDescent="0.2">
      <c r="A57" s="17"/>
      <c r="B57" s="11"/>
      <c r="C57" s="32"/>
      <c r="D57" s="28"/>
      <c r="E57" s="28"/>
      <c r="F57" s="28"/>
      <c r="G57" s="18"/>
      <c r="H57" s="16"/>
    </row>
    <row r="58" spans="1:8" s="24" customFormat="1" x14ac:dyDescent="0.2">
      <c r="A58" s="17" t="s">
        <v>111</v>
      </c>
      <c r="B58" s="11"/>
      <c r="C58" s="32"/>
      <c r="D58" s="28"/>
      <c r="E58" s="28"/>
      <c r="F58" s="29"/>
      <c r="G58" s="18"/>
      <c r="H58" s="16"/>
    </row>
    <row r="59" spans="1:8" s="24" customFormat="1" x14ac:dyDescent="0.2">
      <c r="A59" s="19" t="s">
        <v>112</v>
      </c>
      <c r="B59" s="20"/>
      <c r="C59" s="21">
        <v>0</v>
      </c>
      <c r="D59" s="22">
        <v>372.3128456</v>
      </c>
      <c r="E59" s="22">
        <f>(+D59/$D$67*100)</f>
        <v>5.1889701861391098</v>
      </c>
      <c r="F59" s="22" t="s">
        <v>113</v>
      </c>
      <c r="G59" s="18">
        <v>6.7727000000000004</v>
      </c>
      <c r="H59" s="16"/>
    </row>
    <row r="60" spans="1:8" s="24" customFormat="1" x14ac:dyDescent="0.2">
      <c r="A60" s="17" t="s">
        <v>102</v>
      </c>
      <c r="B60" s="11"/>
      <c r="C60" s="32"/>
      <c r="D60" s="28">
        <f>IF(ISERROR(SUM(D59:D59)),0,SUM(D59:D59))</f>
        <v>372.3128456</v>
      </c>
      <c r="E60" s="28">
        <f>IF(ISERROR(SUM(E59:E59)),0,SUM(E59:E59))</f>
        <v>5.1889701861391098</v>
      </c>
      <c r="F60" s="22"/>
      <c r="G60" s="18"/>
      <c r="H60" s="16"/>
    </row>
    <row r="61" spans="1:8" s="24" customFormat="1" x14ac:dyDescent="0.2">
      <c r="A61" s="17"/>
      <c r="B61" s="11"/>
      <c r="C61" s="32"/>
      <c r="D61" s="28"/>
      <c r="E61" s="28"/>
      <c r="F61" s="28"/>
      <c r="G61" s="18"/>
      <c r="H61" s="16"/>
    </row>
    <row r="62" spans="1:8" s="24" customFormat="1" x14ac:dyDescent="0.2">
      <c r="A62" s="17"/>
      <c r="B62" s="11"/>
      <c r="C62" s="32"/>
      <c r="D62" s="28"/>
      <c r="E62" s="28"/>
      <c r="F62" s="29"/>
      <c r="G62" s="18"/>
      <c r="H62" s="16"/>
    </row>
    <row r="63" spans="1:8" s="24" customFormat="1" x14ac:dyDescent="0.2">
      <c r="A63" s="17" t="s">
        <v>105</v>
      </c>
      <c r="B63" s="11"/>
      <c r="C63" s="32" t="s">
        <v>114</v>
      </c>
      <c r="D63" s="28">
        <f>+IF(ISERROR(#REF!),0,#REF!)+IF(ISERROR(D60),0,D60)+IF(ISERROR(D45),0,D45)+IF(ISERROR(#REF!),0,#REF!)+IF(ISERROR(#REF!),0,#REF!)+IF(ISERROR(#REF!),0,#REF!)+IF(ISERROR(#REF!),0,#REF!)+IF(ISERROR(#REF!),0,#REF!)+IF(ISERROR(#REF!),0,#REF!)</f>
        <v>7092.7840341000001</v>
      </c>
      <c r="E63" s="28">
        <f>+IF(ISERROR(#REF!),0,#REF!)+IF(ISERROR(E60),0,E60)+IF(ISERROR(E45),0,E45)+IF(ISERROR(#REF!),0,#REF!)+IF(ISERROR(#REF!),0,#REF!)+IF(ISERROR(#REF!),0,#REF!)+IF(ISERROR(#REF!),0,#REF!)+IF(ISERROR(#REF!),0,#REF!)+IF(ISERROR(#REF!),0,#REF!)</f>
        <v>98.853008497078761</v>
      </c>
      <c r="F63" s="28">
        <f>+IF(ISERROR(#REF!),0,#REF!)+IF(ISERROR(F60),0,F60)+IF(ISERROR(F45),0,F45)+IF(ISERROR(#REF!),0,#REF!)+IF(ISERROR(#REF!),0,#REF!)+IF(ISERROR(#REF!),0,#REF!)+IF(ISERROR(#REF!),0,#REF!)</f>
        <v>0</v>
      </c>
      <c r="G63" s="18"/>
      <c r="H63" s="16"/>
    </row>
    <row r="64" spans="1:8" s="24" customFormat="1" x14ac:dyDescent="0.2">
      <c r="A64" s="17"/>
      <c r="B64" s="11"/>
      <c r="C64" s="32"/>
      <c r="D64" s="28"/>
      <c r="E64" s="28"/>
      <c r="F64" s="33"/>
      <c r="G64" s="33"/>
      <c r="H64" s="33"/>
    </row>
    <row r="65" spans="1:8" s="24" customFormat="1" x14ac:dyDescent="0.2">
      <c r="A65" s="17" t="s">
        <v>115</v>
      </c>
      <c r="B65" s="11"/>
      <c r="C65" s="32"/>
      <c r="D65" s="28">
        <f>+D67-D63</f>
        <v>82.297576400099388</v>
      </c>
      <c r="E65" s="28">
        <f>D65/$D$67*100</f>
        <v>1.146991502921223</v>
      </c>
      <c r="F65" s="33"/>
      <c r="G65" s="33"/>
      <c r="H65" s="33"/>
    </row>
    <row r="66" spans="1:8" s="24" customFormat="1" x14ac:dyDescent="0.2">
      <c r="A66" s="17"/>
      <c r="B66" s="11"/>
      <c r="C66" s="32"/>
      <c r="D66" s="31"/>
      <c r="E66" s="31"/>
      <c r="F66" s="33"/>
      <c r="G66" s="33"/>
      <c r="H66" s="33"/>
    </row>
    <row r="67" spans="1:8" s="24" customFormat="1" x14ac:dyDescent="0.2">
      <c r="A67" s="17" t="s">
        <v>116</v>
      </c>
      <c r="B67" s="11"/>
      <c r="C67" s="32"/>
      <c r="D67" s="28">
        <v>7175.0816105000995</v>
      </c>
      <c r="E67" s="28">
        <f>+E63+E65</f>
        <v>99.999999999999986</v>
      </c>
      <c r="F67" s="33"/>
      <c r="G67" s="33"/>
      <c r="H67" s="33"/>
    </row>
    <row r="68" spans="1:8" s="24" customFormat="1" x14ac:dyDescent="0.2">
      <c r="A68" s="34"/>
      <c r="B68" s="35"/>
      <c r="C68" s="36"/>
      <c r="D68" s="37"/>
      <c r="E68" s="37"/>
      <c r="F68" s="33"/>
      <c r="G68" s="33"/>
      <c r="H68" s="33"/>
    </row>
    <row r="69" spans="1:8" ht="15" customHeight="1" x14ac:dyDescent="0.25">
      <c r="A69" s="51" t="s">
        <v>117</v>
      </c>
      <c r="B69" s="51"/>
      <c r="C69" s="51"/>
      <c r="D69" s="51"/>
      <c r="E69" s="51"/>
      <c r="F69" s="51"/>
      <c r="G69" s="51"/>
      <c r="H69" s="51"/>
    </row>
    <row r="70" spans="1:8" ht="29.25" customHeight="1" x14ac:dyDescent="0.25">
      <c r="A70" s="51" t="s">
        <v>118</v>
      </c>
      <c r="B70" s="51"/>
      <c r="C70" s="51"/>
      <c r="D70" s="51"/>
      <c r="E70" s="51"/>
      <c r="F70" s="52"/>
      <c r="G70" s="52"/>
      <c r="H70" s="52"/>
    </row>
    <row r="71" spans="1:8" ht="13.5" x14ac:dyDescent="0.25">
      <c r="A71" s="53" t="s">
        <v>119</v>
      </c>
      <c r="B71" s="52"/>
      <c r="C71" s="52"/>
      <c r="D71" s="52"/>
      <c r="E71" s="52"/>
      <c r="F71" s="52"/>
      <c r="G71" s="52"/>
      <c r="H71" s="52"/>
    </row>
    <row r="72" spans="1:8" ht="63.75" customHeight="1" x14ac:dyDescent="0.25">
      <c r="A72" s="54" t="s">
        <v>120</v>
      </c>
      <c r="B72" s="54"/>
      <c r="C72" s="54"/>
      <c r="D72" s="54"/>
      <c r="E72" s="54"/>
      <c r="F72" s="52"/>
      <c r="G72" s="52"/>
      <c r="H72" s="52"/>
    </row>
    <row r="73" spans="1:8" x14ac:dyDescent="0.2">
      <c r="A73" s="38"/>
      <c r="B73" s="39"/>
      <c r="C73" s="40"/>
      <c r="D73" s="41"/>
      <c r="G73" s="33"/>
      <c r="H73" s="33"/>
    </row>
    <row r="74" spans="1:8" ht="15" x14ac:dyDescent="0.25">
      <c r="A74" s="42" t="s">
        <v>121</v>
      </c>
      <c r="B74" s="43"/>
      <c r="C74" s="43"/>
      <c r="G74" s="33"/>
      <c r="H74" s="33"/>
    </row>
    <row r="75" spans="1:8" ht="15" x14ac:dyDescent="0.25">
      <c r="A75" s="44" t="s">
        <v>122</v>
      </c>
      <c r="B75" s="43"/>
      <c r="C75" s="2"/>
      <c r="G75" s="33"/>
      <c r="H75" s="33"/>
    </row>
    <row r="76" spans="1:8" ht="15" x14ac:dyDescent="0.25">
      <c r="A76" s="45" t="s">
        <v>123</v>
      </c>
      <c r="B76" s="45"/>
      <c r="C76" s="45"/>
      <c r="G76" s="33"/>
      <c r="H76" s="33"/>
    </row>
    <row r="77" spans="1:8" ht="15" x14ac:dyDescent="0.25">
      <c r="A77" s="44" t="s">
        <v>124</v>
      </c>
      <c r="B77" s="43"/>
      <c r="C77" s="43"/>
      <c r="G77" s="33"/>
      <c r="H77" s="33"/>
    </row>
    <row r="78" spans="1:8" ht="15" x14ac:dyDescent="0.25">
      <c r="A78" s="44"/>
      <c r="B78" s="43"/>
      <c r="C78" s="2"/>
      <c r="G78" s="33"/>
      <c r="H78" s="33"/>
    </row>
    <row r="79" spans="1:8" ht="15" x14ac:dyDescent="0.25">
      <c r="A79" s="46" t="s">
        <v>125</v>
      </c>
      <c r="B79" s="43"/>
      <c r="C79" s="47" t="s">
        <v>126</v>
      </c>
      <c r="G79" s="33"/>
      <c r="H79" s="33"/>
    </row>
    <row r="80" spans="1:8" x14ac:dyDescent="0.2">
      <c r="A80" s="43"/>
      <c r="B80" s="43"/>
      <c r="C80" s="43"/>
      <c r="G80" s="33"/>
      <c r="H80" s="33"/>
    </row>
    <row r="81" spans="1:3" x14ac:dyDescent="0.2">
      <c r="A81" s="43"/>
      <c r="B81" s="43"/>
      <c r="C81" s="43"/>
    </row>
    <row r="82" spans="1:3" x14ac:dyDescent="0.2">
      <c r="A82" s="43"/>
      <c r="B82" s="43"/>
      <c r="C82" s="43"/>
    </row>
    <row r="83" spans="1:3" x14ac:dyDescent="0.2">
      <c r="A83" s="43"/>
      <c r="B83" s="43"/>
      <c r="C83" s="43"/>
    </row>
    <row r="84" spans="1:3" x14ac:dyDescent="0.2">
      <c r="A84" s="43"/>
      <c r="B84" s="43"/>
      <c r="C84" s="43"/>
    </row>
    <row r="85" spans="1:3" x14ac:dyDescent="0.2">
      <c r="A85" s="43"/>
      <c r="B85" s="43"/>
      <c r="C85" s="43"/>
    </row>
    <row r="86" spans="1:3" x14ac:dyDescent="0.2">
      <c r="A86" s="43"/>
      <c r="B86" s="43"/>
      <c r="C86" s="43"/>
    </row>
    <row r="87" spans="1:3" x14ac:dyDescent="0.2">
      <c r="A87" s="43"/>
      <c r="B87" s="43"/>
      <c r="C87" s="43"/>
    </row>
    <row r="88" spans="1:3" x14ac:dyDescent="0.2">
      <c r="A88" s="43"/>
      <c r="B88" s="43"/>
      <c r="C88" s="43"/>
    </row>
    <row r="89" spans="1:3" x14ac:dyDescent="0.2">
      <c r="A89" s="43"/>
      <c r="B89" s="43"/>
      <c r="C89" s="43"/>
    </row>
    <row r="90" spans="1:3" x14ac:dyDescent="0.2">
      <c r="A90" s="43"/>
      <c r="B90" s="43"/>
      <c r="C90" s="43"/>
    </row>
    <row r="91" spans="1:3" x14ac:dyDescent="0.2">
      <c r="A91" s="43"/>
      <c r="B91" s="43"/>
      <c r="C91" s="43"/>
    </row>
    <row r="92" spans="1:3" x14ac:dyDescent="0.2">
      <c r="A92" s="43"/>
      <c r="B92" s="43"/>
      <c r="C92" s="43"/>
    </row>
    <row r="93" spans="1:3" x14ac:dyDescent="0.2">
      <c r="A93" s="43"/>
      <c r="B93" s="43"/>
      <c r="C93" s="43"/>
    </row>
  </sheetData>
  <mergeCells count="7">
    <mergeCell ref="A1:H1"/>
    <mergeCell ref="A2:F2"/>
    <mergeCell ref="A76:C76"/>
    <mergeCell ref="A69:H69"/>
    <mergeCell ref="A70:H70"/>
    <mergeCell ref="A71:H71"/>
    <mergeCell ref="A72:H72"/>
  </mergeCells>
  <pageMargins left="0.75" right="0.25" top="1" bottom="1" header="0.5" footer="0.5"/>
  <pageSetup paperSize="9" scale="29"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TG</vt:lpstr>
      <vt:lpstr>TG!Print_Area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Tejasvi Gupta</dc:creator>
  <cp:lastModifiedBy>Tejasvi Gupta</cp:lastModifiedBy>
  <dcterms:created xsi:type="dcterms:W3CDTF">2023-04-05T07:46:58Z</dcterms:created>
  <dcterms:modified xsi:type="dcterms:W3CDTF">2023-04-05T08:05:41Z</dcterms:modified>
</cp:coreProperties>
</file>