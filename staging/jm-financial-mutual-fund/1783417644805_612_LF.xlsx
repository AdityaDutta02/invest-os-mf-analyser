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mc:Choice>
  </mc:AlternateContent>
  <bookViews>
    <workbookView xWindow="0" yWindow="0" windowWidth="20490" windowHeight="7650"/>
  </bookViews>
  <sheets>
    <sheet name="LF" sheetId="1" r:id="rId1"/>
  </sheets>
  <definedNames>
    <definedName name="_xlnm._FilterDatabase" localSheetId="0" hidden="1">LF!$A$1:$H$75</definedName>
    <definedName name="Afs">#REF!</definedName>
    <definedName name="_xlnm.Database">#REF!</definedName>
    <definedName name="EBLDB">#REF!</definedName>
    <definedName name="fl">#REF!</definedName>
    <definedName name="_xlnm.Print_Area" localSheetId="0">LF!$A$1:$E$53</definedName>
  </definedNames>
  <calcPr calcId="162913" calcMode="autoNoTable"/>
</workbook>
</file>

<file path=xl/calcChain.xml><?xml version="1.0" encoding="utf-8"?>
<calcChain xmlns="http://schemas.openxmlformats.org/spreadsheetml/2006/main">
  <c r="D67" i="1" l="1"/>
  <c r="E66" i="1"/>
  <c r="E67" i="1"/>
  <c r="D64" i="1"/>
  <c r="E63" i="1"/>
  <c r="E62" i="1"/>
  <c r="E61" i="1"/>
  <c r="E60" i="1"/>
  <c r="E59" i="1"/>
  <c r="E58" i="1"/>
  <c r="E57" i="1"/>
  <c r="E56" i="1"/>
  <c r="E55"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F11" i="1"/>
  <c r="F69" i="1"/>
  <c r="D7" i="1"/>
  <c r="D11" i="1"/>
  <c r="E6" i="1"/>
  <c r="E7" i="1"/>
  <c r="E11" i="1"/>
  <c r="D69" i="1"/>
  <c r="D71" i="1"/>
  <c r="E71" i="1"/>
  <c r="E64" i="1"/>
  <c r="E69" i="1"/>
  <c r="E73" i="1"/>
</calcChain>
</file>

<file path=xl/sharedStrings.xml><?xml version="1.0" encoding="utf-8"?>
<sst xmlns="http://schemas.openxmlformats.org/spreadsheetml/2006/main" count="201" uniqueCount="141">
  <si>
    <t>JM Liquid Fund (An Open-Ended Liquid Scheme) A relatively low interest rate risk and moderate credit risk.</t>
  </si>
  <si>
    <t>Portfolio as on 31.12.2022</t>
  </si>
  <si>
    <t>Name of the Instruments</t>
  </si>
  <si>
    <t>Industry/Rating</t>
  </si>
  <si>
    <t>Quantity</t>
  </si>
  <si>
    <t>Market Value (Rs. In Lakhs)</t>
  </si>
  <si>
    <t>% age to NAV</t>
  </si>
  <si>
    <t>ISIN</t>
  </si>
  <si>
    <t>Yield %</t>
  </si>
  <si>
    <t>^YTC (AT1/Tier 2 bonds)</t>
  </si>
  <si>
    <t>DEBT INSTRUMENTS</t>
  </si>
  <si>
    <t>a) Listed/Awaiting Listing On  Stock Exchange</t>
  </si>
  <si>
    <t>Jamnagar Utilities &amp; Power Ltd.</t>
  </si>
  <si>
    <t>CARE AAA</t>
  </si>
  <si>
    <t>INE936D07158</t>
  </si>
  <si>
    <t>Sub Total:</t>
  </si>
  <si>
    <t>b) Privately Placed / Unlisted</t>
  </si>
  <si>
    <t>NIL</t>
  </si>
  <si>
    <t>Total:</t>
  </si>
  <si>
    <t>TERM DEPOSITS</t>
  </si>
  <si>
    <t>Deposits (Maturity not exceeding 91 days)</t>
  </si>
  <si>
    <t>Deposits (Placed as F &amp; O margin)</t>
  </si>
  <si>
    <t>No. of Days</t>
  </si>
  <si>
    <t>MONEY MARKET INSTRUMENTS</t>
  </si>
  <si>
    <t>Certificate of Deposit (CD) / Commercial Paper (CP)</t>
  </si>
  <si>
    <t>The Tata Power Company Ltd.CP</t>
  </si>
  <si>
    <t>CRISIL A1+</t>
  </si>
  <si>
    <t>INE245A14HB9</t>
  </si>
  <si>
    <t>Punjab National Bank CD</t>
  </si>
  <si>
    <t>IND A1+</t>
  </si>
  <si>
    <t>INE160A16MR1</t>
  </si>
  <si>
    <t>Birla Group Holdings Pvt.Ltd.CP**</t>
  </si>
  <si>
    <t>INE09OL14CA7</t>
  </si>
  <si>
    <t>Indian Bank CD</t>
  </si>
  <si>
    <t>INE562A16LE8</t>
  </si>
  <si>
    <t>Canara Bank CD**</t>
  </si>
  <si>
    <t>INE476A16TK1</t>
  </si>
  <si>
    <t>Bajaj Finance Ltd. CP**</t>
  </si>
  <si>
    <t>INE296A14TV5</t>
  </si>
  <si>
    <t>HDFC Bank Ltd.CD**</t>
  </si>
  <si>
    <t>CARE A1+</t>
  </si>
  <si>
    <t>INE040A16DL7</t>
  </si>
  <si>
    <t>Indian Bank CD**</t>
  </si>
  <si>
    <t>INE562A16LA6</t>
  </si>
  <si>
    <t>LIC Housing Finance Ltd.CP**</t>
  </si>
  <si>
    <t>INE115A14DO6</t>
  </si>
  <si>
    <t>Reliance Retail Ventures Ltd.CP**</t>
  </si>
  <si>
    <t>INE929O14842</t>
  </si>
  <si>
    <t>INE476A16UD4</t>
  </si>
  <si>
    <t>NABARD CD**</t>
  </si>
  <si>
    <t>INE261F16637</t>
  </si>
  <si>
    <t>Bank of Baroda CD**</t>
  </si>
  <si>
    <t>INE028A16CX9</t>
  </si>
  <si>
    <t>Standard Chartered Capital Ltd.CP**</t>
  </si>
  <si>
    <t>INE403G14PJ7</t>
  </si>
  <si>
    <t>Export Import Bank Of India CP**</t>
  </si>
  <si>
    <t>INE514E14QT3</t>
  </si>
  <si>
    <t>SIDBI Ltd.CD**</t>
  </si>
  <si>
    <t>INE556F16945</t>
  </si>
  <si>
    <t>INE040A16CX4</t>
  </si>
  <si>
    <t>Axis Bank CD**</t>
  </si>
  <si>
    <t>INE238A162Z1</t>
  </si>
  <si>
    <t>Housing Development Finance Corporation Ltd.CP**</t>
  </si>
  <si>
    <t>INE001A14ZX2</t>
  </si>
  <si>
    <t>Mahindra&amp;Mahindra Financial Services Ltd.CP**</t>
  </si>
  <si>
    <t>INE774D14RJ4</t>
  </si>
  <si>
    <t>Axis Bank CD</t>
  </si>
  <si>
    <t>INE238A161Z3</t>
  </si>
  <si>
    <t>INE238AD6074</t>
  </si>
  <si>
    <t>ICICI Securities Ltd.CP**</t>
  </si>
  <si>
    <t>INE763G14NL5</t>
  </si>
  <si>
    <t>Aditya Birla Finance Ltd.CP**</t>
  </si>
  <si>
    <t>ICRA A1+</t>
  </si>
  <si>
    <t>INE860H14Y90</t>
  </si>
  <si>
    <t>INE238A165Y7</t>
  </si>
  <si>
    <t>INE476A16UJ1</t>
  </si>
  <si>
    <t>INE028A16CO8</t>
  </si>
  <si>
    <t>INE261F16652</t>
  </si>
  <si>
    <t>INE556F16937</t>
  </si>
  <si>
    <t>INE238AD6066</t>
  </si>
  <si>
    <t>INE860H14Z32</t>
  </si>
  <si>
    <t>Export-Import Bank of India CD**</t>
  </si>
  <si>
    <t>INE514E16BY0</t>
  </si>
  <si>
    <t>Aditya Birla Money Ltd.CP**</t>
  </si>
  <si>
    <t>INE865C14IC6</t>
  </si>
  <si>
    <t>Treasury Bills</t>
  </si>
  <si>
    <t>91 Days Treasury-Bill 02/03/2023</t>
  </si>
  <si>
    <t>Sovereign</t>
  </si>
  <si>
    <t>IN002022X353</t>
  </si>
  <si>
    <t>91 Days Treasury-Bill 02/02/2023</t>
  </si>
  <si>
    <t>IN002022X312</t>
  </si>
  <si>
    <t>182 Days Treasury-Bill 23/02/2023</t>
  </si>
  <si>
    <t>IN002022Y211</t>
  </si>
  <si>
    <t>91 Days Treasury-Bill 16/03/2023</t>
  </si>
  <si>
    <t>IN002022X379</t>
  </si>
  <si>
    <t>182 Days Treasury-Bill 09/02/2023</t>
  </si>
  <si>
    <t>IN002022Y195</t>
  </si>
  <si>
    <t>364 Days Treasury-Bill 26/01/2023</t>
  </si>
  <si>
    <t>IN002021Z459</t>
  </si>
  <si>
    <t>182 Days Treasury-Bill 02/03/2023</t>
  </si>
  <si>
    <t>IN002022Y229</t>
  </si>
  <si>
    <t>182 Days Treasury-Bill 26/01/2023</t>
  </si>
  <si>
    <t>IN002022Y179</t>
  </si>
  <si>
    <t>364 Days Treasury-Bill 02/02/2023</t>
  </si>
  <si>
    <t>IN002021Z467</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</si>
  <si>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</si>
  <si>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</si>
  <si>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</si>
  <si>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</si>
  <si>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</si>
  <si>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</si>
  <si>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</si>
  <si>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</si>
  <si>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</si>
  <si>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</si>
  <si>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</si>
  <si>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</si>
  <si>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</si>
  <si>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</si>
  <si>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</si>
  <si>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 xml:space="preserve">CRISIL Liquid Fund BI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</si>
  <si>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</si>
  <si>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</si>
  <si>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</si>
  <si>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</si>
  <si>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</si>
  <si>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</si>
  <si>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</si>
  <si>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B-I</t>
  </si>
  <si>
    <t>Moderate (Class II)</t>
  </si>
  <si>
    <t>Relatively High Class (Class III)</t>
  </si>
  <si>
    <t>Scheme Name :</t>
  </si>
  <si>
    <t>JM Liquid Fund</t>
  </si>
  <si>
    <t>Description (if any)</t>
  </si>
  <si>
    <t>Annualised Portfolio YTM* :</t>
  </si>
  <si>
    <t>Macaulay Duration</t>
  </si>
  <si>
    <t>Residual Maturity</t>
  </si>
  <si>
    <t xml:space="preserve">As on (Date) </t>
  </si>
  <si>
    <t>31.12.2022</t>
  </si>
  <si>
    <t xml:space="preserve">* in case of semi annual YTM,  it will be annualised </t>
  </si>
  <si>
    <t xml:space="preserve"> Portfolio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</si>
</sst>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8"/>
      </left>
      <right style="medium">
        <color indexed="8"/>
      </right>
      <top style="medium">
        <color indexed="8"/>
      </top>
      <bottom/>
      <diagonal/>
    </border>
    <border>
      <left/>
      <right/>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4" fillId="0" borderId="0"/>
    <xf numFmtId="0" fontId="6" fillId="0" borderId="0"/>
    <xf numFmtId="0" fontId="6" fillId="0" borderId="0"/>
    <xf numFmtId="0" fontId="6" fillId="0" borderId="0"/>
  </cellStyleXfs>
  <cellXfs count="68">
    <xf numFmtId="0" fontId="0" fillId="0" borderId="0" xfId="0"/>
    <xf numFmtId="0" fontId="2" fillId="0" borderId="0" xfId="0" applyFont="1"/>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165" fontId="3" fillId="0" borderId="1" xfId="1" applyNumberFormat="1"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center" wrapText="1"/>
    </xf>
    <xf numFmtId="0" fontId="2" fillId="0" borderId="0" xfId="0" applyFont="1" applyAlignment="1">
      <alignment horizontal="center"/>
    </xf>
    <xf numFmtId="0" fontId="3" fillId="0" borderId="1" xfId="0" applyFont="1" applyFill="1" applyBorder="1" applyAlignment="1">
      <alignment wrapText="1"/>
    </xf>
    <xf numFmtId="0" fontId="3" fillId="0" borderId="1" xfId="0" applyFont="1" applyFill="1" applyBorder="1" applyAlignment="1">
      <alignment horizontal="left" wrapText="1"/>
    </xf>
    <xf numFmtId="165" fontId="3" fillId="0" borderId="1" xfId="1" applyNumberFormat="1" applyFont="1" applyFill="1" applyBorder="1"/>
    <xf numFmtId="164" fontId="3" fillId="0" borderId="1" xfId="1" applyFont="1" applyFill="1" applyBorder="1" applyAlignment="1">
      <alignment horizontal="right"/>
    </xf>
    <xf numFmtId="0" fontId="2" fillId="0" borderId="1" xfId="0" applyFont="1" applyFill="1" applyBorder="1" applyAlignment="1">
      <alignment horizontal="right"/>
    </xf>
    <xf numFmtId="166" fontId="2" fillId="0" borderId="1" xfId="0" applyNumberFormat="1" applyFont="1" applyFill="1" applyBorder="1"/>
    <xf numFmtId="0" fontId="2" fillId="0" borderId="1" xfId="0" applyFont="1" applyBorder="1"/>
    <xf numFmtId="0" fontId="2" fillId="0" borderId="0" xfId="0" applyFont="1" applyFill="1"/>
    <xf numFmtId="164" fontId="2" fillId="0" borderId="1" xfId="1" applyFont="1" applyFill="1" applyBorder="1" applyAlignment="1">
      <alignment horizontal="right"/>
    </xf>
    <xf numFmtId="4" fontId="2" fillId="0" borderId="1" xfId="0" applyNumberFormat="1" applyFont="1" applyFill="1" applyBorder="1" applyAlignment="1">
      <alignment wrapText="1"/>
    </xf>
    <xf numFmtId="0" fontId="2" fillId="0" borderId="1" xfId="0" applyFont="1" applyFill="1" applyBorder="1" applyAlignment="1">
      <alignment wrapText="1"/>
    </xf>
    <xf numFmtId="165" fontId="2" fillId="0" borderId="1" xfId="1" applyNumberFormat="1" applyFont="1" applyFill="1" applyBorder="1"/>
    <xf numFmtId="164" fontId="3" fillId="0" borderId="1" xfId="1" applyFont="1" applyFill="1" applyBorder="1"/>
    <xf numFmtId="164" fontId="2" fillId="0" borderId="1" xfId="1" applyFont="1" applyFill="1" applyBorder="1"/>
    <xf numFmtId="165" fontId="3" fillId="0" borderId="1" xfId="1" applyNumberFormat="1" applyFont="1" applyFill="1" applyBorder="1" applyAlignment="1">
      <alignment horizontal="right"/>
    </xf>
    <xf numFmtId="164" fontId="2" fillId="0" borderId="2" xfId="1" applyFont="1" applyFill="1" applyBorder="1"/>
    <xf numFmtId="2" fontId="2" fillId="0" borderId="1" xfId="0" applyNumberFormat="1" applyFont="1" applyFill="1" applyBorder="1" applyAlignment="1">
      <alignment horizontal="right"/>
    </xf>
    <xf numFmtId="0" fontId="2" fillId="0" borderId="1" xfId="0" applyFont="1" applyFill="1" applyBorder="1" applyAlignment="1">
      <alignment horizontal="left" wrapText="1"/>
    </xf>
    <xf numFmtId="165" fontId="2" fillId="0" borderId="1" xfId="1" applyNumberFormat="1" applyFont="1" applyFill="1" applyBorder="1" applyAlignment="1">
      <alignment horizontal="right"/>
    </xf>
    <xf numFmtId="4" fontId="3" fillId="0" borderId="1"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164" fontId="2" fillId="0" borderId="0" xfId="1" applyFont="1" applyFill="1" applyAlignment="1">
      <alignment horizontal="right"/>
    </xf>
    <xf numFmtId="164" fontId="2" fillId="0" borderId="0" xfId="1" applyFont="1" applyFill="1" applyBorder="1" applyAlignment="1">
      <alignment horizontal="right"/>
    </xf>
    <xf numFmtId="0" fontId="6" fillId="0" borderId="0" xfId="5" applyBorder="1" applyAlignment="1">
      <alignment horizontal="left" vertical="center" wrapText="1"/>
    </xf>
    <xf numFmtId="0" fontId="8" fillId="0" borderId="0" xfId="6" applyFont="1" applyBorder="1"/>
    <xf numFmtId="0" fontId="1" fillId="0" borderId="0" xfId="2" applyFont="1" applyFill="1" applyBorder="1" applyAlignment="1">
      <alignment horizontal="left" wrapText="1"/>
    </xf>
    <xf numFmtId="0" fontId="3" fillId="0" borderId="0" xfId="2" applyFont="1" applyFill="1" applyBorder="1" applyAlignment="1">
      <alignment horizontal="left"/>
    </xf>
    <xf numFmtId="0" fontId="6" fillId="0" borderId="0" xfId="6" applyBorder="1"/>
    <xf numFmtId="0" fontId="9" fillId="0" borderId="0" xfId="4" applyFont="1"/>
    <xf numFmtId="0" fontId="10" fillId="0" borderId="0" xfId="0" applyNumberFormat="1" applyFont="1" applyFill="1" applyBorder="1"/>
    <xf numFmtId="0" fontId="2" fillId="0" borderId="0" xfId="0" applyFont="1" applyAlignment="1">
      <alignment horizontal="left" wrapText="1"/>
    </xf>
    <xf numFmtId="165" fontId="2" fillId="0" borderId="0" xfId="1" applyNumberFormat="1" applyFont="1"/>
    <xf numFmtId="0" fontId="2" fillId="0" borderId="0" xfId="0" applyFont="1" applyAlignment="1">
      <alignment wrapText="1"/>
    </xf>
    <xf numFmtId="0" fontId="11" fillId="0" borderId="3" xfId="0" applyFont="1" applyBorder="1" applyAlignment="1">
      <alignment vertical="center" wrapText="1"/>
    </xf>
    <xf numFmtId="0" fontId="13" fillId="0" borderId="3" xfId="0" applyFont="1" applyBorder="1" applyAlignment="1">
      <alignment vertical="center" wrapText="1"/>
    </xf>
    <xf numFmtId="0" fontId="14" fillId="0" borderId="4" xfId="0" applyFont="1" applyBorder="1" applyAlignment="1">
      <alignment vertical="center" wrapText="1"/>
    </xf>
    <xf numFmtId="0" fontId="13" fillId="2" borderId="4" xfId="0" applyFont="1" applyFill="1" applyBorder="1" applyAlignment="1">
      <alignment horizontal="center" vertical="center" wrapText="1"/>
    </xf>
    <xf numFmtId="0" fontId="2" fillId="0" borderId="1" xfId="0" applyFont="1" applyBorder="1" applyAlignment="1">
      <alignment wrapText="1"/>
    </xf>
    <xf numFmtId="0" fontId="2" fillId="0" borderId="1" xfId="0" applyFont="1" applyBorder="1" applyAlignment="1">
      <alignment horizontal="left" wrapText="1"/>
    </xf>
    <xf numFmtId="0" fontId="2" fillId="0" borderId="1" xfId="0" applyFont="1" applyFill="1" applyBorder="1"/>
    <xf numFmtId="0" fontId="2" fillId="0" borderId="0" xfId="0" applyFont="1" applyFill="1" applyBorder="1" applyAlignment="1">
      <alignment horizontal="left" wrapText="1"/>
    </xf>
    <xf numFmtId="165" fontId="2" fillId="0" borderId="0" xfId="1" applyNumberFormat="1" applyFont="1" applyFill="1" applyBorder="1" applyAlignment="1">
      <alignment horizontal="right"/>
    </xf>
    <xf numFmtId="0" fontId="11" fillId="0" borderId="5" xfId="0" applyFont="1" applyBorder="1" applyAlignment="1">
      <alignment horizontal="left" vertical="top" wrapText="1"/>
    </xf>
    <xf numFmtId="0" fontId="11" fillId="0" borderId="3" xfId="0" applyFont="1" applyBorder="1" applyAlignment="1">
      <alignment horizontal="left" vertical="top" wrapText="1"/>
    </xf>
    <xf numFmtId="0" fontId="1" fillId="3" borderId="0" xfId="0" applyFont="1" applyFill="1" applyBorder="1" applyAlignment="1">
      <alignment horizontal="left" vertical="center" wrapText="1"/>
    </xf>
    <xf numFmtId="0" fontId="1" fillId="3" borderId="6" xfId="0" applyFont="1" applyFill="1" applyBorder="1" applyAlignment="1">
      <alignment horizontal="left" wrapText="1"/>
    </xf>
    <xf numFmtId="0" fontId="5" fillId="0" borderId="0" xfId="3" applyFont="1" applyAlignment="1">
      <alignment horizontal="left" wrapText="1"/>
    </xf>
    <xf numFmtId="0" fontId="5" fillId="0" borderId="0" xfId="3" applyFont="1" applyAlignment="1">
      <alignment horizontal="left" vertical="top"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7" fillId="0" borderId="0" xfId="5" applyFont="1" applyBorder="1" applyAlignment="1">
      <alignment horizontal="left" vertical="center" wrapText="1"/>
    </xf>
    <xf numFmtId="0" fontId="2" fillId="0" borderId="2" xfId="0" applyFont="1" applyBorder="1" applyAlignment="1">
      <alignment horizontal="center" wrapText="1"/>
    </xf>
    <xf numFmtId="0" fontId="2" fillId="0" borderId="10" xfId="0" applyFont="1" applyBorder="1" applyAlignment="1">
      <alignment horizontal="center" wrapText="1"/>
    </xf>
  </cellXfs>
  <cellStyles count="7">
    <cellStyle name="Comma" xfId="1" builtinId="3"/>
    <cellStyle name="Normal" xfId="0" builtinId="0"/>
    <cellStyle name="Normal 2 2" xfId="2"/>
    <cellStyle name="Normal 2 3 2" xfId="3"/>
    <cellStyle name="Normal 4_IF" xfId="4"/>
    <cellStyle name="Normal 4_LD" xfId="5"/>
    <cellStyle name="Normal 4_LF"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333375</xdr:colOff>
      <xdr:row>88</xdr:row>
      <xdr:rowOff>104775</xdr:rowOff>
    </xdr:from>
    <xdr:to>
      <xdr:col>5</xdr:col>
      <xdr:colOff>495300</xdr:colOff>
      <xdr:row>102</xdr:row>
      <xdr:rowOff>19050</xdr:rowOff>
    </xdr:to>
    <xdr:pic>
      <xdr:nvPicPr>
        <xdr:cNvPr id="1025" name="Picture 3"/>
        <xdr:cNvPicPr>
          <a:picLocks noChangeAspect="1"/>
        </xdr:cNvPicPr>
      </xdr:nvPicPr>
      <xdr:blipFill>
        <a:blip xmlns:r="http://schemas.openxmlformats.org/officeDocument/2006/relationships" r:embed="rId1" cstate="print"/>
        <a:srcRect/>
        <a:stretch>
          <a:fillRect/>
        </a:stretch>
      </xdr:blipFill>
      <xdr:spPr bwMode="auto">
        <a:xfrm>
          <a:off x="5238750" y="15849600"/>
          <a:ext cx="3781425" cy="2181225"/>
        </a:xfrm>
        <a:prstGeom prst="rect">
          <a:avLst/>
        </a:prstGeom>
        <a:noFill/>
        <a:ln w="9525">
          <a:noFill/>
          <a:miter lim="800000"/>
          <a:headEnd/>
          <a:tailEnd/>
        </a:ln>
      </xdr:spPr>
    </xdr:pic>
    <xdr:clientData/>
  </xdr:twoCellAnchor>
  <xdr:twoCellAnchor editAs="oneCell">
    <xdr:from>
      <xdr:col>0</xdr:col>
      <xdr:colOff>257175</xdr:colOff>
      <xdr:row>88</xdr:row>
      <xdr:rowOff>85725</xdr:rowOff>
    </xdr:from>
    <xdr:to>
      <xdr:col>1</xdr:col>
      <xdr:colOff>0</xdr:colOff>
      <xdr:row>102</xdr:row>
      <xdr:rowOff>9525</xdr:rowOff>
    </xdr:to>
    <xdr:pic>
      <xdr:nvPicPr>
        <xdr:cNvPr id="1026" name="Picture 1"/>
        <xdr:cNvPicPr>
          <a:picLocks noChangeAspect="1"/>
        </xdr:cNvPicPr>
      </xdr:nvPicPr>
      <xdr:blipFill>
        <a:blip xmlns:r="http://schemas.openxmlformats.org/officeDocument/2006/relationships" r:embed="rId2" cstate="print"/>
        <a:srcRect/>
        <a:stretch>
          <a:fillRect/>
        </a:stretch>
      </xdr:blipFill>
      <xdr:spPr bwMode="auto">
        <a:xfrm>
          <a:off x="257175" y="15830550"/>
          <a:ext cx="3495675" cy="21907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4"/>
  <sheetViews>
    <sheetView tabSelected="1" topLeftCell="A70" zoomScaleNormal="100" workbookViewId="0">
      <selection activeCell="A115" sqref="A115"/>
    </sheetView>
  </sheetViews>
  <sheetFormatPr defaultRowHeight="12.75" x14ac:dyDescent="0.2"/>
  <cols>
    <col min="1" max="1" width="56.28515625" style="46" customWidth="1"/>
    <col min="2" max="2" width="17.28515625" style="44" customWidth="1"/>
    <col min="3" max="3" width="19.42578125" style="45" customWidth="1"/>
    <col min="4" max="4" width="19.1406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8" t="s">
        <v>0</v>
      </c>
      <c r="B1" s="58"/>
      <c r="C1" s="58"/>
      <c r="D1" s="58"/>
      <c r="E1" s="58"/>
      <c r="F1" s="58"/>
      <c r="G1" s="58"/>
      <c r="H1" s="58"/>
    </row>
    <row r="2" spans="1:8" x14ac:dyDescent="0.2">
      <c r="A2" s="59" t="s">
        <v>1</v>
      </c>
      <c r="B2" s="59"/>
      <c r="C2" s="59"/>
      <c r="D2" s="59"/>
      <c r="E2" s="59"/>
      <c r="F2" s="59"/>
      <c r="G2" s="59"/>
      <c r="H2" s="59"/>
    </row>
    <row r="3" spans="1:8" s="7" customFormat="1" ht="38.25" x14ac:dyDescent="0.2">
      <c r="A3" s="2" t="s">
        <v>2</v>
      </c>
      <c r="B3" s="3" t="s">
        <v>3</v>
      </c>
      <c r="C3" s="4" t="s">
        <v>4</v>
      </c>
      <c r="D3" s="2" t="s">
        <v>5</v>
      </c>
      <c r="E3" s="2" t="s">
        <v>6</v>
      </c>
      <c r="F3" s="2" t="s">
        <v>7</v>
      </c>
      <c r="G3" s="5" t="s">
        <v>8</v>
      </c>
      <c r="H3" s="6" t="s">
        <v>9</v>
      </c>
    </row>
    <row r="4" spans="1:8" s="15" customFormat="1" x14ac:dyDescent="0.2">
      <c r="A4" s="8" t="s">
        <v>10</v>
      </c>
      <c r="B4" s="9"/>
      <c r="C4" s="10"/>
      <c r="D4" s="11"/>
      <c r="E4" s="11"/>
      <c r="F4" s="12"/>
      <c r="G4" s="13"/>
      <c r="H4" s="14"/>
    </row>
    <row r="5" spans="1:8" s="15" customFormat="1" x14ac:dyDescent="0.2">
      <c r="A5" s="8" t="s">
        <v>11</v>
      </c>
      <c r="B5" s="9"/>
      <c r="C5" s="10"/>
      <c r="D5" s="16"/>
      <c r="E5" s="16"/>
      <c r="F5" s="16"/>
      <c r="G5" s="13"/>
      <c r="H5" s="14"/>
    </row>
    <row r="6" spans="1:8" s="15" customFormat="1" x14ac:dyDescent="0.2">
      <c r="A6" s="17" t="s">
        <v>12</v>
      </c>
      <c r="B6" s="18" t="s">
        <v>13</v>
      </c>
      <c r="C6" s="19">
        <v>200</v>
      </c>
      <c r="D6" s="20">
        <v>2002.174</v>
      </c>
      <c r="E6" s="21">
        <f>(+D6/$D$73*100)</f>
        <v>1.0412876401112934</v>
      </c>
      <c r="F6" s="21" t="s">
        <v>14</v>
      </c>
      <c r="G6" s="13">
        <v>6.7999000000000001</v>
      </c>
      <c r="H6" s="14"/>
    </row>
    <row r="7" spans="1:8" s="15" customFormat="1" x14ac:dyDescent="0.2">
      <c r="A7" s="8" t="s">
        <v>15</v>
      </c>
      <c r="B7" s="9"/>
      <c r="C7" s="22"/>
      <c r="D7" s="11">
        <f>IF(ISERROR(SUM(D6:D6)),0,SUM(D6:D6))</f>
        <v>2002.174</v>
      </c>
      <c r="E7" s="11">
        <f>IF(ISERROR(SUM(E6:E6)),0,SUM(E6:E6))</f>
        <v>1.0412876401112934</v>
      </c>
      <c r="F7" s="11"/>
      <c r="G7" s="13"/>
      <c r="H7" s="14"/>
    </row>
    <row r="8" spans="1:8" s="15" customFormat="1" x14ac:dyDescent="0.2">
      <c r="A8" s="8"/>
      <c r="B8" s="9"/>
      <c r="C8" s="22"/>
      <c r="D8" s="16"/>
      <c r="E8" s="16"/>
      <c r="F8" s="16"/>
      <c r="G8" s="13"/>
      <c r="H8" s="14"/>
    </row>
    <row r="9" spans="1:8" s="15" customFormat="1" x14ac:dyDescent="0.2">
      <c r="A9" s="8" t="s">
        <v>16</v>
      </c>
      <c r="B9" s="9"/>
      <c r="C9" s="22"/>
      <c r="D9" s="11" t="s">
        <v>17</v>
      </c>
      <c r="E9" s="11" t="s">
        <v>17</v>
      </c>
      <c r="F9" s="12"/>
      <c r="G9" s="13"/>
      <c r="H9" s="14"/>
    </row>
    <row r="10" spans="1:8" s="15" customFormat="1" x14ac:dyDescent="0.2">
      <c r="A10" s="8"/>
      <c r="B10" s="9"/>
      <c r="C10" s="22"/>
      <c r="D10" s="16"/>
      <c r="E10" s="16"/>
      <c r="F10" s="16"/>
      <c r="G10" s="13"/>
      <c r="H10" s="14"/>
    </row>
    <row r="11" spans="1:8" s="15" customFormat="1" x14ac:dyDescent="0.2">
      <c r="A11" s="8" t="s">
        <v>18</v>
      </c>
      <c r="B11" s="9"/>
      <c r="C11" s="22"/>
      <c r="D11" s="11">
        <f>IF(ISERROR(+D7),0,D7)+IF(ISERROR(+#REF!),0,#REF!)+IF(ISERROR(+#REF!),0,#REF!)</f>
        <v>2002.174</v>
      </c>
      <c r="E11" s="11">
        <f>IF(ISERROR(+E7),0,E7)+IF(ISERROR(+#REF!),0,#REF!)+IF(ISERROR(+#REF!),0,#REF!)</f>
        <v>1.0412876401112934</v>
      </c>
      <c r="F11" s="11">
        <f>IF(ISERROR(+F7),0,F7)+IF(ISERROR(+#REF!),0,#REF!)+IF(ISERROR(+#REF!),0,#REF!)</f>
        <v>0</v>
      </c>
      <c r="G11" s="13"/>
      <c r="H11" s="14"/>
    </row>
    <row r="12" spans="1:8" s="15" customFormat="1" x14ac:dyDescent="0.2">
      <c r="A12" s="8"/>
      <c r="B12" s="9"/>
      <c r="C12" s="22"/>
      <c r="D12" s="11"/>
      <c r="E12" s="11"/>
      <c r="F12" s="11"/>
      <c r="G12" s="13"/>
      <c r="H12" s="14"/>
    </row>
    <row r="13" spans="1:8" s="15" customFormat="1" x14ac:dyDescent="0.2">
      <c r="A13" s="8" t="s">
        <v>19</v>
      </c>
      <c r="B13" s="9"/>
      <c r="C13" s="22"/>
      <c r="D13" s="11"/>
      <c r="E13" s="11"/>
      <c r="F13" s="11"/>
      <c r="G13" s="13"/>
      <c r="H13" s="14"/>
    </row>
    <row r="14" spans="1:8" s="15" customFormat="1" x14ac:dyDescent="0.2">
      <c r="A14" s="8"/>
      <c r="B14" s="9"/>
      <c r="C14" s="22"/>
      <c r="D14" s="21"/>
      <c r="E14" s="21"/>
      <c r="F14" s="23"/>
      <c r="G14" s="13"/>
      <c r="H14" s="14"/>
    </row>
    <row r="15" spans="1:8" s="15" customFormat="1" x14ac:dyDescent="0.2">
      <c r="A15" s="8" t="s">
        <v>20</v>
      </c>
      <c r="B15" s="9"/>
      <c r="C15" s="22"/>
      <c r="D15" s="11" t="s">
        <v>17</v>
      </c>
      <c r="E15" s="11" t="s">
        <v>17</v>
      </c>
      <c r="F15" s="11"/>
      <c r="G15" s="13"/>
      <c r="H15" s="14"/>
    </row>
    <row r="16" spans="1:8" s="15" customFormat="1" x14ac:dyDescent="0.2">
      <c r="A16" s="8"/>
      <c r="B16" s="9"/>
      <c r="C16" s="22"/>
      <c r="D16" s="11"/>
      <c r="E16" s="11"/>
      <c r="F16" s="11"/>
      <c r="G16" s="13"/>
      <c r="H16" s="14"/>
    </row>
    <row r="17" spans="1:8" s="15" customFormat="1" x14ac:dyDescent="0.2">
      <c r="A17" s="8" t="s">
        <v>21</v>
      </c>
      <c r="B17" s="9" t="s">
        <v>22</v>
      </c>
      <c r="C17" s="22"/>
      <c r="D17" s="11" t="s">
        <v>17</v>
      </c>
      <c r="E17" s="11" t="s">
        <v>17</v>
      </c>
      <c r="F17" s="11"/>
      <c r="G17" s="13"/>
      <c r="H17" s="14"/>
    </row>
    <row r="18" spans="1:8" s="15" customFormat="1" x14ac:dyDescent="0.2">
      <c r="A18" s="8"/>
      <c r="B18" s="9"/>
      <c r="C18" s="22"/>
      <c r="D18" s="11"/>
      <c r="E18" s="11"/>
      <c r="F18" s="11"/>
      <c r="G18" s="13"/>
      <c r="H18" s="14"/>
    </row>
    <row r="19" spans="1:8" s="15" customFormat="1" x14ac:dyDescent="0.2">
      <c r="A19" s="8" t="s">
        <v>23</v>
      </c>
      <c r="B19" s="9"/>
      <c r="C19" s="22"/>
      <c r="D19" s="11"/>
      <c r="E19" s="11"/>
      <c r="F19" s="12"/>
      <c r="G19" s="13"/>
      <c r="H19" s="14"/>
    </row>
    <row r="20" spans="1:8" s="15" customFormat="1" x14ac:dyDescent="0.2">
      <c r="A20" s="8" t="s">
        <v>24</v>
      </c>
      <c r="B20" s="9"/>
      <c r="C20" s="22"/>
      <c r="D20" s="11"/>
      <c r="E20" s="11"/>
      <c r="F20" s="12"/>
      <c r="G20" s="13"/>
      <c r="H20" s="14"/>
    </row>
    <row r="21" spans="1:8" s="15" customFormat="1" x14ac:dyDescent="0.2">
      <c r="A21" s="17" t="s">
        <v>25</v>
      </c>
      <c r="B21" s="18" t="s">
        <v>26</v>
      </c>
      <c r="C21" s="19">
        <v>2000</v>
      </c>
      <c r="D21" s="21">
        <v>9990.5300000000007</v>
      </c>
      <c r="E21" s="21">
        <f t="shared" ref="E21:E53" si="0">(+D21/$D$73*100)</f>
        <v>5.1958598039736215</v>
      </c>
      <c r="F21" s="21" t="s">
        <v>27</v>
      </c>
      <c r="G21" s="13">
        <v>6.9196999999999997</v>
      </c>
      <c r="H21" s="14"/>
    </row>
    <row r="22" spans="1:8" s="15" customFormat="1" x14ac:dyDescent="0.2">
      <c r="A22" s="17" t="s">
        <v>28</v>
      </c>
      <c r="B22" s="18" t="s">
        <v>29</v>
      </c>
      <c r="C22" s="19">
        <v>2000</v>
      </c>
      <c r="D22" s="21">
        <v>9967.14</v>
      </c>
      <c r="E22" s="21">
        <f t="shared" si="0"/>
        <v>5.1836951679818419</v>
      </c>
      <c r="F22" s="21" t="s">
        <v>30</v>
      </c>
      <c r="G22" s="13">
        <v>6.6852</v>
      </c>
      <c r="H22" s="14"/>
    </row>
    <row r="23" spans="1:8" s="15" customFormat="1" x14ac:dyDescent="0.2">
      <c r="A23" s="17" t="s">
        <v>31</v>
      </c>
      <c r="B23" s="18" t="s">
        <v>26</v>
      </c>
      <c r="C23" s="19">
        <v>1500</v>
      </c>
      <c r="D23" s="21">
        <v>7384.9575000000004</v>
      </c>
      <c r="E23" s="21">
        <f t="shared" si="0"/>
        <v>3.8407575802588578</v>
      </c>
      <c r="F23" s="21" t="s">
        <v>32</v>
      </c>
      <c r="G23" s="13">
        <v>7.2899000000000003</v>
      </c>
      <c r="H23" s="14"/>
    </row>
    <row r="24" spans="1:8" s="15" customFormat="1" x14ac:dyDescent="0.2">
      <c r="A24" s="17" t="s">
        <v>33</v>
      </c>
      <c r="B24" s="18" t="s">
        <v>26</v>
      </c>
      <c r="C24" s="19">
        <v>1000</v>
      </c>
      <c r="D24" s="21">
        <v>4999.07</v>
      </c>
      <c r="E24" s="21">
        <f t="shared" si="0"/>
        <v>2.5999088006592652</v>
      </c>
      <c r="F24" s="21" t="s">
        <v>34</v>
      </c>
      <c r="G24" s="13">
        <v>6.7903000000000002</v>
      </c>
      <c r="H24" s="14"/>
    </row>
    <row r="25" spans="1:8" s="15" customFormat="1" x14ac:dyDescent="0.2">
      <c r="A25" s="17" t="s">
        <v>35</v>
      </c>
      <c r="B25" s="18" t="s">
        <v>26</v>
      </c>
      <c r="C25" s="19">
        <v>1000</v>
      </c>
      <c r="D25" s="21">
        <v>4990.9949999999999</v>
      </c>
      <c r="E25" s="21">
        <f t="shared" si="0"/>
        <v>2.5957091668143053</v>
      </c>
      <c r="F25" s="21" t="s">
        <v>36</v>
      </c>
      <c r="G25" s="13">
        <v>6.5854999999999997</v>
      </c>
      <c r="H25" s="14"/>
    </row>
    <row r="26" spans="1:8" s="15" customFormat="1" x14ac:dyDescent="0.2">
      <c r="A26" s="17" t="s">
        <v>37</v>
      </c>
      <c r="B26" s="18" t="s">
        <v>26</v>
      </c>
      <c r="C26" s="19">
        <v>1000</v>
      </c>
      <c r="D26" s="21">
        <v>4988.7749999999996</v>
      </c>
      <c r="E26" s="21">
        <f t="shared" si="0"/>
        <v>2.5945545925560003</v>
      </c>
      <c r="F26" s="21" t="s">
        <v>38</v>
      </c>
      <c r="G26" s="13">
        <v>6.8438999999999997</v>
      </c>
      <c r="H26" s="14"/>
    </row>
    <row r="27" spans="1:8" s="15" customFormat="1" x14ac:dyDescent="0.2">
      <c r="A27" s="17" t="s">
        <v>39</v>
      </c>
      <c r="B27" s="18" t="s">
        <v>40</v>
      </c>
      <c r="C27" s="19">
        <v>1000</v>
      </c>
      <c r="D27" s="21">
        <v>4986.4449999999997</v>
      </c>
      <c r="E27" s="21">
        <f t="shared" si="0"/>
        <v>2.5933428096632754</v>
      </c>
      <c r="F27" s="21" t="s">
        <v>41</v>
      </c>
      <c r="G27" s="13">
        <v>6.6147</v>
      </c>
      <c r="H27" s="14"/>
    </row>
    <row r="28" spans="1:8" s="15" customFormat="1" x14ac:dyDescent="0.2">
      <c r="A28" s="17" t="s">
        <v>42</v>
      </c>
      <c r="B28" s="18" t="s">
        <v>26</v>
      </c>
      <c r="C28" s="19">
        <v>1000</v>
      </c>
      <c r="D28" s="21">
        <v>4985.3900000000003</v>
      </c>
      <c r="E28" s="21">
        <f t="shared" si="0"/>
        <v>2.5927941268513335</v>
      </c>
      <c r="F28" s="21" t="s">
        <v>43</v>
      </c>
      <c r="G28" s="13">
        <v>6.6852999999999998</v>
      </c>
      <c r="H28" s="14"/>
    </row>
    <row r="29" spans="1:8" s="15" customFormat="1" x14ac:dyDescent="0.2">
      <c r="A29" s="17" t="s">
        <v>44</v>
      </c>
      <c r="B29" s="18" t="s">
        <v>26</v>
      </c>
      <c r="C29" s="19">
        <v>1000</v>
      </c>
      <c r="D29" s="21">
        <v>4977.8100000000004</v>
      </c>
      <c r="E29" s="21">
        <f t="shared" si="0"/>
        <v>2.5888519318612659</v>
      </c>
      <c r="F29" s="21" t="s">
        <v>45</v>
      </c>
      <c r="G29" s="13">
        <v>6.7803000000000004</v>
      </c>
      <c r="H29" s="14"/>
    </row>
    <row r="30" spans="1:8" s="15" customFormat="1" x14ac:dyDescent="0.2">
      <c r="A30" s="17" t="s">
        <v>46</v>
      </c>
      <c r="B30" s="18" t="s">
        <v>40</v>
      </c>
      <c r="C30" s="19">
        <v>1000</v>
      </c>
      <c r="D30" s="21">
        <v>4972.8</v>
      </c>
      <c r="E30" s="21">
        <f t="shared" si="0"/>
        <v>2.5862463386026593</v>
      </c>
      <c r="F30" s="21" t="s">
        <v>47</v>
      </c>
      <c r="G30" s="13">
        <v>6.6548999999999996</v>
      </c>
      <c r="H30" s="14"/>
    </row>
    <row r="31" spans="1:8" s="15" customFormat="1" x14ac:dyDescent="0.2">
      <c r="A31" s="17" t="s">
        <v>35</v>
      </c>
      <c r="B31" s="18" t="s">
        <v>26</v>
      </c>
      <c r="C31" s="19">
        <v>1000</v>
      </c>
      <c r="D31" s="21">
        <v>4968.2</v>
      </c>
      <c r="E31" s="21">
        <f t="shared" si="0"/>
        <v>2.5838539775268923</v>
      </c>
      <c r="F31" s="21" t="s">
        <v>48</v>
      </c>
      <c r="G31" s="13">
        <v>6.4901</v>
      </c>
      <c r="H31" s="14"/>
    </row>
    <row r="32" spans="1:8" s="15" customFormat="1" x14ac:dyDescent="0.2">
      <c r="A32" s="17" t="s">
        <v>49</v>
      </c>
      <c r="B32" s="18" t="s">
        <v>29</v>
      </c>
      <c r="C32" s="19">
        <v>1000</v>
      </c>
      <c r="D32" s="21">
        <v>4966.42</v>
      </c>
      <c r="E32" s="21">
        <f t="shared" si="0"/>
        <v>2.5829282378062697</v>
      </c>
      <c r="F32" s="21" t="s">
        <v>50</v>
      </c>
      <c r="G32" s="13">
        <v>6.4950000000000001</v>
      </c>
      <c r="H32" s="14"/>
    </row>
    <row r="33" spans="1:8" s="15" customFormat="1" x14ac:dyDescent="0.2">
      <c r="A33" s="17" t="s">
        <v>51</v>
      </c>
      <c r="B33" s="18" t="s">
        <v>29</v>
      </c>
      <c r="C33" s="19">
        <v>1000</v>
      </c>
      <c r="D33" s="21">
        <v>4964.665</v>
      </c>
      <c r="E33" s="21">
        <f t="shared" si="0"/>
        <v>2.5820155000480152</v>
      </c>
      <c r="F33" s="21" t="s">
        <v>52</v>
      </c>
      <c r="G33" s="13">
        <v>6.4950000000000001</v>
      </c>
      <c r="H33" s="14"/>
    </row>
    <row r="34" spans="1:8" s="15" customFormat="1" x14ac:dyDescent="0.2">
      <c r="A34" s="17" t="s">
        <v>53</v>
      </c>
      <c r="B34" s="18" t="s">
        <v>26</v>
      </c>
      <c r="C34" s="19">
        <v>1000</v>
      </c>
      <c r="D34" s="21">
        <v>4956.9750000000004</v>
      </c>
      <c r="E34" s="21">
        <f t="shared" si="0"/>
        <v>2.5780160964235272</v>
      </c>
      <c r="F34" s="21" t="s">
        <v>54</v>
      </c>
      <c r="G34" s="13">
        <v>7.2001999999999997</v>
      </c>
      <c r="H34" s="14"/>
    </row>
    <row r="35" spans="1:8" s="15" customFormat="1" x14ac:dyDescent="0.2">
      <c r="A35" s="17" t="s">
        <v>55</v>
      </c>
      <c r="B35" s="18" t="s">
        <v>26</v>
      </c>
      <c r="C35" s="19">
        <v>1000</v>
      </c>
      <c r="D35" s="21">
        <v>4947.1400000000003</v>
      </c>
      <c r="E35" s="21">
        <f t="shared" si="0"/>
        <v>2.572901124427839</v>
      </c>
      <c r="F35" s="21" t="s">
        <v>56</v>
      </c>
      <c r="G35" s="13">
        <v>6.6101999999999999</v>
      </c>
      <c r="H35" s="14"/>
    </row>
    <row r="36" spans="1:8" s="15" customFormat="1" x14ac:dyDescent="0.2">
      <c r="A36" s="17" t="s">
        <v>57</v>
      </c>
      <c r="B36" s="18" t="s">
        <v>40</v>
      </c>
      <c r="C36" s="19">
        <v>1000</v>
      </c>
      <c r="D36" s="21">
        <v>4945.5349999999999</v>
      </c>
      <c r="E36" s="21">
        <f t="shared" si="0"/>
        <v>2.5720663984437944</v>
      </c>
      <c r="F36" s="21" t="s">
        <v>58</v>
      </c>
      <c r="G36" s="13">
        <v>6.5896999999999997</v>
      </c>
      <c r="H36" s="14"/>
    </row>
    <row r="37" spans="1:8" s="15" customFormat="1" x14ac:dyDescent="0.2">
      <c r="A37" s="17" t="s">
        <v>39</v>
      </c>
      <c r="B37" s="18" t="s">
        <v>40</v>
      </c>
      <c r="C37" s="19">
        <v>1000</v>
      </c>
      <c r="D37" s="21">
        <v>4942.99</v>
      </c>
      <c r="E37" s="21">
        <f t="shared" si="0"/>
        <v>2.5707427986747016</v>
      </c>
      <c r="F37" s="21" t="s">
        <v>59</v>
      </c>
      <c r="G37" s="13">
        <v>6.5777000000000001</v>
      </c>
      <c r="H37" s="14"/>
    </row>
    <row r="38" spans="1:8" s="15" customFormat="1" x14ac:dyDescent="0.2">
      <c r="A38" s="17" t="s">
        <v>60</v>
      </c>
      <c r="B38" s="18" t="s">
        <v>26</v>
      </c>
      <c r="C38" s="19">
        <v>1000</v>
      </c>
      <c r="D38" s="21">
        <v>4941.12</v>
      </c>
      <c r="E38" s="21">
        <f t="shared" si="0"/>
        <v>2.5697702518895529</v>
      </c>
      <c r="F38" s="21" t="s">
        <v>61</v>
      </c>
      <c r="G38" s="13">
        <v>6.5900999999999996</v>
      </c>
      <c r="H38" s="14"/>
    </row>
    <row r="39" spans="1:8" s="15" customFormat="1" x14ac:dyDescent="0.2">
      <c r="A39" s="17" t="s">
        <v>62</v>
      </c>
      <c r="B39" s="18" t="s">
        <v>26</v>
      </c>
      <c r="C39" s="19">
        <v>1000</v>
      </c>
      <c r="D39" s="21">
        <v>4932.45</v>
      </c>
      <c r="E39" s="21">
        <f t="shared" si="0"/>
        <v>2.5652611713402278</v>
      </c>
      <c r="F39" s="21" t="s">
        <v>63</v>
      </c>
      <c r="G39" s="13">
        <v>6.7549999999999999</v>
      </c>
      <c r="H39" s="14"/>
    </row>
    <row r="40" spans="1:8" s="15" customFormat="1" x14ac:dyDescent="0.2">
      <c r="A40" s="17" t="s">
        <v>64</v>
      </c>
      <c r="B40" s="18" t="s">
        <v>26</v>
      </c>
      <c r="C40" s="19">
        <v>1000</v>
      </c>
      <c r="D40" s="21">
        <v>4932.0450000000001</v>
      </c>
      <c r="E40" s="21">
        <f t="shared" si="0"/>
        <v>2.5650505395498615</v>
      </c>
      <c r="F40" s="21" t="s">
        <v>65</v>
      </c>
      <c r="G40" s="13">
        <v>6.9851000000000001</v>
      </c>
      <c r="H40" s="14"/>
    </row>
    <row r="41" spans="1:8" s="15" customFormat="1" x14ac:dyDescent="0.2">
      <c r="A41" s="17" t="s">
        <v>66</v>
      </c>
      <c r="B41" s="18" t="s">
        <v>26</v>
      </c>
      <c r="C41" s="19">
        <v>600</v>
      </c>
      <c r="D41" s="21">
        <v>2965.203</v>
      </c>
      <c r="E41" s="21">
        <f t="shared" si="0"/>
        <v>1.5421383128144344</v>
      </c>
      <c r="F41" s="21" t="s">
        <v>67</v>
      </c>
      <c r="G41" s="13">
        <v>6.5896999999999997</v>
      </c>
      <c r="H41" s="14"/>
    </row>
    <row r="42" spans="1:8" s="15" customFormat="1" x14ac:dyDescent="0.2">
      <c r="A42" s="17" t="s">
        <v>66</v>
      </c>
      <c r="B42" s="18" t="s">
        <v>26</v>
      </c>
      <c r="C42" s="19">
        <v>500</v>
      </c>
      <c r="D42" s="21">
        <v>2499.5500000000002</v>
      </c>
      <c r="E42" s="21">
        <f t="shared" si="0"/>
        <v>1.2999622015070538</v>
      </c>
      <c r="F42" s="21" t="s">
        <v>68</v>
      </c>
      <c r="G42" s="13">
        <v>6.5712000000000002</v>
      </c>
      <c r="H42" s="14"/>
    </row>
    <row r="43" spans="1:8" s="15" customFormat="1" x14ac:dyDescent="0.2">
      <c r="A43" s="17" t="s">
        <v>69</v>
      </c>
      <c r="B43" s="18" t="s">
        <v>26</v>
      </c>
      <c r="C43" s="19">
        <v>500</v>
      </c>
      <c r="D43" s="21">
        <v>2489.2874999999999</v>
      </c>
      <c r="E43" s="21">
        <f t="shared" si="0"/>
        <v>1.2946248959548676</v>
      </c>
      <c r="F43" s="21" t="s">
        <v>70</v>
      </c>
      <c r="G43" s="13">
        <v>6.8293999999999997</v>
      </c>
      <c r="H43" s="14"/>
    </row>
    <row r="44" spans="1:8" s="15" customFormat="1" x14ac:dyDescent="0.2">
      <c r="A44" s="17" t="s">
        <v>71</v>
      </c>
      <c r="B44" s="18" t="s">
        <v>72</v>
      </c>
      <c r="C44" s="19">
        <v>500</v>
      </c>
      <c r="D44" s="21">
        <v>2486.0050000000001</v>
      </c>
      <c r="E44" s="21">
        <f t="shared" si="0"/>
        <v>1.2929177382959103</v>
      </c>
      <c r="F44" s="21" t="s">
        <v>73</v>
      </c>
      <c r="G44" s="13">
        <v>6.8498999999999999</v>
      </c>
      <c r="H44" s="14"/>
    </row>
    <row r="45" spans="1:8" s="15" customFormat="1" x14ac:dyDescent="0.2">
      <c r="A45" s="17" t="s">
        <v>60</v>
      </c>
      <c r="B45" s="18" t="s">
        <v>26</v>
      </c>
      <c r="C45" s="19">
        <v>500</v>
      </c>
      <c r="D45" s="21">
        <v>2482.2775000000001</v>
      </c>
      <c r="E45" s="21">
        <f t="shared" si="0"/>
        <v>1.2909791457067974</v>
      </c>
      <c r="F45" s="21" t="s">
        <v>74</v>
      </c>
      <c r="G45" s="13">
        <v>6.5148999999999999</v>
      </c>
      <c r="H45" s="14"/>
    </row>
    <row r="46" spans="1:8" s="15" customFormat="1" x14ac:dyDescent="0.2">
      <c r="A46" s="17" t="s">
        <v>35</v>
      </c>
      <c r="B46" s="18" t="s">
        <v>26</v>
      </c>
      <c r="C46" s="19">
        <v>500</v>
      </c>
      <c r="D46" s="21">
        <v>2480.5925000000002</v>
      </c>
      <c r="E46" s="21">
        <f t="shared" si="0"/>
        <v>1.2901028134431742</v>
      </c>
      <c r="F46" s="21" t="s">
        <v>75</v>
      </c>
      <c r="G46" s="13">
        <v>6.4901</v>
      </c>
      <c r="H46" s="14"/>
    </row>
    <row r="47" spans="1:8" s="15" customFormat="1" x14ac:dyDescent="0.2">
      <c r="A47" s="17" t="s">
        <v>51</v>
      </c>
      <c r="B47" s="18" t="s">
        <v>29</v>
      </c>
      <c r="C47" s="19">
        <v>500</v>
      </c>
      <c r="D47" s="21">
        <v>2480.5774999999999</v>
      </c>
      <c r="E47" s="21">
        <f t="shared" si="0"/>
        <v>1.2900950122657531</v>
      </c>
      <c r="F47" s="21" t="s">
        <v>76</v>
      </c>
      <c r="G47" s="13">
        <v>6.4951999999999996</v>
      </c>
      <c r="H47" s="14"/>
    </row>
    <row r="48" spans="1:8" s="15" customFormat="1" x14ac:dyDescent="0.2">
      <c r="A48" s="17" t="s">
        <v>49</v>
      </c>
      <c r="B48" s="18" t="s">
        <v>29</v>
      </c>
      <c r="C48" s="19">
        <v>500</v>
      </c>
      <c r="D48" s="21">
        <v>2479.61</v>
      </c>
      <c r="E48" s="21">
        <f t="shared" si="0"/>
        <v>1.2895918363221002</v>
      </c>
      <c r="F48" s="21" t="s">
        <v>77</v>
      </c>
      <c r="G48" s="13">
        <v>6.5247999999999999</v>
      </c>
      <c r="H48" s="14"/>
    </row>
    <row r="49" spans="1:8" s="15" customFormat="1" x14ac:dyDescent="0.2">
      <c r="A49" s="17" t="s">
        <v>57</v>
      </c>
      <c r="B49" s="18" t="s">
        <v>40</v>
      </c>
      <c r="C49" s="19">
        <v>500</v>
      </c>
      <c r="D49" s="21">
        <v>2476.9749999999999</v>
      </c>
      <c r="E49" s="21">
        <f t="shared" si="0"/>
        <v>1.2882214294884815</v>
      </c>
      <c r="F49" s="21" t="s">
        <v>78</v>
      </c>
      <c r="G49" s="13">
        <v>6.5247999999999999</v>
      </c>
      <c r="H49" s="14"/>
    </row>
    <row r="50" spans="1:8" s="15" customFormat="1" x14ac:dyDescent="0.2">
      <c r="A50" s="17" t="s">
        <v>60</v>
      </c>
      <c r="B50" s="18" t="s">
        <v>26</v>
      </c>
      <c r="C50" s="19">
        <v>500</v>
      </c>
      <c r="D50" s="21">
        <v>2474.2674999999999</v>
      </c>
      <c r="E50" s="21">
        <f t="shared" si="0"/>
        <v>1.286813316963995</v>
      </c>
      <c r="F50" s="21" t="s">
        <v>79</v>
      </c>
      <c r="G50" s="13">
        <v>6.5449000000000002</v>
      </c>
      <c r="H50" s="14"/>
    </row>
    <row r="51" spans="1:8" s="15" customFormat="1" x14ac:dyDescent="0.2">
      <c r="A51" s="17" t="s">
        <v>71</v>
      </c>
      <c r="B51" s="18" t="s">
        <v>72</v>
      </c>
      <c r="C51" s="19">
        <v>500</v>
      </c>
      <c r="D51" s="21">
        <v>2471.9825000000001</v>
      </c>
      <c r="E51" s="21">
        <f t="shared" si="0"/>
        <v>1.2856249376035329</v>
      </c>
      <c r="F51" s="21" t="s">
        <v>80</v>
      </c>
      <c r="G51" s="13">
        <v>6.8948999999999998</v>
      </c>
      <c r="H51" s="14"/>
    </row>
    <row r="52" spans="1:8" s="15" customFormat="1" x14ac:dyDescent="0.2">
      <c r="A52" s="17" t="s">
        <v>81</v>
      </c>
      <c r="B52" s="18" t="s">
        <v>26</v>
      </c>
      <c r="C52" s="19">
        <v>500</v>
      </c>
      <c r="D52" s="21">
        <v>2466.5749999999998</v>
      </c>
      <c r="E52" s="21">
        <f t="shared" si="0"/>
        <v>1.28281261314327</v>
      </c>
      <c r="F52" s="21" t="s">
        <v>82</v>
      </c>
      <c r="G52" s="13">
        <v>6.5949</v>
      </c>
      <c r="H52" s="14"/>
    </row>
    <row r="53" spans="1:8" s="15" customFormat="1" x14ac:dyDescent="0.2">
      <c r="A53" s="17" t="s">
        <v>83</v>
      </c>
      <c r="B53" s="18" t="s">
        <v>26</v>
      </c>
      <c r="C53" s="19">
        <v>300</v>
      </c>
      <c r="D53" s="21">
        <v>1492.923</v>
      </c>
      <c r="E53" s="21">
        <f t="shared" si="0"/>
        <v>0.77643714659059226</v>
      </c>
      <c r="F53" s="21" t="s">
        <v>84</v>
      </c>
      <c r="G53" s="13">
        <v>7.2100999999999997</v>
      </c>
      <c r="H53" s="14"/>
    </row>
    <row r="54" spans="1:8" s="15" customFormat="1" x14ac:dyDescent="0.2">
      <c r="A54" s="8" t="s">
        <v>85</v>
      </c>
      <c r="B54" s="18"/>
      <c r="C54" s="19"/>
      <c r="D54" s="21"/>
      <c r="E54" s="16"/>
      <c r="F54" s="24"/>
      <c r="G54" s="13"/>
      <c r="H54" s="14"/>
    </row>
    <row r="55" spans="1:8" s="15" customFormat="1" x14ac:dyDescent="0.2">
      <c r="A55" s="17" t="s">
        <v>86</v>
      </c>
      <c r="B55" s="18" t="s">
        <v>87</v>
      </c>
      <c r="C55" s="19">
        <v>5940800</v>
      </c>
      <c r="D55" s="21">
        <v>5880.1919584000007</v>
      </c>
      <c r="E55" s="21">
        <f t="shared" ref="E55:E63" si="1">(+D55/$D$73*100)</f>
        <v>3.0581613824591378</v>
      </c>
      <c r="F55" s="21" t="s">
        <v>88</v>
      </c>
      <c r="G55" s="13">
        <v>6.2702</v>
      </c>
      <c r="H55" s="14"/>
    </row>
    <row r="56" spans="1:8" s="15" customFormat="1" x14ac:dyDescent="0.2">
      <c r="A56" s="17" t="s">
        <v>89</v>
      </c>
      <c r="B56" s="18" t="s">
        <v>87</v>
      </c>
      <c r="C56" s="19">
        <v>3500000</v>
      </c>
      <c r="D56" s="21">
        <v>3481.4605000000001</v>
      </c>
      <c r="E56" s="21">
        <f t="shared" si="1"/>
        <v>1.8106327363084744</v>
      </c>
      <c r="F56" s="21" t="s">
        <v>90</v>
      </c>
      <c r="G56" s="13">
        <v>6.0746000000000002</v>
      </c>
      <c r="H56" s="14"/>
    </row>
    <row r="57" spans="1:8" s="15" customFormat="1" x14ac:dyDescent="0.2">
      <c r="A57" s="17" t="s">
        <v>91</v>
      </c>
      <c r="B57" s="18" t="s">
        <v>87</v>
      </c>
      <c r="C57" s="19">
        <v>3000000</v>
      </c>
      <c r="D57" s="21">
        <v>2973.2759999999998</v>
      </c>
      <c r="E57" s="21">
        <f t="shared" si="1"/>
        <v>1.5463369065024049</v>
      </c>
      <c r="F57" s="21" t="s">
        <v>92</v>
      </c>
      <c r="G57" s="13">
        <v>6.1898999999999997</v>
      </c>
      <c r="H57" s="14"/>
    </row>
    <row r="58" spans="1:8" s="15" customFormat="1" x14ac:dyDescent="0.2">
      <c r="A58" s="17" t="s">
        <v>93</v>
      </c>
      <c r="B58" s="18" t="s">
        <v>87</v>
      </c>
      <c r="C58" s="19">
        <v>2500000</v>
      </c>
      <c r="D58" s="21">
        <v>2468.4475000000002</v>
      </c>
      <c r="E58" s="21">
        <f t="shared" si="1"/>
        <v>1.2837864601246558</v>
      </c>
      <c r="F58" s="21" t="s">
        <v>94</v>
      </c>
      <c r="G58" s="13">
        <v>6.3049999999999997</v>
      </c>
      <c r="H58" s="14"/>
    </row>
    <row r="59" spans="1:8" s="15" customFormat="1" x14ac:dyDescent="0.2">
      <c r="A59" s="17" t="s">
        <v>95</v>
      </c>
      <c r="B59" s="18" t="s">
        <v>87</v>
      </c>
      <c r="C59" s="19">
        <v>2000000</v>
      </c>
      <c r="D59" s="21">
        <v>1987.018</v>
      </c>
      <c r="E59" s="21">
        <f t="shared" si="1"/>
        <v>1.0334053304451372</v>
      </c>
      <c r="F59" s="21" t="s">
        <v>96</v>
      </c>
      <c r="G59" s="13">
        <v>6.1151</v>
      </c>
      <c r="H59" s="14"/>
    </row>
    <row r="60" spans="1:8" s="15" customFormat="1" x14ac:dyDescent="0.2">
      <c r="A60" s="17" t="s">
        <v>97</v>
      </c>
      <c r="B60" s="18" t="s">
        <v>87</v>
      </c>
      <c r="C60" s="19">
        <v>1000000</v>
      </c>
      <c r="D60" s="21">
        <v>995.995</v>
      </c>
      <c r="E60" s="21">
        <f t="shared" si="1"/>
        <v>0.517995580360472</v>
      </c>
      <c r="F60" s="21" t="s">
        <v>98</v>
      </c>
      <c r="G60" s="13">
        <v>5.8708</v>
      </c>
      <c r="H60" s="14"/>
    </row>
    <row r="61" spans="1:8" s="15" customFormat="1" x14ac:dyDescent="0.2">
      <c r="A61" s="17" t="s">
        <v>99</v>
      </c>
      <c r="B61" s="18" t="s">
        <v>87</v>
      </c>
      <c r="C61" s="19">
        <v>1000000</v>
      </c>
      <c r="D61" s="21">
        <v>989.798</v>
      </c>
      <c r="E61" s="21">
        <f t="shared" si="1"/>
        <v>0.5147726539286186</v>
      </c>
      <c r="F61" s="21" t="s">
        <v>100</v>
      </c>
      <c r="G61" s="13">
        <v>6.2702</v>
      </c>
      <c r="H61" s="14"/>
    </row>
    <row r="62" spans="1:8" s="15" customFormat="1" x14ac:dyDescent="0.2">
      <c r="A62" s="17" t="s">
        <v>101</v>
      </c>
      <c r="B62" s="18" t="s">
        <v>87</v>
      </c>
      <c r="C62" s="19">
        <v>500000</v>
      </c>
      <c r="D62" s="21">
        <v>497.9975</v>
      </c>
      <c r="E62" s="21">
        <f t="shared" si="1"/>
        <v>0.258997790180236</v>
      </c>
      <c r="F62" s="21" t="s">
        <v>102</v>
      </c>
      <c r="G62" s="13">
        <v>5.8708</v>
      </c>
      <c r="H62" s="14"/>
    </row>
    <row r="63" spans="1:8" s="15" customFormat="1" x14ac:dyDescent="0.2">
      <c r="A63" s="17" t="s">
        <v>103</v>
      </c>
      <c r="B63" s="18" t="s">
        <v>87</v>
      </c>
      <c r="C63" s="19">
        <v>500000</v>
      </c>
      <c r="D63" s="21">
        <v>497.35149999999999</v>
      </c>
      <c r="E63" s="21">
        <f t="shared" si="1"/>
        <v>0.25866181947263922</v>
      </c>
      <c r="F63" s="21" t="s">
        <v>104</v>
      </c>
      <c r="G63" s="13">
        <v>6.0746000000000002</v>
      </c>
      <c r="H63" s="14"/>
    </row>
    <row r="64" spans="1:8" s="15" customFormat="1" x14ac:dyDescent="0.2">
      <c r="A64" s="8" t="s">
        <v>15</v>
      </c>
      <c r="B64" s="25"/>
      <c r="C64" s="26"/>
      <c r="D64" s="11">
        <f>IF(ISERROR(SUM(D21:D63)),0,SUM(D21:D63))</f>
        <v>163258.81445840004</v>
      </c>
      <c r="E64" s="11">
        <f>IF(ISERROR(SUM(E21:E63)),0,SUM(E21:E63))</f>
        <v>84.907398475234842</v>
      </c>
      <c r="F64" s="27"/>
      <c r="G64" s="13"/>
      <c r="H64" s="14"/>
    </row>
    <row r="65" spans="1:8" s="15" customFormat="1" x14ac:dyDescent="0.2">
      <c r="A65" s="8"/>
      <c r="B65" s="25"/>
      <c r="C65" s="26"/>
      <c r="D65" s="16"/>
      <c r="E65" s="16"/>
      <c r="F65" s="24"/>
      <c r="G65" s="13"/>
      <c r="H65" s="14"/>
    </row>
    <row r="66" spans="1:8" s="15" customFormat="1" x14ac:dyDescent="0.2">
      <c r="A66" s="17" t="s">
        <v>105</v>
      </c>
      <c r="B66" s="18"/>
      <c r="C66" s="19">
        <v>0</v>
      </c>
      <c r="D66" s="21">
        <v>27339.9325737</v>
      </c>
      <c r="E66" s="21">
        <f>(+D66/$D$73*100)</f>
        <v>14.218910979000803</v>
      </c>
      <c r="F66" s="21" t="s">
        <v>106</v>
      </c>
      <c r="G66" s="13">
        <v>6.4866999999999999</v>
      </c>
      <c r="H66" s="14"/>
    </row>
    <row r="67" spans="1:8" s="15" customFormat="1" x14ac:dyDescent="0.2">
      <c r="A67" s="8" t="s">
        <v>15</v>
      </c>
      <c r="B67" s="9"/>
      <c r="C67" s="22"/>
      <c r="D67" s="11">
        <f>IF(ISERROR(SUM(D66:D66)),0,SUM(D66:D66))</f>
        <v>27339.9325737</v>
      </c>
      <c r="E67" s="11">
        <f>IF(ISERROR(SUM(E66:E66)),0,SUM(E66:E66))</f>
        <v>14.218910979000803</v>
      </c>
      <c r="F67" s="21"/>
      <c r="G67" s="13"/>
      <c r="H67" s="14"/>
    </row>
    <row r="68" spans="1:8" s="15" customFormat="1" x14ac:dyDescent="0.2">
      <c r="A68" s="8"/>
      <c r="B68" s="9"/>
      <c r="C68" s="22"/>
      <c r="D68" s="11"/>
      <c r="E68" s="11"/>
      <c r="F68" s="12"/>
      <c r="G68" s="13"/>
      <c r="H68" s="14"/>
    </row>
    <row r="69" spans="1:8" s="15" customFormat="1" x14ac:dyDescent="0.2">
      <c r="A69" s="8" t="s">
        <v>18</v>
      </c>
      <c r="B69" s="9"/>
      <c r="C69" s="22" t="s">
        <v>107</v>
      </c>
      <c r="D69" s="11">
        <f>+IF(ISERROR(D11),0,D11)+IF(ISERROR(D67),0,D67)+IF(ISERROR(#REF!),0,#REF!)+IF(ISERROR(#REF!),0,#REF!)+IF(ISERROR(#REF!),0,#REF!)+IF(ISERROR(D64),0,D64)+IF(ISERROR(#REF!),0,#REF!)+IF(ISERROR(#REF!),0,#REF!)+IF(ISERROR(#REF!),0,#REF!)</f>
        <v>192600.92103210004</v>
      </c>
      <c r="E69" s="11">
        <f>+IF(ISERROR(E11),0,E11)+IF(ISERROR(E67),0,E67)+IF(ISERROR(#REF!),0,#REF!)+IF(ISERROR(#REF!),0,#REF!)+IF(ISERROR(#REF!),0,#REF!)+IF(ISERROR(E64),0,E64)+IF(ISERROR(#REF!),0,#REF!)+IF(ISERROR(#REF!),0,#REF!)+IF(ISERROR(#REF!),0,#REF!)</f>
        <v>100.16759709434695</v>
      </c>
      <c r="F69" s="11">
        <f>+IF(ISERROR(F11),0,F11)+IF(ISERROR(F67),0,F67)+IF(ISERROR(#REF!),0,#REF!)+IF(ISERROR(#REF!),0,#REF!)+IF(ISERROR(#REF!),0,#REF!)+IF(ISERROR(F64),0,F64)+IF(ISERROR(#REF!),0,#REF!)</f>
        <v>0</v>
      </c>
      <c r="G69" s="13"/>
      <c r="H69" s="14"/>
    </row>
    <row r="70" spans="1:8" s="15" customFormat="1" x14ac:dyDescent="0.2">
      <c r="A70" s="8"/>
      <c r="B70" s="9"/>
      <c r="C70" s="22"/>
      <c r="D70" s="11"/>
      <c r="E70" s="11"/>
      <c r="F70" s="12"/>
      <c r="G70" s="53"/>
      <c r="H70" s="14"/>
    </row>
    <row r="71" spans="1:8" s="15" customFormat="1" x14ac:dyDescent="0.2">
      <c r="A71" s="8" t="s">
        <v>108</v>
      </c>
      <c r="B71" s="9"/>
      <c r="C71" s="22"/>
      <c r="D71" s="11">
        <f>+D73-D69</f>
        <v>-322.25345990006463</v>
      </c>
      <c r="E71" s="11">
        <f>D71/$D$73*100</f>
        <v>-0.16759709434696365</v>
      </c>
      <c r="F71" s="12"/>
      <c r="G71" s="53"/>
      <c r="H71" s="14"/>
    </row>
    <row r="72" spans="1:8" s="15" customFormat="1" x14ac:dyDescent="0.2">
      <c r="A72" s="8"/>
      <c r="B72" s="9"/>
      <c r="C72" s="22"/>
      <c r="D72" s="16"/>
      <c r="E72" s="16"/>
      <c r="F72" s="12"/>
      <c r="G72" s="53"/>
      <c r="H72" s="14"/>
    </row>
    <row r="73" spans="1:8" s="15" customFormat="1" x14ac:dyDescent="0.2">
      <c r="A73" s="8" t="s">
        <v>109</v>
      </c>
      <c r="B73" s="9"/>
      <c r="C73" s="22"/>
      <c r="D73" s="11">
        <v>192278.66757219998</v>
      </c>
      <c r="E73" s="11">
        <f>+E69+E71</f>
        <v>99.999999999999986</v>
      </c>
      <c r="F73" s="12"/>
      <c r="G73" s="53"/>
      <c r="H73" s="14"/>
    </row>
    <row r="74" spans="1:8" s="15" customFormat="1" x14ac:dyDescent="0.2">
      <c r="A74" s="29"/>
      <c r="B74" s="30"/>
      <c r="C74" s="31"/>
      <c r="D74" s="32"/>
      <c r="E74" s="32"/>
      <c r="F74" s="28"/>
      <c r="H74" s="1"/>
    </row>
    <row r="75" spans="1:8" s="15" customFormat="1" x14ac:dyDescent="0.2">
      <c r="A75" s="33"/>
      <c r="B75" s="30"/>
      <c r="C75" s="31"/>
      <c r="D75" s="32"/>
      <c r="E75" s="32"/>
      <c r="F75" s="34"/>
      <c r="H75" s="1"/>
    </row>
    <row r="76" spans="1:8" x14ac:dyDescent="0.2">
      <c r="A76" s="33" t="s">
        <v>110</v>
      </c>
      <c r="B76" s="54"/>
      <c r="C76" s="55"/>
      <c r="D76" s="36"/>
      <c r="E76" s="34"/>
      <c r="G76" s="35"/>
      <c r="H76" s="35"/>
    </row>
    <row r="77" spans="1:8" ht="15" x14ac:dyDescent="0.25">
      <c r="A77" s="60" t="s">
        <v>111</v>
      </c>
      <c r="B77" s="60"/>
      <c r="C77" s="60"/>
      <c r="D77" s="60"/>
      <c r="E77" s="60"/>
      <c r="F77" s="60"/>
      <c r="G77" s="36"/>
      <c r="H77" s="36"/>
    </row>
    <row r="78" spans="1:8" ht="33" customHeight="1" x14ac:dyDescent="0.2">
      <c r="A78" s="61" t="s">
        <v>112</v>
      </c>
      <c r="B78" s="61"/>
      <c r="C78" s="61"/>
      <c r="D78" s="61"/>
      <c r="E78" s="61"/>
      <c r="F78" s="61"/>
      <c r="G78" s="61"/>
      <c r="H78" s="61"/>
    </row>
    <row r="79" spans="1:8" ht="15" x14ac:dyDescent="0.2">
      <c r="A79" s="61" t="s">
        <v>113</v>
      </c>
      <c r="B79" s="61"/>
      <c r="C79" s="61"/>
      <c r="D79" s="61"/>
      <c r="E79" s="61"/>
      <c r="F79" s="61"/>
      <c r="G79" s="61"/>
      <c r="H79" s="61"/>
    </row>
    <row r="80" spans="1:8" ht="65.25" customHeight="1" x14ac:dyDescent="0.2">
      <c r="A80" s="65" t="s">
        <v>114</v>
      </c>
      <c r="B80" s="65"/>
      <c r="C80" s="65"/>
      <c r="D80" s="65"/>
      <c r="E80" s="65"/>
      <c r="F80" s="65"/>
      <c r="G80" s="65"/>
      <c r="H80" s="65"/>
    </row>
    <row r="81" spans="1:8" ht="15" x14ac:dyDescent="0.2">
      <c r="A81" s="37"/>
      <c r="B81" s="37"/>
      <c r="C81" s="37"/>
      <c r="D81" s="37"/>
      <c r="E81" s="37"/>
      <c r="F81" s="37"/>
      <c r="G81" s="35"/>
      <c r="H81" s="35"/>
    </row>
    <row r="82" spans="1:8" ht="15" x14ac:dyDescent="0.25">
      <c r="A82" s="38" t="s">
        <v>115</v>
      </c>
      <c r="B82" s="39"/>
      <c r="C82" s="40"/>
    </row>
    <row r="83" spans="1:8" ht="15" x14ac:dyDescent="0.25">
      <c r="A83" s="41" t="s">
        <v>116</v>
      </c>
      <c r="B83" s="39"/>
      <c r="C83" s="39"/>
      <c r="D83" s="39"/>
    </row>
    <row r="84" spans="1:8" ht="15" x14ac:dyDescent="0.25">
      <c r="A84" s="41" t="s">
        <v>117</v>
      </c>
      <c r="B84" s="39"/>
      <c r="C84" s="39"/>
      <c r="D84" s="39"/>
    </row>
    <row r="85" spans="1:8" ht="15" x14ac:dyDescent="0.25">
      <c r="A85" s="41" t="s">
        <v>118</v>
      </c>
      <c r="B85" s="39"/>
      <c r="C85" s="39"/>
      <c r="D85" s="39"/>
    </row>
    <row r="86" spans="1:8" ht="15" x14ac:dyDescent="0.25">
      <c r="A86" s="41"/>
      <c r="B86" s="39"/>
      <c r="C86" s="39"/>
      <c r="D86" s="39"/>
    </row>
    <row r="87" spans="1:8" ht="14.25" x14ac:dyDescent="0.2">
      <c r="A87" s="42" t="s">
        <v>119</v>
      </c>
      <c r="B87" s="39"/>
      <c r="C87" s="39"/>
      <c r="D87" s="40" t="s">
        <v>120</v>
      </c>
    </row>
    <row r="89" spans="1:8" x14ac:dyDescent="0.2">
      <c r="A89" s="43"/>
    </row>
    <row r="104" spans="1:4" x14ac:dyDescent="0.2">
      <c r="C104" s="44"/>
      <c r="D104" s="44"/>
    </row>
    <row r="105" spans="1:4" ht="13.5" thickBot="1" x14ac:dyDescent="0.25">
      <c r="C105" s="44"/>
      <c r="D105" s="44"/>
    </row>
    <row r="106" spans="1:4" ht="13.5" thickBot="1" x14ac:dyDescent="0.25">
      <c r="A106" s="62" t="s">
        <v>121</v>
      </c>
      <c r="B106" s="63"/>
      <c r="C106" s="63"/>
      <c r="D106" s="64"/>
    </row>
    <row r="107" spans="1:4" ht="13.5" thickBot="1" x14ac:dyDescent="0.25">
      <c r="A107" s="47" t="s">
        <v>122</v>
      </c>
      <c r="B107" s="56" t="s">
        <v>123</v>
      </c>
      <c r="C107" s="56" t="s">
        <v>124</v>
      </c>
      <c r="D107" s="56" t="s">
        <v>125</v>
      </c>
    </row>
    <row r="108" spans="1:4" ht="13.5" thickBot="1" x14ac:dyDescent="0.25">
      <c r="A108" s="47" t="s">
        <v>126</v>
      </c>
      <c r="B108" s="57"/>
      <c r="C108" s="57"/>
      <c r="D108" s="57"/>
    </row>
    <row r="109" spans="1:4" ht="15.75" thickBot="1" x14ac:dyDescent="0.25">
      <c r="A109" s="48" t="s">
        <v>127</v>
      </c>
      <c r="B109" s="49"/>
      <c r="C109" s="50" t="s">
        <v>128</v>
      </c>
      <c r="D109" s="49"/>
    </row>
    <row r="110" spans="1:4" ht="15.75" thickBot="1" x14ac:dyDescent="0.25">
      <c r="A110" s="48" t="s">
        <v>129</v>
      </c>
      <c r="B110" s="49"/>
      <c r="C110" s="49"/>
      <c r="D110" s="49"/>
    </row>
    <row r="111" spans="1:4" ht="15.75" thickBot="1" x14ac:dyDescent="0.25">
      <c r="A111" s="48" t="s">
        <v>130</v>
      </c>
      <c r="B111" s="49"/>
      <c r="C111" s="49"/>
      <c r="D111" s="49"/>
    </row>
    <row r="114" spans="1:2" x14ac:dyDescent="0.2">
      <c r="A114" s="66" t="s">
        <v>140</v>
      </c>
      <c r="B114" s="67"/>
    </row>
    <row r="115" spans="1:2" x14ac:dyDescent="0.2">
      <c r="A115" s="51" t="s">
        <v>131</v>
      </c>
      <c r="B115" s="52" t="s">
        <v>132</v>
      </c>
    </row>
    <row r="116" spans="1:2" x14ac:dyDescent="0.2">
      <c r="A116" s="51" t="s">
        <v>133</v>
      </c>
      <c r="B116" s="52"/>
    </row>
    <row r="117" spans="1:2" x14ac:dyDescent="0.2">
      <c r="A117" s="51"/>
      <c r="B117" s="52" t="s">
        <v>107</v>
      </c>
    </row>
    <row r="118" spans="1:2" x14ac:dyDescent="0.2">
      <c r="A118" s="51" t="s">
        <v>134</v>
      </c>
      <c r="B118" s="52">
        <v>6.64</v>
      </c>
    </row>
    <row r="119" spans="1:2" x14ac:dyDescent="0.2">
      <c r="A119" s="51" t="s">
        <v>107</v>
      </c>
      <c r="B119" s="52" t="s">
        <v>107</v>
      </c>
    </row>
    <row r="120" spans="1:2" x14ac:dyDescent="0.2">
      <c r="A120" s="51" t="s">
        <v>135</v>
      </c>
      <c r="B120" s="52">
        <v>9.6799999999999997E-2</v>
      </c>
    </row>
    <row r="121" spans="1:2" x14ac:dyDescent="0.2">
      <c r="A121" s="51" t="s">
        <v>136</v>
      </c>
      <c r="B121" s="52">
        <v>9.7100000000000006E-2</v>
      </c>
    </row>
    <row r="122" spans="1:2" x14ac:dyDescent="0.2">
      <c r="A122" s="51" t="s">
        <v>107</v>
      </c>
      <c r="B122" s="52" t="s">
        <v>107</v>
      </c>
    </row>
    <row r="123" spans="1:2" x14ac:dyDescent="0.2">
      <c r="A123" s="51" t="s">
        <v>137</v>
      </c>
      <c r="B123" s="52" t="s">
        <v>138</v>
      </c>
    </row>
    <row r="124" spans="1:2" x14ac:dyDescent="0.2">
      <c r="A124" s="51" t="s">
        <v>139</v>
      </c>
      <c r="B124" s="52"/>
    </row>
  </sheetData>
  <mergeCells count="11">
    <mergeCell ref="A114:B114"/>
    <mergeCell ref="B107:B108"/>
    <mergeCell ref="C107:C108"/>
    <mergeCell ref="D107:D108"/>
    <mergeCell ref="A1:H1"/>
    <mergeCell ref="A2:H2"/>
    <mergeCell ref="A77:F77"/>
    <mergeCell ref="A78:H78"/>
    <mergeCell ref="A79:H79"/>
    <mergeCell ref="A106:D106"/>
    <mergeCell ref="A80:H80"/>
  </mergeCells>
  <phoneticPr fontId="0" type="noConversion"/>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2023-01-03T07:28:57Z</dcterms:created>
  <dcterms:modified xsi:type="dcterms:W3CDTF">2023-01-04T10:13:38Z</dcterms:modified>
</cp:coreProperties>
</file>