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March 2025\Monthly\Monthly portfolio - sent\"/>
    </mc:Choice>
  </mc:AlternateContent>
  <bookViews>
    <workbookView xWindow="-105" yWindow="-105" windowWidth="19425" windowHeight="10425"/>
  </bookViews>
  <sheets>
    <sheet name="JM Low Duration Fund" sheetId="1" r:id="rId1"/>
  </sheets>
  <definedNames>
    <definedName name="_xlnm._FilterDatabase" localSheetId="0" hidden="1">'JM Low Duration Fund'!$A$4:$H$66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Fund'!$A$1:$E$58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1" l="1"/>
  <c r="D52" i="1"/>
  <c r="E47" i="1"/>
  <c r="D47" i="1"/>
  <c r="E38" i="1"/>
  <c r="D38" i="1"/>
  <c r="E57" i="1"/>
  <c r="D57" i="1"/>
  <c r="E61" i="1"/>
  <c r="D61" i="1"/>
  <c r="E29" i="1"/>
  <c r="E39" i="1" s="1"/>
  <c r="D29" i="1"/>
  <c r="D39" i="1" s="1"/>
  <c r="E53" i="1"/>
  <c r="D53" i="1"/>
  <c r="E44" i="1"/>
  <c r="D44" i="1"/>
  <c r="E65" i="1"/>
  <c r="D65" i="1"/>
  <c r="E66" i="1" l="1"/>
  <c r="D66" i="1"/>
</calcChain>
</file>

<file path=xl/sharedStrings.xml><?xml version="1.0" encoding="utf-8"?>
<sst xmlns="http://schemas.openxmlformats.org/spreadsheetml/2006/main" count="201" uniqueCount="160">
  <si>
    <t>JM Financial Mutual Fund</t>
  </si>
  <si>
    <t>JM Low Duration Fund (An open ended low duration debt scheme investing in instruments such that the Macaulay duration of the portfolio is between 6 to 12 months. A relatively low interest rate risk and moderate credit risk.)</t>
  </si>
  <si>
    <t>Name of the Instruments</t>
  </si>
  <si>
    <t>Industry/Rating</t>
  </si>
  <si>
    <t>Market Value (Rs. In Lakhs)</t>
  </si>
  <si>
    <t>% age to NAV</t>
  </si>
  <si>
    <t>ISIN</t>
  </si>
  <si>
    <t>Yield %</t>
  </si>
  <si>
    <t>^YTC (AT1/Tier 2 bonds)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</si>
  <si>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</si>
  <si>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</si>
  <si>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</si>
  <si>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</si>
  <si>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</si>
  <si>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</si>
  <si>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</si>
  <si>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</si>
  <si>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</si>
  <si>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</si>
  <si>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</si>
  <si>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</si>
  <si>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</si>
  <si>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</si>
  <si>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</si>
  <si>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</si>
  <si>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</si>
  <si>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</si>
  <si>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</si>
  <si>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</si>
  <si>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</si>
  <si>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</si>
  <si>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</si>
  <si>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</si>
  <si>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</si>
  <si>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</si>
  <si>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</si>
  <si>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</si>
  <si>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</si>
  <si>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</si>
  <si>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Residual Maturity ( Years )</t>
  </si>
  <si>
    <t xml:space="preserve">As on (Date) </t>
  </si>
  <si>
    <t xml:space="preserve">* in case of semi annual YTM,  it will be annualised </t>
  </si>
  <si>
    <t>DEBT INSTRUMENTS</t>
  </si>
  <si>
    <t>(a) Listed / awaiting listing on Stock Exchanges</t>
  </si>
  <si>
    <t>Non Convertible Debentures / Bonds</t>
  </si>
  <si>
    <t>7.2% NABARD 23-SEP-2025**</t>
  </si>
  <si>
    <t>CRISIL AAA</t>
  </si>
  <si>
    <t>INE261F08DR2</t>
  </si>
  <si>
    <t>INE134E08LO4</t>
  </si>
  <si>
    <t>9.25% Shriram Finance Limited 19-DEC-2025**</t>
  </si>
  <si>
    <t>CARE AA+</t>
  </si>
  <si>
    <t>INE721A07RU2</t>
  </si>
  <si>
    <t>9.41% 360 ONE Prime Limited 18-JAN-2026**</t>
  </si>
  <si>
    <t>CRISIL AA</t>
  </si>
  <si>
    <t>INE248U07EQ0</t>
  </si>
  <si>
    <t>7.75% SIDBI 27-OCT-2025**</t>
  </si>
  <si>
    <t>ICRA AAA</t>
  </si>
  <si>
    <t>INE556F08KD0</t>
  </si>
  <si>
    <t>7.17% Godrej Industries Ltd 14-MAY-2025**</t>
  </si>
  <si>
    <t>CRISIL AA+</t>
  </si>
  <si>
    <t>INE233A08097</t>
  </si>
  <si>
    <t>INE377Y07375</t>
  </si>
  <si>
    <t>6.75% Sikka Ports &amp; Terminals Limited 22-APR-2026**</t>
  </si>
  <si>
    <t>INE941D07208</t>
  </si>
  <si>
    <t>7.68% SIDBI 09-JUL-2027**</t>
  </si>
  <si>
    <t>INE556F08KO7</t>
  </si>
  <si>
    <t>7.7% REC Limited 31-AUG-2026**</t>
  </si>
  <si>
    <t>CARE AAA</t>
  </si>
  <si>
    <t>INE020B08FC8</t>
  </si>
  <si>
    <t>8% Mahindra &amp; Mahindra Financial Serv Ltd. 26-JUN-2025**</t>
  </si>
  <si>
    <t>INE774D07VA9</t>
  </si>
  <si>
    <t>6.4% Jamnagar Utilities &amp; Power Pvt Ltd 29-SEP-2026**</t>
  </si>
  <si>
    <t>INE936D07174</t>
  </si>
  <si>
    <t>8.25% Cholamandalam Invest &amp; Finance Co Ltd 09-JUN-2025**</t>
  </si>
  <si>
    <t>INE121A07RH2</t>
  </si>
  <si>
    <t>7.7% REC Limited 10-DEC-2027**</t>
  </si>
  <si>
    <t>INE020B08AQ9</t>
  </si>
  <si>
    <t>7.33% Indian Railway Finance Corporation Ltd 27-AUG-2027**</t>
  </si>
  <si>
    <t>INE053F07AC3</t>
  </si>
  <si>
    <t>Sub Total</t>
  </si>
  <si>
    <t>(b) Privately placed / Unlisted</t>
  </si>
  <si>
    <t>NIL</t>
  </si>
  <si>
    <t>(c) Securitized Debt Instruments</t>
  </si>
  <si>
    <t>(d) Government Securities / SDL</t>
  </si>
  <si>
    <t>7.37% GOI - 23-OCT-2028</t>
  </si>
  <si>
    <t>SOVEREIGN</t>
  </si>
  <si>
    <t>IN0020230101</t>
  </si>
  <si>
    <t>Total</t>
  </si>
  <si>
    <t>MONEY MARKET INSTRUMENTS</t>
  </si>
  <si>
    <t>Commercial Papers</t>
  </si>
  <si>
    <t>CARE A1+</t>
  </si>
  <si>
    <t>Certificate of Deposits</t>
  </si>
  <si>
    <t>INE160A16QM3</t>
  </si>
  <si>
    <t>CRISIL A1+</t>
  </si>
  <si>
    <t>INE237A163Z0</t>
  </si>
  <si>
    <t>Alternative Investment Fund Units</t>
  </si>
  <si>
    <t>INF0RQ622028</t>
  </si>
  <si>
    <t>TREPS / Reverse Repo Investments / Corporate Debt Repo</t>
  </si>
  <si>
    <t>CCIL</t>
  </si>
  <si>
    <t>Cash &amp; Cash Equivalents</t>
  </si>
  <si>
    <t>Net Receivable/Payable</t>
  </si>
  <si>
    <t>Grand Total</t>
  </si>
  <si>
    <t>Corporate Debt Market Development Fund - Class A2 Units</t>
  </si>
  <si>
    <t>Punjab National Bank 05-DEC-2025**</t>
  </si>
  <si>
    <t>Kotak Mahindra Bank Limited 28-JAN-2026**</t>
  </si>
  <si>
    <t>Quantity/Face Value</t>
  </si>
  <si>
    <t>31.03.2025</t>
  </si>
  <si>
    <t>7.13% Power Finance Corporation Limited 08-AUG-2025</t>
  </si>
  <si>
    <t>7.9237% Bajaj Housing Finance Ltd 16-MAR-2026**</t>
  </si>
  <si>
    <t>7.74% Power Finance Corporation Limited 29-JAN-2028**</t>
  </si>
  <si>
    <t>7.95% LIC Housing Finance Limited 29-JAN-2028**</t>
  </si>
  <si>
    <t>8.4% Godrej Industries Ltd 27-AUG-2027**</t>
  </si>
  <si>
    <t>7.44% SIDBI 04-SEP-2026**</t>
  </si>
  <si>
    <t>6.65% LIC Housing Finance Limited 15-FEB-2027**</t>
  </si>
  <si>
    <t>7.61% LIC Housing Finance Limited 30-JUL-2025**</t>
  </si>
  <si>
    <t>INE134E08JI0</t>
  </si>
  <si>
    <t>INE115A07MW4</t>
  </si>
  <si>
    <t>INE233A08113</t>
  </si>
  <si>
    <t>INE556F08KI9</t>
  </si>
  <si>
    <t>INE115A07PR7</t>
  </si>
  <si>
    <t>INE115A07PW7</t>
  </si>
  <si>
    <t>7.3%</t>
  </si>
  <si>
    <t>7.4%</t>
  </si>
  <si>
    <t>8.19%</t>
  </si>
  <si>
    <t>8.93%</t>
  </si>
  <si>
    <t>7.5%</t>
  </si>
  <si>
    <t>7.44%</t>
  </si>
  <si>
    <t>7.45%</t>
  </si>
  <si>
    <t>7.66%</t>
  </si>
  <si>
    <t>7.24%</t>
  </si>
  <si>
    <t>7.99%</t>
  </si>
  <si>
    <t>7.26%</t>
  </si>
  <si>
    <t>7.31%</t>
  </si>
  <si>
    <t>7.65%</t>
  </si>
  <si>
    <t>7.67%</t>
  </si>
  <si>
    <t>7.33%</t>
  </si>
  <si>
    <t>7.25%</t>
  </si>
  <si>
    <t>7.18%</t>
  </si>
  <si>
    <t>7.38% GOI MAT 20-Jun-2027</t>
  </si>
  <si>
    <t>6.75% GOI 23-Dec-2029</t>
  </si>
  <si>
    <t>IN0020220037</t>
  </si>
  <si>
    <t>IN0020240183</t>
  </si>
  <si>
    <t>6.42%</t>
  </si>
  <si>
    <t>6.44%</t>
  </si>
  <si>
    <t>6.45%</t>
  </si>
  <si>
    <t>Piramal Capital &amp; Housing Finance Ltd 26-MAY-2025**</t>
  </si>
  <si>
    <t>INE516Y14ID7</t>
  </si>
  <si>
    <t>7.85%</t>
  </si>
  <si>
    <t>IND A1+</t>
  </si>
  <si>
    <t>INE028A16HA6</t>
  </si>
  <si>
    <t>7%</t>
  </si>
  <si>
    <t>7.16%</t>
  </si>
  <si>
    <t>7.19%</t>
  </si>
  <si>
    <t>Treasury Bills</t>
  </si>
  <si>
    <t>182 Days Treasury Bill 11-Sep-2025</t>
  </si>
  <si>
    <t>IN002024Y480</t>
  </si>
  <si>
    <t>6.52%</t>
  </si>
  <si>
    <t>Bank of Baroda 09-JUN-2025**</t>
  </si>
  <si>
    <t>Note - Traded Securities (Debt) as on March 28, 2025</t>
  </si>
  <si>
    <t>Monthly Portfolio Statement for the period ended 31.03.2025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</si>
</sst>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0.0000%"/>
    <numFmt numFmtId="167" formatCode="0.0000"/>
    <numFmt numFmtId="168" formatCode="_(* #,##0.000_);_(* \(#,##0.000\);_(* &quot;-&quot;??_);_(@_)"/>
  </numFmts>
  <fonts count="14"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
      <b/>
      <sz val="10"/>
      <color indexed="72"/>
      <name val="Tahoma"/>
      <family val="2"/>
    </font>
    <font>
      <sz val="10"/>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6" fillId="0" borderId="0"/>
    <xf numFmtId="164" fontId="1" fillId="0" borderId="0" applyFont="0" applyFill="0" applyBorder="0" applyAlignment="0" applyProtection="0"/>
    <xf numFmtId="0" fontId="1" fillId="0" borderId="0"/>
  </cellStyleXfs>
  <cellXfs count="77">
    <xf numFmtId="0" fontId="0" fillId="0" borderId="0" xfId="0"/>
    <xf numFmtId="0" fontId="3" fillId="0" borderId="0" xfId="0" applyFont="1"/>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Border="1" applyAlignment="1">
      <alignment wrapText="1"/>
    </xf>
    <xf numFmtId="0" fontId="4" fillId="0" borderId="3" xfId="0" applyFont="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10" fontId="4" fillId="0" borderId="3" xfId="1" applyNumberFormat="1" applyFont="1" applyFill="1" applyBorder="1" applyAlignment="1">
      <alignment horizontal="right"/>
    </xf>
    <xf numFmtId="0" fontId="5" fillId="0" borderId="3" xfId="0" applyFont="1" applyBorder="1" applyAlignment="1">
      <alignment horizontal="right"/>
    </xf>
    <xf numFmtId="166" fontId="5" fillId="0" borderId="3" xfId="2" applyNumberFormat="1" applyFont="1" applyBorder="1" applyAlignment="1">
      <alignment horizontal="right"/>
    </xf>
    <xf numFmtId="0" fontId="5" fillId="0" borderId="3" xfId="0" applyFont="1" applyBorder="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5" fillId="0" borderId="0" xfId="3" applyFont="1" applyAlignment="1">
      <alignment wrapText="1"/>
    </xf>
    <xf numFmtId="0" fontId="4" fillId="0" borderId="0" xfId="3" applyFont="1" applyAlignment="1">
      <alignment horizontal="left" wrapText="1"/>
    </xf>
    <xf numFmtId="0" fontId="5" fillId="0" borderId="0" xfId="3" applyFont="1" applyAlignment="1">
      <alignment horizontal="right"/>
    </xf>
    <xf numFmtId="0" fontId="5" fillId="0" borderId="0" xfId="3" applyFont="1"/>
    <xf numFmtId="0" fontId="7" fillId="0" borderId="0" xfId="4" applyFont="1"/>
    <xf numFmtId="0" fontId="8" fillId="0" borderId="0" xfId="5" applyFont="1" applyAlignment="1">
      <alignment horizontal="left" vertical="top" wrapText="1"/>
    </xf>
    <xf numFmtId="0" fontId="9" fillId="0" borderId="0" xfId="5" applyFont="1"/>
    <xf numFmtId="0" fontId="10" fillId="0" borderId="0" xfId="3" applyFont="1" applyAlignment="1">
      <alignment horizontal="left" wrapText="1"/>
    </xf>
    <xf numFmtId="0" fontId="7" fillId="0" borderId="0" xfId="5" applyFont="1"/>
    <xf numFmtId="0" fontId="5" fillId="0" borderId="0" xfId="3" applyFont="1" applyAlignment="1">
      <alignment horizontal="left" wrapText="1"/>
    </xf>
    <xf numFmtId="165" fontId="5" fillId="0" borderId="0" xfId="1" applyNumberFormat="1" applyFont="1"/>
    <xf numFmtId="0" fontId="9" fillId="0" borderId="0" xfId="4" applyFont="1" applyAlignment="1">
      <alignment horizontal="center"/>
    </xf>
    <xf numFmtId="0" fontId="11" fillId="0" borderId="0" xfId="3" applyFont="1" applyAlignment="1">
      <alignment horizontal="center" wrapText="1"/>
    </xf>
    <xf numFmtId="0" fontId="9" fillId="0" borderId="7" xfId="3" applyFont="1" applyBorder="1" applyAlignment="1">
      <alignment vertical="center" wrapText="1"/>
    </xf>
    <xf numFmtId="0" fontId="7" fillId="0" borderId="7" xfId="3" applyFont="1" applyBorder="1" applyAlignment="1">
      <alignment vertical="center" wrapText="1"/>
    </xf>
    <xf numFmtId="0" fontId="7" fillId="3" borderId="9" xfId="3" applyFont="1" applyFill="1" applyBorder="1" applyAlignment="1">
      <alignment horizontal="center" vertical="center" wrapText="1"/>
    </xf>
    <xf numFmtId="0" fontId="7" fillId="0" borderId="9" xfId="3" applyFont="1" applyBorder="1" applyAlignment="1">
      <alignment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6" applyNumberFormat="1" applyFont="1"/>
    <xf numFmtId="10" fontId="5" fillId="0" borderId="3" xfId="2" applyNumberFormat="1" applyFont="1" applyBorder="1" applyAlignment="1">
      <alignment horizontal="center" wrapText="1"/>
    </xf>
    <xf numFmtId="167" fontId="5" fillId="0" borderId="3" xfId="3" applyNumberFormat="1" applyFont="1" applyBorder="1" applyAlignment="1">
      <alignment horizontal="center" wrapText="1"/>
    </xf>
    <xf numFmtId="0" fontId="5" fillId="0" borderId="3" xfId="3" applyFont="1" applyBorder="1" applyAlignment="1">
      <alignment horizontal="center"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3" xfId="0" applyFont="1" applyBorder="1" applyAlignment="1">
      <alignment wrapText="1"/>
    </xf>
    <xf numFmtId="0" fontId="5" fillId="0" borderId="3" xfId="0" applyFont="1" applyBorder="1" applyAlignment="1">
      <alignment horizontal="left" wrapText="1"/>
    </xf>
    <xf numFmtId="165" fontId="5" fillId="0" borderId="3" xfId="1" applyNumberFormat="1" applyFont="1" applyFill="1" applyBorder="1"/>
    <xf numFmtId="164" fontId="5" fillId="0" borderId="3" xfId="1" applyFont="1" applyFill="1" applyBorder="1" applyAlignment="1">
      <alignment horizontal="right"/>
    </xf>
    <xf numFmtId="10" fontId="5" fillId="0" borderId="3" xfId="1" applyNumberFormat="1" applyFont="1" applyFill="1" applyBorder="1" applyAlignment="1">
      <alignment horizontal="right"/>
    </xf>
    <xf numFmtId="4" fontId="5" fillId="0" borderId="3" xfId="7" applyNumberFormat="1" applyFont="1" applyFill="1" applyBorder="1" applyAlignment="1">
      <alignment wrapText="1"/>
    </xf>
    <xf numFmtId="10" fontId="5" fillId="0" borderId="3" xfId="2" applyNumberFormat="1" applyFont="1" applyBorder="1" applyAlignment="1">
      <alignment horizontal="center"/>
    </xf>
    <xf numFmtId="166" fontId="5" fillId="0" borderId="3" xfId="2" applyNumberFormat="1" applyFont="1" applyBorder="1" applyAlignment="1">
      <alignment horizontal="center"/>
    </xf>
    <xf numFmtId="168" fontId="5" fillId="0" borderId="3" xfId="1" applyNumberFormat="1" applyFont="1" applyFill="1" applyBorder="1"/>
    <xf numFmtId="10" fontId="4" fillId="0" borderId="3" xfId="2" applyNumberFormat="1" applyFont="1" applyFill="1" applyBorder="1" applyAlignment="1">
      <alignment horizontal="right"/>
    </xf>
    <xf numFmtId="0" fontId="12" fillId="0" borderId="3" xfId="0" applyFont="1" applyBorder="1" applyAlignment="1">
      <alignment horizontal="left" vertical="top"/>
    </xf>
    <xf numFmtId="0" fontId="13" fillId="0" borderId="3" xfId="0" applyFont="1" applyBorder="1"/>
    <xf numFmtId="4" fontId="13" fillId="0" borderId="3" xfId="0" applyNumberFormat="1" applyFont="1" applyBorder="1"/>
    <xf numFmtId="0" fontId="7" fillId="0" borderId="0" xfId="4" applyFont="1" applyBorder="1"/>
    <xf numFmtId="0" fontId="7" fillId="0" borderId="0" xfId="5" applyFont="1" applyAlignment="1">
      <alignment horizontal="left" vertical="top"/>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7" fillId="0" borderId="0" xfId="5" applyFont="1" applyAlignment="1">
      <alignment horizontal="left" vertical="top" wrapText="1"/>
    </xf>
    <xf numFmtId="0" fontId="5" fillId="0" borderId="10" xfId="3" applyFont="1" applyBorder="1" applyAlignment="1">
      <alignment horizontal="center" wrapText="1"/>
    </xf>
    <xf numFmtId="0" fontId="5" fillId="0" borderId="11" xfId="3" applyFont="1" applyBorder="1" applyAlignment="1">
      <alignment horizontal="center" wrapText="1"/>
    </xf>
    <xf numFmtId="0" fontId="8" fillId="0" borderId="0" xfId="5" applyFont="1" applyAlignment="1">
      <alignment horizontal="left" vertical="top" wrapText="1"/>
    </xf>
    <xf numFmtId="0" fontId="4" fillId="0" borderId="0" xfId="3" applyFont="1" applyAlignment="1">
      <alignment horizontal="center"/>
    </xf>
    <xf numFmtId="0" fontId="11" fillId="0" borderId="0" xfId="3" applyFont="1" applyAlignment="1">
      <alignment horizont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8" xfId="3" applyFont="1" applyBorder="1" applyAlignment="1">
      <alignment vertical="center" wrapText="1"/>
    </xf>
    <xf numFmtId="0" fontId="9" fillId="0" borderId="7" xfId="3" applyFont="1" applyBorder="1" applyAlignment="1">
      <alignment vertical="center" wrapText="1"/>
    </xf>
  </cellXfs>
  <cellStyles count="8">
    <cellStyle name="Comma" xfId="1" builtinId="3"/>
    <cellStyle name="Comma 3" xfId="6"/>
    <cellStyle name="Normal" xfId="0" builtinId="0"/>
    <cellStyle name="Normal 2 2 2" xfId="3"/>
    <cellStyle name="Normal 2 2_Template Portfolio Disclosure -31.01 2025" xfId="7"/>
    <cellStyle name="Normal 4_IF" xfId="4"/>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800100</xdr:colOff>
      <xdr:row>82</xdr:row>
      <xdr:rowOff>66675</xdr:rowOff>
    </xdr:from>
    <xdr:to>
      <xdr:col>0</xdr:col>
      <xdr:colOff>3543300</xdr:colOff>
      <xdr:row>91</xdr:row>
      <xdr:rowOff>152400</xdr:rowOff>
    </xdr:to>
    <xdr:pic>
      <xdr:nvPicPr>
        <xdr:cNvPr id="2" name="Picture 3">
          <a:extLst>
            <a:ext uri="{FF2B5EF4-FFF2-40B4-BE49-F238E27FC236}">
              <a16:creationId xmlns:a16="http://schemas.microsoft.com/office/drawing/2014/main" id="{963A0255-E081-4F37-9B82-4042452CC2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0100" y="12728575"/>
          <a:ext cx="2743200" cy="1571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361950</xdr:colOff>
      <xdr:row>82</xdr:row>
      <xdr:rowOff>28575</xdr:rowOff>
    </xdr:from>
    <xdr:to>
      <xdr:col>4</xdr:col>
      <xdr:colOff>266700</xdr:colOff>
      <xdr:row>92</xdr:row>
      <xdr:rowOff>66675</xdr:rowOff>
    </xdr:to>
    <xdr:pic>
      <xdr:nvPicPr>
        <xdr:cNvPr id="3" name="Picture 6">
          <a:extLst>
            <a:ext uri="{FF2B5EF4-FFF2-40B4-BE49-F238E27FC236}">
              <a16:creationId xmlns:a16="http://schemas.microsoft.com/office/drawing/2014/main" id="{CC0414D1-AF30-418D-BA49-F733B80F26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0" y="12690475"/>
          <a:ext cx="3124200" cy="168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5"/>
  <sheetViews>
    <sheetView tabSelected="1" topLeftCell="A79" zoomScaleNormal="100" workbookViewId="0">
      <selection activeCell="A96" sqref="A96:XFD96"/>
    </sheetView>
  </sheetViews>
  <sheetFormatPr defaultColWidth="9.140625" defaultRowHeight="12.75" x14ac:dyDescent="0.2"/>
  <cols>
    <col min="1" max="1" width="63" style="45" customWidth="1"/>
    <col min="2" max="2" width="21.42578125" style="46" bestFit="1" customWidth="1"/>
    <col min="3" max="3" width="13.42578125" style="47" customWidth="1"/>
    <col min="4" max="4" width="11.140625" style="1" customWidth="1"/>
    <col min="5" max="5" width="12.140625" style="1" customWidth="1"/>
    <col min="6" max="6" width="16.28515625" style="1" customWidth="1"/>
    <col min="7" max="7" width="9.5703125" style="1" bestFit="1" customWidth="1"/>
    <col min="8" max="8" width="12.28515625" style="1" customWidth="1"/>
    <col min="9" max="16384" width="9.140625" style="1"/>
  </cols>
  <sheetData>
    <row r="1" spans="1:8" x14ac:dyDescent="0.2">
      <c r="A1" s="63" t="s">
        <v>0</v>
      </c>
      <c r="B1" s="63"/>
      <c r="C1" s="63"/>
      <c r="D1" s="63"/>
      <c r="E1" s="63"/>
      <c r="F1" s="63"/>
      <c r="G1" s="63"/>
      <c r="H1" s="63"/>
    </row>
    <row r="2" spans="1:8" ht="26.25" customHeight="1" x14ac:dyDescent="0.2">
      <c r="A2" s="64" t="s">
        <v>1</v>
      </c>
      <c r="B2" s="64"/>
      <c r="C2" s="64"/>
      <c r="D2" s="64"/>
      <c r="E2" s="64"/>
      <c r="F2" s="64"/>
      <c r="G2" s="64"/>
      <c r="H2" s="64"/>
    </row>
    <row r="3" spans="1:8" x14ac:dyDescent="0.2">
      <c r="A3" s="65" t="s">
        <v>159</v>
      </c>
      <c r="B3" s="65"/>
      <c r="C3" s="65"/>
      <c r="D3" s="65"/>
      <c r="E3" s="65"/>
      <c r="F3" s="65"/>
      <c r="G3" s="65"/>
      <c r="H3" s="65"/>
    </row>
    <row r="4" spans="1:8" s="5" customFormat="1" ht="38.25" x14ac:dyDescent="0.2">
      <c r="A4" s="2" t="s">
        <v>2</v>
      </c>
      <c r="B4" s="3" t="s">
        <v>3</v>
      </c>
      <c r="C4" s="4" t="s">
        <v>105</v>
      </c>
      <c r="D4" s="2" t="s">
        <v>4</v>
      </c>
      <c r="E4" s="2" t="s">
        <v>5</v>
      </c>
      <c r="F4" s="2" t="s">
        <v>6</v>
      </c>
      <c r="G4" s="2" t="s">
        <v>7</v>
      </c>
      <c r="H4" s="2" t="s">
        <v>8</v>
      </c>
    </row>
    <row r="5" spans="1:8" ht="14.25" x14ac:dyDescent="0.3">
      <c r="A5" s="6" t="s">
        <v>42</v>
      </c>
      <c r="B5" s="7"/>
      <c r="C5" s="8"/>
      <c r="D5" s="9"/>
      <c r="E5" s="10"/>
      <c r="F5" s="11"/>
      <c r="G5" s="12"/>
      <c r="H5" s="13"/>
    </row>
    <row r="6" spans="1:8" ht="14.25" x14ac:dyDescent="0.3">
      <c r="A6" s="6" t="s">
        <v>43</v>
      </c>
      <c r="B6" s="7"/>
      <c r="C6" s="8"/>
      <c r="D6" s="9"/>
      <c r="E6" s="10"/>
      <c r="F6" s="11"/>
      <c r="G6" s="12"/>
      <c r="H6" s="13"/>
    </row>
    <row r="7" spans="1:8" ht="14.25" x14ac:dyDescent="0.3">
      <c r="A7" s="6" t="s">
        <v>44</v>
      </c>
      <c r="B7" s="7"/>
      <c r="C7" s="8"/>
      <c r="D7" s="9"/>
      <c r="E7" s="10"/>
      <c r="F7" s="11"/>
      <c r="G7" s="12"/>
      <c r="H7" s="13"/>
    </row>
    <row r="8" spans="1:8" ht="14.25" x14ac:dyDescent="0.3">
      <c r="A8" s="48" t="s">
        <v>45</v>
      </c>
      <c r="B8" s="49" t="s">
        <v>46</v>
      </c>
      <c r="C8" s="50">
        <v>2000000</v>
      </c>
      <c r="D8" s="51">
        <v>1996.432</v>
      </c>
      <c r="E8" s="52">
        <v>8.915107051117778E-2</v>
      </c>
      <c r="F8" s="11" t="s">
        <v>47</v>
      </c>
      <c r="G8" s="54" t="s">
        <v>121</v>
      </c>
      <c r="H8" s="13"/>
    </row>
    <row r="9" spans="1:8" ht="14.25" x14ac:dyDescent="0.3">
      <c r="A9" s="48" t="s">
        <v>107</v>
      </c>
      <c r="B9" s="49" t="s">
        <v>46</v>
      </c>
      <c r="C9" s="50">
        <v>1500000</v>
      </c>
      <c r="D9" s="51">
        <v>1496.8575000000001</v>
      </c>
      <c r="E9" s="52">
        <v>6.6842471232521461E-2</v>
      </c>
      <c r="F9" s="11" t="s">
        <v>48</v>
      </c>
      <c r="G9" s="54" t="s">
        <v>122</v>
      </c>
      <c r="H9" s="13"/>
    </row>
    <row r="10" spans="1:8" ht="14.25" x14ac:dyDescent="0.3">
      <c r="A10" s="48" t="s">
        <v>49</v>
      </c>
      <c r="B10" s="49" t="s">
        <v>50</v>
      </c>
      <c r="C10" s="50">
        <v>1000000</v>
      </c>
      <c r="D10" s="51">
        <v>1005.772</v>
      </c>
      <c r="E10" s="52">
        <v>4.4912949947791006E-2</v>
      </c>
      <c r="F10" s="11" t="s">
        <v>51</v>
      </c>
      <c r="G10" s="54" t="s">
        <v>123</v>
      </c>
      <c r="H10" s="13"/>
    </row>
    <row r="11" spans="1:8" ht="14.25" x14ac:dyDescent="0.3">
      <c r="A11" s="48" t="s">
        <v>52</v>
      </c>
      <c r="B11" s="49" t="s">
        <v>53</v>
      </c>
      <c r="C11" s="50">
        <v>1000000</v>
      </c>
      <c r="D11" s="51">
        <v>1002.538</v>
      </c>
      <c r="E11" s="52">
        <v>4.4768535030562093E-2</v>
      </c>
      <c r="F11" s="11" t="s">
        <v>54</v>
      </c>
      <c r="G11" s="54" t="s">
        <v>124</v>
      </c>
      <c r="H11" s="13"/>
    </row>
    <row r="12" spans="1:8" ht="14.25" x14ac:dyDescent="0.3">
      <c r="A12" s="48" t="s">
        <v>55</v>
      </c>
      <c r="B12" s="49" t="s">
        <v>56</v>
      </c>
      <c r="C12" s="50">
        <v>1000000</v>
      </c>
      <c r="D12" s="51">
        <v>1000.727</v>
      </c>
      <c r="E12" s="52">
        <v>4.4687664463121911E-2</v>
      </c>
      <c r="F12" s="11" t="s">
        <v>57</v>
      </c>
      <c r="G12" s="54" t="s">
        <v>125</v>
      </c>
      <c r="H12" s="13"/>
    </row>
    <row r="13" spans="1:8" ht="14.25" x14ac:dyDescent="0.3">
      <c r="A13" s="48" t="s">
        <v>58</v>
      </c>
      <c r="B13" s="49" t="s">
        <v>59</v>
      </c>
      <c r="C13" s="50">
        <v>1000000</v>
      </c>
      <c r="D13" s="51">
        <v>999.22799999999995</v>
      </c>
      <c r="E13" s="52">
        <v>4.4620726318123104E-2</v>
      </c>
      <c r="F13" s="11" t="s">
        <v>60</v>
      </c>
      <c r="G13" s="54" t="s">
        <v>126</v>
      </c>
      <c r="H13" s="13"/>
    </row>
    <row r="14" spans="1:8" ht="14.25" x14ac:dyDescent="0.3">
      <c r="A14" s="48" t="s">
        <v>108</v>
      </c>
      <c r="B14" s="49" t="s">
        <v>46</v>
      </c>
      <c r="C14" s="50">
        <v>900000</v>
      </c>
      <c r="D14" s="51">
        <v>903.59820000000002</v>
      </c>
      <c r="E14" s="52">
        <v>4.0350358460480157E-2</v>
      </c>
      <c r="F14" s="11" t="s">
        <v>61</v>
      </c>
      <c r="G14" s="54" t="s">
        <v>127</v>
      </c>
      <c r="H14" s="13"/>
    </row>
    <row r="15" spans="1:8" ht="14.25" x14ac:dyDescent="0.3">
      <c r="A15" s="48" t="s">
        <v>62</v>
      </c>
      <c r="B15" s="49" t="s">
        <v>46</v>
      </c>
      <c r="C15" s="50">
        <v>700000</v>
      </c>
      <c r="D15" s="51">
        <v>693.69439999999997</v>
      </c>
      <c r="E15" s="52">
        <v>3.097706226288156E-2</v>
      </c>
      <c r="F15" s="11" t="s">
        <v>63</v>
      </c>
      <c r="G15" s="54" t="s">
        <v>128</v>
      </c>
      <c r="H15" s="13"/>
    </row>
    <row r="16" spans="1:8" ht="14.25" x14ac:dyDescent="0.3">
      <c r="A16" s="48" t="s">
        <v>109</v>
      </c>
      <c r="B16" s="49" t="s">
        <v>67</v>
      </c>
      <c r="C16" s="50">
        <v>500000</v>
      </c>
      <c r="D16" s="51">
        <v>506.01400000000001</v>
      </c>
      <c r="E16" s="52">
        <v>2.2596156439910354E-2</v>
      </c>
      <c r="F16" s="11" t="s">
        <v>115</v>
      </c>
      <c r="G16" s="54" t="s">
        <v>129</v>
      </c>
      <c r="H16" s="13"/>
    </row>
    <row r="17" spans="1:8" ht="14.25" x14ac:dyDescent="0.3">
      <c r="A17" s="48" t="s">
        <v>110</v>
      </c>
      <c r="B17" s="49" t="s">
        <v>67</v>
      </c>
      <c r="C17" s="50">
        <v>500000</v>
      </c>
      <c r="D17" s="51">
        <v>505.35250000000002</v>
      </c>
      <c r="E17" s="52">
        <v>2.2566617025022623E-2</v>
      </c>
      <c r="F17" s="11" t="s">
        <v>116</v>
      </c>
      <c r="G17" s="54" t="s">
        <v>125</v>
      </c>
      <c r="H17" s="13"/>
    </row>
    <row r="18" spans="1:8" ht="14.25" x14ac:dyDescent="0.3">
      <c r="A18" s="48" t="s">
        <v>64</v>
      </c>
      <c r="B18" s="49" t="s">
        <v>46</v>
      </c>
      <c r="C18" s="50">
        <v>500000</v>
      </c>
      <c r="D18" s="51">
        <v>504.02449999999999</v>
      </c>
      <c r="E18" s="52">
        <v>2.2507314919246495E-2</v>
      </c>
      <c r="F18" s="11" t="s">
        <v>65</v>
      </c>
      <c r="G18" s="54" t="s">
        <v>121</v>
      </c>
      <c r="H18" s="13"/>
    </row>
    <row r="19" spans="1:8" ht="14.25" x14ac:dyDescent="0.3">
      <c r="A19" s="48" t="s">
        <v>111</v>
      </c>
      <c r="B19" s="49" t="s">
        <v>59</v>
      </c>
      <c r="C19" s="50">
        <v>500000</v>
      </c>
      <c r="D19" s="51">
        <v>504.00099999999998</v>
      </c>
      <c r="E19" s="52">
        <v>2.2506265522043378E-2</v>
      </c>
      <c r="F19" s="11" t="s">
        <v>117</v>
      </c>
      <c r="G19" s="54" t="s">
        <v>130</v>
      </c>
      <c r="H19" s="13"/>
    </row>
    <row r="20" spans="1:8" ht="14.25" x14ac:dyDescent="0.3">
      <c r="A20" s="48" t="s">
        <v>66</v>
      </c>
      <c r="B20" s="49" t="s">
        <v>67</v>
      </c>
      <c r="C20" s="50">
        <v>500000</v>
      </c>
      <c r="D20" s="51">
        <v>502.25450000000001</v>
      </c>
      <c r="E20" s="52">
        <v>2.2428275215011749E-2</v>
      </c>
      <c r="F20" s="11" t="s">
        <v>68</v>
      </c>
      <c r="G20" s="54" t="s">
        <v>131</v>
      </c>
      <c r="H20" s="13"/>
    </row>
    <row r="21" spans="1:8" ht="14.25" x14ac:dyDescent="0.3">
      <c r="A21" s="48" t="s">
        <v>112</v>
      </c>
      <c r="B21" s="49" t="s">
        <v>67</v>
      </c>
      <c r="C21" s="50">
        <v>500000</v>
      </c>
      <c r="D21" s="51">
        <v>500.59800000000001</v>
      </c>
      <c r="E21" s="52">
        <v>2.2354303875992056E-2</v>
      </c>
      <c r="F21" s="11" t="s">
        <v>118</v>
      </c>
      <c r="G21" s="54" t="s">
        <v>121</v>
      </c>
      <c r="H21" s="13"/>
    </row>
    <row r="22" spans="1:8" ht="14.25" x14ac:dyDescent="0.3">
      <c r="A22" s="48" t="s">
        <v>69</v>
      </c>
      <c r="B22" s="49" t="s">
        <v>67</v>
      </c>
      <c r="C22" s="50">
        <v>500000</v>
      </c>
      <c r="D22" s="51">
        <v>500.28949999999998</v>
      </c>
      <c r="E22" s="52">
        <v>2.2340527746751139E-2</v>
      </c>
      <c r="F22" s="11" t="s">
        <v>70</v>
      </c>
      <c r="G22" s="54" t="s">
        <v>132</v>
      </c>
      <c r="H22" s="13"/>
    </row>
    <row r="23" spans="1:8" ht="14.25" x14ac:dyDescent="0.3">
      <c r="A23" s="48" t="s">
        <v>113</v>
      </c>
      <c r="B23" s="49" t="s">
        <v>67</v>
      </c>
      <c r="C23" s="50">
        <v>500000</v>
      </c>
      <c r="D23" s="51">
        <v>493.0985</v>
      </c>
      <c r="E23" s="52">
        <v>2.2019412202597431E-2</v>
      </c>
      <c r="F23" s="11" t="s">
        <v>119</v>
      </c>
      <c r="G23" s="54" t="s">
        <v>127</v>
      </c>
      <c r="H23" s="13"/>
    </row>
    <row r="24" spans="1:8" ht="14.25" x14ac:dyDescent="0.3">
      <c r="A24" s="48" t="s">
        <v>71</v>
      </c>
      <c r="B24" s="49" t="s">
        <v>46</v>
      </c>
      <c r="C24" s="50">
        <v>500000</v>
      </c>
      <c r="D24" s="51">
        <v>491.209</v>
      </c>
      <c r="E24" s="52">
        <v>2.1935036201946836E-2</v>
      </c>
      <c r="F24" s="11" t="s">
        <v>72</v>
      </c>
      <c r="G24" s="54" t="s">
        <v>133</v>
      </c>
      <c r="H24" s="13"/>
    </row>
    <row r="25" spans="1:8" ht="14.25" x14ac:dyDescent="0.3">
      <c r="A25" s="48" t="s">
        <v>73</v>
      </c>
      <c r="B25" s="49" t="s">
        <v>50</v>
      </c>
      <c r="C25" s="50">
        <v>400000</v>
      </c>
      <c r="D25" s="51">
        <v>400.13279999999997</v>
      </c>
      <c r="E25" s="52">
        <v>1.7868010263627807E-2</v>
      </c>
      <c r="F25" s="11" t="s">
        <v>74</v>
      </c>
      <c r="G25" s="54" t="s">
        <v>134</v>
      </c>
      <c r="H25" s="13"/>
    </row>
    <row r="26" spans="1:8" ht="14.25" x14ac:dyDescent="0.3">
      <c r="A26" s="48" t="s">
        <v>114</v>
      </c>
      <c r="B26" s="49" t="s">
        <v>67</v>
      </c>
      <c r="C26" s="50">
        <v>400000</v>
      </c>
      <c r="D26" s="51">
        <v>399.88560000000001</v>
      </c>
      <c r="E26" s="52">
        <v>1.7856971498155023E-2</v>
      </c>
      <c r="F26" s="11" t="s">
        <v>120</v>
      </c>
      <c r="G26" s="54" t="s">
        <v>135</v>
      </c>
      <c r="H26" s="13"/>
    </row>
    <row r="27" spans="1:8" ht="14.25" x14ac:dyDescent="0.3">
      <c r="A27" s="48" t="s">
        <v>75</v>
      </c>
      <c r="B27" s="49" t="s">
        <v>46</v>
      </c>
      <c r="C27" s="50">
        <v>300000</v>
      </c>
      <c r="D27" s="51">
        <v>303.13830000000002</v>
      </c>
      <c r="E27" s="52">
        <v>1.3536701454363866E-2</v>
      </c>
      <c r="F27" s="11" t="s">
        <v>76</v>
      </c>
      <c r="G27" s="54" t="s">
        <v>136</v>
      </c>
      <c r="H27" s="13"/>
    </row>
    <row r="28" spans="1:8" ht="14.25" x14ac:dyDescent="0.3">
      <c r="A28" s="48" t="s">
        <v>77</v>
      </c>
      <c r="B28" s="49" t="s">
        <v>67</v>
      </c>
      <c r="C28" s="50">
        <v>300000</v>
      </c>
      <c r="D28" s="51">
        <v>301.1139</v>
      </c>
      <c r="E28" s="52">
        <v>1.3446301467215378E-2</v>
      </c>
      <c r="F28" s="11" t="s">
        <v>78</v>
      </c>
      <c r="G28" s="54" t="s">
        <v>137</v>
      </c>
      <c r="H28" s="13"/>
    </row>
    <row r="29" spans="1:8" ht="14.25" x14ac:dyDescent="0.3">
      <c r="A29" s="6" t="s">
        <v>79</v>
      </c>
      <c r="B29" s="7"/>
      <c r="C29" s="8"/>
      <c r="D29" s="9">
        <f>SUM(D8:D28)</f>
        <v>15009.959200000003</v>
      </c>
      <c r="E29" s="57">
        <f>SUM(E8:E28)</f>
        <v>0.6702727320585431</v>
      </c>
      <c r="F29" s="11"/>
      <c r="G29" s="54"/>
      <c r="H29" s="13"/>
    </row>
    <row r="30" spans="1:8" ht="14.25" x14ac:dyDescent="0.3">
      <c r="A30" s="6" t="s">
        <v>80</v>
      </c>
      <c r="B30" s="7"/>
      <c r="C30" s="8"/>
      <c r="D30" s="9" t="s">
        <v>81</v>
      </c>
      <c r="E30" s="10" t="s">
        <v>81</v>
      </c>
      <c r="F30" s="11"/>
      <c r="G30" s="54"/>
      <c r="H30" s="13"/>
    </row>
    <row r="31" spans="1:8" ht="14.25" x14ac:dyDescent="0.3">
      <c r="A31" s="6" t="s">
        <v>79</v>
      </c>
      <c r="B31" s="7"/>
      <c r="C31" s="8"/>
      <c r="D31" s="9" t="s">
        <v>81</v>
      </c>
      <c r="E31" s="10" t="s">
        <v>81</v>
      </c>
      <c r="F31" s="11"/>
      <c r="G31" s="54"/>
      <c r="H31" s="13"/>
    </row>
    <row r="32" spans="1:8" ht="14.25" x14ac:dyDescent="0.3">
      <c r="A32" s="6" t="s">
        <v>82</v>
      </c>
      <c r="B32" s="7"/>
      <c r="C32" s="8"/>
      <c r="D32" s="9" t="s">
        <v>81</v>
      </c>
      <c r="E32" s="10" t="s">
        <v>81</v>
      </c>
      <c r="F32" s="11"/>
      <c r="G32" s="54"/>
      <c r="H32" s="13"/>
    </row>
    <row r="33" spans="1:8" ht="14.25" x14ac:dyDescent="0.3">
      <c r="A33" s="6" t="s">
        <v>79</v>
      </c>
      <c r="B33" s="7"/>
      <c r="C33" s="8"/>
      <c r="D33" s="9" t="s">
        <v>81</v>
      </c>
      <c r="E33" s="10" t="s">
        <v>81</v>
      </c>
      <c r="F33" s="11"/>
      <c r="G33" s="54"/>
      <c r="H33" s="13"/>
    </row>
    <row r="34" spans="1:8" ht="14.25" x14ac:dyDescent="0.3">
      <c r="A34" s="6" t="s">
        <v>83</v>
      </c>
      <c r="B34" s="7"/>
      <c r="C34" s="8"/>
      <c r="D34" s="9"/>
      <c r="E34" s="10"/>
      <c r="F34" s="11"/>
      <c r="G34" s="54"/>
      <c r="H34" s="13"/>
    </row>
    <row r="35" spans="1:8" ht="14.25" x14ac:dyDescent="0.3">
      <c r="A35" s="48" t="s">
        <v>138</v>
      </c>
      <c r="B35" s="49" t="s">
        <v>85</v>
      </c>
      <c r="C35" s="50">
        <v>500000</v>
      </c>
      <c r="D35" s="51">
        <v>509.6875</v>
      </c>
      <c r="E35" s="52">
        <v>2.2760197317597555E-2</v>
      </c>
      <c r="F35" s="11" t="s">
        <v>140</v>
      </c>
      <c r="G35" s="54" t="s">
        <v>142</v>
      </c>
      <c r="H35" s="13"/>
    </row>
    <row r="36" spans="1:8" ht="14.25" x14ac:dyDescent="0.3">
      <c r="A36" s="48" t="s">
        <v>84</v>
      </c>
      <c r="B36" s="49" t="s">
        <v>85</v>
      </c>
      <c r="C36" s="50">
        <v>400000</v>
      </c>
      <c r="D36" s="51">
        <v>411.64280000000002</v>
      </c>
      <c r="E36" s="52">
        <v>1.8381991617154328E-2</v>
      </c>
      <c r="F36" s="11" t="s">
        <v>86</v>
      </c>
      <c r="G36" s="54" t="s">
        <v>143</v>
      </c>
      <c r="H36" s="13"/>
    </row>
    <row r="37" spans="1:8" ht="14.25" x14ac:dyDescent="0.3">
      <c r="A37" s="48" t="s">
        <v>139</v>
      </c>
      <c r="B37" s="49" t="s">
        <v>85</v>
      </c>
      <c r="C37" s="50">
        <v>250000</v>
      </c>
      <c r="D37" s="51">
        <v>252.94200000000001</v>
      </c>
      <c r="E37" s="52">
        <v>1.1295175631946557E-2</v>
      </c>
      <c r="F37" s="11" t="s">
        <v>141</v>
      </c>
      <c r="G37" s="54" t="s">
        <v>144</v>
      </c>
      <c r="H37" s="13"/>
    </row>
    <row r="38" spans="1:8" ht="14.25" x14ac:dyDescent="0.3">
      <c r="A38" s="6" t="s">
        <v>79</v>
      </c>
      <c r="B38" s="7"/>
      <c r="C38" s="8"/>
      <c r="D38" s="9">
        <f>SUM(D35:D37)</f>
        <v>1174.2723000000001</v>
      </c>
      <c r="E38" s="57">
        <f>SUM(E35:E37)</f>
        <v>5.2437364566698438E-2</v>
      </c>
      <c r="F38" s="11"/>
      <c r="G38" s="54"/>
      <c r="H38" s="13"/>
    </row>
    <row r="39" spans="1:8" ht="14.25" x14ac:dyDescent="0.3">
      <c r="A39" s="6" t="s">
        <v>87</v>
      </c>
      <c r="B39" s="7"/>
      <c r="C39" s="8"/>
      <c r="D39" s="9">
        <f>+D38+D29</f>
        <v>16184.231500000004</v>
      </c>
      <c r="E39" s="57">
        <f>+E38+E29</f>
        <v>0.72271009662524155</v>
      </c>
      <c r="F39" s="11"/>
      <c r="G39" s="54"/>
      <c r="H39" s="13"/>
    </row>
    <row r="40" spans="1:8" ht="14.25" x14ac:dyDescent="0.3">
      <c r="A40" s="6"/>
      <c r="B40" s="7"/>
      <c r="C40" s="8"/>
      <c r="D40" s="9"/>
      <c r="E40" s="10"/>
      <c r="F40" s="11"/>
      <c r="G40" s="54"/>
      <c r="H40" s="13"/>
    </row>
    <row r="41" spans="1:8" ht="14.25" x14ac:dyDescent="0.3">
      <c r="A41" s="6" t="s">
        <v>88</v>
      </c>
      <c r="B41" s="7"/>
      <c r="C41" s="8"/>
      <c r="D41" s="9"/>
      <c r="E41" s="10"/>
      <c r="F41" s="11"/>
      <c r="G41" s="54"/>
      <c r="H41" s="13"/>
    </row>
    <row r="42" spans="1:8" ht="14.25" x14ac:dyDescent="0.3">
      <c r="A42" s="6" t="s">
        <v>153</v>
      </c>
      <c r="B42" s="49"/>
      <c r="C42" s="50"/>
      <c r="D42" s="51"/>
      <c r="E42" s="52"/>
      <c r="F42" s="11"/>
      <c r="G42" s="54"/>
      <c r="H42" s="13"/>
    </row>
    <row r="43" spans="1:8" ht="14.25" x14ac:dyDescent="0.3">
      <c r="A43" s="48" t="s">
        <v>154</v>
      </c>
      <c r="B43" s="49" t="s">
        <v>85</v>
      </c>
      <c r="C43" s="50">
        <v>200000</v>
      </c>
      <c r="D43" s="51">
        <v>194.3408</v>
      </c>
      <c r="E43" s="52">
        <v>8.6783273179345446E-3</v>
      </c>
      <c r="F43" s="11" t="s">
        <v>155</v>
      </c>
      <c r="G43" s="54" t="s">
        <v>156</v>
      </c>
      <c r="H43" s="13"/>
    </row>
    <row r="44" spans="1:8" ht="14.25" x14ac:dyDescent="0.3">
      <c r="A44" s="58" t="s">
        <v>79</v>
      </c>
      <c r="B44" s="59"/>
      <c r="C44" s="60"/>
      <c r="D44" s="9">
        <f>+D43</f>
        <v>194.3408</v>
      </c>
      <c r="E44" s="10">
        <f>+E43</f>
        <v>8.6783273179345446E-3</v>
      </c>
      <c r="F44" s="11"/>
      <c r="G44" s="54"/>
      <c r="H44" s="13"/>
    </row>
    <row r="45" spans="1:8" ht="14.25" x14ac:dyDescent="0.3">
      <c r="A45" s="6" t="s">
        <v>89</v>
      </c>
      <c r="B45" s="7"/>
      <c r="C45" s="8"/>
      <c r="D45" s="9"/>
      <c r="E45" s="10"/>
      <c r="F45" s="11"/>
      <c r="G45" s="54"/>
      <c r="H45" s="13"/>
    </row>
    <row r="46" spans="1:8" ht="14.25" x14ac:dyDescent="0.3">
      <c r="A46" s="48" t="s">
        <v>145</v>
      </c>
      <c r="B46" s="49" t="s">
        <v>90</v>
      </c>
      <c r="C46" s="50">
        <v>1000000</v>
      </c>
      <c r="D46" s="51">
        <v>988.31</v>
      </c>
      <c r="E46" s="52">
        <v>4.4133180843075097E-2</v>
      </c>
      <c r="F46" s="11" t="s">
        <v>146</v>
      </c>
      <c r="G46" s="54" t="s">
        <v>147</v>
      </c>
      <c r="H46" s="13"/>
    </row>
    <row r="47" spans="1:8" ht="14.25" x14ac:dyDescent="0.3">
      <c r="A47" s="6" t="s">
        <v>79</v>
      </c>
      <c r="B47" s="7"/>
      <c r="C47" s="8"/>
      <c r="D47" s="9">
        <f>SUM(D46)</f>
        <v>988.31</v>
      </c>
      <c r="E47" s="57">
        <f>SUM(E46)</f>
        <v>4.4133180843075097E-2</v>
      </c>
      <c r="F47" s="11"/>
      <c r="G47" s="54"/>
      <c r="H47" s="13"/>
    </row>
    <row r="48" spans="1:8" ht="14.25" x14ac:dyDescent="0.3">
      <c r="A48" s="6" t="s">
        <v>91</v>
      </c>
      <c r="B48" s="7"/>
      <c r="C48" s="8"/>
      <c r="D48" s="9"/>
      <c r="E48" s="10"/>
      <c r="F48" s="11"/>
      <c r="G48" s="54"/>
      <c r="H48" s="13"/>
    </row>
    <row r="49" spans="1:8" ht="14.25" x14ac:dyDescent="0.3">
      <c r="A49" s="48" t="s">
        <v>157</v>
      </c>
      <c r="B49" s="49" t="s">
        <v>148</v>
      </c>
      <c r="C49" s="50">
        <v>100000</v>
      </c>
      <c r="D49" s="51">
        <v>98.694000000000003</v>
      </c>
      <c r="E49" s="52">
        <v>4.4072003218893398E-3</v>
      </c>
      <c r="F49" s="11" t="s">
        <v>149</v>
      </c>
      <c r="G49" s="54" t="s">
        <v>150</v>
      </c>
      <c r="H49" s="13"/>
    </row>
    <row r="50" spans="1:8" ht="14.25" x14ac:dyDescent="0.3">
      <c r="A50" s="48" t="s">
        <v>104</v>
      </c>
      <c r="B50" s="49" t="s">
        <v>93</v>
      </c>
      <c r="C50" s="50">
        <v>1000000</v>
      </c>
      <c r="D50" s="51">
        <v>944.10900000000004</v>
      </c>
      <c r="E50" s="52">
        <v>4.2159376342012916E-2</v>
      </c>
      <c r="F50" s="11" t="s">
        <v>94</v>
      </c>
      <c r="G50" s="54" t="s">
        <v>151</v>
      </c>
      <c r="H50" s="13"/>
    </row>
    <row r="51" spans="1:8" ht="14.25" x14ac:dyDescent="0.3">
      <c r="A51" s="48" t="s">
        <v>103</v>
      </c>
      <c r="B51" s="49" t="s">
        <v>90</v>
      </c>
      <c r="C51" s="50">
        <v>2000000</v>
      </c>
      <c r="D51" s="51">
        <v>1906.846</v>
      </c>
      <c r="E51" s="52">
        <v>8.5150589752096384E-2</v>
      </c>
      <c r="F51" s="11" t="s">
        <v>92</v>
      </c>
      <c r="G51" s="54" t="s">
        <v>152</v>
      </c>
      <c r="H51" s="13"/>
    </row>
    <row r="52" spans="1:8" ht="14.25" x14ac:dyDescent="0.3">
      <c r="A52" s="6" t="s">
        <v>79</v>
      </c>
      <c r="B52" s="7"/>
      <c r="C52" s="8"/>
      <c r="D52" s="9">
        <f>SUM(D49:D51)</f>
        <v>2949.6490000000003</v>
      </c>
      <c r="E52" s="57">
        <f>SUM(E49:E51)</f>
        <v>0.13171716641599865</v>
      </c>
      <c r="F52" s="11"/>
      <c r="G52" s="54"/>
      <c r="H52" s="13"/>
    </row>
    <row r="53" spans="1:8" ht="14.25" x14ac:dyDescent="0.3">
      <c r="A53" s="6" t="s">
        <v>87</v>
      </c>
      <c r="B53" s="7"/>
      <c r="C53" s="8"/>
      <c r="D53" s="9">
        <f>+D52+D47+D44</f>
        <v>4132.2998000000007</v>
      </c>
      <c r="E53" s="57">
        <f>+E52+E47+E44</f>
        <v>0.18452867457700831</v>
      </c>
      <c r="F53" s="11"/>
      <c r="G53" s="54"/>
      <c r="H53" s="13"/>
    </row>
    <row r="54" spans="1:8" ht="14.25" x14ac:dyDescent="0.3">
      <c r="A54" s="6"/>
      <c r="B54" s="7"/>
      <c r="C54" s="8"/>
      <c r="D54" s="9"/>
      <c r="E54" s="10"/>
      <c r="F54" s="11"/>
      <c r="G54" s="54"/>
      <c r="H54" s="13"/>
    </row>
    <row r="55" spans="1:8" ht="14.25" x14ac:dyDescent="0.3">
      <c r="A55" s="6" t="s">
        <v>95</v>
      </c>
      <c r="B55" s="7"/>
      <c r="C55" s="8"/>
      <c r="D55" s="9"/>
      <c r="E55" s="10"/>
      <c r="F55" s="11"/>
      <c r="G55" s="54"/>
      <c r="H55" s="13"/>
    </row>
    <row r="56" spans="1:8" ht="14.25" x14ac:dyDescent="0.3">
      <c r="A56" s="53" t="s">
        <v>102</v>
      </c>
      <c r="B56" s="7"/>
      <c r="C56" s="56">
        <v>594.72799999999995</v>
      </c>
      <c r="D56" s="51">
        <v>65.626040799999998</v>
      </c>
      <c r="E56" s="52">
        <v>2.930543985835846E-3</v>
      </c>
      <c r="F56" s="11" t="s">
        <v>96</v>
      </c>
      <c r="G56" s="54">
        <v>6.4600000000000005E-2</v>
      </c>
      <c r="H56" s="13"/>
    </row>
    <row r="57" spans="1:8" ht="14.25" x14ac:dyDescent="0.3">
      <c r="A57" s="6" t="s">
        <v>87</v>
      </c>
      <c r="B57" s="7"/>
      <c r="C57" s="8"/>
      <c r="D57" s="9">
        <f>+D56</f>
        <v>65.626040799999998</v>
      </c>
      <c r="E57" s="57">
        <f>+E56</f>
        <v>2.930543985835846E-3</v>
      </c>
      <c r="F57" s="11"/>
      <c r="G57" s="54"/>
      <c r="H57" s="13"/>
    </row>
    <row r="58" spans="1:8" ht="14.25" x14ac:dyDescent="0.3">
      <c r="A58" s="6"/>
      <c r="B58" s="7"/>
      <c r="C58" s="8"/>
      <c r="D58" s="9"/>
      <c r="E58" s="10"/>
      <c r="F58" s="11"/>
      <c r="G58" s="54"/>
      <c r="H58" s="13"/>
    </row>
    <row r="59" spans="1:8" ht="14.25" x14ac:dyDescent="0.3">
      <c r="A59" s="6" t="s">
        <v>97</v>
      </c>
      <c r="B59" s="7"/>
      <c r="C59" s="8"/>
      <c r="D59" s="9"/>
      <c r="E59" s="10"/>
      <c r="F59" s="11"/>
      <c r="G59" s="54"/>
      <c r="H59" s="13"/>
    </row>
    <row r="60" spans="1:8" ht="14.25" x14ac:dyDescent="0.3">
      <c r="A60" s="48" t="s">
        <v>98</v>
      </c>
      <c r="B60" s="49"/>
      <c r="C60" s="50">
        <v>15179.2333</v>
      </c>
      <c r="D60" s="51">
        <v>1517.6461847999999</v>
      </c>
      <c r="E60" s="52">
        <v>6.7770794112759533E-2</v>
      </c>
      <c r="F60" s="11"/>
      <c r="G60" s="54">
        <v>6.6703239999999997E-2</v>
      </c>
      <c r="H60" s="13"/>
    </row>
    <row r="61" spans="1:8" ht="14.25" x14ac:dyDescent="0.3">
      <c r="A61" s="6" t="s">
        <v>87</v>
      </c>
      <c r="B61" s="7"/>
      <c r="C61" s="8"/>
      <c r="D61" s="9">
        <f>+D60</f>
        <v>1517.6461847999999</v>
      </c>
      <c r="E61" s="57">
        <f>+E60</f>
        <v>6.7770794112759533E-2</v>
      </c>
      <c r="F61" s="11"/>
      <c r="G61" s="55"/>
      <c r="H61" s="13"/>
    </row>
    <row r="62" spans="1:8" ht="14.25" x14ac:dyDescent="0.3">
      <c r="A62" s="6"/>
      <c r="B62" s="7"/>
      <c r="C62" s="8"/>
      <c r="D62" s="9"/>
      <c r="E62" s="10"/>
      <c r="F62" s="11"/>
      <c r="G62" s="55"/>
      <c r="H62" s="13"/>
    </row>
    <row r="63" spans="1:8" ht="14.25" x14ac:dyDescent="0.3">
      <c r="A63" s="6" t="s">
        <v>99</v>
      </c>
      <c r="B63" s="49"/>
      <c r="C63" s="50"/>
      <c r="D63" s="51"/>
      <c r="E63" s="52"/>
      <c r="F63" s="11"/>
      <c r="G63" s="55"/>
      <c r="H63" s="13"/>
    </row>
    <row r="64" spans="1:8" ht="14.25" x14ac:dyDescent="0.3">
      <c r="A64" s="48" t="s">
        <v>100</v>
      </c>
      <c r="B64" s="49"/>
      <c r="C64" s="50"/>
      <c r="D64" s="51">
        <v>494.00496770000001</v>
      </c>
      <c r="E64" s="52">
        <v>2.2059890699154691E-2</v>
      </c>
      <c r="F64" s="11"/>
      <c r="G64" s="55"/>
      <c r="H64" s="13"/>
    </row>
    <row r="65" spans="1:8" ht="14.25" x14ac:dyDescent="0.3">
      <c r="A65" s="6" t="s">
        <v>87</v>
      </c>
      <c r="B65" s="7"/>
      <c r="C65" s="8"/>
      <c r="D65" s="9">
        <f>+D64</f>
        <v>494.00496770000001</v>
      </c>
      <c r="E65" s="57">
        <f>+E64</f>
        <v>2.2059890699154691E-2</v>
      </c>
      <c r="F65" s="11"/>
      <c r="G65" s="55"/>
      <c r="H65" s="13"/>
    </row>
    <row r="66" spans="1:8" ht="14.25" x14ac:dyDescent="0.3">
      <c r="A66" s="6" t="s">
        <v>101</v>
      </c>
      <c r="B66" s="7"/>
      <c r="C66" s="8"/>
      <c r="D66" s="9">
        <f>+D65+D61+D57+D53+D39</f>
        <v>22393.808493300006</v>
      </c>
      <c r="E66" s="57">
        <f>+E65+E61+E57+E53+E39</f>
        <v>1</v>
      </c>
      <c r="F66" s="11"/>
      <c r="G66" s="55"/>
      <c r="H66" s="13"/>
    </row>
    <row r="67" spans="1:8" ht="14.25" x14ac:dyDescent="0.3">
      <c r="A67" s="14"/>
      <c r="B67" s="15"/>
      <c r="C67" s="16"/>
      <c r="D67" s="17"/>
      <c r="E67" s="17"/>
      <c r="F67" s="18"/>
      <c r="G67" s="19"/>
      <c r="H67" s="19"/>
    </row>
    <row r="68" spans="1:8" ht="14.25" x14ac:dyDescent="0.3">
      <c r="A68" s="20" t="s">
        <v>9</v>
      </c>
      <c r="B68" s="21"/>
      <c r="C68" s="16"/>
      <c r="D68" s="17"/>
      <c r="E68" s="17"/>
      <c r="F68" s="22"/>
      <c r="G68" s="23"/>
      <c r="H68" s="23"/>
    </row>
    <row r="69" spans="1:8" ht="14.25" x14ac:dyDescent="0.3">
      <c r="A69" s="20"/>
      <c r="B69" s="21"/>
      <c r="C69" s="16"/>
      <c r="D69" s="17"/>
      <c r="E69" s="17"/>
      <c r="F69" s="22"/>
      <c r="G69" s="23"/>
      <c r="H69" s="23"/>
    </row>
    <row r="70" spans="1:8" ht="14.25" x14ac:dyDescent="0.3">
      <c r="A70" s="61" t="s">
        <v>158</v>
      </c>
      <c r="B70" s="21"/>
      <c r="C70" s="16"/>
      <c r="D70" s="17"/>
      <c r="E70" s="17"/>
      <c r="F70" s="22"/>
      <c r="G70" s="23"/>
      <c r="H70" s="23"/>
    </row>
    <row r="71" spans="1:8" ht="14.25" x14ac:dyDescent="0.3">
      <c r="A71" s="24"/>
      <c r="B71" s="21"/>
      <c r="C71" s="16"/>
      <c r="D71" s="17"/>
      <c r="E71" s="17"/>
      <c r="F71" s="22"/>
      <c r="G71" s="23"/>
      <c r="H71" s="23"/>
    </row>
    <row r="72" spans="1:8" ht="13.5" x14ac:dyDescent="0.2">
      <c r="A72" s="62" t="s">
        <v>10</v>
      </c>
      <c r="B72" s="62"/>
      <c r="C72" s="62"/>
      <c r="D72" s="62"/>
      <c r="E72" s="62"/>
      <c r="F72" s="62"/>
      <c r="G72" s="62"/>
      <c r="H72" s="62"/>
    </row>
    <row r="73" spans="1:8" ht="12.95" customHeight="1" x14ac:dyDescent="0.2">
      <c r="A73" s="66" t="s">
        <v>11</v>
      </c>
      <c r="B73" s="66"/>
      <c r="C73" s="66"/>
      <c r="D73" s="66"/>
      <c r="E73" s="66"/>
      <c r="F73" s="66"/>
      <c r="G73" s="66"/>
      <c r="H73" s="66"/>
    </row>
    <row r="74" spans="1:8" ht="13.5" x14ac:dyDescent="0.2">
      <c r="A74" s="62" t="s">
        <v>12</v>
      </c>
      <c r="B74" s="62"/>
      <c r="C74" s="62"/>
      <c r="D74" s="62"/>
      <c r="E74" s="62"/>
      <c r="F74" s="62"/>
      <c r="G74" s="62"/>
      <c r="H74" s="62"/>
    </row>
    <row r="75" spans="1:8" ht="54" customHeight="1" x14ac:dyDescent="0.2">
      <c r="A75" s="69" t="s">
        <v>13</v>
      </c>
      <c r="B75" s="69"/>
      <c r="C75" s="69"/>
      <c r="D75" s="69"/>
      <c r="E75" s="69"/>
      <c r="F75" s="69"/>
      <c r="G75" s="69"/>
      <c r="H75" s="69"/>
    </row>
    <row r="76" spans="1:8" x14ac:dyDescent="0.2">
      <c r="A76" s="25"/>
      <c r="B76" s="25"/>
      <c r="C76" s="25"/>
      <c r="D76" s="25"/>
      <c r="E76" s="25"/>
      <c r="F76" s="25"/>
      <c r="G76" s="25"/>
      <c r="H76" s="25"/>
    </row>
    <row r="77" spans="1:8" ht="14.25" x14ac:dyDescent="0.3">
      <c r="A77" s="26" t="s">
        <v>14</v>
      </c>
      <c r="B77" s="27"/>
      <c r="C77" s="27"/>
      <c r="D77" s="27"/>
      <c r="E77" s="23"/>
      <c r="F77" s="23"/>
      <c r="G77" s="23"/>
      <c r="H77" s="23"/>
    </row>
    <row r="78" spans="1:8" ht="14.25" x14ac:dyDescent="0.3">
      <c r="A78" s="28" t="s">
        <v>15</v>
      </c>
      <c r="B78" s="27"/>
      <c r="C78" s="27"/>
      <c r="D78" s="27"/>
      <c r="E78" s="23"/>
      <c r="F78" s="23"/>
      <c r="G78" s="23"/>
      <c r="H78" s="23"/>
    </row>
    <row r="79" spans="1:8" ht="14.25" x14ac:dyDescent="0.3">
      <c r="A79" s="28" t="s">
        <v>16</v>
      </c>
      <c r="B79" s="27"/>
      <c r="C79" s="27"/>
      <c r="D79" s="27"/>
      <c r="E79" s="23"/>
      <c r="F79" s="23"/>
      <c r="G79" s="23"/>
      <c r="H79" s="23"/>
    </row>
    <row r="80" spans="1:8" ht="14.25" x14ac:dyDescent="0.3">
      <c r="A80" s="28" t="s">
        <v>17</v>
      </c>
      <c r="B80" s="27"/>
      <c r="C80" s="27"/>
      <c r="D80" s="27"/>
      <c r="E80" s="23"/>
      <c r="F80" s="23"/>
      <c r="G80" s="23"/>
      <c r="H80" s="23"/>
    </row>
    <row r="81" spans="1:8" ht="14.25" x14ac:dyDescent="0.3">
      <c r="A81" s="20"/>
      <c r="B81" s="29"/>
      <c r="C81" s="30"/>
      <c r="D81" s="23"/>
      <c r="E81" s="23"/>
      <c r="F81" s="23"/>
      <c r="G81" s="23"/>
      <c r="H81" s="23"/>
    </row>
    <row r="82" spans="1:8" ht="14.25" x14ac:dyDescent="0.3">
      <c r="A82" s="31" t="s">
        <v>18</v>
      </c>
      <c r="B82" s="70" t="s">
        <v>19</v>
      </c>
      <c r="C82" s="70"/>
      <c r="D82" s="70"/>
      <c r="E82" s="23"/>
      <c r="F82" s="23"/>
      <c r="G82" s="23"/>
      <c r="H82" s="23"/>
    </row>
    <row r="83" spans="1:8" ht="14.25" x14ac:dyDescent="0.3">
      <c r="A83" s="20"/>
      <c r="B83" s="29"/>
      <c r="C83" s="30"/>
      <c r="D83" s="23"/>
      <c r="E83" s="23"/>
      <c r="F83" s="23"/>
      <c r="G83" s="23"/>
      <c r="H83" s="23"/>
    </row>
    <row r="84" spans="1:8" ht="14.25" x14ac:dyDescent="0.3">
      <c r="A84" s="20"/>
      <c r="B84" s="29"/>
      <c r="C84" s="30"/>
      <c r="D84" s="23"/>
      <c r="E84" s="23"/>
      <c r="F84" s="23"/>
      <c r="G84" s="23"/>
      <c r="H84" s="23"/>
    </row>
    <row r="85" spans="1:8" ht="14.25" x14ac:dyDescent="0.3">
      <c r="A85" s="20"/>
      <c r="B85" s="29"/>
      <c r="C85" s="30"/>
      <c r="D85" s="23"/>
      <c r="E85" s="23"/>
      <c r="F85" s="23"/>
      <c r="G85" s="23"/>
      <c r="H85" s="23"/>
    </row>
    <row r="86" spans="1:8" ht="14.25" x14ac:dyDescent="0.3">
      <c r="A86" s="20"/>
      <c r="B86" s="29"/>
      <c r="C86" s="30"/>
      <c r="D86" s="23"/>
      <c r="E86" s="23"/>
      <c r="F86" s="23"/>
      <c r="G86" s="23"/>
      <c r="H86" s="23"/>
    </row>
    <row r="87" spans="1:8" ht="14.25" x14ac:dyDescent="0.3">
      <c r="A87" s="20"/>
      <c r="B87" s="29"/>
      <c r="C87" s="30"/>
      <c r="D87" s="23"/>
      <c r="E87" s="23"/>
      <c r="F87" s="23"/>
      <c r="G87" s="23"/>
      <c r="H87" s="23"/>
    </row>
    <row r="88" spans="1:8" ht="14.25" x14ac:dyDescent="0.3">
      <c r="A88" s="20"/>
      <c r="B88" s="29"/>
      <c r="C88" s="30"/>
      <c r="D88" s="23"/>
      <c r="E88" s="23"/>
      <c r="F88" s="23"/>
      <c r="G88" s="23"/>
      <c r="H88" s="23"/>
    </row>
    <row r="89" spans="1:8" ht="14.25" x14ac:dyDescent="0.3">
      <c r="A89" s="20"/>
      <c r="B89" s="29"/>
      <c r="C89" s="30"/>
      <c r="D89" s="23"/>
      <c r="E89" s="23"/>
      <c r="F89" s="23"/>
      <c r="G89" s="23"/>
      <c r="H89" s="23"/>
    </row>
    <row r="90" spans="1:8" ht="14.25" x14ac:dyDescent="0.3">
      <c r="A90" s="20"/>
      <c r="B90" s="29"/>
      <c r="C90" s="30"/>
      <c r="D90" s="23"/>
      <c r="E90" s="23"/>
      <c r="F90" s="23"/>
      <c r="G90" s="23"/>
      <c r="H90" s="23"/>
    </row>
    <row r="91" spans="1:8" ht="14.25" x14ac:dyDescent="0.3">
      <c r="A91" s="20"/>
      <c r="B91" s="29"/>
      <c r="C91" s="30"/>
      <c r="D91" s="23"/>
      <c r="E91" s="23"/>
      <c r="F91" s="23"/>
      <c r="G91" s="23"/>
      <c r="H91" s="23"/>
    </row>
    <row r="92" spans="1:8" ht="14.25" x14ac:dyDescent="0.3">
      <c r="A92" s="20"/>
      <c r="B92" s="29"/>
      <c r="C92" s="30"/>
      <c r="D92" s="23"/>
      <c r="E92" s="23"/>
      <c r="F92" s="23"/>
      <c r="G92" s="23"/>
      <c r="H92" s="23"/>
    </row>
    <row r="93" spans="1:8" ht="14.25" x14ac:dyDescent="0.3">
      <c r="A93" s="20"/>
      <c r="B93" s="29"/>
      <c r="C93" s="30"/>
      <c r="D93" s="23"/>
      <c r="E93" s="23"/>
      <c r="F93" s="23"/>
      <c r="G93" s="23"/>
      <c r="H93" s="23"/>
    </row>
    <row r="94" spans="1:8" ht="12.95" customHeight="1" x14ac:dyDescent="0.3">
      <c r="A94" s="32" t="s">
        <v>20</v>
      </c>
      <c r="B94" s="71" t="s">
        <v>21</v>
      </c>
      <c r="C94" s="71"/>
      <c r="D94" s="71"/>
      <c r="E94" s="71"/>
      <c r="F94" s="23"/>
      <c r="G94" s="23"/>
      <c r="H94" s="23"/>
    </row>
    <row r="95" spans="1:8" ht="14.25" x14ac:dyDescent="0.3">
      <c r="A95" s="32"/>
      <c r="B95" s="32"/>
      <c r="C95" s="32"/>
      <c r="D95" s="32"/>
      <c r="E95" s="32"/>
      <c r="F95" s="23"/>
      <c r="G95" s="23"/>
      <c r="H95" s="23"/>
    </row>
    <row r="96" spans="1:8" ht="13.5" customHeight="1" thickBot="1" x14ac:dyDescent="0.35">
      <c r="A96" s="24"/>
      <c r="B96" s="29"/>
      <c r="C96" s="30"/>
      <c r="D96" s="23"/>
      <c r="E96" s="23"/>
      <c r="F96" s="23"/>
      <c r="G96" s="23"/>
      <c r="H96" s="23"/>
    </row>
    <row r="97" spans="1:8" ht="15" thickBot="1" x14ac:dyDescent="0.35">
      <c r="A97" s="72" t="s">
        <v>22</v>
      </c>
      <c r="B97" s="73"/>
      <c r="C97" s="73"/>
      <c r="D97" s="74"/>
      <c r="E97" s="23"/>
      <c r="F97" s="23"/>
      <c r="G97" s="23"/>
      <c r="H97" s="23"/>
    </row>
    <row r="98" spans="1:8" ht="15" thickBot="1" x14ac:dyDescent="0.35">
      <c r="A98" s="33" t="s">
        <v>23</v>
      </c>
      <c r="B98" s="75" t="s">
        <v>24</v>
      </c>
      <c r="C98" s="75" t="s">
        <v>25</v>
      </c>
      <c r="D98" s="75" t="s">
        <v>26</v>
      </c>
      <c r="E98" s="23"/>
      <c r="F98" s="23"/>
      <c r="G98" s="23"/>
      <c r="H98" s="23"/>
    </row>
    <row r="99" spans="1:8" ht="15" thickBot="1" x14ac:dyDescent="0.35">
      <c r="A99" s="33" t="s">
        <v>27</v>
      </c>
      <c r="B99" s="76"/>
      <c r="C99" s="76"/>
      <c r="D99" s="76"/>
      <c r="E99" s="23"/>
      <c r="F99" s="23"/>
      <c r="G99" s="23"/>
      <c r="H99" s="23"/>
    </row>
    <row r="100" spans="1:8" ht="15" thickBot="1" x14ac:dyDescent="0.35">
      <c r="A100" s="34" t="s">
        <v>28</v>
      </c>
      <c r="B100" s="35"/>
      <c r="C100" s="35" t="s">
        <v>29</v>
      </c>
      <c r="D100" s="36"/>
      <c r="E100" s="23"/>
      <c r="F100" s="23"/>
      <c r="G100" s="23"/>
      <c r="H100" s="23"/>
    </row>
    <row r="101" spans="1:8" ht="15" thickBot="1" x14ac:dyDescent="0.35">
      <c r="A101" s="34" t="s">
        <v>30</v>
      </c>
      <c r="B101" s="36"/>
      <c r="C101" s="36"/>
      <c r="D101" s="36"/>
      <c r="E101" s="23"/>
      <c r="F101" s="23"/>
      <c r="G101" s="23"/>
      <c r="H101" s="23"/>
    </row>
    <row r="102" spans="1:8" ht="15" thickBot="1" x14ac:dyDescent="0.35">
      <c r="A102" s="34" t="s">
        <v>31</v>
      </c>
      <c r="B102" s="36"/>
      <c r="C102" s="36"/>
      <c r="D102" s="36"/>
      <c r="E102" s="23"/>
      <c r="F102" s="23"/>
      <c r="G102" s="23"/>
      <c r="H102" s="23"/>
    </row>
    <row r="103" spans="1:8" ht="14.25" x14ac:dyDescent="0.3">
      <c r="A103" s="24"/>
      <c r="B103" s="29"/>
      <c r="C103" s="30"/>
      <c r="D103" s="23"/>
      <c r="E103" s="23"/>
      <c r="F103" s="23"/>
      <c r="G103" s="23"/>
      <c r="H103" s="23"/>
    </row>
    <row r="104" spans="1:8" ht="14.25" x14ac:dyDescent="0.3">
      <c r="A104" s="20"/>
      <c r="B104" s="29"/>
      <c r="C104" s="30"/>
      <c r="D104" s="23"/>
      <c r="E104" s="23"/>
      <c r="F104" s="23"/>
      <c r="G104" s="23"/>
      <c r="H104" s="23"/>
    </row>
    <row r="105" spans="1:8" ht="14.25" x14ac:dyDescent="0.3">
      <c r="A105" s="67" t="s">
        <v>32</v>
      </c>
      <c r="B105" s="68"/>
      <c r="C105" s="23"/>
      <c r="D105" s="23"/>
      <c r="E105" s="23"/>
      <c r="F105" s="23"/>
      <c r="G105" s="23"/>
      <c r="H105" s="23"/>
    </row>
    <row r="106" spans="1:8" ht="14.25" x14ac:dyDescent="0.3">
      <c r="A106" s="37" t="s">
        <v>33</v>
      </c>
      <c r="B106" s="38" t="s">
        <v>34</v>
      </c>
      <c r="C106" s="23"/>
      <c r="D106" s="23"/>
      <c r="E106" s="23"/>
      <c r="F106" s="23"/>
      <c r="G106" s="23"/>
      <c r="H106" s="23"/>
    </row>
    <row r="107" spans="1:8" ht="14.25" x14ac:dyDescent="0.3">
      <c r="A107" s="39" t="s">
        <v>35</v>
      </c>
      <c r="B107" s="40"/>
      <c r="C107" s="41"/>
      <c r="D107" s="23"/>
      <c r="E107" s="23"/>
      <c r="F107" s="23"/>
      <c r="G107" s="23"/>
      <c r="H107" s="23"/>
    </row>
    <row r="108" spans="1:8" ht="14.25" x14ac:dyDescent="0.3">
      <c r="A108" s="39"/>
      <c r="B108" s="40"/>
      <c r="C108" s="41"/>
      <c r="D108" s="23"/>
      <c r="E108" s="23"/>
      <c r="F108" s="23"/>
      <c r="G108" s="23"/>
      <c r="H108" s="23"/>
    </row>
    <row r="109" spans="1:8" ht="14.25" x14ac:dyDescent="0.3">
      <c r="A109" s="39" t="s">
        <v>36</v>
      </c>
      <c r="B109" s="42">
        <v>7.3999999999999996E-2</v>
      </c>
      <c r="C109" s="41"/>
      <c r="D109" s="23"/>
      <c r="E109" s="23"/>
      <c r="F109" s="23"/>
      <c r="G109" s="23"/>
      <c r="H109" s="23"/>
    </row>
    <row r="110" spans="1:8" ht="14.25" x14ac:dyDescent="0.3">
      <c r="A110" s="39" t="s">
        <v>37</v>
      </c>
      <c r="B110" s="40"/>
      <c r="C110" s="41"/>
      <c r="D110" s="23"/>
      <c r="E110" s="23"/>
      <c r="F110" s="23"/>
      <c r="G110" s="23"/>
      <c r="H110" s="23"/>
    </row>
    <row r="111" spans="1:8" ht="14.25" x14ac:dyDescent="0.3">
      <c r="A111" s="39" t="s">
        <v>38</v>
      </c>
      <c r="B111" s="43">
        <v>0.93959999999999999</v>
      </c>
      <c r="C111" s="41"/>
      <c r="D111" s="23"/>
      <c r="E111" s="23"/>
      <c r="F111" s="23"/>
      <c r="G111" s="23"/>
      <c r="H111" s="23"/>
    </row>
    <row r="112" spans="1:8" ht="14.25" x14ac:dyDescent="0.3">
      <c r="A112" s="39" t="s">
        <v>39</v>
      </c>
      <c r="B112" s="43">
        <v>0.99560000000000004</v>
      </c>
      <c r="C112" s="41"/>
      <c r="D112" s="23"/>
      <c r="E112" s="23"/>
      <c r="F112" s="23"/>
      <c r="G112" s="23"/>
      <c r="H112" s="23"/>
    </row>
    <row r="113" spans="1:8" ht="14.25" x14ac:dyDescent="0.3">
      <c r="A113" s="39" t="s">
        <v>37</v>
      </c>
      <c r="B113" s="40"/>
      <c r="C113" s="41"/>
      <c r="D113" s="23"/>
      <c r="E113" s="23"/>
      <c r="F113" s="23"/>
      <c r="G113" s="23"/>
      <c r="H113" s="23"/>
    </row>
    <row r="114" spans="1:8" ht="14.25" x14ac:dyDescent="0.3">
      <c r="A114" s="39" t="s">
        <v>40</v>
      </c>
      <c r="B114" s="44" t="s">
        <v>106</v>
      </c>
      <c r="C114" s="41"/>
      <c r="D114" s="23"/>
      <c r="E114" s="23"/>
      <c r="F114" s="23"/>
      <c r="G114" s="23"/>
      <c r="H114" s="23"/>
    </row>
    <row r="115" spans="1:8" ht="14.25" x14ac:dyDescent="0.3">
      <c r="A115" s="39" t="s">
        <v>41</v>
      </c>
      <c r="B115" s="40"/>
      <c r="C115" s="41"/>
      <c r="D115" s="23"/>
      <c r="E115" s="23"/>
      <c r="F115" s="23"/>
      <c r="G115" s="23"/>
      <c r="H115" s="23"/>
    </row>
  </sheetData>
  <sortState ref="A41:H43">
    <sortCondition descending="1" ref="D41:D43"/>
  </sortState>
  <mergeCells count="14">
    <mergeCell ref="A105:B105"/>
    <mergeCell ref="A75:H75"/>
    <mergeCell ref="B82:D82"/>
    <mergeCell ref="B94:E94"/>
    <mergeCell ref="A97:D97"/>
    <mergeCell ref="B98:B99"/>
    <mergeCell ref="C98:C99"/>
    <mergeCell ref="D98:D99"/>
    <mergeCell ref="A74:H74"/>
    <mergeCell ref="A1:H1"/>
    <mergeCell ref="A2:H2"/>
    <mergeCell ref="A3:H3"/>
    <mergeCell ref="A72:H72"/>
    <mergeCell ref="A73:H73"/>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2025-02-17T08:38:52Z</dcterms:created>
  <dcterms:modified xsi:type="dcterms:W3CDTF">2025-04-04T13:59:02Z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2025-02-17T08:41:22Z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277dda5d-2239-4b7c-ac6e-c4dfc03ea5f5</vt:lpwstr>
  </property>
  <property fmtid="{D5CDD505-2E9C-101B-9397-08002B2CF9AE}" pid="8" name="MSIP_Label_e3ba8fb0-bbb8-454c-aa98-661329b3f27f_ContentBits">
    <vt:lpwstr>3</vt:lpwstr>
  </property>
</Properties>
</file>