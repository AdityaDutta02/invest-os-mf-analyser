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AMCWEB_V2.0\uploaddir\MonthlyPortfolio\"/>
    </mc:Choice>
  </mc:AlternateContent>
  <xr:revisionPtr revIDLastSave="0" documentId="13_ncr:1_{341A05CB-8F63-4E2D-B667-238E79BE9192}" xr6:coauthVersionLast="47" xr6:coauthVersionMax="47" xr10:uidLastSave="{00000000-0000-0000-0000-000000000000}"/>
  <bookViews>
    <workbookView xWindow="-120" yWindow="-120" windowWidth="29040" windowHeight="15720" tabRatio="917" xr2:uid="{00000000-000D-0000-FFFF-FFFF00000000}"/>
  </bookViews>
  <sheets>
    <sheet name="Index" sheetId="37" r:id="rId1"/>
    <sheet name="CAPEXG" sheetId="1" r:id="rId2"/>
    <sheet name="MICAP15" sheetId="2" r:id="rId3"/>
    <sheet name="MICAP16" sheetId="3" r:id="rId4"/>
    <sheet name="MICAP17" sheetId="4" r:id="rId5"/>
    <sheet name="MIDCAP" sheetId="5" r:id="rId6"/>
    <sheet name="MULTI1" sheetId="6" r:id="rId7"/>
    <sheet name="MULTI2" sheetId="7" r:id="rId8"/>
    <sheet name="MULTIP" sheetId="8" r:id="rId9"/>
    <sheet name="SESCAP1" sheetId="9" r:id="rId10"/>
    <sheet name="SESCAP2" sheetId="10" r:id="rId11"/>
    <sheet name="SESCAP3" sheetId="11" r:id="rId12"/>
    <sheet name="SESCAP4" sheetId="12" r:id="rId13"/>
    <sheet name="SESCAP5" sheetId="13" r:id="rId14"/>
    <sheet name="SESCAP6" sheetId="14" r:id="rId15"/>
    <sheet name="SESCAP7" sheetId="15" r:id="rId16"/>
    <sheet name="SLTADV3" sheetId="16" r:id="rId17"/>
    <sheet name="SLTADV4" sheetId="17" r:id="rId18"/>
    <sheet name="SLTAX1" sheetId="18" r:id="rId19"/>
    <sheet name="SLTAX2" sheetId="19" r:id="rId20"/>
    <sheet name="SLTAX3" sheetId="20" r:id="rId21"/>
    <sheet name="SLTAX4" sheetId="21" r:id="rId22"/>
    <sheet name="SLTAX5" sheetId="22" r:id="rId23"/>
    <sheet name="SLTAX6" sheetId="23" r:id="rId24"/>
    <sheet name="SMILE" sheetId="24" r:id="rId25"/>
    <sheet name="SPAHF" sheetId="39" r:id="rId26"/>
    <sheet name="SPARF" sheetId="25" r:id="rId27"/>
    <sheet name="SPBAF" sheetId="40" r:id="rId28"/>
    <sheet name="SPDYF" sheetId="26" r:id="rId29"/>
    <sheet name="SPESF" sheetId="27" r:id="rId30"/>
    <sheet name="SPFOCUS" sheetId="28" r:id="rId31"/>
    <sheet name="SPMUCF" sheetId="29" r:id="rId32"/>
    <sheet name="SPSN100" sheetId="30" r:id="rId33"/>
    <sheet name="SPTAX" sheetId="31" r:id="rId34"/>
    <sheet name="SRURAL" sheetId="32" r:id="rId35"/>
    <sheet name="SSFUND" sheetId="33" r:id="rId36"/>
    <sheet name="STAX" sheetId="34" r:id="rId37"/>
    <sheet name="SUNBCF" sheetId="35" r:id="rId38"/>
    <sheet name="SUNFOP" sheetId="36" r:id="rId39"/>
    <sheet name="GLOB" sheetId="38" r:id="rId40"/>
    <sheet name="Annexure-A" sheetId="41" r:id="rId41"/>
  </sheets>
  <definedNames>
    <definedName name="_xlnm._FilterDatabase" localSheetId="0" hidden="1">Index!$B$1:$C$40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5" i="39" l="1"/>
  <c r="F155" i="41" l="1"/>
  <c r="G138" i="41"/>
  <c r="G137" i="41"/>
  <c r="G136" i="41"/>
  <c r="G135" i="41"/>
  <c r="G134" i="41"/>
  <c r="G133" i="41"/>
  <c r="G132" i="41"/>
  <c r="G131" i="41"/>
  <c r="G130" i="41"/>
  <c r="G113" i="41"/>
  <c r="G112" i="41"/>
  <c r="G111" i="41"/>
  <c r="G110" i="41"/>
  <c r="F109" i="41"/>
  <c r="G109" i="41" s="1"/>
  <c r="E109" i="41"/>
  <c r="D109" i="41"/>
  <c r="C109" i="41"/>
  <c r="G108" i="41"/>
  <c r="F108" i="41"/>
  <c r="E108" i="41"/>
  <c r="D108" i="41"/>
  <c r="C108" i="41"/>
  <c r="F107" i="41"/>
  <c r="G107" i="41" s="1"/>
  <c r="E107" i="41"/>
  <c r="D107" i="41"/>
  <c r="C107" i="41"/>
  <c r="J219" i="39"/>
  <c r="F117" i="33" l="1"/>
  <c r="F225" i="40"/>
  <c r="G93" i="29" l="1"/>
  <c r="F93" i="29"/>
  <c r="G79" i="29"/>
  <c r="F79" i="29"/>
  <c r="F144" i="8" l="1"/>
  <c r="G90" i="40" l="1"/>
  <c r="F90" i="40"/>
</calcChain>
</file>

<file path=xl/sharedStrings.xml><?xml version="1.0" encoding="utf-8"?>
<sst xmlns="http://schemas.openxmlformats.org/spreadsheetml/2006/main" count="11523" uniqueCount="1228">
  <si>
    <t>SUNDARAM MUTUAL FUND</t>
  </si>
  <si>
    <t>Sundaram Infrastructure Advantage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</si>
  <si>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</si>
  <si>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</si>
  <si>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</si>
  <si>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</si>
  <si>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</si>
  <si>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</si>
  <si>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</si>
  <si>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</si>
  <si>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</si>
  <si>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INE018A01030</t>
  </si>
  <si>
    <t>Larsen &amp; Toubro Ltd</t>
  </si>
  <si>
    <t>Construction</t>
  </si>
  <si>
    <t>INE002A01018</t>
  </si>
  <si>
    <t>Reliance Industries Ltd</t>
  </si>
  <si>
    <t>Petroleum Products</t>
  </si>
  <si>
    <t>INE090A01021</t>
  </si>
  <si>
    <t>ICICI Bank Ltd</t>
  </si>
  <si>
    <t>Banks</t>
  </si>
  <si>
    <t>INE397D01024</t>
  </si>
  <si>
    <t>Bharti Airtel Ltd</t>
  </si>
  <si>
    <t>Telecom - Services</t>
  </si>
  <si>
    <t>INE481G01011</t>
  </si>
  <si>
    <t>Ultratech Cement Ltd</t>
  </si>
  <si>
    <t>Cement &amp; Cement Products</t>
  </si>
  <si>
    <t>INE455K01017</t>
  </si>
  <si>
    <t>Polycab India Ltd</t>
  </si>
  <si>
    <t>Industrial Products</t>
  </si>
  <si>
    <t>INE733E01010</t>
  </si>
  <si>
    <t>NTPC Ltd</t>
  </si>
  <si>
    <t>Power</t>
  </si>
  <si>
    <t>INE536A01023</t>
  </si>
  <si>
    <t>Grindwell Norton Ltd</t>
  </si>
  <si>
    <t>INE999A01015</t>
  </si>
  <si>
    <t>KSB Ltd</t>
  </si>
  <si>
    <t>INE284A01012</t>
  </si>
  <si>
    <t>ESAB India Ltd</t>
  </si>
  <si>
    <t>INE245A01021</t>
  </si>
  <si>
    <t>Tata Power Company Ltd</t>
  </si>
  <si>
    <t>INE671A01010</t>
  </si>
  <si>
    <t>Honeywell Automation India Ltd</t>
  </si>
  <si>
    <t>Industrial Manufacturing</t>
  </si>
  <si>
    <t>INE823G01014</t>
  </si>
  <si>
    <t>JK Cement Ltd</t>
  </si>
  <si>
    <t>INE111A01025</t>
  </si>
  <si>
    <t>Container Corporation of India Ltd</t>
  </si>
  <si>
    <t>Transport Services</t>
  </si>
  <si>
    <t>INE331A01037</t>
  </si>
  <si>
    <t>The Ramco Cements Ltd</t>
  </si>
  <si>
    <t>INE062A01020</t>
  </si>
  <si>
    <t>State Bank of India</t>
  </si>
  <si>
    <t>INE129A01019</t>
  </si>
  <si>
    <t>GAIL (India) Ltd</t>
  </si>
  <si>
    <t>Gas</t>
  </si>
  <si>
    <t>INE742F01042</t>
  </si>
  <si>
    <t>Adani Ports and Special Economic Zone Ltd</t>
  </si>
  <si>
    <t>Transport Infrastructure</t>
  </si>
  <si>
    <t>INE029A01011</t>
  </si>
  <si>
    <t>Bharat Petroleum Corporation Ltd</t>
  </si>
  <si>
    <t>INE541A01023</t>
  </si>
  <si>
    <t>GMM Pfaudler Ltd</t>
  </si>
  <si>
    <t>INE868B01028</t>
  </si>
  <si>
    <t>NCC Ltd</t>
  </si>
  <si>
    <t>INE752E01010</t>
  </si>
  <si>
    <t>Power Grid Corporation of India Ltd</t>
  </si>
  <si>
    <t>INE213A01029</t>
  </si>
  <si>
    <t>Oil &amp; Natural Gas Corporation Ltd</t>
  </si>
  <si>
    <t>Oil</t>
  </si>
  <si>
    <t>INE195J01029</t>
  </si>
  <si>
    <t>PNC Infratech Ltd</t>
  </si>
  <si>
    <t>INE242A01010</t>
  </si>
  <si>
    <t>Indian Oil Corporation Ltd</t>
  </si>
  <si>
    <t>INE208A01029</t>
  </si>
  <si>
    <t>Ashok Leyland Ltd</t>
  </si>
  <si>
    <t>Agricultural, Commercial &amp; Construction Vehicles</t>
  </si>
  <si>
    <t>INE702C01027</t>
  </si>
  <si>
    <t>APL Apollo Tubes Ltd</t>
  </si>
  <si>
    <t>INE08ZM01014</t>
  </si>
  <si>
    <t>Green Panel Industries Ltd</t>
  </si>
  <si>
    <t>Consumer Durables</t>
  </si>
  <si>
    <t>INE766P01016</t>
  </si>
  <si>
    <t>Mahindra Logistics Ltd</t>
  </si>
  <si>
    <t>INE121A01024</t>
  </si>
  <si>
    <t>Cholamandalam Investment and Finance Company Ltd</t>
  </si>
  <si>
    <t>Finance</t>
  </si>
  <si>
    <t>INE258A01016</t>
  </si>
  <si>
    <t>BEML Ltd</t>
  </si>
  <si>
    <t>INE201P01022</t>
  </si>
  <si>
    <t>GR Infraprojects Ltd</t>
  </si>
  <si>
    <t>INE791I01019</t>
  </si>
  <si>
    <t>Brigade Enterprises Ltd</t>
  </si>
  <si>
    <t>Realty</t>
  </si>
  <si>
    <t>INE513A01022</t>
  </si>
  <si>
    <t>Schaeffler India Ltd</t>
  </si>
  <si>
    <t>Auto Components</t>
  </si>
  <si>
    <t>INE371P01015</t>
  </si>
  <si>
    <t>Amber Enterprises India Ltd</t>
  </si>
  <si>
    <t>INE121J01017</t>
  </si>
  <si>
    <t>Indus Towers Ltd (Prev Bharti Infratel Ltd)</t>
  </si>
  <si>
    <t>INE844O01030</t>
  </si>
  <si>
    <t>Gujarat Gas Co Ltd</t>
  </si>
  <si>
    <t>INE811K01011</t>
  </si>
  <si>
    <t>Prestige Estates Projects Ltd</t>
  </si>
  <si>
    <t>INE114A01011</t>
  </si>
  <si>
    <t>Steel Authority of India Ltd</t>
  </si>
  <si>
    <t>Ferrous Metals</t>
  </si>
  <si>
    <t>INE264T01014</t>
  </si>
  <si>
    <t>Capacite Infraprojects Ltd</t>
  </si>
  <si>
    <t>INE203G01027</t>
  </si>
  <si>
    <t>Indraprastha Gas Ltd</t>
  </si>
  <si>
    <t>INE246F01010</t>
  </si>
  <si>
    <t>Gujarat State Petronet Ltd</t>
  </si>
  <si>
    <t>INE093I01010</t>
  </si>
  <si>
    <t>Oberoi Realty Ltd</t>
  </si>
  <si>
    <t>INE217L01019</t>
  </si>
  <si>
    <t>Shriram Properties Ltd</t>
  </si>
  <si>
    <t>INE551A01022</t>
  </si>
  <si>
    <t>#</t>
  </si>
  <si>
    <t>Sub Total</t>
  </si>
  <si>
    <t/>
  </si>
  <si>
    <t>(b) Overseas Security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</si>
  <si>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</si>
  <si>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</si>
  <si>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</si>
  <si>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</si>
  <si>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</si>
  <si>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</si>
  <si>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</si>
  <si>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</si>
  <si>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</si>
  <si>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</si>
  <si>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</si>
  <si>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</si>
  <si>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</si>
  <si>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</si>
  <si>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</si>
  <si>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</si>
  <si>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</si>
  <si>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</si>
  <si>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</si>
  <si>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</si>
  <si>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</si>
  <si>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</si>
  <si>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</si>
  <si>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</si>
  <si>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</si>
  <si>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</si>
  <si>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</si>
  <si>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</si>
  <si>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b) Total value and percentage of illiquid equity shares</t>
  </si>
  <si>
    <t>c) NAV  per  unit (Rupees per unit)</t>
  </si>
  <si>
    <t>At the 
beginning</t>
  </si>
  <si>
    <t>At the end</t>
  </si>
  <si>
    <t>Option</t>
  </si>
  <si>
    <t>30/04/2022</t>
  </si>
  <si>
    <t>31/05/2022</t>
  </si>
  <si>
    <t>Direct Plan - Growth</t>
  </si>
  <si>
    <t>Regular Plan - Growth</t>
  </si>
  <si>
    <t xml:space="preserve"> </t>
  </si>
  <si>
    <t>e) Total outstanding exposure in derivative instruments at the end of the period</t>
  </si>
  <si>
    <t>f) Total investments in foreign securities /ADR'S/GDR'S at the end of the period</t>
  </si>
  <si>
    <t>g) Portfolio Turnover Ratio</t>
  </si>
  <si>
    <t>h) Repo in corporate debt</t>
  </si>
  <si>
    <t>Sundaram Select Micro Cap Series XV</t>
  </si>
  <si>
    <t>Sundaram Select Micro Cap Series XVI</t>
  </si>
  <si>
    <t>INE295F01017</t>
  </si>
  <si>
    <t>Butterfly Gandhimathi Appliances Ltd</t>
  </si>
  <si>
    <t>INE079A01024</t>
  </si>
  <si>
    <t>Ambuja Cements Ltd</t>
  </si>
  <si>
    <t>INE878B01027</t>
  </si>
  <si>
    <t>KEI Industries Ltd</t>
  </si>
  <si>
    <t>INE04I401011</t>
  </si>
  <si>
    <t>KPIT Technologies Ltd</t>
  </si>
  <si>
    <t>INE00WC01027</t>
  </si>
  <si>
    <t>Affle (India) Ltd</t>
  </si>
  <si>
    <t>It - Services</t>
  </si>
  <si>
    <t>INE988K01017</t>
  </si>
  <si>
    <t>Equitas Holdings Ltd</t>
  </si>
  <si>
    <t>INE732I01013</t>
  </si>
  <si>
    <t>Angel One Ltd</t>
  </si>
  <si>
    <t>Capital Markets</t>
  </si>
  <si>
    <t>INE348B01021</t>
  </si>
  <si>
    <t>Century Plyboards (India) Ltd</t>
  </si>
  <si>
    <t>INE806T01012</t>
  </si>
  <si>
    <t>Sapphire Foods India Ltd</t>
  </si>
  <si>
    <t>Leisure Services</t>
  </si>
  <si>
    <t>INE745G01035</t>
  </si>
  <si>
    <t>Multi Commodity Exchange of India Ltd</t>
  </si>
  <si>
    <t>INE615P01015</t>
  </si>
  <si>
    <t>Quess Corp Ltd</t>
  </si>
  <si>
    <t>Commercial Services &amp; Supplies</t>
  </si>
  <si>
    <t>INE299U01018</t>
  </si>
  <si>
    <t>Crompton Greaves Consumer Electricals Ltd</t>
  </si>
  <si>
    <t>INE477A01020</t>
  </si>
  <si>
    <t>Can Fin Homes Ltd</t>
  </si>
  <si>
    <t>INE873D01024</t>
  </si>
  <si>
    <t>Indoco Remedies Ltd</t>
  </si>
  <si>
    <t>Pharmaceuticals &amp; Biotechnology</t>
  </si>
  <si>
    <t>INE220B01022</t>
  </si>
  <si>
    <t>Kalpataru Power Transmission Ltd</t>
  </si>
  <si>
    <t>INE312H01016</t>
  </si>
  <si>
    <t>INOX Leisure Ltd</t>
  </si>
  <si>
    <t>Entertainment</t>
  </si>
  <si>
    <t>INE481N01025</t>
  </si>
  <si>
    <t>Home First Finance Company Ltd</t>
  </si>
  <si>
    <t>INE285J01028</t>
  </si>
  <si>
    <t>SIS Ltd</t>
  </si>
  <si>
    <t>INE864I01014</t>
  </si>
  <si>
    <t>MTAR Technologies Ltd</t>
  </si>
  <si>
    <t>Aerospace &amp; Defense</t>
  </si>
  <si>
    <t>INE947Q01028</t>
  </si>
  <si>
    <t>Laurus Labs Ltd</t>
  </si>
  <si>
    <t>INE442H01029</t>
  </si>
  <si>
    <t>Ashoka Buildcon Ltd</t>
  </si>
  <si>
    <t>INE274F01020</t>
  </si>
  <si>
    <t>Westlife Development Ltd</t>
  </si>
  <si>
    <t>INE048G01026</t>
  </si>
  <si>
    <t>Navin Fluorine International Ltd</t>
  </si>
  <si>
    <t>Chemicals &amp; Petrochemicals</t>
  </si>
  <si>
    <t>INE02A801020</t>
  </si>
  <si>
    <t>Rossari Biotech Ltd</t>
  </si>
  <si>
    <t>INE974X01010</t>
  </si>
  <si>
    <t>Tube Investments of India Ltd</t>
  </si>
  <si>
    <t>INE572A01028</t>
  </si>
  <si>
    <t>JB Chemicals &amp; Pharmaceuticals Ltd</t>
  </si>
  <si>
    <t>INE782A01015</t>
  </si>
  <si>
    <t>Johnson Controls-Hitachi AirConditioning India Ltd</t>
  </si>
  <si>
    <t>INE978A01027</t>
  </si>
  <si>
    <t>Heritage Foods Ltd</t>
  </si>
  <si>
    <t>Food Products</t>
  </si>
  <si>
    <t>INE421D01022</t>
  </si>
  <si>
    <t>CCL Products (India) Ltd</t>
  </si>
  <si>
    <t>Agricultural Food &amp; Other Products</t>
  </si>
  <si>
    <t>INE060A01024</t>
  </si>
  <si>
    <t>Navneet Education Ltd</t>
  </si>
  <si>
    <t>Printing &amp; Publication</t>
  </si>
  <si>
    <t>INE075I01017</t>
  </si>
  <si>
    <t>Healthcare Global Enterprises Ltd</t>
  </si>
  <si>
    <t>Healthcare Services</t>
  </si>
  <si>
    <t>INE00IN01015</t>
  </si>
  <si>
    <t>Stove Kraft Ltd</t>
  </si>
  <si>
    <t>INE834I01025</t>
  </si>
  <si>
    <t>Khadim India Ltd</t>
  </si>
  <si>
    <t>INE934S01014</t>
  </si>
  <si>
    <t>GNA Axles Ltd</t>
  </si>
  <si>
    <t>INE067A01029</t>
  </si>
  <si>
    <t>CG Power and Industrial Solutions Ltd</t>
  </si>
  <si>
    <t>Electrical Equipment</t>
  </si>
  <si>
    <t>INE262H01013</t>
  </si>
  <si>
    <t>Persistent Systems Ltd</t>
  </si>
  <si>
    <t>INE731H01025</t>
  </si>
  <si>
    <t>INE049A01027</t>
  </si>
  <si>
    <t>Himatsingka Seide Ltd</t>
  </si>
  <si>
    <t>Textiles &amp; Apparels</t>
  </si>
  <si>
    <t>INE386C01029</t>
  </si>
  <si>
    <t>Astra Microwave Products Ltd</t>
  </si>
  <si>
    <t>INE07T201019</t>
  </si>
  <si>
    <t>Restaurant Brands Asia Ltd</t>
  </si>
  <si>
    <t>INE586B01026</t>
  </si>
  <si>
    <t>Taj GVK Hotels &amp; Resorts Ltd</t>
  </si>
  <si>
    <t>INE056C01010</t>
  </si>
  <si>
    <t>Tata Metaliks Ltd</t>
  </si>
  <si>
    <t>INE094A01015</t>
  </si>
  <si>
    <t>Hindustan Petroleum Corporation Ltd</t>
  </si>
  <si>
    <t>INE199A01012</t>
  </si>
  <si>
    <t>Procter &amp; Gamble Health Ltd</t>
  </si>
  <si>
    <t>INE144Z01023</t>
  </si>
  <si>
    <t>Tarsons Products Ltd</t>
  </si>
  <si>
    <t>Healthcare Equipment &amp; Supplies</t>
  </si>
  <si>
    <t>INE386A01015</t>
  </si>
  <si>
    <t>Vesuvius India Ltd</t>
  </si>
  <si>
    <t>INE227C01017</t>
  </si>
  <si>
    <t>MM Forgings Ltd</t>
  </si>
  <si>
    <t>INE565V01010</t>
  </si>
  <si>
    <t>Valiant Organics Ltd</t>
  </si>
  <si>
    <t>Sundaram Select Micro Cap Series XVII</t>
  </si>
  <si>
    <t>INE211B01039</t>
  </si>
  <si>
    <t>The Phoenix Mills Ltd</t>
  </si>
  <si>
    <t>INE045A01017</t>
  </si>
  <si>
    <t>Ador Welding Ltd</t>
  </si>
  <si>
    <t>INE325A01013</t>
  </si>
  <si>
    <t>Timken India Ltd</t>
  </si>
  <si>
    <t>INE136B01020</t>
  </si>
  <si>
    <t>Cyient Ltd</t>
  </si>
  <si>
    <t>INE126A01031</t>
  </si>
  <si>
    <t>EID Parry India Ltd</t>
  </si>
  <si>
    <t>INE043D01016</t>
  </si>
  <si>
    <t>IDFC Ltd</t>
  </si>
  <si>
    <t>INE884B01025</t>
  </si>
  <si>
    <t>Kirloskar Ferrous Ind Ltd</t>
  </si>
  <si>
    <t>INE384A01010</t>
  </si>
  <si>
    <t>Rane Holdings Ltd</t>
  </si>
  <si>
    <t>INE435A01028</t>
  </si>
  <si>
    <t>International Paper APPM Ltd</t>
  </si>
  <si>
    <t>Paper, Forest &amp; Jute Products</t>
  </si>
  <si>
    <t>INE877F01012</t>
  </si>
  <si>
    <t>PTC India Ltd</t>
  </si>
  <si>
    <t>INE578A01017</t>
  </si>
  <si>
    <t>HeidelbergCement India Ltd</t>
  </si>
  <si>
    <t>INE290S01011</t>
  </si>
  <si>
    <t>CarTrade Tech Ltd</t>
  </si>
  <si>
    <t>Retailing</t>
  </si>
  <si>
    <t>INE679A01013</t>
  </si>
  <si>
    <t>CSB Bank Ltd</t>
  </si>
  <si>
    <t>INE488A01050</t>
  </si>
  <si>
    <t>Chemplast Sanmar Ltd</t>
  </si>
  <si>
    <t>INE0H5O01029</t>
  </si>
  <si>
    <t>Windlas Biotech Ltd</t>
  </si>
  <si>
    <t>Sundaram Mid Cap Fund</t>
  </si>
  <si>
    <t>INE647A01010</t>
  </si>
  <si>
    <t>SRF Ltd</t>
  </si>
  <si>
    <t>INE761H01022</t>
  </si>
  <si>
    <t>Page Industries Ltd</t>
  </si>
  <si>
    <t>INE171A01029</t>
  </si>
  <si>
    <t>The Federal Bank  Ltd</t>
  </si>
  <si>
    <t>INE200M01013</t>
  </si>
  <si>
    <t>Varun Beverages Ltd</t>
  </si>
  <si>
    <t>Beverages</t>
  </si>
  <si>
    <t>INE238A01034</t>
  </si>
  <si>
    <t>Axis Bank Ltd</t>
  </si>
  <si>
    <t>INE180A01020</t>
  </si>
  <si>
    <t>Max Financial Services Ltd</t>
  </si>
  <si>
    <t>Insurance</t>
  </si>
  <si>
    <t>INE028A01039</t>
  </si>
  <si>
    <t>Bank of Baroda</t>
  </si>
  <si>
    <t>INE263A01024</t>
  </si>
  <si>
    <t>Bharat Electronics Ltd</t>
  </si>
  <si>
    <t>INE849A01020</t>
  </si>
  <si>
    <t>Trent Ltd</t>
  </si>
  <si>
    <t>INE018I01017</t>
  </si>
  <si>
    <t>MindTree Ltd</t>
  </si>
  <si>
    <t>INE437A01024</t>
  </si>
  <si>
    <t>Apollo Hospitals Enterprise Ltd</t>
  </si>
  <si>
    <t>INE465A01025</t>
  </si>
  <si>
    <t>Bharat Forge Ltd</t>
  </si>
  <si>
    <t>INE949L01017</t>
  </si>
  <si>
    <t>AU Small Finance Bank Ltd</t>
  </si>
  <si>
    <t>INE226A01021</t>
  </si>
  <si>
    <t>Voltas Ltd</t>
  </si>
  <si>
    <t>INE298A01020</t>
  </si>
  <si>
    <t>Cummins India Ltd</t>
  </si>
  <si>
    <t>INE721A01013</t>
  </si>
  <si>
    <t>Shriram Transport Finance Company Ltd</t>
  </si>
  <si>
    <t>INE571A01038</t>
  </si>
  <si>
    <t>IPCA Laboratories Ltd</t>
  </si>
  <si>
    <t>INE749A01030</t>
  </si>
  <si>
    <t>Jindal Steel &amp; Power Ltd</t>
  </si>
  <si>
    <t>INE356A01018</t>
  </si>
  <si>
    <t>MphasiS Ltd</t>
  </si>
  <si>
    <t>INE068V01023</t>
  </si>
  <si>
    <t>Gland Pharma Ltd</t>
  </si>
  <si>
    <t>INE149A01033</t>
  </si>
  <si>
    <t>Cholamandalam Financial Holdings Ltd</t>
  </si>
  <si>
    <t>INE169A01031</t>
  </si>
  <si>
    <t>Coromandel International Ltd</t>
  </si>
  <si>
    <t>Fertilizers &amp; Agrochemicals</t>
  </si>
  <si>
    <t>INE797F01020</t>
  </si>
  <si>
    <t>Jubilant Foodworks Ltd</t>
  </si>
  <si>
    <t>INE603J01030</t>
  </si>
  <si>
    <t>PI Industries Ltd</t>
  </si>
  <si>
    <t>INE010V01017</t>
  </si>
  <si>
    <t>L&amp;T Technology Services Ltd</t>
  </si>
  <si>
    <t>INE105A01035</t>
  </si>
  <si>
    <t>Sundaram Clayton Ltd</t>
  </si>
  <si>
    <t>INE987B01026</t>
  </si>
  <si>
    <t>Natco Pharma Ltd</t>
  </si>
  <si>
    <t>INE548C01032</t>
  </si>
  <si>
    <t>Emami Ltd</t>
  </si>
  <si>
    <t>Personal Products</t>
  </si>
  <si>
    <t>INE256A01028</t>
  </si>
  <si>
    <t>Zee Entertainment Enterprises Ltd</t>
  </si>
  <si>
    <t>INE303R01014</t>
  </si>
  <si>
    <t>Kalyan Jewellers India Ltd</t>
  </si>
  <si>
    <t>INE040A01034</t>
  </si>
  <si>
    <t>HDFC Bank Ltd</t>
  </si>
  <si>
    <t>INE115A01026</t>
  </si>
  <si>
    <t>LIC Housing Finance Ltd</t>
  </si>
  <si>
    <t>INE763G01038</t>
  </si>
  <si>
    <t>ICICI Securities Ltd</t>
  </si>
  <si>
    <t>INE918I01018</t>
  </si>
  <si>
    <t>Bajaj Finserv Ltd</t>
  </si>
  <si>
    <t>INE192A01025</t>
  </si>
  <si>
    <t>TATA Consumer Products Ltd</t>
  </si>
  <si>
    <t>INE006I01046</t>
  </si>
  <si>
    <t>Astral Ltd</t>
  </si>
  <si>
    <t>INE061F01013</t>
  </si>
  <si>
    <t>Fortis Health Care Ltd</t>
  </si>
  <si>
    <t>INE405E01023</t>
  </si>
  <si>
    <t>Minda Industries Ltd</t>
  </si>
  <si>
    <t>INE317I01021</t>
  </si>
  <si>
    <t>Metro Brands Ltd</t>
  </si>
  <si>
    <t>INE935N01020</t>
  </si>
  <si>
    <t>Dixon Technologies (India) Ltd</t>
  </si>
  <si>
    <t>INE494B01023</t>
  </si>
  <si>
    <t>TVS Motor Company Ltd</t>
  </si>
  <si>
    <t>Automobiles</t>
  </si>
  <si>
    <t>INE787D01026</t>
  </si>
  <si>
    <t>Balkrishna Industries Ltd</t>
  </si>
  <si>
    <t>INE342J01019</t>
  </si>
  <si>
    <t>ZF Commercial Vehicle Control Systems I Ltd</t>
  </si>
  <si>
    <t>INE217B01036</t>
  </si>
  <si>
    <t>Kajaria Ceramics Ltd</t>
  </si>
  <si>
    <t>INE00R701025</t>
  </si>
  <si>
    <t>Dalmia Cement (Bharat) Ltd.</t>
  </si>
  <si>
    <t>Sundaram Multi Cap Fund Series I</t>
  </si>
  <si>
    <t>INE009A01021</t>
  </si>
  <si>
    <t>Infosys Ltd</t>
  </si>
  <si>
    <t>INE001A01036</t>
  </si>
  <si>
    <t>Housing Development Finance Corporation Ltd</t>
  </si>
  <si>
    <t>INE467B01029</t>
  </si>
  <si>
    <t>Tata Consultancy Services Ltd</t>
  </si>
  <si>
    <t>INE123W01016</t>
  </si>
  <si>
    <t>SBI Life Insurance Company Ltd</t>
  </si>
  <si>
    <t>INE044A01036</t>
  </si>
  <si>
    <t>Sun Pharmaceutical Industries Ltd</t>
  </si>
  <si>
    <t>INE030A01027</t>
  </si>
  <si>
    <t>Hindustan UniLever Ltd</t>
  </si>
  <si>
    <t>Diversified Fmcg</t>
  </si>
  <si>
    <t>INE860A01027</t>
  </si>
  <si>
    <t>HCL Technologies Ltd</t>
  </si>
  <si>
    <t>INE075A01022</t>
  </si>
  <si>
    <t>Wipro Ltd</t>
  </si>
  <si>
    <t>INE101A01026</t>
  </si>
  <si>
    <t>Mahindra &amp; Mahindra Ltd</t>
  </si>
  <si>
    <t>INE154A01025</t>
  </si>
  <si>
    <t>ITC Ltd</t>
  </si>
  <si>
    <t>INE669C01036</t>
  </si>
  <si>
    <t>Tech Mahindra Ltd</t>
  </si>
  <si>
    <t>INE095A01012</t>
  </si>
  <si>
    <t>IndusInd Bank Ltd</t>
  </si>
  <si>
    <t>INE237A01028</t>
  </si>
  <si>
    <t>Kotak Mahindra Bank Ltd</t>
  </si>
  <si>
    <t>INE081A01012</t>
  </si>
  <si>
    <t>Tata Steel Ltd</t>
  </si>
  <si>
    <t>INE038A01020</t>
  </si>
  <si>
    <t>Hindalco Industries Ltd</t>
  </si>
  <si>
    <t>Non - Ferrous Metals</t>
  </si>
  <si>
    <t>IN9397D01014</t>
  </si>
  <si>
    <t>Sundaram Multi Cap Fund -Series II</t>
  </si>
  <si>
    <t>Sundaram Large and Mid Cap Fund</t>
  </si>
  <si>
    <t>INE073K01018</t>
  </si>
  <si>
    <t>Sona BLW Precision Forgings Ltd</t>
  </si>
  <si>
    <t>INE476A01014</t>
  </si>
  <si>
    <t>Canara Bank</t>
  </si>
  <si>
    <t>INE117A01022</t>
  </si>
  <si>
    <t>ABB India Ltd</t>
  </si>
  <si>
    <t>INE296A01024</t>
  </si>
  <si>
    <t>Bajaj Finance Ltd</t>
  </si>
  <si>
    <t>INE361B01024</t>
  </si>
  <si>
    <t>Divis Laboratories Ltd</t>
  </si>
  <si>
    <t>INE893J01029</t>
  </si>
  <si>
    <t>Mold-Tek Packaging Ltd</t>
  </si>
  <si>
    <t>INE155A01022</t>
  </si>
  <si>
    <t>Tata Motors Ltd</t>
  </si>
  <si>
    <t>INE192R01011</t>
  </si>
  <si>
    <t>Avenue Supermarts Ltd</t>
  </si>
  <si>
    <t>INE586V01016</t>
  </si>
  <si>
    <t>TCI Express Ltd</t>
  </si>
  <si>
    <t>INE100A01010</t>
  </si>
  <si>
    <t>Atul Ltd</t>
  </si>
  <si>
    <t>INE585B01010</t>
  </si>
  <si>
    <t>Maruti Suzuki India Ltd</t>
  </si>
  <si>
    <t>INE131B01039</t>
  </si>
  <si>
    <t>Relaxo Footwears Ltd</t>
  </si>
  <si>
    <t>INE070A01015</t>
  </si>
  <si>
    <t>Shree Cement Ltd</t>
  </si>
  <si>
    <t>INE388Y01029</t>
  </si>
  <si>
    <t>FSN E–Commerce Ventures Ltd(NYKAA)</t>
  </si>
  <si>
    <t>INE775A01035</t>
  </si>
  <si>
    <t>Motherson Sumi Systems Ltd</t>
  </si>
  <si>
    <t>INE387A01021</t>
  </si>
  <si>
    <t>Sundram Fasteners Ltd</t>
  </si>
  <si>
    <t>INE280A01028</t>
  </si>
  <si>
    <t>Titan Company Ltd</t>
  </si>
  <si>
    <t>INE0J1Y01017</t>
  </si>
  <si>
    <t>LIC of India Ltd</t>
  </si>
  <si>
    <t>Sundaram Emerging Small Cap Series I</t>
  </si>
  <si>
    <t>INE717A01029</t>
  </si>
  <si>
    <t>Kennametal India Ltd</t>
  </si>
  <si>
    <t>INE429E01023</t>
  </si>
  <si>
    <t>Safari Industries (India) Ltd</t>
  </si>
  <si>
    <t>INE688A01022</t>
  </si>
  <si>
    <t>Transport Corporation of India Ltd</t>
  </si>
  <si>
    <t>INE741K01010</t>
  </si>
  <si>
    <t>Creditaccess Grameen Ltd</t>
  </si>
  <si>
    <t>INE120A01034</t>
  </si>
  <si>
    <t>Carborundum Universal Ltd</t>
  </si>
  <si>
    <t>INE472A01039</t>
  </si>
  <si>
    <t>Blue Star Ltd</t>
  </si>
  <si>
    <t>INE743M01012</t>
  </si>
  <si>
    <t>RHI Magnesita India Ltd</t>
  </si>
  <si>
    <t>INE296E01026</t>
  </si>
  <si>
    <t>Rajapalayam Mills Ltd</t>
  </si>
  <si>
    <t>INE750A01020</t>
  </si>
  <si>
    <t>Oriental Hotels Ltd</t>
  </si>
  <si>
    <t>Sundaram Emerging Small Cap Series II</t>
  </si>
  <si>
    <t>Sundaram Emerging Small Cap Series III</t>
  </si>
  <si>
    <t>INE475B01022</t>
  </si>
  <si>
    <t>Hikal Ltd</t>
  </si>
  <si>
    <t>Sundaram Emerging Small Cap Series IV</t>
  </si>
  <si>
    <t>Sundaram Emerging Small Cap Series V</t>
  </si>
  <si>
    <t>Sundaram Emerging Small Cap Series VI</t>
  </si>
  <si>
    <t>Sundaram Emerging Small Cap Series VII</t>
  </si>
  <si>
    <t>INE058A01010</t>
  </si>
  <si>
    <t>Sanofi India Ltd</t>
  </si>
  <si>
    <t>INE716A01013</t>
  </si>
  <si>
    <t>Whirlpool of India Ltd</t>
  </si>
  <si>
    <t>INE172A01027</t>
  </si>
  <si>
    <t>Castrol India Ltd</t>
  </si>
  <si>
    <t>INE182A01018</t>
  </si>
  <si>
    <t>Pfizer Ltd</t>
  </si>
  <si>
    <t>INE517F01014</t>
  </si>
  <si>
    <t>Gujarat Pipavav Port Ltd</t>
  </si>
  <si>
    <t>Sundaram Long Term Tax Advantage Fund Series III</t>
  </si>
  <si>
    <t>Sundaram Long Term Tax Advantage Fund Series IV</t>
  </si>
  <si>
    <t>Sundaram Long Term Tax Advantage Fund Series-I</t>
  </si>
  <si>
    <t>INE647O01011</t>
  </si>
  <si>
    <t>Aditya Birla Fashion and Retail Ltd</t>
  </si>
  <si>
    <t>INE340A01012</t>
  </si>
  <si>
    <t>Birla Corporation Ltd</t>
  </si>
  <si>
    <t>INE059A01026</t>
  </si>
  <si>
    <t>Cipla Ltd</t>
  </si>
  <si>
    <t>Sundaram Long Term Tax Advantage Fund Series-II</t>
  </si>
  <si>
    <t>Sundaram Long Term Micro Cap Tax Advantage Fund Series III</t>
  </si>
  <si>
    <t>Sundaram Long Term Micro Cap Tax Advantage Fund Series IV</t>
  </si>
  <si>
    <t>Sundaram Long Term Micro Cap Tax Advantage Fund Series V</t>
  </si>
  <si>
    <t>Sundaram Long Term Micro Cap Tax Advantage Fund Series VI</t>
  </si>
  <si>
    <t>Sundaram Small Cap Fund</t>
  </si>
  <si>
    <t>INE098F01031</t>
  </si>
  <si>
    <t>Amrutanjan Health Care Ltd</t>
  </si>
  <si>
    <t>INE596I01012</t>
  </si>
  <si>
    <t>Computer Age Management Services Ltd</t>
  </si>
  <si>
    <t>INE136S01016</t>
  </si>
  <si>
    <t>Neogen Chemicals Ltd</t>
  </si>
  <si>
    <t>INE836A01035</t>
  </si>
  <si>
    <t>Birlasoft Ltd</t>
  </si>
  <si>
    <t>INE944F01028</t>
  </si>
  <si>
    <t>Radico Khaitan Ltd</t>
  </si>
  <si>
    <t>INE725G01011</t>
  </si>
  <si>
    <t>ICRA Ltd</t>
  </si>
  <si>
    <t>INE0BV301023</t>
  </si>
  <si>
    <t>CE Info Systems Private Limited</t>
  </si>
  <si>
    <t>INE094J01016</t>
  </si>
  <si>
    <t>UTI Asset Management Co Ltd</t>
  </si>
  <si>
    <t>IN9155A01020</t>
  </si>
  <si>
    <t>INE03QK01018</t>
  </si>
  <si>
    <t>Suven Pharmaceuticals Ltd</t>
  </si>
  <si>
    <t>INE142Z01019</t>
  </si>
  <si>
    <t>Orient Electric Ltd</t>
  </si>
  <si>
    <t>INE736A01011</t>
  </si>
  <si>
    <t>Central Depository Services (India) Ltd</t>
  </si>
  <si>
    <t>INE768C01010</t>
  </si>
  <si>
    <t>Zydus Wellness Ltd</t>
  </si>
  <si>
    <t>INE119A01028</t>
  </si>
  <si>
    <t>Balrampur Chini Mills Ltd</t>
  </si>
  <si>
    <t>INE451A01017</t>
  </si>
  <si>
    <t>Force Motors Ltd</t>
  </si>
  <si>
    <t>INE287B01021</t>
  </si>
  <si>
    <t>Subros Ltd</t>
  </si>
  <si>
    <t>INE930H01031</t>
  </si>
  <si>
    <t>K.P.R. Mill Ltd</t>
  </si>
  <si>
    <t>INE022Q01020</t>
  </si>
  <si>
    <t>Indian Energy Exchange Ltd</t>
  </si>
  <si>
    <t>INE634I01029</t>
  </si>
  <si>
    <t>KNR Construction Ltd</t>
  </si>
  <si>
    <t>INE177F01017</t>
  </si>
  <si>
    <t>Kovai Medical Center &amp; Hospital Ltd</t>
  </si>
  <si>
    <t>INE670A01012</t>
  </si>
  <si>
    <t>Tata Elxsi Ltd</t>
  </si>
  <si>
    <t>INE930P01018</t>
  </si>
  <si>
    <t>Anupam Rasayan India Ltd</t>
  </si>
  <si>
    <t>INE600K01018</t>
  </si>
  <si>
    <t>Galaxy Surfactants Ltd</t>
  </si>
  <si>
    <t>INE739E01017</t>
  </si>
  <si>
    <t>Cera Sanitaryware Ltd</t>
  </si>
  <si>
    <t>INE450U01017</t>
  </si>
  <si>
    <t>Route Mobile Ltd</t>
  </si>
  <si>
    <t>INE054A01027</t>
  </si>
  <si>
    <t>VIP Industries Ltd</t>
  </si>
  <si>
    <t>INE0BJS01011</t>
  </si>
  <si>
    <t>Go Fashion (India ) Ltd</t>
  </si>
  <si>
    <t>INE544R01021</t>
  </si>
  <si>
    <t>Greenlam Industries Ltd</t>
  </si>
  <si>
    <t>INE112L01020</t>
  </si>
  <si>
    <t>Metropolis Healthcare Ltd</t>
  </si>
  <si>
    <t>INE825V01034</t>
  </si>
  <si>
    <t>Vedant Fashions Ltd</t>
  </si>
  <si>
    <t>INE158A01026</t>
  </si>
  <si>
    <t>Hero MotoCorp Ltd</t>
  </si>
  <si>
    <t>INE016A01026</t>
  </si>
  <si>
    <t>Dabur India Ltd</t>
  </si>
  <si>
    <t>INE795G01014</t>
  </si>
  <si>
    <t>HDFC Life Insurance Company Ltd</t>
  </si>
  <si>
    <t>INE406A01037</t>
  </si>
  <si>
    <t>Aurobindo Pharma Ltd</t>
  </si>
  <si>
    <t>Stock Future</t>
  </si>
  <si>
    <t>IN002021Y445</t>
  </si>
  <si>
    <t>Sovereign</t>
  </si>
  <si>
    <t>INF173K01GU0</t>
  </si>
  <si>
    <t>Margin Money For Derivatives</t>
  </si>
  <si>
    <t>Sundaram Dividend Yield Fund</t>
  </si>
  <si>
    <t>INE917I01010</t>
  </si>
  <si>
    <t>Bajaj Auto Ltd</t>
  </si>
  <si>
    <t>INE212H01026</t>
  </si>
  <si>
    <t>AIA Engineering Ltd</t>
  </si>
  <si>
    <t>INE916U01025</t>
  </si>
  <si>
    <t>Sheela Foam Ltd</t>
  </si>
  <si>
    <t>INE710A01016</t>
  </si>
  <si>
    <t>VST Industries Ltd</t>
  </si>
  <si>
    <t>Cigarettes &amp; Tobacco Products</t>
  </si>
  <si>
    <t>INE267A01025</t>
  </si>
  <si>
    <t>Hindustan Zinc Ltd</t>
  </si>
  <si>
    <t>INE216A01030</t>
  </si>
  <si>
    <t>Britannia Industries Ltd</t>
  </si>
  <si>
    <t>INE482A01020</t>
  </si>
  <si>
    <t>Ceat Ltd</t>
  </si>
  <si>
    <t>INE759J01022</t>
  </si>
  <si>
    <t>INE02CF01010</t>
  </si>
  <si>
    <t>IDIA00069480</t>
  </si>
  <si>
    <t>IDIA00069477</t>
  </si>
  <si>
    <t>INE216A08027</t>
  </si>
  <si>
    <t>Britannia Industries Ltd - 5.5% - 03/06/2024**</t>
  </si>
  <si>
    <t>CRISIL AAA</t>
  </si>
  <si>
    <t>** Thinly traded / Non Traded Securities</t>
  </si>
  <si>
    <t>Sundaram Equity Savings Fund</t>
  </si>
  <si>
    <t>INE214T01019</t>
  </si>
  <si>
    <t>Larsen &amp; Toubro Infotech Ltd</t>
  </si>
  <si>
    <t>INE227W01023</t>
  </si>
  <si>
    <t>Clean Science &amp; Technology Ltd</t>
  </si>
  <si>
    <t>INE854D01024</t>
  </si>
  <si>
    <t>United Spirits Ltd</t>
  </si>
  <si>
    <t>INE562A01011</t>
  </si>
  <si>
    <t>Indian Bank</t>
  </si>
  <si>
    <t>INE021A01026</t>
  </si>
  <si>
    <t>Asian Paints Ltd</t>
  </si>
  <si>
    <t>INE326A01037</t>
  </si>
  <si>
    <t>Lupin Ltd</t>
  </si>
  <si>
    <t>INE591G01017</t>
  </si>
  <si>
    <t>Coforge Ltd</t>
  </si>
  <si>
    <t>INE115A07OV2</t>
  </si>
  <si>
    <t>LIC Housing Finance Ltd - 5.45% - 25/08/2023**</t>
  </si>
  <si>
    <t>CARE AAA</t>
  </si>
  <si>
    <t>INE020B08AT3</t>
  </si>
  <si>
    <t>REC Ltd - 7.99% - 23/02/2023**</t>
  </si>
  <si>
    <t>INE053F07BB3</t>
  </si>
  <si>
    <t>Indian Railway Finance Corporation Ltd - 8.25% - 28/02/2024**</t>
  </si>
  <si>
    <t>INE733E07JD2</t>
  </si>
  <si>
    <t>NTPC Ltd - 8.8% - 04/04/2023**</t>
  </si>
  <si>
    <t>INE020B08CG6</t>
  </si>
  <si>
    <t>REC Ltd - 7.24% - 31/12/2022**</t>
  </si>
  <si>
    <t>INE261F08CA0</t>
  </si>
  <si>
    <t>National Bank for Agricultural &amp; Rural Development - 6.4% - 31/07/2023**</t>
  </si>
  <si>
    <t>ICRA AAA</t>
  </si>
  <si>
    <t>IN0020200112</t>
  </si>
  <si>
    <t>5.22% Central Government Securities 15/06/2025</t>
  </si>
  <si>
    <t>IN0020200278</t>
  </si>
  <si>
    <t>5.15% Central Government Securities 09/11/2025</t>
  </si>
  <si>
    <t>IN2220150022</t>
  </si>
  <si>
    <t>8.14% Maharashtra State Development Loan 27/05/2025</t>
  </si>
  <si>
    <t>IN0020190396</t>
  </si>
  <si>
    <t>6.18% Central Government Securities 04/11/2024</t>
  </si>
  <si>
    <t>IN002021Y510</t>
  </si>
  <si>
    <t>IN002021Y528</t>
  </si>
  <si>
    <t>Sundaram Multi Cap Fund</t>
  </si>
  <si>
    <t>INE470A01017</t>
  </si>
  <si>
    <t>3M India Ltd</t>
  </si>
  <si>
    <t>Diversified</t>
  </si>
  <si>
    <t>INE852S01026</t>
  </si>
  <si>
    <t>INE147E01013</t>
  </si>
  <si>
    <t>INE431E01011</t>
  </si>
  <si>
    <t>INE348C01011</t>
  </si>
  <si>
    <t>INE604A01011</t>
  </si>
  <si>
    <t>IDIA00069359</t>
  </si>
  <si>
    <t>IDIA00069356</t>
  </si>
  <si>
    <t>INE406B01019</t>
  </si>
  <si>
    <t>INE982J01020</t>
  </si>
  <si>
    <t>One 97 Communications Ltd</t>
  </si>
  <si>
    <t>Financial Technology (Fintech)</t>
  </si>
  <si>
    <t>INE066A01021</t>
  </si>
  <si>
    <t>Eicher Motors Ltd</t>
  </si>
  <si>
    <t>INE423A01024</t>
  </si>
  <si>
    <t>Adani Enterprises</t>
  </si>
  <si>
    <t>Metals &amp; Minerals Trading</t>
  </si>
  <si>
    <t>INE196A01026</t>
  </si>
  <si>
    <t>Marico Ltd</t>
  </si>
  <si>
    <t>INE102D01028</t>
  </si>
  <si>
    <t>Godrej Consumer Products Ltd</t>
  </si>
  <si>
    <t>INE726G01019</t>
  </si>
  <si>
    <t>ICICI Prudential Life Insurance Company Ltd</t>
  </si>
  <si>
    <t>INE545U01014</t>
  </si>
  <si>
    <t>Bandhan Bank Ltd</t>
  </si>
  <si>
    <t>INE003A01024</t>
  </si>
  <si>
    <t>Siemens Ltd</t>
  </si>
  <si>
    <t>INE259A01022</t>
  </si>
  <si>
    <t>Colgate Palmolive (India) Ltd</t>
  </si>
  <si>
    <t>INE012A01025</t>
  </si>
  <si>
    <t>ACC Ltd</t>
  </si>
  <si>
    <t>INE176B01034</t>
  </si>
  <si>
    <t>Havells India Ltd</t>
  </si>
  <si>
    <t>INE010B01027</t>
  </si>
  <si>
    <t>Zydus Lifesciences Ltd</t>
  </si>
  <si>
    <t>INE239A01016</t>
  </si>
  <si>
    <t>Nestle India Ltd</t>
  </si>
  <si>
    <t>INE685A01028</t>
  </si>
  <si>
    <t>Torrent Pharmaceuticals Ltd</t>
  </si>
  <si>
    <t>INE323A01026</t>
  </si>
  <si>
    <t>Bosch Ltd</t>
  </si>
  <si>
    <t>INE089A01023</t>
  </si>
  <si>
    <t>Dr. Reddys Laboratories Ltd</t>
  </si>
  <si>
    <t>INE118A01012</t>
  </si>
  <si>
    <t>Bajaj Holdings &amp; Investment Ltd</t>
  </si>
  <si>
    <t>INE522F01014</t>
  </si>
  <si>
    <t>Coal India Ltd</t>
  </si>
  <si>
    <t>Consumable Fuels</t>
  </si>
  <si>
    <t>INE765G01017</t>
  </si>
  <si>
    <t>ICICI Lombard General Insurance Company Ltd</t>
  </si>
  <si>
    <t>INE628A01036</t>
  </si>
  <si>
    <t>UPL Ltd</t>
  </si>
  <si>
    <t>INE364U01010</t>
  </si>
  <si>
    <t>Adani Green Energy Ltd</t>
  </si>
  <si>
    <t>INE376G01013</t>
  </si>
  <si>
    <t>Biocon Ltd</t>
  </si>
  <si>
    <t>INE646L01027</t>
  </si>
  <si>
    <t>Interglobe Aviation Ltd</t>
  </si>
  <si>
    <t>INE271C01023</t>
  </si>
  <si>
    <t>DLF Ltd</t>
  </si>
  <si>
    <t>INE663F01024</t>
  </si>
  <si>
    <t>Info Edge (India) Ltd</t>
  </si>
  <si>
    <t>INE179A01014</t>
  </si>
  <si>
    <t>Procter &amp; Gamble Hygiene and Health Care Ltd</t>
  </si>
  <si>
    <t>INE318A01026</t>
  </si>
  <si>
    <t>Pidilite Industries Ltd</t>
  </si>
  <si>
    <t>INE758T01015</t>
  </si>
  <si>
    <t>Zomato Ltd</t>
  </si>
  <si>
    <t>INE018E01016</t>
  </si>
  <si>
    <t>SBI Cards and Payment Services Ltd</t>
  </si>
  <si>
    <t>INE463A01038</t>
  </si>
  <si>
    <t>Berger Paints (I) Ltd</t>
  </si>
  <si>
    <t>INE127D01025</t>
  </si>
  <si>
    <t>HDFC Asset Management Company Ltd</t>
  </si>
  <si>
    <t>INE414G01012</t>
  </si>
  <si>
    <t>Muthoot Finance Ltd</t>
  </si>
  <si>
    <t>INE047A01021</t>
  </si>
  <si>
    <t>Grasim Industries Ltd</t>
  </si>
  <si>
    <t>INE160A01022</t>
  </si>
  <si>
    <t>Punjab National Bank</t>
  </si>
  <si>
    <t>INE140A01024</t>
  </si>
  <si>
    <t>Piramal Enterprises Ltd</t>
  </si>
  <si>
    <t>INE931S01010</t>
  </si>
  <si>
    <t>Adani Transmission Ltd</t>
  </si>
  <si>
    <t>INE584A01023</t>
  </si>
  <si>
    <t>NMDC Ltd</t>
  </si>
  <si>
    <t>Minerals &amp; Mining</t>
  </si>
  <si>
    <t>INE205A01025</t>
  </si>
  <si>
    <t>Vedanta Ltd</t>
  </si>
  <si>
    <t>Diversified Metals</t>
  </si>
  <si>
    <t>INE019A01038</t>
  </si>
  <si>
    <t>JSW Steel Ltd</t>
  </si>
  <si>
    <t>INEDUMMYYESB</t>
  </si>
  <si>
    <t>Sundaram Rural and Consumption Fund</t>
  </si>
  <si>
    <t>INE872J01023</t>
  </si>
  <si>
    <t>Devyani international limited</t>
  </si>
  <si>
    <t>INE355A01028</t>
  </si>
  <si>
    <t>Somany Ceramics Ltd</t>
  </si>
  <si>
    <t>INE418L01021</t>
  </si>
  <si>
    <t>Nazara Technologies Ltd</t>
  </si>
  <si>
    <t>Sundaram Services Fund</t>
  </si>
  <si>
    <t>INE191H01014</t>
  </si>
  <si>
    <t>PVR Ltd</t>
  </si>
  <si>
    <t>INE970X01018</t>
  </si>
  <si>
    <t>Lemon Tree Hotels Ltd</t>
  </si>
  <si>
    <t>INE419U01012</t>
  </si>
  <si>
    <t>Happiest Minds Technologies Limited</t>
  </si>
  <si>
    <t>INE0CLI01024</t>
  </si>
  <si>
    <t>Rate Gain Travel Technologies Ltd</t>
  </si>
  <si>
    <t>MU0295S00016</t>
  </si>
  <si>
    <t>Make My Trip Ltd (USD)</t>
  </si>
  <si>
    <t>Sundaram Diversified Equity</t>
  </si>
  <si>
    <t>Sundaram Large Cap Fund</t>
  </si>
  <si>
    <t>Sundaram Financial Services Opportunities Fund</t>
  </si>
  <si>
    <t>Institutional Plan - Growth</t>
  </si>
  <si>
    <t>S.NO.</t>
  </si>
  <si>
    <t>ACRONYM</t>
  </si>
  <si>
    <t>SCHEME NAME</t>
  </si>
  <si>
    <t>CAPEXG</t>
  </si>
  <si>
    <t>MICAP15</t>
  </si>
  <si>
    <t>MICAP16</t>
  </si>
  <si>
    <t>MICAP17</t>
  </si>
  <si>
    <t>MIDCAP</t>
  </si>
  <si>
    <t>MULTI1</t>
  </si>
  <si>
    <t>MULTI2</t>
  </si>
  <si>
    <t>Sundaram Multi Cap Fund Series II</t>
  </si>
  <si>
    <t>MULTIP</t>
  </si>
  <si>
    <t>Sundaram  Large And Mid Cap Fund</t>
  </si>
  <si>
    <t>SESCAP1</t>
  </si>
  <si>
    <t>SESCAP2</t>
  </si>
  <si>
    <t>SESCAP3</t>
  </si>
  <si>
    <t>SESCAP4</t>
  </si>
  <si>
    <t>SESCAP5</t>
  </si>
  <si>
    <t>SESCAP6</t>
  </si>
  <si>
    <t>SESCAP7</t>
  </si>
  <si>
    <t>SLTADV3</t>
  </si>
  <si>
    <t>Sundaram Long Term Advantage Fund Series III</t>
  </si>
  <si>
    <t>SLTADV4</t>
  </si>
  <si>
    <t>Sundaram Long Term Advantage Fund Series IV</t>
  </si>
  <si>
    <t>SLTAX1</t>
  </si>
  <si>
    <t>Sundaram Long Term Tax Advantage Fund Series I</t>
  </si>
  <si>
    <t>SLTAX2</t>
  </si>
  <si>
    <t>Sundaram Long Term Tax Advantage Fund Series II</t>
  </si>
  <si>
    <t>SLTAX3</t>
  </si>
  <si>
    <t>SLTAX4</t>
  </si>
  <si>
    <t>SLTAX5</t>
  </si>
  <si>
    <t>SLTAX6</t>
  </si>
  <si>
    <t>SMILE</t>
  </si>
  <si>
    <t>SPAHF</t>
  </si>
  <si>
    <t>Sundaram Aggressive Hybrid Fund</t>
  </si>
  <si>
    <t>SPARF</t>
  </si>
  <si>
    <t xml:space="preserve">Sundaram Arbitrage Fund </t>
  </si>
  <si>
    <t>SPBAF</t>
  </si>
  <si>
    <t>Sundaram Balanced Advantage Fund</t>
  </si>
  <si>
    <t>SPDYF</t>
  </si>
  <si>
    <t>SPESF</t>
  </si>
  <si>
    <t>SPFOCUS</t>
  </si>
  <si>
    <t>Sundaram Focused  Fund</t>
  </si>
  <si>
    <t>SPMUCF</t>
  </si>
  <si>
    <t>SPSN100</t>
  </si>
  <si>
    <t xml:space="preserve">Sundaram Smart Nifty 100 Equal Weight Fund </t>
  </si>
  <si>
    <t>SPTAX</t>
  </si>
  <si>
    <t>Sundaram Tax Savings Fund (Elss)</t>
  </si>
  <si>
    <t>SRURAL</t>
  </si>
  <si>
    <t>Sundaram Rural And Consumption Fund</t>
  </si>
  <si>
    <t>SSFUND</t>
  </si>
  <si>
    <t>Sundaram Service Fund</t>
  </si>
  <si>
    <t>STAX</t>
  </si>
  <si>
    <t>SUNBCF</t>
  </si>
  <si>
    <t>SUNFOP</t>
  </si>
  <si>
    <t>GLOB</t>
  </si>
  <si>
    <t>Sundaram Global Brand Fund</t>
  </si>
  <si>
    <t>Monthly Portfolio Statement for the period ended 31 May 2022</t>
  </si>
  <si>
    <t>S.NO</t>
  </si>
  <si>
    <t>ISIN CODE</t>
  </si>
  <si>
    <t>Name of the Instrument</t>
  </si>
  <si>
    <t>Industry/ Rating</t>
  </si>
  <si>
    <t>YTM (%)</t>
  </si>
  <si>
    <t>A) Investments in Foreign Securities - Units of Mutual Funds</t>
  </si>
  <si>
    <t>SG9999013908</t>
  </si>
  <si>
    <t>SUNDARAM GLOBAL BRAND FUND -MASTER CLASS (Singapore)</t>
  </si>
  <si>
    <t>Mutual Funds</t>
  </si>
  <si>
    <t>Total for Investments in Foreign Securities - Units of Mutual Funds</t>
  </si>
  <si>
    <t>B) Money Market Investments</t>
  </si>
  <si>
    <t>ReverseRepo / TREPS</t>
  </si>
  <si>
    <t>Cash and Other Net Curent Assets</t>
  </si>
  <si>
    <t>a) Total securities below investment grade or default  - Nil</t>
  </si>
  <si>
    <t>b) Total value and percentage of illiquid equity shares - Nil</t>
  </si>
  <si>
    <t>Options</t>
  </si>
  <si>
    <t>d) IDCW declared during the period (Rupees per unit) - Nil</t>
  </si>
  <si>
    <t>e) Total outstanding exposure in derivative instrumentsat the end of the period - Nil</t>
  </si>
  <si>
    <t>f) Total investments in foreign securities /ADR'S/GDR'S  at the end of the period - Rs. 11,880.57 lacs</t>
  </si>
  <si>
    <t>g) Repo in Corporate Debt - Nil</t>
  </si>
  <si>
    <t>INE261F08CS2</t>
  </si>
  <si>
    <t>National Bank for Agricultural &amp; Rural Development - 4.6% - 29/07/2022**</t>
  </si>
  <si>
    <t>INE556F08JO9</t>
  </si>
  <si>
    <t>Small Industries Development Bank of India - 6.8% - 29/09/2022**</t>
  </si>
  <si>
    <t>INE134E08KO6</t>
  </si>
  <si>
    <t>Power Finance Corporation Ltd - 6.83% - 24/04/2023**</t>
  </si>
  <si>
    <t>INE062A08157</t>
  </si>
  <si>
    <t>CRISIL AA+</t>
  </si>
  <si>
    <t>INE020B08DR1</t>
  </si>
  <si>
    <t>REC Ltd - 5.74% - 20/06/2024**</t>
  </si>
  <si>
    <t>INE115A07OZ3</t>
  </si>
  <si>
    <t>LIC Housing Finance Ltd - 4.96% - 14/09/2023**</t>
  </si>
  <si>
    <t>INE028A08158</t>
  </si>
  <si>
    <t>IND AAA</t>
  </si>
  <si>
    <t>INE557F08FG1</t>
  </si>
  <si>
    <t>National Housing Bank  - 7.05% - 18/12/2024**</t>
  </si>
  <si>
    <t>INE028A08117</t>
  </si>
  <si>
    <t>INE001A07SG6</t>
  </si>
  <si>
    <t>Housing Development Finance Corporation Ltd - 7.35% - 10/02/2025</t>
  </si>
  <si>
    <t>INE134E08KD9</t>
  </si>
  <si>
    <t>Power Finance Corporation Ltd - 8.1% - 04/06/2024**</t>
  </si>
  <si>
    <t>INE261F08BK1</t>
  </si>
  <si>
    <t>National Bank for Agricultural &amp; Rural Development - 7.69% - 29/05/2024**</t>
  </si>
  <si>
    <t>INE018A08BA7</t>
  </si>
  <si>
    <t>Larsen &amp; Toubro Ltd - 7.7% - 28/04/2025**</t>
  </si>
  <si>
    <t>INE115A07OJ7</t>
  </si>
  <si>
    <t>LIC Housing Finance Ltd - 7.445% - 13/01/2023**</t>
  </si>
  <si>
    <t>INE238A08443</t>
  </si>
  <si>
    <t>INE115A07PC9</t>
  </si>
  <si>
    <t>LIC Housing Finance Ltd - 5.35% - 20/03/2023**</t>
  </si>
  <si>
    <t>INE261F08DI1</t>
  </si>
  <si>
    <t>National Bank for Agricultural &amp; Rural Development - 5.23% - 31/01/2025**</t>
  </si>
  <si>
    <t>INE090A08TU6</t>
  </si>
  <si>
    <t>ICICI Bank Ltd - 7.6% - 07/10/2023**</t>
  </si>
  <si>
    <t>INE261F08AT4</t>
  </si>
  <si>
    <t>National Bank for Agricultural &amp; Rural Development - 8.5% - 31/01/2023**</t>
  </si>
  <si>
    <t>INE556F08JN1</t>
  </si>
  <si>
    <t>Small Industries Development Bank of India - 6.99% - 08/08/2022**</t>
  </si>
  <si>
    <t>INE557F08FI7</t>
  </si>
  <si>
    <t>National Housing Bank  - 6.55% - 17/04/2023**</t>
  </si>
  <si>
    <t>INE528G08246</t>
  </si>
  <si>
    <t>Yes Bank Ltd - 9.9% - 31/10/2022**</t>
  </si>
  <si>
    <t>ICRA BBB</t>
  </si>
  <si>
    <t>INE261F08DF7</t>
  </si>
  <si>
    <t>National Bank for Agricultural &amp; Rural Development - 5.27% - 23/07/2024**</t>
  </si>
  <si>
    <t>INE895D07487</t>
  </si>
  <si>
    <t>Tata Sons Pvt Ltd - 9.3% - 19/06/2024**</t>
  </si>
  <si>
    <t>IN0020180488</t>
  </si>
  <si>
    <t>7.32% Central Government Securities 28/01/2024</t>
  </si>
  <si>
    <t>IN0020130012</t>
  </si>
  <si>
    <t>7.16% Central Government Securities 20/05/2023</t>
  </si>
  <si>
    <t>IN0020160050</t>
  </si>
  <si>
    <t xml:space="preserve">6.84% Central Government Securities 19/12/2022 </t>
  </si>
  <si>
    <t>IN2220150030</t>
  </si>
  <si>
    <t>8.25% Maharashtra State Development Loan 10/06/2025</t>
  </si>
  <si>
    <t>IN1920140119</t>
  </si>
  <si>
    <t>8.08% Karnataka State Development Loan 11/03/2025</t>
  </si>
  <si>
    <t>IN2220140205</t>
  </si>
  <si>
    <t>8.06% Maharashtra State Development Loan 11/02/2025</t>
  </si>
  <si>
    <t>IN0020070051</t>
  </si>
  <si>
    <t>8.13% Central Government Securities 21/09/2022</t>
  </si>
  <si>
    <t>INE028A16CS9</t>
  </si>
  <si>
    <t>Bank of Baroda - 13/06/2022**</t>
  </si>
  <si>
    <t>IND A1+</t>
  </si>
  <si>
    <t>INE238A164X2</t>
  </si>
  <si>
    <t>Axis Bank Ltd - 16/06/2022</t>
  </si>
  <si>
    <t>CRISIL A1+</t>
  </si>
  <si>
    <t>INE476A16ST4</t>
  </si>
  <si>
    <t>Canara Bank - 22/08/2022**</t>
  </si>
  <si>
    <t>INE028A16CO8</t>
  </si>
  <si>
    <t>Bank of Baroda - 14/02/2023**</t>
  </si>
  <si>
    <t>INE040A16DA0</t>
  </si>
  <si>
    <t>HDFC Bank Ltd - 06/10/2022**</t>
  </si>
  <si>
    <t>INE514E14QH8</t>
  </si>
  <si>
    <t>Export Import Bank of India - 30/09/2022**</t>
  </si>
  <si>
    <t>INE001A14YV9</t>
  </si>
  <si>
    <t>Housing Development Finance Corporation Ltd - 17/05/2023**</t>
  </si>
  <si>
    <t>IN002021Y437</t>
  </si>
  <si>
    <t>IN002021Y536</t>
  </si>
  <si>
    <t>IN002021Z426</t>
  </si>
  <si>
    <t>IN002021Z368</t>
  </si>
  <si>
    <t>**Non Traded Securities</t>
  </si>
  <si>
    <t>^ Net current assets includes interest accrued on fixed income securities</t>
  </si>
  <si>
    <t>Individual &amp; HUF</t>
  </si>
  <si>
    <t>Others</t>
  </si>
  <si>
    <t>i) Repo in corporate debt</t>
  </si>
  <si>
    <t>INE092A01019</t>
  </si>
  <si>
    <t>Tata Chemicals Ltd</t>
  </si>
  <si>
    <t>INE498L01015</t>
  </si>
  <si>
    <t>L&amp;T Finance Holdings Ltd</t>
  </si>
  <si>
    <t>INE151A01013</t>
  </si>
  <si>
    <t>Tata Communications Ltd</t>
  </si>
  <si>
    <t>Index Future</t>
  </si>
  <si>
    <t>INE001A07RU9</t>
  </si>
  <si>
    <t>Housing Development Finance Corporation Ltd - 8.05% - 20/06/2022**</t>
  </si>
  <si>
    <t>INE094A08085</t>
  </si>
  <si>
    <t>Hindustan Petroleum Corporation Ltd - 4.79% - 23/10/2023**</t>
  </si>
  <si>
    <t>INE115A07OH1</t>
  </si>
  <si>
    <t>LIC Housing Finance Ltd - 7.6% - 22/11/2022**</t>
  </si>
  <si>
    <t>INE001A07SH4</t>
  </si>
  <si>
    <t>Housing Development Finance Corporation Ltd - 6.99% - 13/02/2023**</t>
  </si>
  <si>
    <t>INE020B08CN2</t>
  </si>
  <si>
    <t>REC Ltd - 6.8% - 30/06/2023**</t>
  </si>
  <si>
    <t>INE261F08BW6</t>
  </si>
  <si>
    <t>National Bank for Agricultural &amp; Rural Development - 6.72% - 14/04/2023**</t>
  </si>
  <si>
    <t>INE001A07SQ5</t>
  </si>
  <si>
    <t>Housing Development Finance Corporation Ltd - 4.95% - 09/09/2022**</t>
  </si>
  <si>
    <t>INE020B08DC3</t>
  </si>
  <si>
    <t>REC Ltd - 5.69% - 30/09/2023**</t>
  </si>
  <si>
    <t>INE115A07CY1</t>
  </si>
  <si>
    <t>LIC Housing Finance Ltd - 9.3% - 14/09/2022**</t>
  </si>
  <si>
    <t>INE134E08KJ6</t>
  </si>
  <si>
    <t>Power Finance Corporation Ltd - 7.04% - 14/04/2023**</t>
  </si>
  <si>
    <t>INE031A08731</t>
  </si>
  <si>
    <t>Housing and Urban Development Corp. Ltd - 7.34% - 16/09/2022**</t>
  </si>
  <si>
    <t>INE053F07BZ2</t>
  </si>
  <si>
    <t>Indian Railway Finance Corporation Ltd - 6.59% - 14/04/2023**</t>
  </si>
  <si>
    <t>INE020B08BT1</t>
  </si>
  <si>
    <t>REC Ltd - 8.15% - 10/06/2022**</t>
  </si>
  <si>
    <t>INE242A08460</t>
  </si>
  <si>
    <t>Indian Oil Corporation Ltd - 5.05% - 25/11/2022</t>
  </si>
  <si>
    <t>IN0020210046</t>
  </si>
  <si>
    <t>4.26% Central Government Securities 17/05/2023</t>
  </si>
  <si>
    <t>IN2220170111</t>
  </si>
  <si>
    <t>7.02% Maharashtra State Development Loan 27/09/2022</t>
  </si>
  <si>
    <t>IN0020120013</t>
  </si>
  <si>
    <t xml:space="preserve">8.15% Central Government Securities 11/06/2022 </t>
  </si>
  <si>
    <t>182 Days - T Bill - 01/09/2022</t>
  </si>
  <si>
    <t>182 Days - T Bill - 07/07/2022</t>
  </si>
  <si>
    <t>182 Days - T Bill - 08/09/2022</t>
  </si>
  <si>
    <t>182 Days - T Bill - 14/07/2022</t>
  </si>
  <si>
    <t>182 Days - T Bill - 15/09/2022</t>
  </si>
  <si>
    <t>364 Days - T Bill - 01/12/2022</t>
  </si>
  <si>
    <t>364 Days - T Bill - 05/01/2023</t>
  </si>
  <si>
    <t>IT - Software</t>
  </si>
  <si>
    <t>Hindustan Dorr-Oliver Ltd @</t>
  </si>
  <si>
    <t>Engineering Services</t>
  </si>
  <si>
    <t>b) Total value and percentage of illiquid equity shares @</t>
  </si>
  <si>
    <t>0.00 / #</t>
  </si>
  <si>
    <t>INE0GGX23010</t>
  </si>
  <si>
    <t>Power Grid Infrastructure Investment Trust(InvIT)</t>
  </si>
  <si>
    <t>Sundaram Liquid Fund - Direct Growth @@</t>
  </si>
  <si>
    <t xml:space="preserve"> @@ Placed as margin for derivatives</t>
  </si>
  <si>
    <t>INE041025011</t>
  </si>
  <si>
    <t>Embassy Office Parks(REIT)</t>
  </si>
  <si>
    <t>INE001A13049</t>
  </si>
  <si>
    <t>Housing Development Finance Corporation Ltd.</t>
  </si>
  <si>
    <t>Ambuja Cements Limited June 2022</t>
  </si>
  <si>
    <t>Divis Labarotories Ltd June 2022</t>
  </si>
  <si>
    <t>Mahindra &amp; Mahindra Ltd June 2022</t>
  </si>
  <si>
    <t>Lupin Ltd June 2022</t>
  </si>
  <si>
    <t>LIC Housing Finance Ltd June 2022</t>
  </si>
  <si>
    <t>Bajaj Finserv Limited June 2022</t>
  </si>
  <si>
    <t>HDFC Life Insurance Company Ltd June 2022</t>
  </si>
  <si>
    <t>HCL Technologies Limited June 2022</t>
  </si>
  <si>
    <t>TATA Consumer Products Ltd June 2022</t>
  </si>
  <si>
    <t>Asian Paints Limited June 2022</t>
  </si>
  <si>
    <t>Jindal Steel &amp; Power Ltd June 2022</t>
  </si>
  <si>
    <t>Larsen &amp; Toubro Ltd June 2022</t>
  </si>
  <si>
    <t>Axis Bank Ltd June 2022</t>
  </si>
  <si>
    <t>Housing Development Fin Corp Ltd June 2022</t>
  </si>
  <si>
    <t>Tata Steel Limited June 2022</t>
  </si>
  <si>
    <t>Ashok Leyland Ltd June 2022</t>
  </si>
  <si>
    <t>United Spirits Ltd June 2022</t>
  </si>
  <si>
    <t>Larsen &amp; Toubro Infotech Limited June 2022</t>
  </si>
  <si>
    <t>State Bank of India June 2022</t>
  </si>
  <si>
    <t>Bajaj Finance Limited June 2022</t>
  </si>
  <si>
    <t>Infosys Limited June 2022</t>
  </si>
  <si>
    <t>Hindustan Unilever Ltd June 2022</t>
  </si>
  <si>
    <t>ICICI Bank Ltd June 2022</t>
  </si>
  <si>
    <t>Tech Mahindra Ltd June 2022</t>
  </si>
  <si>
    <t>HDFC Bank Limited June 2022</t>
  </si>
  <si>
    <t>Tata Communications Limited June 2022</t>
  </si>
  <si>
    <t>Wipro Limited June 2022</t>
  </si>
  <si>
    <t>Punjab National Bank June 2022</t>
  </si>
  <si>
    <t>Apollo Hospitals Enterprise Limited June 2022</t>
  </si>
  <si>
    <t>Tata Chemicals Limited June 2022</t>
  </si>
  <si>
    <t>ITC Ltd June 2022</t>
  </si>
  <si>
    <t>Eicher Motors Limited June 2022</t>
  </si>
  <si>
    <t>Vedanta Limited June 2022</t>
  </si>
  <si>
    <t>SBI Life Insurance Company Ltd June 2022</t>
  </si>
  <si>
    <t>Adani Ports &amp; SEZ Ltd June 2022</t>
  </si>
  <si>
    <t>Grasim Industries Limited June 2022</t>
  </si>
  <si>
    <t>Maruti Suzuki India Ltd June 2022</t>
  </si>
  <si>
    <t>Sun Pharmaceutical Industries Limited June 2022</t>
  </si>
  <si>
    <t>Dr.Reddys Laboratories Ltd June 2022</t>
  </si>
  <si>
    <t>Hindalco Industries Ltd June 2022</t>
  </si>
  <si>
    <t>Nifty June 2022</t>
  </si>
  <si>
    <t>Aurobindo Pharma Limited June 2022</t>
  </si>
  <si>
    <t>Dabur India Limited June 2022</t>
  </si>
  <si>
    <t>Hero MotoCorp Ltd June 2022</t>
  </si>
  <si>
    <t>Metropolis Healthcare Limited June 2022</t>
  </si>
  <si>
    <t>L&amp;T Finance Holdings Limited June 2022</t>
  </si>
  <si>
    <t>JSW Steel Limited June 2022</t>
  </si>
  <si>
    <t>DLF Limited June 2022</t>
  </si>
  <si>
    <t>L&amp;T Technology Services Limited June 2022</t>
  </si>
  <si>
    <t>Zee Entertainment Enterprises Limited June 2022</t>
  </si>
  <si>
    <t>Bharti Airtel Ltd - Partly Paid Right Shares</t>
  </si>
  <si>
    <t>Yes Bank Ltd ~</t>
  </si>
  <si>
    <t>~ Any realization beyond the carrying value shall be distributed to the investors existed as on March 13, 2020.</t>
  </si>
  <si>
    <t>Chennai Super Kings Ltd @</t>
  </si>
  <si>
    <t>Rs. 1.91 lacs/0.00%</t>
  </si>
  <si>
    <t>Sandur Laminates Ltd @</t>
  </si>
  <si>
    <t>Crystal Cable Industries Ltd @</t>
  </si>
  <si>
    <t>Tirrihannah Company Ltd @</t>
  </si>
  <si>
    <t>Minerava Holdings Ltd @</t>
  </si>
  <si>
    <t>b) Total value and percentage of illiquid equity shares@</t>
  </si>
  <si>
    <t>Sangam Health Care Products Ltd @</t>
  </si>
  <si>
    <t>Mukerian Papers Ltd @</t>
  </si>
  <si>
    <t>Precision Fasteners Ltd @</t>
  </si>
  <si>
    <t>Noble Brothers Impex Ltd @</t>
  </si>
  <si>
    <t>Balmer Lawrie Freight Containers Ltd @</t>
  </si>
  <si>
    <t>Virtual Dynamics Software Ltd @</t>
  </si>
  <si>
    <t>Crescent Finstock Ltd @</t>
  </si>
  <si>
    <t>Rs. 53.88 lacs / 0.03%</t>
  </si>
  <si>
    <t>Rs. 23.41 lacs / 0.03%</t>
  </si>
  <si>
    <t>Name of The security</t>
  </si>
  <si>
    <t xml:space="preserve">ISIN </t>
  </si>
  <si>
    <t>Net receivable/Market value  (Rs. Lakh)</t>
  </si>
  <si>
    <t>% to NAV</t>
  </si>
  <si>
    <t>Total Amount(Principal &amp; Interest)  (Rs. Lakh)</t>
  </si>
  <si>
    <t xml:space="preserve">IL&amp;FS Financial Services Ltd. 24SEP18 CP </t>
  </si>
  <si>
    <t>INE121H14JU3</t>
  </si>
  <si>
    <t>ISIN</t>
  </si>
  <si>
    <t>NAME OF THE SECURITY</t>
  </si>
  <si>
    <t>VALUE OF THE SECURITY CONSIDERED UNDER NET RECEIVABLES</t>
  </si>
  <si>
    <t>% TO AUM</t>
  </si>
  <si>
    <t>INE528G08394</t>
  </si>
  <si>
    <t>9%-YES BANK LTD-NCD-Call opt-18/10/2022-Perpetual Bond $</t>
  </si>
  <si>
    <t>TOTAL AMOUNT INCLUDING INTEREST DUE TO THE SCHEME</t>
  </si>
  <si>
    <t>TOTAL AMOUNT DUE</t>
  </si>
  <si>
    <t>PRINCIPAL (Rs. in Lacs)</t>
  </si>
  <si>
    <t>Interest Accrued till 05 Mar 2020
(Rs. in Lacs)</t>
  </si>
  <si>
    <t>Total 
(Rs. in Lacs)</t>
  </si>
  <si>
    <t>SPAHF - AUM</t>
  </si>
  <si>
    <t>$ Yes Bank Limited Reconstruction Scheme 2020” was notified in the Official Gazette on March 13, 2020. Based on that, the Basel III Additional Tier I Bonds (ISIN - INE528G08394) were written down in the scheme along with the Interest accrued.</t>
  </si>
  <si>
    <t>% to AUM as on 31/05/2022</t>
  </si>
  <si>
    <t>Refer below point k)</t>
  </si>
  <si>
    <t>21.50% Dewan Rubber Ltd</t>
  </si>
  <si>
    <t>Not Available</t>
  </si>
  <si>
    <t>Chemox Chemicals Industries</t>
  </si>
  <si>
    <t>Refer below point i)</t>
  </si>
  <si>
    <t>15% Premier Vinyl Ltd</t>
  </si>
  <si>
    <t>18% Jord Engineering Ltd</t>
  </si>
  <si>
    <t>k) Exposure to securities classified as below investment grade or default as on May 31, 2022:-</t>
  </si>
  <si>
    <t>i) Exposure to securities classified as below investment grade or default as on May 31, 2022:-</t>
  </si>
  <si>
    <t>Annexure-A</t>
  </si>
  <si>
    <t>858.76 Lacs</t>
  </si>
  <si>
    <t>j) Portfolio Turnover Ratio</t>
  </si>
  <si>
    <t>g) Average Maturity - only for Debt portion (years)</t>
  </si>
  <si>
    <t>h) Macaulay Duration - only for Debt portion (years)</t>
  </si>
  <si>
    <t>i) Portfolio Turnover Ratio</t>
  </si>
  <si>
    <t>j) Repo in corporate debt</t>
  </si>
  <si>
    <t>Tata Motors Ltd - DVR</t>
  </si>
  <si>
    <t>Cash and Other Net Current Assets ^</t>
  </si>
  <si>
    <t>Yield to call date %</t>
  </si>
  <si>
    <t>Bank of Baroda - 8.65% - Call Dt 11/08/2022**  (Perpetual Bond under Basel III)</t>
  </si>
  <si>
    <t>Bank of Baroda - 8.55% - Call Dt 14/02/2024 (Tier II Bond under Basel III)**</t>
  </si>
  <si>
    <t>State Bank of India - 8.15% - Call Dt 02/08/2022** (Perpetual Bond under Basel III)</t>
  </si>
  <si>
    <t>Axis Bank Ltd - 8.75% - Call Dt 28/06/2022** (Perpetual Bond under Basel III)</t>
  </si>
  <si>
    <t>Direct Plan - IDCW</t>
  </si>
  <si>
    <t>Regular Plan - IDCW</t>
  </si>
  <si>
    <t>d) IDCW declared during the period (Rupees per unit)</t>
  </si>
  <si>
    <t>Direct Plan - Halfyearly IDCW</t>
  </si>
  <si>
    <t>Regular Plan - Halfyearly IDCW</t>
  </si>
  <si>
    <t>Direct Plan - Monthly IDCW</t>
  </si>
  <si>
    <t>Direct Plan - Quarterly IDCW</t>
  </si>
  <si>
    <t>Regular Plan - Monthly IDCW</t>
  </si>
  <si>
    <t>Regular Plan - Quarterly IDCW</t>
  </si>
  <si>
    <t>Institutional Plan - IDCW</t>
  </si>
  <si>
    <t>Monthly Portfolio Statement for the month ended 31 May 2022</t>
  </si>
  <si>
    <t>Sundaram Aggressive Hybrid Fund (Formerly Known As Principal Hybrid Equity Fund)</t>
  </si>
  <si>
    <t>Sundaram Arbitrage Fund (Formerly Known As Principal Arbitrage Fund)</t>
  </si>
  <si>
    <t>Sundaram Balanced Advantage Fund (Formerly Known As Principal Balanced Advantage Fund)</t>
  </si>
  <si>
    <t>Sundaram Dividend Yield Fund (Formerly Known As Principal Dividend Yield Fund)</t>
  </si>
  <si>
    <t>Sundaram Equity Savings Fund (Formerly Known As Principal Equity Savings Fund)</t>
  </si>
  <si>
    <t>Sundaram Focused Fund (Formerly Known As Principal Focused Multicap Fund)</t>
  </si>
  <si>
    <t>Sundaram Multi Cap Fund (Formerly Known As Principal Multi Cap Growth Fund)</t>
  </si>
  <si>
    <t>Sundaram Nifty 100 Equal Weight Fund (Formerly Known As Principal Nifty 100 Equal Weight Fund)</t>
  </si>
  <si>
    <t>Sundaram Tax Savings Fund (ELSS) (Formerly Known As Principal Tax Savings Fund)</t>
  </si>
  <si>
    <t>Sundaram Large Cap Fund (Formerly Known As Sundaram Bluechip Fund)</t>
  </si>
  <si>
    <t>Action Construction Equipments Ltd</t>
  </si>
  <si>
    <t>Scheme Riskometer</t>
  </si>
  <si>
    <t>Benchmark Riskometer - NIFTY Infrastructure TRI</t>
  </si>
  <si>
    <t>Benchmark Riskometer - S&amp;P BSE Small Cap INDEX</t>
  </si>
  <si>
    <t>Benchmark Riskometer - S&amp;P BSE 500 INDEX</t>
  </si>
  <si>
    <t>Tier I Benchmark Riskometer - Nifty Large Mid Cap 250 INDEX</t>
  </si>
  <si>
    <t>Tier II Benchmark Riskometer - Nifty Large Mid Cap 250 INDEX</t>
  </si>
  <si>
    <t>Benchmark Riskometer - S&amp;P BSE 250 SmallCap</t>
  </si>
  <si>
    <t>Tier I Benchmark Riskometer - Nifty Small Cap 250 TRI</t>
  </si>
  <si>
    <t>Tier II Benchmark Riskometer - Nifty Small Cap 100 TRI</t>
  </si>
  <si>
    <t>Benchmark Riskometer - CRISIL Hybrid 35+65 - Aggressive Index</t>
  </si>
  <si>
    <t>Total - Cr</t>
  </si>
  <si>
    <t>Benchmark Riskometer - NIFTY 50 Arbitrage INDEX</t>
  </si>
  <si>
    <t>Benchmark Riskometer - NIFTY 50 Hybrid Composite Debt 50 : 50 INDEX</t>
  </si>
  <si>
    <t>Benchmark Riskometer - Nifty Equity Savings INDEX</t>
  </si>
  <si>
    <t>Tier I Benchmark Riskometer - Nifty 500 MultiCap 50:25:25</t>
  </si>
  <si>
    <t>Tier II Benchmark Riskometer - Nifty 500 MultiCap 50:25:25</t>
  </si>
  <si>
    <t>Benchmark Riskometer - Nifty 100 Equal Weight TRI</t>
  </si>
  <si>
    <t>Benchmark Riskometer - Nifty India Consumption TRI</t>
  </si>
  <si>
    <t>Tier I Benchmark Riskometer - NIFTY Services Sector Index</t>
  </si>
  <si>
    <t>Tier II Benchmark Riskometer - NIFTY 500 MULTICAP 50:25:25</t>
  </si>
  <si>
    <t>Tier II Benchmark Riskometer - S&amp;P BSE 200</t>
  </si>
  <si>
    <t>Tier I Benchmark Riskometer - Nifty 100 TRI INDEX</t>
  </si>
  <si>
    <t>Tier II Benchmark Riskometer - Nifty 100 TRI INDEX</t>
  </si>
  <si>
    <t>Benchmark Riskometer - Nifty Financial Services</t>
  </si>
  <si>
    <t>Benchmark Riskometer - MSCI ACWI TRI</t>
  </si>
  <si>
    <t>Tier II Benchmark Riskometer - Nifty Mid Cap 100 TRI</t>
  </si>
  <si>
    <t>Tier II Benchmark Riskometer - Nifty 500 TRI</t>
  </si>
  <si>
    <t>Tier I Benchmark Riskometer - Nifty 500 TRI</t>
  </si>
  <si>
    <t>Tier II Benchmark Riskometer - NIFTY 500</t>
  </si>
  <si>
    <t>Tier I Benchmark Riskometer - NIFTY 500</t>
  </si>
  <si>
    <t>Tier I Benchmark Riskometer - Nifty Mid Cap 150 TRI</t>
  </si>
  <si>
    <t>Benchmark Riskometer - Nifty Small Cap 100</t>
  </si>
  <si>
    <t>DERIVATIVES DISCLOSURE</t>
  </si>
  <si>
    <t>Disclosure regarding Derivative positions pursuant to SEBI Circular no CIR/IMD/DF/11/2010 dated August18,2010</t>
  </si>
  <si>
    <t>DETAILS OF INVESTMENTS IN DERIVATIVE INSTRUMENTS</t>
  </si>
  <si>
    <t>A. Hedging Positions through Futures as on May 31,2022 :</t>
  </si>
  <si>
    <t>Scheme Name</t>
  </si>
  <si>
    <t>Underlying</t>
  </si>
  <si>
    <t>Long/Short</t>
  </si>
  <si>
    <t>Futures Price When Purchased</t>
  </si>
  <si>
    <t>Current Price of the contract</t>
  </si>
  <si>
    <t>Margin maintained in       (Rs in Lakhs)*</t>
  </si>
  <si>
    <t>Sundaram Arbitrage Fund</t>
  </si>
  <si>
    <t>Short</t>
  </si>
  <si>
    <t xml:space="preserve">
Zee Entertainment Enterprises Limited June 2022</t>
  </si>
  <si>
    <t xml:space="preserve">Total percentage of existing assets hedged through futures as a percentage of net assets </t>
  </si>
  <si>
    <t>%</t>
  </si>
  <si>
    <t>For the period ended May 31,2022 following were the hedging transactions through futures which have been squared off/ expired</t>
  </si>
  <si>
    <t>Total Number of contracts where futures were Bought</t>
  </si>
  <si>
    <t>Total Number of contracts where futures were Sold</t>
  </si>
  <si>
    <t>Gross Notional value of contracts where futures were bought                      (Rs. in Lakhs)</t>
  </si>
  <si>
    <t>Gross Notional value of contracts where futures were sold        (Rs. in Lakhs)</t>
  </si>
  <si>
    <t>Net Profit / (Loss) value on all contracts combined       (Rs. in lakhs)</t>
  </si>
  <si>
    <t>B. Other than hedging positions through futures as on May 31,2022:</t>
  </si>
  <si>
    <t>Margin maintained in       (Rs. in Lakhs) *</t>
  </si>
  <si>
    <t>LONG</t>
  </si>
  <si>
    <t>Total percentage of existing assets due to non-hedging positions as a percentage of net assets</t>
  </si>
  <si>
    <t>For the period ended May 31,2022 following were the non-hedging transactions through futures which have been squared off / expired</t>
  </si>
  <si>
    <t>Gross Notional value of contracts where futures were sold      ( Rs. in Lakhs)</t>
  </si>
  <si>
    <t>Net Profit / (Loss) value on all contracts combined      (Rs. in lakhs)</t>
  </si>
  <si>
    <t>C. Hedging Positions through Put Options as on May 31,2022:</t>
  </si>
  <si>
    <t>Call/Put</t>
  </si>
  <si>
    <t>Number of Contracts</t>
  </si>
  <si>
    <t>Option Price when purchased</t>
  </si>
  <si>
    <t>Current Option Price</t>
  </si>
  <si>
    <t>-</t>
  </si>
  <si>
    <t>Total % of existing assets hedged through Put Options</t>
  </si>
  <si>
    <t>For the period ended  May 31,2022, the following hedging transactions through options which have been already exercised/expired</t>
  </si>
  <si>
    <t>Total Number of contracts entered into</t>
  </si>
  <si>
    <t>Gross Notional value of contracts bought                      (Rs. in Lakhs)</t>
  </si>
  <si>
    <t>Gross Notional value of contracts  sold  (Rs. in Lakhs)</t>
  </si>
  <si>
    <t>Net Profit/(Loss) on all contracts 
(Rs. in Lakhs)</t>
  </si>
  <si>
    <t>D. Other than Hedging Positions through options as on May 31,2022:</t>
  </si>
  <si>
    <t xml:space="preserve">Total Exposure through Options other than hedging as a percentage of net assets </t>
  </si>
  <si>
    <t>For the period ended May 31,2022, the following non hedging transactions through options which have been already exercised/expired</t>
  </si>
  <si>
    <t>Gross Notional value of contracts  bought(Rs. in Lakhs)</t>
  </si>
  <si>
    <t>Gross Notional value of contracts  sold (Rs. in Lakhs)</t>
  </si>
  <si>
    <t>E. Hedging Positions through Swaps as on May 31,2022- Nil</t>
  </si>
  <si>
    <t>F. Hedging Positions through Interest Rate Futures as on May 31,2022:</t>
  </si>
  <si>
    <t xml:space="preserve">Futures Price
When Purchased </t>
  </si>
  <si>
    <t>Current Price of
the contract</t>
  </si>
  <si>
    <t>Margin maintained
in (Rs. in Lakhs)</t>
  </si>
  <si>
    <t>Total percentage of existing assets hedged through Interest Rate Futures a Percentage of net assets</t>
  </si>
  <si>
    <t>For the period ended May 31,2022 following were the hedging transactions through Interest Rate Futures which have been squared off/ expired</t>
  </si>
  <si>
    <t>For the period ended May 31,2022 following were the Non Hedging transactions through Interest Rate Futures which have been squared off/ expired</t>
  </si>
  <si>
    <t>* Note: Margin maintained denotes security specific margin.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</si>
</sst>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;\-#,##0.00"/>
    <numFmt numFmtId="170" formatCode="[$-1014009]#,##0.00%"/>
    <numFmt numFmtId="171" formatCode="[$-1014009]#,##0.0000;\-#,##0.0000"/>
    <numFmt numFmtId="172" formatCode="0.000"/>
    <numFmt numFmtId="173" formatCode="#,##0.000"/>
    <numFmt numFmtId="174" formatCode="0.00000"/>
    <numFmt numFmtId="175" formatCode="0.0000"/>
    <numFmt numFmtId="176" formatCode="[$-1014009]#.0000"/>
    <numFmt numFmtId="177" formatCode="[$-1014009]#,##0.000000;\-#,##0.000000"/>
    <numFmt numFmtId="178" formatCode="[$-1014009]#,##0.00;\(#,##0.00\)"/>
    <numFmt numFmtId="179" formatCode="_(* #,##0_);_(* \(#,##0\);_(* &quot;-&quot;??_);_(@_)"/>
    <numFmt numFmtId="180" formatCode="0.000000000"/>
    <numFmt numFmtId="181" formatCode="_(* #,##0.0000_);_(* \(#,##0.0000\);_(* &quot;-&quot;??_);_(@_)"/>
    <numFmt numFmtId="182" formatCode="#,##0.0000;\(#,##0.0000\)"/>
    <numFmt numFmtId="183" formatCode="_(* #,##0.000_);_(* \(#,##0.000\);_(* &quot;-&quot;??_);_(@_)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8"/>
      <name val="Calibri"/>
      <family val="2"/>
    </font>
    <font>
      <b/>
      <sz val="9"/>
      <color indexed="8"/>
      <name val="Calibri"/>
      <family val="2"/>
    </font>
    <font>
      <b/>
      <i/>
      <sz val="10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0" fillId="0" borderId="0">
      <alignment wrapText="1"/>
    </xf>
    <xf numFmtId="0" fontId="4" fillId="0" borderId="0"/>
    <xf numFmtId="0" fontId="11" fillId="0" borderId="0">
      <alignment wrapText="1"/>
    </xf>
    <xf numFmtId="0" fontId="4" fillId="0" borderId="0"/>
    <xf numFmtId="0" fontId="11" fillId="0" borderId="0"/>
    <xf numFmtId="164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1" fillId="0" borderId="0">
      <alignment wrapText="1"/>
    </xf>
    <xf numFmtId="0" fontId="2" fillId="0" borderId="0"/>
    <xf numFmtId="0" fontId="34" fillId="0" borderId="0" applyNumberFormat="0" applyFill="0" applyBorder="0" applyAlignment="0" applyProtection="0">
      <alignment wrapText="1"/>
    </xf>
    <xf numFmtId="0" fontId="1" fillId="0" borderId="0"/>
  </cellStyleXfs>
  <cellXfs count="312">
    <xf numFmtId="0" fontId="0" fillId="0" borderId="0" xfId="0">
      <alignment wrapText="1"/>
    </xf>
    <xf numFmtId="0" fontId="6" fillId="2" borderId="4" xfId="0" applyFont="1" applyFill="1" applyBorder="1" applyAlignment="1">
      <alignment horizontal="right" vertical="top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165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7" fontId="7" fillId="2" borderId="4" xfId="0" applyNumberFormat="1" applyFont="1" applyFill="1" applyBorder="1" applyAlignment="1">
      <alignment horizontal="right" vertical="center" wrapText="1" readingOrder="1"/>
    </xf>
    <xf numFmtId="168" fontId="7" fillId="2" borderId="4" xfId="0" applyNumberFormat="1" applyFont="1" applyFill="1" applyBorder="1" applyAlignment="1">
      <alignment horizontal="right" vertical="center" wrapText="1" readingOrder="1"/>
    </xf>
    <xf numFmtId="0" fontId="8" fillId="2" borderId="4" xfId="0" applyFont="1" applyFill="1" applyBorder="1" applyAlignment="1">
      <alignment horizontal="left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169" fontId="7" fillId="2" borderId="4" xfId="0" applyNumberFormat="1" applyFont="1" applyFill="1" applyBorder="1" applyAlignment="1">
      <alignment horizontal="right" vertical="center" wrapText="1" readingOrder="1"/>
    </xf>
    <xf numFmtId="170" fontId="7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8" fillId="2" borderId="5" xfId="0" applyFont="1" applyFill="1" applyBorder="1" applyAlignment="1">
      <alignment horizontal="left" vertical="center" wrapText="1" readingOrder="1"/>
    </xf>
    <xf numFmtId="0" fontId="8" fillId="2" borderId="5" xfId="0" applyFont="1" applyFill="1" applyBorder="1" applyAlignment="1">
      <alignment horizontal="right" vertical="center" wrapText="1" readingOrder="1"/>
    </xf>
    <xf numFmtId="0" fontId="8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8" fillId="2" borderId="0" xfId="0" applyFont="1" applyFill="1" applyAlignment="1">
      <alignment horizontal="right" vertical="center" wrapText="1" readingOrder="1"/>
    </xf>
    <xf numFmtId="0" fontId="8" fillId="2" borderId="6" xfId="0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top" wrapText="1" readingOrder="1"/>
    </xf>
    <xf numFmtId="0" fontId="7" fillId="2" borderId="4" xfId="0" applyFont="1" applyFill="1" applyBorder="1" applyAlignment="1">
      <alignment horizontal="right" vertical="top" wrapText="1" readingOrder="1"/>
    </xf>
    <xf numFmtId="171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6" fillId="2" borderId="5" xfId="0" applyFont="1" applyFill="1" applyBorder="1" applyAlignment="1">
      <alignment horizontal="right" vertical="top" wrapText="1" readingOrder="1"/>
    </xf>
    <xf numFmtId="170" fontId="7" fillId="2" borderId="4" xfId="0" applyNumberFormat="1" applyFont="1" applyFill="1" applyBorder="1" applyAlignment="1">
      <alignment horizontal="left" vertical="center" wrapText="1" readingOrder="1"/>
    </xf>
    <xf numFmtId="0" fontId="9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2" fillId="0" borderId="0" xfId="2" applyFont="1">
      <alignment wrapText="1"/>
    </xf>
    <xf numFmtId="0" fontId="12" fillId="0" borderId="7" xfId="2" applyFont="1" applyBorder="1">
      <alignment wrapText="1"/>
    </xf>
    <xf numFmtId="0" fontId="12" fillId="0" borderId="7" xfId="2" applyFont="1" applyBorder="1" applyAlignment="1"/>
    <xf numFmtId="0" fontId="12" fillId="0" borderId="7" xfId="0" applyFont="1" applyBorder="1" applyAlignment="1"/>
    <xf numFmtId="0" fontId="4" fillId="0" borderId="0" xfId="3"/>
    <xf numFmtId="0" fontId="10" fillId="0" borderId="7" xfId="4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 readingOrder="1"/>
    </xf>
    <xf numFmtId="0" fontId="14" fillId="0" borderId="7" xfId="1" applyFont="1" applyBorder="1" applyProtection="1">
      <protection locked="0"/>
    </xf>
    <xf numFmtId="0" fontId="15" fillId="0" borderId="7" xfId="1" applyFont="1" applyBorder="1" applyAlignment="1" applyProtection="1">
      <alignment wrapText="1"/>
      <protection locked="0"/>
    </xf>
    <xf numFmtId="0" fontId="14" fillId="0" borderId="7" xfId="1" applyFont="1" applyBorder="1" applyAlignment="1">
      <alignment horizontal="right"/>
    </xf>
    <xf numFmtId="0" fontId="4" fillId="0" borderId="7" xfId="3" applyBorder="1"/>
    <xf numFmtId="0" fontId="14" fillId="0" borderId="7" xfId="1" applyFont="1" applyBorder="1" applyAlignment="1" applyProtection="1">
      <alignment wrapText="1"/>
      <protection locked="0"/>
    </xf>
    <xf numFmtId="172" fontId="14" fillId="0" borderId="7" xfId="1" applyNumberFormat="1" applyFont="1" applyBorder="1" applyProtection="1">
      <protection locked="0"/>
    </xf>
    <xf numFmtId="164" fontId="14" fillId="0" borderId="7" xfId="5" applyFont="1" applyFill="1" applyBorder="1" applyAlignment="1">
      <alignment horizontal="right"/>
    </xf>
    <xf numFmtId="2" fontId="14" fillId="0" borderId="7" xfId="1" applyNumberFormat="1" applyFont="1" applyBorder="1" applyAlignment="1">
      <alignment horizontal="right"/>
    </xf>
    <xf numFmtId="0" fontId="14" fillId="0" borderId="7" xfId="1" applyFont="1" applyBorder="1" applyAlignment="1">
      <alignment horizontal="center"/>
    </xf>
    <xf numFmtId="173" fontId="4" fillId="0" borderId="7" xfId="3" applyNumberFormat="1" applyBorder="1"/>
    <xf numFmtId="0" fontId="14" fillId="0" borderId="7" xfId="1" applyFont="1" applyBorder="1"/>
    <xf numFmtId="0" fontId="15" fillId="0" borderId="7" xfId="4" applyFont="1" applyBorder="1" applyAlignment="1">
      <alignment vertical="center" wrapText="1"/>
    </xf>
    <xf numFmtId="172" fontId="15" fillId="0" borderId="7" xfId="4" applyNumberFormat="1" applyFont="1" applyBorder="1" applyAlignment="1">
      <alignment vertical="center" wrapText="1"/>
    </xf>
    <xf numFmtId="43" fontId="15" fillId="0" borderId="7" xfId="6" applyFont="1" applyFill="1" applyBorder="1" applyAlignment="1">
      <alignment vertical="center" wrapText="1"/>
    </xf>
    <xf numFmtId="164" fontId="15" fillId="0" borderId="7" xfId="5" applyFont="1" applyBorder="1" applyAlignment="1">
      <alignment horizontal="right" vertical="center"/>
    </xf>
    <xf numFmtId="10" fontId="4" fillId="0" borderId="7" xfId="3" applyNumberFormat="1" applyBorder="1"/>
    <xf numFmtId="43" fontId="14" fillId="0" borderId="7" xfId="6" applyFont="1" applyFill="1" applyBorder="1" applyAlignment="1">
      <alignment horizontal="right"/>
    </xf>
    <xf numFmtId="0" fontId="15" fillId="0" borderId="7" xfId="1" applyFont="1" applyBorder="1" applyProtection="1">
      <protection locked="0"/>
    </xf>
    <xf numFmtId="43" fontId="14" fillId="0" borderId="7" xfId="6" applyFont="1" applyFill="1" applyBorder="1" applyAlignment="1" applyProtection="1">
      <alignment horizontal="right"/>
      <protection locked="0"/>
    </xf>
    <xf numFmtId="0" fontId="16" fillId="2" borderId="4" xfId="1" applyFont="1" applyFill="1" applyBorder="1" applyAlignment="1">
      <alignment horizontal="left" vertical="center" wrapText="1" readingOrder="1"/>
    </xf>
    <xf numFmtId="0" fontId="14" fillId="0" borderId="7" xfId="3" applyFont="1" applyBorder="1"/>
    <xf numFmtId="43" fontId="14" fillId="0" borderId="7" xfId="6" applyFont="1" applyFill="1" applyBorder="1"/>
    <xf numFmtId="164" fontId="17" fillId="0" borderId="7" xfId="3" applyNumberFormat="1" applyFont="1" applyBorder="1"/>
    <xf numFmtId="0" fontId="15" fillId="0" borderId="7" xfId="1" applyFont="1" applyBorder="1"/>
    <xf numFmtId="43" fontId="15" fillId="0" borderId="7" xfId="6" applyFont="1" applyFill="1" applyBorder="1" applyAlignment="1">
      <alignment horizontal="right"/>
    </xf>
    <xf numFmtId="164" fontId="4" fillId="0" borderId="7" xfId="3" applyNumberFormat="1" applyBorder="1"/>
    <xf numFmtId="2" fontId="15" fillId="0" borderId="7" xfId="1" applyNumberFormat="1" applyFont="1" applyBorder="1" applyAlignment="1">
      <alignment horizontal="right"/>
    </xf>
    <xf numFmtId="4" fontId="18" fillId="0" borderId="7" xfId="1" applyNumberFormat="1" applyFont="1" applyBorder="1"/>
    <xf numFmtId="4" fontId="4" fillId="0" borderId="0" xfId="3" applyNumberFormat="1"/>
    <xf numFmtId="174" fontId="4" fillId="0" borderId="0" xfId="3" applyNumberFormat="1"/>
    <xf numFmtId="0" fontId="19" fillId="0" borderId="0" xfId="7" applyFont="1" applyAlignment="1">
      <alignment horizontal="left" vertical="center" wrapText="1"/>
    </xf>
    <xf numFmtId="0" fontId="20" fillId="0" borderId="0" xfId="7" applyFont="1" applyAlignment="1">
      <alignment vertical="center"/>
    </xf>
    <xf numFmtId="164" fontId="20" fillId="0" borderId="0" xfId="7" applyNumberFormat="1" applyFont="1" applyAlignment="1">
      <alignment vertical="center"/>
    </xf>
    <xf numFmtId="4" fontId="21" fillId="0" borderId="0" xfId="3" applyNumberFormat="1" applyFont="1"/>
    <xf numFmtId="2" fontId="20" fillId="0" borderId="0" xfId="7" applyNumberFormat="1" applyFont="1" applyAlignment="1">
      <alignment vertical="center"/>
    </xf>
    <xf numFmtId="0" fontId="14" fillId="0" borderId="0" xfId="8" applyFont="1" applyAlignment="1">
      <alignment vertical="center"/>
    </xf>
    <xf numFmtId="0" fontId="20" fillId="0" borderId="7" xfId="7" applyFont="1" applyBorder="1" applyAlignment="1">
      <alignment vertical="center"/>
    </xf>
    <xf numFmtId="0" fontId="15" fillId="0" borderId="7" xfId="8" applyFont="1" applyBorder="1" applyAlignment="1">
      <alignment horizontal="center" vertical="center"/>
    </xf>
    <xf numFmtId="0" fontId="19" fillId="0" borderId="0" xfId="7" applyFont="1" applyAlignment="1">
      <alignment vertical="center"/>
    </xf>
    <xf numFmtId="0" fontId="15" fillId="0" borderId="7" xfId="8" applyFont="1" applyBorder="1" applyAlignment="1">
      <alignment vertical="center"/>
    </xf>
    <xf numFmtId="14" fontId="19" fillId="0" borderId="0" xfId="7" applyNumberFormat="1" applyFont="1" applyAlignment="1">
      <alignment horizontal="center"/>
    </xf>
    <xf numFmtId="0" fontId="17" fillId="0" borderId="0" xfId="3" applyFont="1"/>
    <xf numFmtId="0" fontId="20" fillId="0" borderId="7" xfId="7" applyFont="1" applyBorder="1" applyAlignment="1">
      <alignment horizontal="left" vertical="center"/>
    </xf>
    <xf numFmtId="175" fontId="17" fillId="0" borderId="7" xfId="3" applyNumberFormat="1" applyFont="1" applyBorder="1"/>
    <xf numFmtId="175" fontId="17" fillId="0" borderId="0" xfId="3" applyNumberFormat="1" applyFont="1"/>
    <xf numFmtId="0" fontId="22" fillId="0" borderId="0" xfId="1" applyFont="1" applyAlignment="1">
      <alignment vertical="center" readingOrder="1"/>
    </xf>
    <xf numFmtId="0" fontId="22" fillId="0" borderId="0" xfId="1" applyFont="1" applyAlignment="1">
      <alignment vertical="center" wrapText="1" readingOrder="1"/>
    </xf>
    <xf numFmtId="0" fontId="14" fillId="0" borderId="0" xfId="7" applyFont="1" applyAlignment="1">
      <alignment horizontal="center" vertical="center"/>
    </xf>
    <xf numFmtId="0" fontId="20" fillId="0" borderId="0" xfId="7" quotePrefix="1" applyFont="1" applyAlignment="1">
      <alignment vertical="center"/>
    </xf>
    <xf numFmtId="0" fontId="14" fillId="0" borderId="0" xfId="3" applyFont="1" applyAlignment="1">
      <alignment vertical="center" wrapText="1"/>
    </xf>
    <xf numFmtId="0" fontId="7" fillId="2" borderId="4" xfId="0" applyFont="1" applyFill="1" applyBorder="1" applyAlignment="1">
      <alignment horizontal="left" vertical="top" wrapText="1" readingOrder="1"/>
    </xf>
    <xf numFmtId="176" fontId="6" fillId="2" borderId="4" xfId="0" applyNumberFormat="1" applyFont="1" applyFill="1" applyBorder="1" applyAlignment="1">
      <alignment horizontal="right" vertical="center" wrapText="1" readingOrder="1"/>
    </xf>
    <xf numFmtId="0" fontId="23" fillId="2" borderId="4" xfId="0" applyFont="1" applyFill="1" applyBorder="1" applyAlignment="1">
      <alignment horizontal="left" vertical="center" wrapText="1" readingOrder="1"/>
    </xf>
    <xf numFmtId="0" fontId="23" fillId="2" borderId="4" xfId="0" applyFont="1" applyFill="1" applyBorder="1" applyAlignment="1">
      <alignment horizontal="right" vertical="center" wrapText="1" readingOrder="1"/>
    </xf>
    <xf numFmtId="177" fontId="6" fillId="2" borderId="4" xfId="0" applyNumberFormat="1" applyFont="1" applyFill="1" applyBorder="1" applyAlignment="1">
      <alignment horizontal="righ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6" fillId="2" borderId="6" xfId="0" applyFont="1" applyFill="1" applyBorder="1" applyAlignment="1">
      <alignment horizontal="right" vertical="top" wrapText="1" readingOrder="1"/>
    </xf>
    <xf numFmtId="178" fontId="7" fillId="2" borderId="4" xfId="0" applyNumberFormat="1" applyFont="1" applyFill="1" applyBorder="1" applyAlignment="1">
      <alignment horizontal="left" vertical="center" wrapText="1" readingOrder="1"/>
    </xf>
    <xf numFmtId="0" fontId="0" fillId="2" borderId="0" xfId="0" applyFill="1" applyAlignment="1">
      <alignment horizontal="center" vertical="top" readingOrder="1"/>
    </xf>
    <xf numFmtId="0" fontId="22" fillId="2" borderId="4" xfId="0" applyFont="1" applyFill="1" applyBorder="1" applyAlignment="1">
      <alignment horizontal="left" vertical="center" wrapText="1" readingOrder="1"/>
    </xf>
    <xf numFmtId="0" fontId="16" fillId="2" borderId="4" xfId="0" applyFont="1" applyFill="1" applyBorder="1" applyAlignment="1">
      <alignment horizontal="left" vertical="top" readingOrder="1"/>
    </xf>
    <xf numFmtId="165" fontId="22" fillId="2" borderId="4" xfId="2" applyNumberFormat="1" applyFont="1" applyFill="1" applyBorder="1" applyAlignment="1">
      <alignment horizontal="right" vertical="center" wrapText="1" readingOrder="1"/>
    </xf>
    <xf numFmtId="166" fontId="22" fillId="2" borderId="4" xfId="0" applyNumberFormat="1" applyFont="1" applyFill="1" applyBorder="1" applyAlignment="1">
      <alignment horizontal="right" vertical="center" wrapText="1" readingOrder="1"/>
    </xf>
    <xf numFmtId="167" fontId="22" fillId="2" borderId="4" xfId="0" applyNumberFormat="1" applyFont="1" applyFill="1" applyBorder="1" applyAlignment="1">
      <alignment horizontal="right" vertical="center" wrapText="1" readingOrder="1"/>
    </xf>
    <xf numFmtId="168" fontId="22" fillId="2" borderId="4" xfId="0" applyNumberFormat="1" applyFont="1" applyFill="1" applyBorder="1" applyAlignment="1">
      <alignment horizontal="right" vertical="center" wrapText="1" readingOrder="1"/>
    </xf>
    <xf numFmtId="0" fontId="11" fillId="0" borderId="0" xfId="2">
      <alignment wrapText="1"/>
    </xf>
    <xf numFmtId="0" fontId="24" fillId="2" borderId="0" xfId="0" applyFont="1" applyFill="1" applyAlignment="1">
      <alignment horizontal="left" vertical="center" wrapText="1" readingOrder="1"/>
    </xf>
    <xf numFmtId="0" fontId="24" fillId="2" borderId="0" xfId="0" applyFont="1" applyFill="1" applyAlignment="1">
      <alignment horizontal="right" vertical="center" wrapText="1" readingOrder="1"/>
    </xf>
    <xf numFmtId="0" fontId="25" fillId="0" borderId="0" xfId="0" applyFont="1" applyAlignment="1">
      <alignment vertical="center" wrapText="1"/>
    </xf>
    <xf numFmtId="165" fontId="22" fillId="2" borderId="4" xfId="0" applyNumberFormat="1" applyFont="1" applyFill="1" applyBorder="1" applyAlignment="1">
      <alignment horizontal="right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readingOrder="1"/>
    </xf>
    <xf numFmtId="0" fontId="6" fillId="2" borderId="4" xfId="2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left" vertical="top" readingOrder="1"/>
    </xf>
    <xf numFmtId="14" fontId="7" fillId="2" borderId="4" xfId="0" applyNumberFormat="1" applyFont="1" applyFill="1" applyBorder="1" applyAlignment="1">
      <alignment horizontal="right" vertical="top" wrapText="1" readingOrder="1"/>
    </xf>
    <xf numFmtId="167" fontId="7" fillId="0" borderId="4" xfId="0" applyNumberFormat="1" applyFont="1" applyBorder="1" applyAlignment="1">
      <alignment horizontal="right" vertical="center" wrapText="1" readingOrder="1"/>
    </xf>
    <xf numFmtId="168" fontId="7" fillId="0" borderId="4" xfId="0" applyNumberFormat="1" applyFont="1" applyBorder="1" applyAlignment="1">
      <alignment horizontal="right" vertical="center" wrapText="1" readingOrder="1"/>
    </xf>
    <xf numFmtId="167" fontId="6" fillId="0" borderId="4" xfId="0" applyNumberFormat="1" applyFont="1" applyBorder="1" applyAlignment="1">
      <alignment horizontal="right" vertical="center" wrapText="1" readingOrder="1"/>
    </xf>
    <xf numFmtId="0" fontId="17" fillId="0" borderId="0" xfId="0" applyFont="1" applyAlignment="1"/>
    <xf numFmtId="0" fontId="29" fillId="0" borderId="7" xfId="0" applyFont="1" applyBorder="1" applyAlignment="1">
      <alignment horizontal="center" vertical="center" wrapText="1"/>
    </xf>
    <xf numFmtId="0" fontId="14" fillId="0" borderId="7" xfId="0" applyFont="1" applyBorder="1">
      <alignment wrapText="1"/>
    </xf>
    <xf numFmtId="0" fontId="14" fillId="0" borderId="7" xfId="0" applyFont="1" applyBorder="1" applyAlignment="1"/>
    <xf numFmtId="2" fontId="14" fillId="0" borderId="7" xfId="0" applyNumberFormat="1" applyFont="1" applyBorder="1" applyAlignment="1"/>
    <xf numFmtId="10" fontId="17" fillId="0" borderId="7" xfId="10" applyNumberFormat="1" applyFont="1" applyBorder="1"/>
    <xf numFmtId="4" fontId="14" fillId="0" borderId="7" xfId="0" applyNumberFormat="1" applyFont="1" applyBorder="1" applyAlignment="1"/>
    <xf numFmtId="0" fontId="29" fillId="0" borderId="0" xfId="11" applyFont="1" applyAlignment="1">
      <alignment horizontal="center"/>
    </xf>
    <xf numFmtId="0" fontId="17" fillId="0" borderId="7" xfId="11" applyFont="1" applyBorder="1"/>
    <xf numFmtId="0" fontId="17" fillId="0" borderId="7" xfId="11" applyFont="1" applyBorder="1" applyAlignment="1">
      <alignment wrapText="1"/>
    </xf>
    <xf numFmtId="0" fontId="17" fillId="0" borderId="0" xfId="11" applyFont="1" applyAlignment="1">
      <alignment horizontal="center"/>
    </xf>
    <xf numFmtId="0" fontId="30" fillId="0" borderId="0" xfId="11" applyFont="1"/>
    <xf numFmtId="0" fontId="29" fillId="0" borderId="7" xfId="11" applyFont="1" applyBorder="1" applyAlignment="1">
      <alignment horizontal="center" vertical="center" wrapText="1"/>
    </xf>
    <xf numFmtId="0" fontId="17" fillId="0" borderId="7" xfId="11" applyFont="1" applyBorder="1" applyAlignment="1">
      <alignment horizontal="left" vertical="center"/>
    </xf>
    <xf numFmtId="0" fontId="17" fillId="0" borderId="7" xfId="11" applyFont="1" applyBorder="1" applyAlignment="1">
      <alignment vertical="center" wrapText="1"/>
    </xf>
    <xf numFmtId="2" fontId="17" fillId="0" borderId="7" xfId="11" applyNumberFormat="1" applyFont="1" applyBorder="1" applyAlignment="1">
      <alignment horizontal="right" vertical="center" wrapText="1"/>
    </xf>
    <xf numFmtId="4" fontId="17" fillId="0" borderId="7" xfId="11" applyNumberFormat="1" applyFont="1" applyBorder="1" applyAlignment="1">
      <alignment horizontal="right" vertical="center"/>
    </xf>
    <xf numFmtId="10" fontId="17" fillId="0" borderId="7" xfId="13" applyNumberFormat="1" applyFont="1" applyBorder="1" applyAlignment="1">
      <alignment vertical="center" wrapText="1"/>
    </xf>
    <xf numFmtId="0" fontId="27" fillId="0" borderId="0" xfId="2" applyFont="1" applyAlignment="1">
      <alignment horizontal="center" vertical="center"/>
    </xf>
    <xf numFmtId="4" fontId="32" fillId="0" borderId="0" xfId="11" applyNumberFormat="1" applyFont="1" applyAlignment="1">
      <alignment horizontal="left"/>
    </xf>
    <xf numFmtId="4" fontId="28" fillId="0" borderId="0" xfId="11" applyNumberFormat="1" applyFont="1"/>
    <xf numFmtId="0" fontId="17" fillId="0" borderId="7" xfId="0" applyFont="1" applyBorder="1" applyAlignment="1"/>
    <xf numFmtId="179" fontId="17" fillId="0" borderId="7" xfId="9" applyNumberFormat="1" applyFont="1" applyBorder="1"/>
    <xf numFmtId="164" fontId="17" fillId="0" borderId="0" xfId="9" applyFont="1"/>
    <xf numFmtId="0" fontId="0" fillId="0" borderId="0" xfId="0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4" fillId="0" borderId="7" xfId="0" applyFont="1" applyBorder="1" applyAlignment="1">
      <alignment vertical="center"/>
    </xf>
    <xf numFmtId="2" fontId="14" fillId="0" borderId="7" xfId="0" applyNumberFormat="1" applyFont="1" applyBorder="1" applyAlignment="1">
      <alignment vertical="center"/>
    </xf>
    <xf numFmtId="10" fontId="17" fillId="0" borderId="7" xfId="10" applyNumberFormat="1" applyFont="1" applyBorder="1" applyAlignment="1">
      <alignment vertical="center"/>
    </xf>
    <xf numFmtId="4" fontId="14" fillId="0" borderId="7" xfId="0" applyNumberFormat="1" applyFont="1" applyBorder="1" applyAlignment="1">
      <alignment vertical="center"/>
    </xf>
    <xf numFmtId="179" fontId="17" fillId="0" borderId="0" xfId="9" applyNumberFormat="1" applyFont="1"/>
    <xf numFmtId="0" fontId="29" fillId="0" borderId="7" xfId="0" applyFont="1" applyBorder="1" applyAlignment="1">
      <alignment horizontal="left" wrapText="1"/>
    </xf>
    <xf numFmtId="0" fontId="29" fillId="0" borderId="7" xfId="0" applyFont="1" applyBorder="1" applyAlignment="1">
      <alignment horizontal="center" wrapText="1"/>
    </xf>
    <xf numFmtId="0" fontId="14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4" fontId="14" fillId="0" borderId="7" xfId="5" applyNumberFormat="1" applyFont="1" applyFill="1" applyBorder="1" applyAlignment="1">
      <alignment horizontal="center" vertical="center"/>
    </xf>
    <xf numFmtId="10" fontId="14" fillId="0" borderId="7" xfId="5" applyNumberFormat="1" applyFont="1" applyFill="1" applyBorder="1" applyAlignment="1">
      <alignment horizontal="center" vertical="center"/>
    </xf>
    <xf numFmtId="4" fontId="14" fillId="0" borderId="7" xfId="0" applyNumberFormat="1" applyFont="1" applyBorder="1" applyAlignment="1">
      <alignment horizontal="center" vertical="center"/>
    </xf>
    <xf numFmtId="0" fontId="14" fillId="0" borderId="0" xfId="0" applyFont="1" applyAlignment="1"/>
    <xf numFmtId="164" fontId="14" fillId="0" borderId="7" xfId="5" applyFont="1" applyFill="1" applyBorder="1" applyAlignment="1">
      <alignment horizontal="right" vertical="center"/>
    </xf>
    <xf numFmtId="164" fontId="14" fillId="0" borderId="7" xfId="5" applyFont="1" applyFill="1" applyBorder="1" applyAlignment="1">
      <alignment horizontal="center" vertical="center"/>
    </xf>
    <xf numFmtId="4" fontId="14" fillId="0" borderId="7" xfId="0" applyNumberFormat="1" applyFont="1" applyBorder="1" applyAlignment="1">
      <alignment horizontal="right" vertical="center"/>
    </xf>
    <xf numFmtId="0" fontId="6" fillId="2" borderId="0" xfId="2" applyFont="1" applyFill="1" applyAlignment="1">
      <alignment horizontal="right" vertical="top" wrapText="1" readingOrder="1"/>
    </xf>
    <xf numFmtId="178" fontId="7" fillId="2" borderId="4" xfId="2" applyNumberFormat="1" applyFont="1" applyFill="1" applyBorder="1" applyAlignment="1">
      <alignment horizontal="left" vertical="center" wrapText="1" readingOrder="1"/>
    </xf>
    <xf numFmtId="0" fontId="6" fillId="2" borderId="6" xfId="2" applyFont="1" applyFill="1" applyBorder="1" applyAlignment="1">
      <alignment horizontal="right" vertical="top" wrapText="1" readingOrder="1"/>
    </xf>
    <xf numFmtId="0" fontId="8" fillId="2" borderId="0" xfId="2" applyFont="1" applyFill="1" applyAlignment="1">
      <alignment horizontal="left" vertical="center" wrapText="1" readingOrder="1"/>
    </xf>
    <xf numFmtId="0" fontId="8" fillId="2" borderId="0" xfId="2" applyFont="1" applyFill="1" applyAlignment="1">
      <alignment horizontal="right" vertical="center" wrapText="1" readingOrder="1"/>
    </xf>
    <xf numFmtId="0" fontId="13" fillId="0" borderId="7" xfId="3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 readingOrder="1"/>
    </xf>
    <xf numFmtId="0" fontId="6" fillId="0" borderId="7" xfId="1" applyFont="1" applyBorder="1" applyAlignment="1">
      <alignment horizontal="left" vertical="center" wrapText="1" readingOrder="1"/>
    </xf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11" fillId="0" borderId="0" xfId="2" applyAlignment="1">
      <alignment horizontal="center" vertical="center" wrapText="1"/>
    </xf>
    <xf numFmtId="0" fontId="11" fillId="0" borderId="0" xfId="2" applyAlignment="1">
      <alignment vertical="center" wrapText="1"/>
    </xf>
    <xf numFmtId="4" fontId="28" fillId="0" borderId="0" xfId="2" applyNumberFormat="1" applyFont="1" applyAlignment="1"/>
    <xf numFmtId="0" fontId="11" fillId="0" borderId="0" xfId="0" applyFont="1">
      <alignment wrapText="1"/>
    </xf>
    <xf numFmtId="0" fontId="9" fillId="0" borderId="0" xfId="0" applyFont="1" applyAlignment="1">
      <alignment horizontal="left" vertical="top"/>
    </xf>
    <xf numFmtId="0" fontId="33" fillId="0" borderId="0" xfId="0" applyFont="1">
      <alignment wrapText="1"/>
    </xf>
    <xf numFmtId="0" fontId="2" fillId="0" borderId="0" xfId="15"/>
    <xf numFmtId="0" fontId="12" fillId="0" borderId="0" xfId="15" applyFont="1"/>
    <xf numFmtId="0" fontId="2" fillId="0" borderId="0" xfId="15" applyAlignment="1">
      <alignment horizontal="center" vertical="center"/>
    </xf>
    <xf numFmtId="0" fontId="12" fillId="0" borderId="0" xfId="15" applyFont="1" applyAlignment="1">
      <alignment horizontal="center" vertical="center"/>
    </xf>
    <xf numFmtId="164" fontId="2" fillId="0" borderId="0" xfId="15" applyNumberFormat="1"/>
    <xf numFmtId="172" fontId="12" fillId="0" borderId="0" xfId="15" applyNumberFormat="1" applyFont="1"/>
    <xf numFmtId="0" fontId="10" fillId="0" borderId="0" xfId="0" applyFont="1" applyAlignment="1">
      <alignment horizontal="left" vertical="center"/>
    </xf>
    <xf numFmtId="0" fontId="35" fillId="0" borderId="7" xfId="16" applyFont="1" applyBorder="1" applyAlignment="1"/>
    <xf numFmtId="0" fontId="15" fillId="0" borderId="0" xfId="0" applyFont="1" applyAlignment="1"/>
    <xf numFmtId="0" fontId="15" fillId="0" borderId="7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7" xfId="0" applyFont="1" applyBorder="1" applyAlignment="1">
      <alignment horizontal="center" vertical="top"/>
    </xf>
    <xf numFmtId="178" fontId="6" fillId="2" borderId="4" xfId="0" applyNumberFormat="1" applyFont="1" applyFill="1" applyBorder="1" applyAlignment="1">
      <alignment horizontal="right" vertical="center" readingOrder="1"/>
    </xf>
    <xf numFmtId="2" fontId="14" fillId="0" borderId="7" xfId="0" applyNumberFormat="1" applyFont="1" applyBorder="1" applyAlignment="1">
      <alignment horizontal="right" vertical="top" wrapText="1"/>
    </xf>
    <xf numFmtId="0" fontId="6" fillId="2" borderId="4" xfId="0" applyFont="1" applyFill="1" applyBorder="1" applyAlignment="1">
      <alignment horizontal="left" vertical="center" readingOrder="1"/>
    </xf>
    <xf numFmtId="0" fontId="14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center" readingOrder="1"/>
    </xf>
    <xf numFmtId="178" fontId="6" fillId="0" borderId="4" xfId="0" applyNumberFormat="1" applyFont="1" applyBorder="1" applyAlignment="1">
      <alignment horizontal="right" vertical="center" readingOrder="1"/>
    </xf>
    <xf numFmtId="0" fontId="6" fillId="0" borderId="7" xfId="0" applyFont="1" applyBorder="1" applyAlignment="1">
      <alignment horizontal="left" vertical="center" readingOrder="1"/>
    </xf>
    <xf numFmtId="0" fontId="6" fillId="2" borderId="8" xfId="0" applyFont="1" applyFill="1" applyBorder="1" applyAlignment="1">
      <alignment horizontal="left" vertical="center" readingOrder="1"/>
    </xf>
    <xf numFmtId="178" fontId="6" fillId="2" borderId="4" xfId="0" applyNumberFormat="1" applyFont="1" applyFill="1" applyBorder="1" applyAlignment="1">
      <alignment horizontal="right" vertical="center" wrapText="1" readingOrder="1"/>
    </xf>
    <xf numFmtId="0" fontId="36" fillId="0" borderId="8" xfId="4" applyFont="1" applyBorder="1" applyAlignment="1">
      <alignment vertical="center" wrapText="1"/>
    </xf>
    <xf numFmtId="0" fontId="36" fillId="0" borderId="0" xfId="4" applyFont="1" applyAlignment="1">
      <alignment vertical="center" wrapText="1"/>
    </xf>
    <xf numFmtId="0" fontId="6" fillId="2" borderId="4" xfId="0" applyFont="1" applyFill="1" applyBorder="1" applyAlignment="1">
      <alignment horizontal="left" vertical="top" readingOrder="1"/>
    </xf>
    <xf numFmtId="2" fontId="14" fillId="0" borderId="14" xfId="0" applyNumberFormat="1" applyFont="1" applyBorder="1" applyAlignment="1">
      <alignment horizontal="right" vertical="top" wrapText="1"/>
    </xf>
    <xf numFmtId="0" fontId="14" fillId="0" borderId="14" xfId="0" applyFont="1" applyBorder="1" applyAlignment="1"/>
    <xf numFmtId="2" fontId="14" fillId="0" borderId="0" xfId="0" applyNumberFormat="1" applyFont="1" applyAlignment="1">
      <alignment horizontal="right" vertical="top" wrapText="1"/>
    </xf>
    <xf numFmtId="0" fontId="6" fillId="2" borderId="7" xfId="0" applyFont="1" applyFill="1" applyBorder="1" applyAlignment="1">
      <alignment horizontal="left" vertical="center" readingOrder="1"/>
    </xf>
    <xf numFmtId="178" fontId="14" fillId="0" borderId="0" xfId="0" applyNumberFormat="1" applyFont="1" applyAlignment="1"/>
    <xf numFmtId="0" fontId="15" fillId="0" borderId="7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37" fontId="14" fillId="0" borderId="7" xfId="12" applyNumberFormat="1" applyFont="1" applyFill="1" applyBorder="1" applyAlignment="1">
      <alignment horizontal="center"/>
    </xf>
    <xf numFmtId="43" fontId="14" fillId="0" borderId="7" xfId="12" applyFont="1" applyFill="1" applyBorder="1"/>
    <xf numFmtId="43" fontId="14" fillId="0" borderId="0" xfId="12" applyFont="1" applyFill="1" applyBorder="1"/>
    <xf numFmtId="43" fontId="14" fillId="0" borderId="0" xfId="0" applyNumberFormat="1" applyFont="1" applyAlignment="1"/>
    <xf numFmtId="4" fontId="14" fillId="0" borderId="0" xfId="0" applyNumberFormat="1" applyFont="1" applyAlignment="1"/>
    <xf numFmtId="0" fontId="14" fillId="0" borderId="7" xfId="12" applyNumberFormat="1" applyFont="1" applyFill="1" applyBorder="1" applyAlignment="1">
      <alignment horizontal="center"/>
    </xf>
    <xf numFmtId="4" fontId="14" fillId="0" borderId="7" xfId="12" applyNumberFormat="1" applyFont="1" applyFill="1" applyBorder="1"/>
    <xf numFmtId="0" fontId="14" fillId="0" borderId="7" xfId="0" applyFont="1" applyBorder="1" applyAlignment="1">
      <alignment horizontal="left" vertical="top" wrapText="1"/>
    </xf>
    <xf numFmtId="173" fontId="14" fillId="0" borderId="7" xfId="12" applyNumberFormat="1" applyFont="1" applyFill="1" applyBorder="1"/>
    <xf numFmtId="180" fontId="14" fillId="0" borderId="0" xfId="0" applyNumberFormat="1" applyFont="1" applyAlignment="1"/>
    <xf numFmtId="0" fontId="14" fillId="0" borderId="7" xfId="0" applyFont="1" applyBorder="1" applyAlignment="1">
      <alignment horizontal="right" vertical="top"/>
    </xf>
    <xf numFmtId="2" fontId="14" fillId="0" borderId="0" xfId="0" applyNumberFormat="1" applyFont="1" applyAlignment="1">
      <alignment vertical="top" wrapText="1"/>
    </xf>
    <xf numFmtId="43" fontId="14" fillId="0" borderId="0" xfId="12" applyFont="1" applyFill="1" applyBorder="1" applyAlignment="1"/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Alignment="1">
      <alignment horizontal="center" vertical="top"/>
    </xf>
    <xf numFmtId="43" fontId="14" fillId="0" borderId="0" xfId="12" applyFont="1" applyFill="1" applyBorder="1" applyAlignment="1" applyProtection="1">
      <alignment horizontal="left"/>
      <protection locked="0"/>
    </xf>
    <xf numFmtId="4" fontId="14" fillId="0" borderId="0" xfId="0" applyNumberFormat="1" applyFont="1" applyAlignment="1">
      <alignment horizontal="right" vertical="center"/>
    </xf>
    <xf numFmtId="10" fontId="14" fillId="0" borderId="0" xfId="0" applyNumberFormat="1" applyFont="1" applyAlignment="1">
      <alignment horizontal="center"/>
    </xf>
    <xf numFmtId="43" fontId="14" fillId="0" borderId="7" xfId="12" applyFont="1" applyFill="1" applyBorder="1" applyAlignment="1">
      <alignment horizontal="center" vertical="top" wrapText="1"/>
    </xf>
    <xf numFmtId="0" fontId="14" fillId="0" borderId="7" xfId="0" applyFont="1" applyBorder="1" applyAlignment="1">
      <alignment horizontal="center"/>
    </xf>
    <xf numFmtId="2" fontId="14" fillId="0" borderId="7" xfId="0" applyNumberFormat="1" applyFont="1" applyBorder="1" applyAlignment="1">
      <alignment horizontal="right"/>
    </xf>
    <xf numFmtId="164" fontId="14" fillId="0" borderId="0" xfId="0" applyNumberFormat="1" applyFont="1" applyAlignment="1"/>
    <xf numFmtId="1" fontId="14" fillId="0" borderId="7" xfId="0" applyNumberFormat="1" applyFont="1" applyBorder="1" applyAlignment="1">
      <alignment horizontal="center"/>
    </xf>
    <xf numFmtId="43" fontId="15" fillId="0" borderId="0" xfId="12" applyFont="1" applyFill="1" applyBorder="1"/>
    <xf numFmtId="181" fontId="14" fillId="0" borderId="0" xfId="0" applyNumberFormat="1" applyFont="1" applyAlignment="1"/>
    <xf numFmtId="0" fontId="14" fillId="0" borderId="7" xfId="0" applyFont="1" applyBorder="1" applyAlignment="1">
      <alignment vertical="top" wrapText="1"/>
    </xf>
    <xf numFmtId="43" fontId="15" fillId="0" borderId="0" xfId="0" applyNumberFormat="1" applyFont="1" applyAlignment="1"/>
    <xf numFmtId="0" fontId="15" fillId="0" borderId="7" xfId="12" applyNumberFormat="1" applyFont="1" applyFill="1" applyBorder="1" applyAlignment="1">
      <alignment horizontal="center"/>
    </xf>
    <xf numFmtId="4" fontId="15" fillId="0" borderId="7" xfId="12" applyNumberFormat="1" applyFont="1" applyFill="1" applyBorder="1"/>
    <xf numFmtId="43" fontId="15" fillId="0" borderId="7" xfId="12" applyFont="1" applyFill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 vertical="top" wrapText="1"/>
    </xf>
    <xf numFmtId="0" fontId="14" fillId="0" borderId="7" xfId="0" applyFont="1" applyBorder="1" applyAlignment="1">
      <alignment horizontal="center" vertical="top" wrapText="1"/>
    </xf>
    <xf numFmtId="182" fontId="14" fillId="0" borderId="0" xfId="0" applyNumberFormat="1" applyFont="1" applyAlignment="1">
      <alignment horizontal="right" vertical="top" wrapText="1"/>
    </xf>
    <xf numFmtId="2" fontId="14" fillId="0" borderId="0" xfId="0" applyNumberFormat="1" applyFont="1" applyAlignment="1">
      <alignment horizontal="center"/>
    </xf>
    <xf numFmtId="0" fontId="14" fillId="0" borderId="7" xfId="0" applyFont="1" applyBorder="1" applyAlignment="1">
      <alignment horizontal="left"/>
    </xf>
    <xf numFmtId="2" fontId="14" fillId="0" borderId="7" xfId="0" applyNumberFormat="1" applyFont="1" applyBorder="1" applyAlignment="1">
      <alignment horizontal="center" vertical="top"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 vertical="top"/>
    </xf>
    <xf numFmtId="2" fontId="14" fillId="0" borderId="0" xfId="0" applyNumberFormat="1" applyFont="1" applyAlignment="1">
      <alignment horizontal="right" vertical="top"/>
    </xf>
    <xf numFmtId="183" fontId="14" fillId="0" borderId="0" xfId="12" applyNumberFormat="1" applyFont="1" applyFill="1" applyBorder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179" fontId="14" fillId="0" borderId="0" xfId="12" applyNumberFormat="1" applyFont="1" applyFill="1" applyBorder="1" applyAlignment="1">
      <alignment horizontal="right" vertical="top" wrapText="1"/>
    </xf>
    <xf numFmtId="2" fontId="14" fillId="0" borderId="0" xfId="0" applyNumberFormat="1" applyFont="1" applyAlignment="1"/>
    <xf numFmtId="4" fontId="14" fillId="0" borderId="0" xfId="12" applyNumberFormat="1" applyFont="1" applyFill="1" applyBorder="1"/>
    <xf numFmtId="2" fontId="14" fillId="0" borderId="7" xfId="0" applyNumberFormat="1" applyFont="1" applyBorder="1" applyAlignment="1">
      <alignment vertical="top" wrapText="1"/>
    </xf>
    <xf numFmtId="43" fontId="14" fillId="0" borderId="7" xfId="12" applyFont="1" applyFill="1" applyBorder="1" applyAlignment="1"/>
    <xf numFmtId="4" fontId="14" fillId="0" borderId="7" xfId="0" applyNumberFormat="1" applyFont="1" applyBorder="1" applyAlignment="1">
      <alignment horizontal="center"/>
    </xf>
    <xf numFmtId="4" fontId="14" fillId="0" borderId="7" xfId="12" applyNumberFormat="1" applyFont="1" applyFill="1" applyBorder="1" applyAlignment="1">
      <alignment horizontal="center"/>
    </xf>
    <xf numFmtId="4" fontId="15" fillId="0" borderId="7" xfId="0" applyNumberFormat="1" applyFont="1" applyBorder="1" applyAlignment="1">
      <alignment horizontal="center" vertical="top" wrapText="1"/>
    </xf>
    <xf numFmtId="4" fontId="14" fillId="0" borderId="7" xfId="0" applyNumberFormat="1" applyFont="1" applyBorder="1" applyAlignment="1">
      <alignment horizontal="center" vertical="top" wrapText="1"/>
    </xf>
    <xf numFmtId="0" fontId="29" fillId="0" borderId="7" xfId="11" applyFont="1" applyBorder="1" applyAlignment="1">
      <alignment horizontal="center" vertical="center"/>
    </xf>
    <xf numFmtId="0" fontId="10" fillId="0" borderId="0" xfId="14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3" xfId="0" applyFont="1" applyFill="1" applyBorder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readingOrder="1"/>
    </xf>
    <xf numFmtId="0" fontId="5" fillId="2" borderId="9" xfId="0" applyFont="1" applyFill="1" applyBorder="1" applyAlignment="1">
      <alignment horizontal="center" vertical="center" readingOrder="1"/>
    </xf>
    <xf numFmtId="0" fontId="5" fillId="2" borderId="10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22" fillId="2" borderId="1" xfId="0" applyFont="1" applyFill="1" applyBorder="1" applyAlignment="1">
      <alignment horizontal="left" vertical="center" wrapText="1" readingOrder="1"/>
    </xf>
    <xf numFmtId="0" fontId="22" fillId="2" borderId="3" xfId="0" applyFont="1" applyFill="1" applyBorder="1" applyAlignment="1">
      <alignment horizontal="left" vertical="center" wrapText="1" readingOrder="1"/>
    </xf>
    <xf numFmtId="0" fontId="29" fillId="0" borderId="8" xfId="11" applyFont="1" applyBorder="1" applyAlignment="1">
      <alignment horizontal="center" vertical="center" wrapText="1"/>
    </xf>
    <xf numFmtId="0" fontId="29" fillId="0" borderId="10" xfId="11" applyFont="1" applyBorder="1" applyAlignment="1">
      <alignment horizontal="center" vertical="center" wrapText="1"/>
    </xf>
    <xf numFmtId="0" fontId="29" fillId="0" borderId="8" xfId="11" applyFont="1" applyBorder="1" applyAlignment="1">
      <alignment horizontal="center" vertical="center"/>
    </xf>
    <xf numFmtId="0" fontId="29" fillId="0" borderId="9" xfId="11" applyFont="1" applyBorder="1" applyAlignment="1">
      <alignment horizontal="center" vertical="center"/>
    </xf>
    <xf numFmtId="0" fontId="29" fillId="0" borderId="10" xfId="11" applyFont="1" applyBorder="1" applyAlignment="1">
      <alignment horizontal="center" vertical="center"/>
    </xf>
    <xf numFmtId="0" fontId="17" fillId="0" borderId="8" xfId="11" applyFont="1" applyBorder="1" applyAlignment="1">
      <alignment horizontal="left" wrapText="1"/>
    </xf>
    <xf numFmtId="0" fontId="17" fillId="0" borderId="9" xfId="11" applyFont="1" applyBorder="1" applyAlignment="1">
      <alignment horizontal="left" wrapText="1"/>
    </xf>
    <xf numFmtId="0" fontId="17" fillId="0" borderId="10" xfId="11" applyFont="1" applyBorder="1" applyAlignment="1">
      <alignment horizontal="left" wrapText="1"/>
    </xf>
    <xf numFmtId="0" fontId="29" fillId="0" borderId="7" xfId="11" applyFont="1" applyBorder="1" applyAlignment="1">
      <alignment horizontal="center" vertical="center"/>
    </xf>
    <xf numFmtId="0" fontId="29" fillId="0" borderId="8" xfId="11" applyFont="1" applyBorder="1" applyAlignment="1">
      <alignment horizontal="center"/>
    </xf>
    <xf numFmtId="0" fontId="29" fillId="0" borderId="9" xfId="11" applyFont="1" applyBorder="1" applyAlignment="1">
      <alignment horizontal="center"/>
    </xf>
    <xf numFmtId="0" fontId="29" fillId="0" borderId="10" xfId="11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17" fillId="0" borderId="8" xfId="9" applyNumberFormat="1" applyFont="1" applyBorder="1" applyAlignment="1">
      <alignment horizontal="center" vertical="center"/>
    </xf>
    <xf numFmtId="0" fontId="17" fillId="0" borderId="10" xfId="9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 readingOrder="1"/>
    </xf>
    <xf numFmtId="0" fontId="15" fillId="2" borderId="8" xfId="0" applyFont="1" applyFill="1" applyBorder="1" applyAlignment="1">
      <alignment horizontal="left" vertical="top" readingOrder="1"/>
    </xf>
    <xf numFmtId="0" fontId="15" fillId="2" borderId="9" xfId="0" applyFont="1" applyFill="1" applyBorder="1" applyAlignment="1">
      <alignment horizontal="left" vertical="top" readingOrder="1"/>
    </xf>
    <xf numFmtId="0" fontId="15" fillId="2" borderId="10" xfId="0" applyFont="1" applyFill="1" applyBorder="1" applyAlignment="1">
      <alignment horizontal="left" vertical="top" readingOrder="1"/>
    </xf>
    <xf numFmtId="0" fontId="22" fillId="2" borderId="0" xfId="0" applyFont="1" applyFill="1" applyAlignment="1">
      <alignment horizontal="left" vertical="center" wrapText="1" readingOrder="1"/>
    </xf>
    <xf numFmtId="0" fontId="6" fillId="2" borderId="0" xfId="2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top" wrapText="1" readingOrder="1"/>
    </xf>
    <xf numFmtId="0" fontId="6" fillId="2" borderId="3" xfId="0" applyFont="1" applyFill="1" applyBorder="1" applyAlignment="1">
      <alignment horizontal="left" vertical="top" wrapText="1" readingOrder="1"/>
    </xf>
    <xf numFmtId="0" fontId="20" fillId="0" borderId="0" xfId="7" applyFont="1" applyAlignment="1">
      <alignment horizontal="left" vertical="center"/>
    </xf>
    <xf numFmtId="0" fontId="17" fillId="0" borderId="0" xfId="3" applyFont="1" applyAlignment="1">
      <alignment horizontal="left"/>
    </xf>
    <xf numFmtId="0" fontId="9" fillId="0" borderId="7" xfId="3" applyFont="1" applyBorder="1" applyAlignment="1">
      <alignment horizontal="center"/>
    </xf>
    <xf numFmtId="0" fontId="10" fillId="0" borderId="7" xfId="4" applyFont="1" applyBorder="1" applyAlignment="1">
      <alignment horizontal="center" vertical="center"/>
    </xf>
    <xf numFmtId="0" fontId="13" fillId="3" borderId="7" xfId="4" applyFont="1" applyFill="1" applyBorder="1" applyAlignment="1">
      <alignment horizontal="center" vertical="center" wrapText="1"/>
    </xf>
    <xf numFmtId="0" fontId="20" fillId="0" borderId="8" xfId="7" applyFont="1" applyBorder="1" applyAlignment="1">
      <alignment horizontal="left" vertical="center"/>
    </xf>
    <xf numFmtId="0" fontId="20" fillId="0" borderId="9" xfId="7" applyFont="1" applyBorder="1" applyAlignment="1">
      <alignment horizontal="left" vertical="center"/>
    </xf>
    <xf numFmtId="0" fontId="20" fillId="0" borderId="10" xfId="7" applyFont="1" applyBorder="1" applyAlignment="1">
      <alignment horizontal="left" vertical="center"/>
    </xf>
    <xf numFmtId="0" fontId="20" fillId="0" borderId="0" xfId="7" applyFont="1" applyAlignment="1">
      <alignment horizontal="left"/>
    </xf>
    <xf numFmtId="0" fontId="15" fillId="0" borderId="0" xfId="0" applyFont="1" applyAlignment="1">
      <alignment horizontal="center"/>
    </xf>
  </cellXfs>
  <cellStyles count="18">
    <cellStyle name="Comma" xfId="9" builtinId="3"/>
    <cellStyle name="Comma 10" xfId="6" xr:uid="{4A1643C4-68A8-4BB1-948D-211F2CAF1E35}"/>
    <cellStyle name="Comma 2" xfId="5" xr:uid="{77D09157-0A95-4042-AA5F-C1561FB24B25}"/>
    <cellStyle name="Comma 2 2" xfId="12" xr:uid="{1A2C4DCD-9664-4D81-BA56-8F114D5B0E7E}"/>
    <cellStyle name="Hyperlink" xfId="16" builtinId="8"/>
    <cellStyle name="Normal" xfId="0" builtinId="0"/>
    <cellStyle name="Normal 2" xfId="2" xr:uid="{1ED7B0F1-CD1A-4773-97A3-FF12C1D11EC4}"/>
    <cellStyle name="Normal 2 2" xfId="17" xr:uid="{2DC4295A-8DDE-4DAA-B26F-40C9E2ACA8CE}"/>
    <cellStyle name="Normal 2 2 3" xfId="11" xr:uid="{7AED8EE9-F393-4A2A-860A-B5821296B8C7}"/>
    <cellStyle name="Normal 2 2 3 2" xfId="1" xr:uid="{56E7248D-472E-4415-A3C6-5CE41684869D}"/>
    <cellStyle name="Normal 3" xfId="14" xr:uid="{7DE99644-13E4-4FA3-B3E3-E5A8D05A16BC}"/>
    <cellStyle name="Normal 4" xfId="3" xr:uid="{00B49BAE-C321-42BF-94FF-D28F283373AC}"/>
    <cellStyle name="Normal 4 2" xfId="15" xr:uid="{38F54FEF-A5F1-47C1-A50F-731134486E15}"/>
    <cellStyle name="Normal_Bonsaverportfolio 2 2" xfId="4" xr:uid="{D6A4322B-B6E7-49AA-962F-3C777411E15E}"/>
    <cellStyle name="Normal_Halfyearly_Debtholdings_30092011 2" xfId="7" xr:uid="{84B91F88-151B-4BF7-8C5D-4F92A040514E}"/>
    <cellStyle name="Normal_Holdingotherschemes new" xfId="8" xr:uid="{2B92B935-CAA6-46B6-B847-D02C94CC79E0}"/>
    <cellStyle name="Percent" xfId="10" builtinId="5"/>
    <cellStyle name="Percent 2" xfId="13" xr:uid="{780FC3F5-F891-44B4-A4C0-C9C2C496AE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19050</xdr:rowOff>
    </xdr:from>
    <xdr:to>
      <xdr:col>14</xdr:col>
      <xdr:colOff>235942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02868-6753-416E-93E3-CA516F5FD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4572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714375</xdr:colOff>
      <xdr:row>12</xdr:row>
      <xdr:rowOff>180975</xdr:rowOff>
    </xdr:from>
    <xdr:to>
      <xdr:col>14</xdr:col>
      <xdr:colOff>200025</xdr:colOff>
      <xdr:row>19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F641DA-541A-4572-B6FB-4B41BBB5E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77475" y="3152775"/>
          <a:ext cx="329565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17</xdr:row>
      <xdr:rowOff>38100</xdr:rowOff>
    </xdr:from>
    <xdr:to>
      <xdr:col>14</xdr:col>
      <xdr:colOff>190500</xdr:colOff>
      <xdr:row>26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607B9-E06D-4DD2-9DFA-7569EEC9E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486150"/>
          <a:ext cx="32480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495300</xdr:colOff>
      <xdr:row>2</xdr:row>
      <xdr:rowOff>180975</xdr:rowOff>
    </xdr:from>
    <xdr:to>
      <xdr:col>13</xdr:col>
      <xdr:colOff>607417</xdr:colOff>
      <xdr:row>12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34DE72-74DB-411C-9911-242765955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8400" y="619125"/>
          <a:ext cx="3160117" cy="198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533401</xdr:colOff>
      <xdr:row>13</xdr:row>
      <xdr:rowOff>114300</xdr:rowOff>
    </xdr:from>
    <xdr:to>
      <xdr:col>14</xdr:col>
      <xdr:colOff>57150</xdr:colOff>
      <xdr:row>20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AC7E54-F393-4A60-A06A-7A277DAF9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6501" y="3295650"/>
          <a:ext cx="3181349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13</xdr:col>
      <xdr:colOff>495301</xdr:colOff>
      <xdr:row>10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9D576-4DE7-4AEF-8FFC-EED491D6A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2700" y="704850"/>
          <a:ext cx="2933701" cy="2000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BFE98-2174-4146-80E4-869489BD0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12</xdr:row>
      <xdr:rowOff>152400</xdr:rowOff>
    </xdr:from>
    <xdr:to>
      <xdr:col>14</xdr:col>
      <xdr:colOff>149521</xdr:colOff>
      <xdr:row>21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FD162E-5C0E-496C-BE51-25F09F2F9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6500" y="3276600"/>
          <a:ext cx="3273721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AEAF4-613E-4389-A492-AD61C866B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12</xdr:row>
      <xdr:rowOff>190500</xdr:rowOff>
    </xdr:from>
    <xdr:to>
      <xdr:col>14</xdr:col>
      <xdr:colOff>209550</xdr:colOff>
      <xdr:row>19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3564C-4EE1-42DE-A389-D70EB6C8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15550" y="3314700"/>
          <a:ext cx="331470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600075</xdr:colOff>
      <xdr:row>22</xdr:row>
      <xdr:rowOff>95250</xdr:rowOff>
    </xdr:from>
    <xdr:to>
      <xdr:col>14</xdr:col>
      <xdr:colOff>216196</xdr:colOff>
      <xdr:row>29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210DFC-2DD7-451E-9290-200F5F153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5772150"/>
          <a:ext cx="3273721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E7A95-5B2A-456B-B277-52A14318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314325</xdr:rowOff>
    </xdr:from>
    <xdr:to>
      <xdr:col>14</xdr:col>
      <xdr:colOff>361950</xdr:colOff>
      <xdr:row>21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C2E551-334D-4031-9973-3E974E56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95675"/>
          <a:ext cx="340995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BFFB7-EF03-436D-B854-595B1F083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13</xdr:row>
      <xdr:rowOff>200026</xdr:rowOff>
    </xdr:from>
    <xdr:to>
      <xdr:col>14</xdr:col>
      <xdr:colOff>247650</xdr:colOff>
      <xdr:row>20</xdr:row>
      <xdr:rowOff>352426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87591F-3DF2-4693-97C1-A9F9C576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381376"/>
          <a:ext cx="330517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142875</xdr:rowOff>
    </xdr:from>
    <xdr:to>
      <xdr:col>14</xdr:col>
      <xdr:colOff>235942</xdr:colOff>
      <xdr:row>10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2CFC8-70EE-4B4E-A5AE-50AC4FD49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58102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152400</xdr:rowOff>
    </xdr:from>
    <xdr:to>
      <xdr:col>14</xdr:col>
      <xdr:colOff>225721</xdr:colOff>
      <xdr:row>19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911373-7CFD-4AB9-8096-724CCA3B7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590550</xdr:colOff>
      <xdr:row>22</xdr:row>
      <xdr:rowOff>19050</xdr:rowOff>
    </xdr:from>
    <xdr:ext cx="3273721" cy="1809750"/>
    <xdr:pic>
      <xdr:nvPicPr>
        <xdr:cNvPr id="4" name="Picture 3">
          <a:extLst>
            <a:ext uri="{FF2B5EF4-FFF2-40B4-BE49-F238E27FC236}">
              <a16:creationId xmlns:a16="http://schemas.microsoft.com/office/drawing/2014/main" id="{43808B25-8192-40F6-A780-9F11C5BA5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5524500"/>
          <a:ext cx="3273721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A772D-0043-4931-8FF7-C9DE2F481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13</xdr:row>
      <xdr:rowOff>161925</xdr:rowOff>
    </xdr:from>
    <xdr:to>
      <xdr:col>14</xdr:col>
      <xdr:colOff>266700</xdr:colOff>
      <xdr:row>21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E0120F-593E-4866-A765-B6AC09FC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25075" y="3343275"/>
          <a:ext cx="336232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161925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50F375-D389-4CC4-B1FB-C5BDF3F7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09925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14</xdr:row>
      <xdr:rowOff>28575</xdr:rowOff>
    </xdr:from>
    <xdr:to>
      <xdr:col>14</xdr:col>
      <xdr:colOff>159046</xdr:colOff>
      <xdr:row>21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E93247-649F-4CF8-818F-9DACB279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06025" y="3419475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3BB9B-604D-49B7-8518-45B78217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285750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793371-1DD2-4C5A-BB7D-CCDB06D9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8DE5C-35AC-4D3A-B9E9-6BABE27E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F59517-6C4A-4699-A7B9-2E3913DD6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1955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0C60C-332A-41B2-9587-8CFE9DB9B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482EEF-2BF4-456B-82AA-E23FE774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721D3-5FB9-4055-B6E2-1BD8F3F6D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22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11E645-7FC5-4468-9E6D-6063ADF4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19550"/>
          <a:ext cx="3273721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CCDF9-4126-4836-8869-798478DF1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285750</xdr:colOff>
      <xdr:row>20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1C786-89C7-4DAF-A9A3-BDAE8C363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3375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0118A-C909-4B00-B85E-F97594F5A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1</xdr:rowOff>
    </xdr:from>
    <xdr:to>
      <xdr:col>14</xdr:col>
      <xdr:colOff>225721</xdr:colOff>
      <xdr:row>20</xdr:row>
      <xdr:rowOff>266701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062918-C6FC-4BDB-8237-9EFD87B9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33751"/>
          <a:ext cx="3273721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9525</xdr:rowOff>
    </xdr:from>
    <xdr:to>
      <xdr:col>14</xdr:col>
      <xdr:colOff>235942</xdr:colOff>
      <xdr:row>10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C1D13-7B93-4FE2-B3B7-2B1EA3B5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14375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285750</xdr:colOff>
      <xdr:row>22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CCF631-0B96-45F6-85F6-3D93C7392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43300"/>
          <a:ext cx="33337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1</xdr:rowOff>
    </xdr:from>
    <xdr:to>
      <xdr:col>14</xdr:col>
      <xdr:colOff>235942</xdr:colOff>
      <xdr:row>11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B72FE-C146-45ED-B1C1-4D49837F4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1"/>
          <a:ext cx="3283942" cy="1981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97E342-DA50-42D1-80EA-791CC582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96240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A1B35-E4F6-4C06-B9DA-449D04CAF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EA1510-5251-436A-9537-E316B3D7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273721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57150</xdr:rowOff>
    </xdr:from>
    <xdr:to>
      <xdr:col>14</xdr:col>
      <xdr:colOff>235942</xdr:colOff>
      <xdr:row>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96B23-B5F5-4714-82EB-A509CFF9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4953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225721</xdr:colOff>
      <xdr:row>20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5FFA44-A293-472E-BCCA-02105BE37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9B93B-12CF-4120-A1AD-B16092D3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2AC445-80FE-42DE-BA2E-22978E180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810000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271D4-B1D5-4B69-BAFF-F72DFC2BD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361950</xdr:colOff>
      <xdr:row>21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5FF9F-484C-46CD-A236-DBFEF0F2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0"/>
          <a:ext cx="340995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59804-6905-4A66-9AB8-7F02C6820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D689D8-85A5-469A-B2A5-B03B6CFA3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810000"/>
          <a:ext cx="3273721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216892</xdr:colOff>
      <xdr:row>9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4EE8C-D182-44D7-A88E-A20E1079F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11</xdr:row>
      <xdr:rowOff>171451</xdr:rowOff>
    </xdr:from>
    <xdr:to>
      <xdr:col>14</xdr:col>
      <xdr:colOff>216196</xdr:colOff>
      <xdr:row>18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7D1EBE-C241-483B-9B4D-25E8F0BF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219451"/>
          <a:ext cx="3273721" cy="170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22</xdr:row>
      <xdr:rowOff>0</xdr:rowOff>
    </xdr:from>
    <xdr:ext cx="3273721" cy="1790700"/>
    <xdr:pic>
      <xdr:nvPicPr>
        <xdr:cNvPr id="4" name="Picture 3">
          <a:extLst>
            <a:ext uri="{FF2B5EF4-FFF2-40B4-BE49-F238E27FC236}">
              <a16:creationId xmlns:a16="http://schemas.microsoft.com/office/drawing/2014/main" id="{1FA98B19-EF88-4044-8A03-AB647A40D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5657850"/>
          <a:ext cx="3273721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12</xdr:row>
      <xdr:rowOff>161925</xdr:rowOff>
    </xdr:from>
    <xdr:to>
      <xdr:col>15</xdr:col>
      <xdr:colOff>400051</xdr:colOff>
      <xdr:row>19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F1670-A415-4E96-B8E3-23F858E0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963276" y="3324225"/>
          <a:ext cx="33909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152400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8D4D79-1026-437C-8E79-AE18DE6FA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04850"/>
          <a:ext cx="3200400" cy="20002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590551</xdr:colOff>
      <xdr:row>15</xdr:row>
      <xdr:rowOff>1</xdr:rowOff>
    </xdr:from>
    <xdr:to>
      <xdr:col>14</xdr:col>
      <xdr:colOff>209551</xdr:colOff>
      <xdr:row>22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C0509-8AF0-4DF2-AC12-CE7BB051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6" y="3600451"/>
          <a:ext cx="3352800" cy="1762124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14</xdr:col>
      <xdr:colOff>131167</xdr:colOff>
      <xdr:row>10</xdr:row>
      <xdr:rowOff>323850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1B3A73-68E6-456C-B8F3-DF8E74BE6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50" y="704850"/>
          <a:ext cx="3179167" cy="20193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66675</xdr:rowOff>
    </xdr:from>
    <xdr:to>
      <xdr:col>14</xdr:col>
      <xdr:colOff>276225</xdr:colOff>
      <xdr:row>10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A196E-958B-4145-A0FD-AB0B5690A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504825"/>
          <a:ext cx="3324225" cy="20478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104775</xdr:rowOff>
    </xdr:from>
    <xdr:to>
      <xdr:col>14</xdr:col>
      <xdr:colOff>324928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03A2C8-5CEF-4E3F-AB02-C11F9DF3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3295650"/>
          <a:ext cx="3372928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95250</xdr:rowOff>
    </xdr:from>
    <xdr:to>
      <xdr:col>14</xdr:col>
      <xdr:colOff>245467</xdr:colOff>
      <xdr:row>10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8F434-080E-4B2F-B467-293A2D03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8925" y="5334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14</xdr:row>
      <xdr:rowOff>38100</xdr:rowOff>
    </xdr:from>
    <xdr:to>
      <xdr:col>14</xdr:col>
      <xdr:colOff>178096</xdr:colOff>
      <xdr:row>21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2C7C8-86CC-46AE-81A9-2237CA4E2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91775" y="3276600"/>
          <a:ext cx="3273721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542925</xdr:colOff>
      <xdr:row>24</xdr:row>
      <xdr:rowOff>0</xdr:rowOff>
    </xdr:from>
    <xdr:ext cx="3273721" cy="1724025"/>
    <xdr:pic>
      <xdr:nvPicPr>
        <xdr:cNvPr id="4" name="Picture 3">
          <a:extLst>
            <a:ext uri="{FF2B5EF4-FFF2-40B4-BE49-F238E27FC236}">
              <a16:creationId xmlns:a16="http://schemas.microsoft.com/office/drawing/2014/main" id="{59EEAEF0-1428-45C9-A7EF-ED2C6C48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72725" y="5638800"/>
          <a:ext cx="3273721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13</xdr:row>
      <xdr:rowOff>104775</xdr:rowOff>
    </xdr:from>
    <xdr:to>
      <xdr:col>14</xdr:col>
      <xdr:colOff>384055</xdr:colOff>
      <xdr:row>21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B1785-3BE4-436A-8F45-7AA634DAA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5" y="3590925"/>
          <a:ext cx="342253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47625</xdr:colOff>
      <xdr:row>2</xdr:row>
      <xdr:rowOff>190500</xdr:rowOff>
    </xdr:from>
    <xdr:to>
      <xdr:col>14</xdr:col>
      <xdr:colOff>274042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10129D-4575-4330-9D55-A84E37540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0" y="628650"/>
          <a:ext cx="3274417" cy="20955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E4651C-5837-42EA-97E9-16D84F8BF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225721</xdr:colOff>
      <xdr:row>19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D07AAC-20CA-4C16-B2E0-E1B4C775A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19550"/>
          <a:ext cx="3273721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21</xdr:row>
      <xdr:rowOff>200025</xdr:rowOff>
    </xdr:from>
    <xdr:ext cx="3429000" cy="1800225"/>
    <xdr:pic>
      <xdr:nvPicPr>
        <xdr:cNvPr id="4" name="Picture 3">
          <a:extLst>
            <a:ext uri="{FF2B5EF4-FFF2-40B4-BE49-F238E27FC236}">
              <a16:creationId xmlns:a16="http://schemas.microsoft.com/office/drawing/2014/main" id="{52AE36AB-1609-4EC0-B67B-184C3B5D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096000"/>
          <a:ext cx="34290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9</xdr:row>
      <xdr:rowOff>523875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9B1BE-ADED-4ABA-A48F-A6804FBC9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200026</xdr:rowOff>
    </xdr:from>
    <xdr:to>
      <xdr:col>14</xdr:col>
      <xdr:colOff>304800</xdr:colOff>
      <xdr:row>20</xdr:row>
      <xdr:rowOff>161926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1AE542-7359-4FA3-B831-0BB2C9502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686176"/>
          <a:ext cx="33528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25</xdr:row>
      <xdr:rowOff>0</xdr:rowOff>
    </xdr:from>
    <xdr:ext cx="3448050" cy="1771650"/>
    <xdr:pic>
      <xdr:nvPicPr>
        <xdr:cNvPr id="4" name="Picture 3">
          <a:extLst>
            <a:ext uri="{FF2B5EF4-FFF2-40B4-BE49-F238E27FC236}">
              <a16:creationId xmlns:a16="http://schemas.microsoft.com/office/drawing/2014/main" id="{5AD875D5-2A31-48D0-9424-BC733764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305550"/>
          <a:ext cx="34480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FD18F1-9D53-4284-B14A-D32FA27F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333375</xdr:rowOff>
    </xdr:from>
    <xdr:to>
      <xdr:col>14</xdr:col>
      <xdr:colOff>285750</xdr:colOff>
      <xdr:row>21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C7AA29-4FB3-471B-B5F0-2B07D17C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4086225"/>
          <a:ext cx="333375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A1DC78-65A4-401F-8D49-847335776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13</xdr:row>
      <xdr:rowOff>95250</xdr:rowOff>
    </xdr:from>
    <xdr:to>
      <xdr:col>14</xdr:col>
      <xdr:colOff>333375</xdr:colOff>
      <xdr:row>19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32DF71-B2A0-44E9-B3E5-5B8AB97D3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3276600"/>
          <a:ext cx="33909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609599</xdr:colOff>
      <xdr:row>22</xdr:row>
      <xdr:rowOff>142875</xdr:rowOff>
    </xdr:from>
    <xdr:ext cx="3457575" cy="1838325"/>
    <xdr:pic>
      <xdr:nvPicPr>
        <xdr:cNvPr id="4" name="Picture 3">
          <a:extLst>
            <a:ext uri="{FF2B5EF4-FFF2-40B4-BE49-F238E27FC236}">
              <a16:creationId xmlns:a16="http://schemas.microsoft.com/office/drawing/2014/main" id="{7C7C95AE-5902-47DF-9106-C78A9CB35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699" y="5819775"/>
          <a:ext cx="34575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209550</xdr:rowOff>
    </xdr:from>
    <xdr:to>
      <xdr:col>14</xdr:col>
      <xdr:colOff>235942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A71C4-C74D-4371-B0C8-0C176B298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64770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14</xdr:col>
      <xdr:colOff>225721</xdr:colOff>
      <xdr:row>20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01AC7-1DA1-40A9-A57D-7481C81DD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181350"/>
          <a:ext cx="3273721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10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70031-4405-4A52-9C59-377E6CE4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19335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</xdr:rowOff>
    </xdr:from>
    <xdr:to>
      <xdr:col>14</xdr:col>
      <xdr:colOff>295275</xdr:colOff>
      <xdr:row>22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CA742B-4EBF-47A8-815C-F453F4AD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390901"/>
          <a:ext cx="3343275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26</xdr:row>
      <xdr:rowOff>0</xdr:rowOff>
    </xdr:from>
    <xdr:ext cx="3476625" cy="1743075"/>
    <xdr:pic>
      <xdr:nvPicPr>
        <xdr:cNvPr id="4" name="Picture 3">
          <a:extLst>
            <a:ext uri="{FF2B5EF4-FFF2-40B4-BE49-F238E27FC236}">
              <a16:creationId xmlns:a16="http://schemas.microsoft.com/office/drawing/2014/main" id="{3949AFDC-E6BE-4863-8273-BB6569CD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057900"/>
          <a:ext cx="34766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800C31-7861-4FA0-BF5F-26C73D866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8</xdr:col>
      <xdr:colOff>590550</xdr:colOff>
      <xdr:row>13</xdr:row>
      <xdr:rowOff>180975</xdr:rowOff>
    </xdr:from>
    <xdr:to>
      <xdr:col>14</xdr:col>
      <xdr:colOff>206671</xdr:colOff>
      <xdr:row>20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3E587B-BC91-40AF-8D69-20258FE53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53650" y="3362325"/>
          <a:ext cx="3273721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0</xdr:colOff>
      <xdr:row>24</xdr:row>
      <xdr:rowOff>0</xdr:rowOff>
    </xdr:from>
    <xdr:ext cx="3400425" cy="1857375"/>
    <xdr:pic>
      <xdr:nvPicPr>
        <xdr:cNvPr id="4" name="Picture 3">
          <a:extLst>
            <a:ext uri="{FF2B5EF4-FFF2-40B4-BE49-F238E27FC236}">
              <a16:creationId xmlns:a16="http://schemas.microsoft.com/office/drawing/2014/main" id="{402585FA-423D-40F7-9EA6-E4C14FB0A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6248400"/>
          <a:ext cx="3400425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4DA41-A6E5-4DDF-98A0-E25B1177A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1</xdr:rowOff>
    </xdr:from>
    <xdr:to>
      <xdr:col>14</xdr:col>
      <xdr:colOff>225721</xdr:colOff>
      <xdr:row>22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749B70-100A-43D8-947B-8B636BF11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533776"/>
          <a:ext cx="3273721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600075</xdr:colOff>
      <xdr:row>26</xdr:row>
      <xdr:rowOff>219075</xdr:rowOff>
    </xdr:from>
    <xdr:ext cx="3273721" cy="1762125"/>
    <xdr:pic>
      <xdr:nvPicPr>
        <xdr:cNvPr id="4" name="Picture 3">
          <a:extLst>
            <a:ext uri="{FF2B5EF4-FFF2-40B4-BE49-F238E27FC236}">
              <a16:creationId xmlns:a16="http://schemas.microsoft.com/office/drawing/2014/main" id="{E9038739-9E5C-442A-92D8-8C09E0102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63175" y="6181725"/>
          <a:ext cx="327372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235942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08AF5-D87D-478C-A22C-E0C215AC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704850"/>
          <a:ext cx="3283942" cy="20097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114301</xdr:rowOff>
    </xdr:from>
    <xdr:to>
      <xdr:col>14</xdr:col>
      <xdr:colOff>323850</xdr:colOff>
      <xdr:row>26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AE1D3-FD84-40D4-8C29-51FB48771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72700" y="3457576"/>
          <a:ext cx="3371850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14</xdr:col>
      <xdr:colOff>180975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F2A43-510E-4834-9B3C-E25068BF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571500"/>
          <a:ext cx="3324225" cy="19526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225721</xdr:colOff>
      <xdr:row>23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B87FAE-8668-4A04-8121-AD409A35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629650" y="3276600"/>
          <a:ext cx="3368971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6A3C-59E7-458F-A78A-402BD09FF458}">
  <dimension ref="A1:C40"/>
  <sheetViews>
    <sheetView tabSelected="1" workbookViewId="0"/>
  </sheetViews>
  <sheetFormatPr defaultRowHeight="15" x14ac:dyDescent="0.25"/>
  <cols>
    <col min="1" max="1" width="6" style="30" bestFit="1" customWidth="1"/>
    <col min="2" max="2" width="10.42578125" style="30" bestFit="1" customWidth="1"/>
    <col min="3" max="3" width="56.42578125" style="30" bestFit="1" customWidth="1"/>
    <col min="4" max="4" width="21.5703125" style="30" customWidth="1"/>
    <col min="5" max="16384" width="9.140625" style="30"/>
  </cols>
  <sheetData>
    <row r="1" spans="1:3" x14ac:dyDescent="0.25">
      <c r="A1" s="28" t="s">
        <v>782</v>
      </c>
      <c r="B1" s="29" t="s">
        <v>783</v>
      </c>
      <c r="C1" s="29" t="s">
        <v>784</v>
      </c>
    </row>
    <row r="2" spans="1:3" x14ac:dyDescent="0.25">
      <c r="A2" s="31">
        <v>1</v>
      </c>
      <c r="B2" s="184" t="s">
        <v>785</v>
      </c>
      <c r="C2" s="32" t="s">
        <v>1</v>
      </c>
    </row>
    <row r="3" spans="1:3" x14ac:dyDescent="0.25">
      <c r="A3" s="31">
        <v>2</v>
      </c>
      <c r="B3" s="184" t="s">
        <v>786</v>
      </c>
      <c r="C3" s="32" t="s">
        <v>164</v>
      </c>
    </row>
    <row r="4" spans="1:3" x14ac:dyDescent="0.25">
      <c r="A4" s="31">
        <v>3</v>
      </c>
      <c r="B4" s="184" t="s">
        <v>787</v>
      </c>
      <c r="C4" s="32" t="s">
        <v>165</v>
      </c>
    </row>
    <row r="5" spans="1:3" x14ac:dyDescent="0.25">
      <c r="A5" s="31">
        <v>4</v>
      </c>
      <c r="B5" s="184" t="s">
        <v>788</v>
      </c>
      <c r="C5" s="32" t="s">
        <v>276</v>
      </c>
    </row>
    <row r="6" spans="1:3" x14ac:dyDescent="0.25">
      <c r="A6" s="31">
        <v>5</v>
      </c>
      <c r="B6" s="184" t="s">
        <v>789</v>
      </c>
      <c r="C6" s="32" t="s">
        <v>309</v>
      </c>
    </row>
    <row r="7" spans="1:3" x14ac:dyDescent="0.25">
      <c r="A7" s="31">
        <v>6</v>
      </c>
      <c r="B7" s="184" t="s">
        <v>790</v>
      </c>
      <c r="C7" s="32" t="s">
        <v>405</v>
      </c>
    </row>
    <row r="8" spans="1:3" x14ac:dyDescent="0.25">
      <c r="A8" s="31">
        <v>7</v>
      </c>
      <c r="B8" s="184" t="s">
        <v>791</v>
      </c>
      <c r="C8" s="32" t="s">
        <v>792</v>
      </c>
    </row>
    <row r="9" spans="1:3" x14ac:dyDescent="0.25">
      <c r="A9" s="31">
        <v>8</v>
      </c>
      <c r="B9" s="184" t="s">
        <v>793</v>
      </c>
      <c r="C9" s="32" t="s">
        <v>794</v>
      </c>
    </row>
    <row r="10" spans="1:3" x14ac:dyDescent="0.25">
      <c r="A10" s="31">
        <v>9</v>
      </c>
      <c r="B10" s="184" t="s">
        <v>795</v>
      </c>
      <c r="C10" s="32" t="s">
        <v>477</v>
      </c>
    </row>
    <row r="11" spans="1:3" x14ac:dyDescent="0.25">
      <c r="A11" s="31">
        <v>10</v>
      </c>
      <c r="B11" s="184" t="s">
        <v>796</v>
      </c>
      <c r="C11" s="32" t="s">
        <v>496</v>
      </c>
    </row>
    <row r="12" spans="1:3" x14ac:dyDescent="0.25">
      <c r="A12" s="31">
        <v>11</v>
      </c>
      <c r="B12" s="184" t="s">
        <v>797</v>
      </c>
      <c r="C12" s="32" t="s">
        <v>497</v>
      </c>
    </row>
    <row r="13" spans="1:3" x14ac:dyDescent="0.25">
      <c r="A13" s="31">
        <v>12</v>
      </c>
      <c r="B13" s="184" t="s">
        <v>798</v>
      </c>
      <c r="C13" s="32" t="s">
        <v>500</v>
      </c>
    </row>
    <row r="14" spans="1:3" x14ac:dyDescent="0.25">
      <c r="A14" s="31">
        <v>13</v>
      </c>
      <c r="B14" s="184" t="s">
        <v>799</v>
      </c>
      <c r="C14" s="32" t="s">
        <v>501</v>
      </c>
    </row>
    <row r="15" spans="1:3" x14ac:dyDescent="0.25">
      <c r="A15" s="31">
        <v>14</v>
      </c>
      <c r="B15" s="184" t="s">
        <v>800</v>
      </c>
      <c r="C15" s="32" t="s">
        <v>502</v>
      </c>
    </row>
    <row r="16" spans="1:3" x14ac:dyDescent="0.25">
      <c r="A16" s="31">
        <v>15</v>
      </c>
      <c r="B16" s="184" t="s">
        <v>801</v>
      </c>
      <c r="C16" s="32" t="s">
        <v>503</v>
      </c>
    </row>
    <row r="17" spans="1:3" x14ac:dyDescent="0.25">
      <c r="A17" s="31">
        <v>16</v>
      </c>
      <c r="B17" s="184" t="s">
        <v>802</v>
      </c>
      <c r="C17" s="32" t="s">
        <v>803</v>
      </c>
    </row>
    <row r="18" spans="1:3" x14ac:dyDescent="0.25">
      <c r="A18" s="31">
        <v>17</v>
      </c>
      <c r="B18" s="184" t="s">
        <v>804</v>
      </c>
      <c r="C18" s="32" t="s">
        <v>805</v>
      </c>
    </row>
    <row r="19" spans="1:3" x14ac:dyDescent="0.25">
      <c r="A19" s="31">
        <v>18</v>
      </c>
      <c r="B19" s="184" t="s">
        <v>806</v>
      </c>
      <c r="C19" s="32" t="s">
        <v>807</v>
      </c>
    </row>
    <row r="20" spans="1:3" x14ac:dyDescent="0.25">
      <c r="A20" s="31">
        <v>19</v>
      </c>
      <c r="B20" s="184" t="s">
        <v>808</v>
      </c>
      <c r="C20" s="32" t="s">
        <v>809</v>
      </c>
    </row>
    <row r="21" spans="1:3" x14ac:dyDescent="0.25">
      <c r="A21" s="31">
        <v>20</v>
      </c>
      <c r="B21" s="184" t="s">
        <v>810</v>
      </c>
      <c r="C21" s="32" t="s">
        <v>524</v>
      </c>
    </row>
    <row r="22" spans="1:3" x14ac:dyDescent="0.25">
      <c r="A22" s="31">
        <v>21</v>
      </c>
      <c r="B22" s="184" t="s">
        <v>811</v>
      </c>
      <c r="C22" s="32" t="s">
        <v>525</v>
      </c>
    </row>
    <row r="23" spans="1:3" x14ac:dyDescent="0.25">
      <c r="A23" s="31">
        <v>22</v>
      </c>
      <c r="B23" s="184" t="s">
        <v>812</v>
      </c>
      <c r="C23" s="32" t="s">
        <v>526</v>
      </c>
    </row>
    <row r="24" spans="1:3" x14ac:dyDescent="0.25">
      <c r="A24" s="31">
        <v>23</v>
      </c>
      <c r="B24" s="184" t="s">
        <v>813</v>
      </c>
      <c r="C24" s="32" t="s">
        <v>527</v>
      </c>
    </row>
    <row r="25" spans="1:3" x14ac:dyDescent="0.25">
      <c r="A25" s="31">
        <v>24</v>
      </c>
      <c r="B25" s="184" t="s">
        <v>814</v>
      </c>
      <c r="C25" s="32" t="s">
        <v>528</v>
      </c>
    </row>
    <row r="26" spans="1:3" x14ac:dyDescent="0.25">
      <c r="A26" s="31">
        <v>25</v>
      </c>
      <c r="B26" s="184" t="s">
        <v>815</v>
      </c>
      <c r="C26" s="32" t="s">
        <v>816</v>
      </c>
    </row>
    <row r="27" spans="1:3" x14ac:dyDescent="0.25">
      <c r="A27" s="31">
        <v>26</v>
      </c>
      <c r="B27" s="184" t="s">
        <v>817</v>
      </c>
      <c r="C27" s="32" t="s">
        <v>818</v>
      </c>
    </row>
    <row r="28" spans="1:3" x14ac:dyDescent="0.25">
      <c r="A28" s="31">
        <v>27</v>
      </c>
      <c r="B28" s="184" t="s">
        <v>819</v>
      </c>
      <c r="C28" s="32" t="s">
        <v>820</v>
      </c>
    </row>
    <row r="29" spans="1:3" x14ac:dyDescent="0.25">
      <c r="A29" s="31">
        <v>28</v>
      </c>
      <c r="B29" s="184" t="s">
        <v>821</v>
      </c>
      <c r="C29" s="33" t="s">
        <v>601</v>
      </c>
    </row>
    <row r="30" spans="1:3" x14ac:dyDescent="0.25">
      <c r="A30" s="31">
        <v>29</v>
      </c>
      <c r="B30" s="184" t="s">
        <v>822</v>
      </c>
      <c r="C30" s="32" t="s">
        <v>625</v>
      </c>
    </row>
    <row r="31" spans="1:3" x14ac:dyDescent="0.25">
      <c r="A31" s="31">
        <v>30</v>
      </c>
      <c r="B31" s="184" t="s">
        <v>823</v>
      </c>
      <c r="C31" s="32" t="s">
        <v>824</v>
      </c>
    </row>
    <row r="32" spans="1:3" x14ac:dyDescent="0.25">
      <c r="A32" s="31">
        <v>31</v>
      </c>
      <c r="B32" s="184" t="s">
        <v>825</v>
      </c>
      <c r="C32" s="32" t="s">
        <v>664</v>
      </c>
    </row>
    <row r="33" spans="1:3" x14ac:dyDescent="0.25">
      <c r="A33" s="31">
        <v>32</v>
      </c>
      <c r="B33" s="184" t="s">
        <v>826</v>
      </c>
      <c r="C33" s="32" t="s">
        <v>827</v>
      </c>
    </row>
    <row r="34" spans="1:3" x14ac:dyDescent="0.25">
      <c r="A34" s="31">
        <v>33</v>
      </c>
      <c r="B34" s="184" t="s">
        <v>828</v>
      </c>
      <c r="C34" s="32" t="s">
        <v>829</v>
      </c>
    </row>
    <row r="35" spans="1:3" x14ac:dyDescent="0.25">
      <c r="A35" s="31">
        <v>34</v>
      </c>
      <c r="B35" s="184" t="s">
        <v>830</v>
      </c>
      <c r="C35" s="32" t="s">
        <v>831</v>
      </c>
    </row>
    <row r="36" spans="1:3" x14ac:dyDescent="0.25">
      <c r="A36" s="31">
        <v>35</v>
      </c>
      <c r="B36" s="184" t="s">
        <v>832</v>
      </c>
      <c r="C36" s="32" t="s">
        <v>833</v>
      </c>
    </row>
    <row r="37" spans="1:3" x14ac:dyDescent="0.25">
      <c r="A37" s="31">
        <v>36</v>
      </c>
      <c r="B37" s="184" t="s">
        <v>834</v>
      </c>
      <c r="C37" s="32" t="s">
        <v>778</v>
      </c>
    </row>
    <row r="38" spans="1:3" x14ac:dyDescent="0.25">
      <c r="A38" s="31">
        <v>37</v>
      </c>
      <c r="B38" s="184" t="s">
        <v>835</v>
      </c>
      <c r="C38" s="32" t="s">
        <v>779</v>
      </c>
    </row>
    <row r="39" spans="1:3" x14ac:dyDescent="0.25">
      <c r="A39" s="31">
        <v>38</v>
      </c>
      <c r="B39" s="184" t="s">
        <v>836</v>
      </c>
      <c r="C39" s="32" t="s">
        <v>780</v>
      </c>
    </row>
    <row r="40" spans="1:3" x14ac:dyDescent="0.25">
      <c r="A40" s="31">
        <v>39</v>
      </c>
      <c r="B40" s="184" t="s">
        <v>837</v>
      </c>
      <c r="C40" s="32" t="s">
        <v>838</v>
      </c>
    </row>
  </sheetData>
  <hyperlinks>
    <hyperlink ref="B2" location="CAPEXG!A1" display="CAPEXG" xr:uid="{BB6598D1-CE48-495D-8A5D-0592C0C31375}"/>
    <hyperlink ref="B3" location="MICAP15!A1" display="MICAP15" xr:uid="{A3784DC8-2421-4D4D-AB5C-48C5E4F0A008}"/>
    <hyperlink ref="B4" location="MICAP16!A1" display="MICAP16" xr:uid="{93AA01B0-3AF1-449F-9C97-0F39392746A0}"/>
    <hyperlink ref="B5" location="MICAP17!A1" display="MICAP17" xr:uid="{EB4A0DD7-6406-4AFC-9747-056DDB0898CD}"/>
    <hyperlink ref="B6" location="MIDCAP!A1" display="MIDCAP" xr:uid="{082ED70E-44FF-42A6-BE82-4A47B55D4A37}"/>
    <hyperlink ref="B7" location="MULTI1!A1" display="MULTI1" xr:uid="{482508BE-0EE1-48A4-BFF7-7C89B15669CB}"/>
    <hyperlink ref="B8" location="MULTI2!A1" display="MULTI2" xr:uid="{07A959D0-0AB8-4630-ADEC-2825AE0FE781}"/>
    <hyperlink ref="B9" location="MULTIP!A1" display="MULTIP" xr:uid="{29A9F1C2-D3BA-450F-844E-D3E12B13AB1F}"/>
    <hyperlink ref="B10" location="SESCAP1!A1" display="SESCAP1" xr:uid="{880B541B-854C-49C2-B00B-41AA934F0668}"/>
    <hyperlink ref="B11" location="SESCAP2!A1" display="SESCAP2" xr:uid="{23914E88-5D24-41F6-99B8-7295572D4871}"/>
    <hyperlink ref="B12" location="SESCAP3!A1" display="SESCAP3" xr:uid="{F96338B9-C725-4707-89FD-A8FEAC25DDEC}"/>
    <hyperlink ref="B13" location="SESCAP4!A1" display="SESCAP4" xr:uid="{345157FF-1B17-4D57-9AA1-9091957255F5}"/>
    <hyperlink ref="B14" location="SESCAP5!A1" display="SESCAP5" xr:uid="{3112B0A3-7E70-4D78-B694-418E0F05D103}"/>
    <hyperlink ref="B15" location="SESCAP6!A1" display="SESCAP6" xr:uid="{AA675B1B-5E19-4F53-9C83-C45C78A5977D}"/>
    <hyperlink ref="B16" location="SESCAP7!A1" display="SESCAP7" xr:uid="{28B1437D-17E5-49F0-B408-C735C7BBF522}"/>
    <hyperlink ref="B17" location="SLTADV3!A1" display="SLTADV3" xr:uid="{AF94D3C6-DD82-49EA-BFBC-A7C95CBA5301}"/>
    <hyperlink ref="B18" location="SLTADV4!A1" display="SLTADV4" xr:uid="{FA003423-FCC9-4115-9553-28C0C63D092A}"/>
    <hyperlink ref="B19" location="SLTAX1!A1" display="SLTAX1" xr:uid="{CDE17C31-7C29-46D7-9C2E-F89B738822BB}"/>
    <hyperlink ref="B20" location="SLTAX2!A1" display="SLTAX2" xr:uid="{D0F601EC-13FE-4ABB-85EA-26AF35B0F7FA}"/>
    <hyperlink ref="B21" location="SLTAX3!A1" display="SLTAX3" xr:uid="{CC631545-1696-4342-87C9-7A05537AA493}"/>
    <hyperlink ref="B22" location="SLTAX4!A1" display="SLTAX4" xr:uid="{579F8AED-AF4D-476D-A86C-6F107088F736}"/>
    <hyperlink ref="B23" location="SLTAX5!A1" display="SLTAX5" xr:uid="{444C8206-764B-44A7-9D90-295BB774CE78}"/>
    <hyperlink ref="B24" location="SLTAX6!A1" display="SLTAX6" xr:uid="{8056BD93-3BD2-40B4-A611-2FE515E976CD}"/>
    <hyperlink ref="B25" location="SMILE!A1" display="SMILE" xr:uid="{063FAD95-9B81-4C88-A5D9-AB3E03B829DB}"/>
    <hyperlink ref="B26" location="SPAHF!A1" display="SPAHF" xr:uid="{6420B39E-CC46-43E6-A05B-A9B4F56B6A93}"/>
    <hyperlink ref="B27" location="SPARF!A1" display="SPARF" xr:uid="{8CE91C31-22E3-42B2-9ED7-20FD328954A7}"/>
    <hyperlink ref="B28" location="SPBAF!A1" display="SPBAF" xr:uid="{4EB543E8-D73A-4DB2-BFE5-60DFD3EA8704}"/>
    <hyperlink ref="B29" location="SPDYF!A1" display="SPDYF" xr:uid="{4210DD75-E1A4-49C1-B79C-FBC27307A2E4}"/>
    <hyperlink ref="B30" location="SPESF!A1" display="SPESF" xr:uid="{7C8A1DE1-C2F0-476F-9A21-BC79DC85C0B1}"/>
    <hyperlink ref="B31" location="SPFOCUS!A1" display="SPFOCUS" xr:uid="{35FFE48F-C150-4A04-A567-0A767676A17A}"/>
    <hyperlink ref="B32" location="SPMUCF!A1" display="SPMUCF" xr:uid="{8339FE9F-2DD6-46CE-9347-D01B508B8C7C}"/>
    <hyperlink ref="B33" location="SPSN100!A1" display="SPSN100" xr:uid="{52A3EA07-9DB6-4D65-BC80-1CE41FA5ED07}"/>
    <hyperlink ref="B34" location="SPTAX!A1" display="SPTAX" xr:uid="{C975093F-C2C0-49F1-BF79-D29D1132D892}"/>
    <hyperlink ref="B35" location="SRURAL!A1" display="SRURAL" xr:uid="{78D8F764-6626-4F81-8CC7-1C5386E77436}"/>
    <hyperlink ref="B36" location="SSFUND!A1" display="SSFUND" xr:uid="{47B12DC9-E057-4175-8BE1-3F862627B88C}"/>
    <hyperlink ref="B37" location="STAX!A1" display="STAX" xr:uid="{8BB32AC7-4BB9-46EC-B91F-F4C7D6F97CE2}"/>
    <hyperlink ref="B38" location="SUNBCF!A1" display="SUNBCF" xr:uid="{0BAA4CEC-508D-4A5A-90ED-484270EC1978}"/>
    <hyperlink ref="B39" location="SUNFOP!A1" display="SUNFOP" xr:uid="{3F7A784E-3732-4590-A273-8C6732DC9273}"/>
    <hyperlink ref="B40" location="GLOB!A1" display="GLOB" xr:uid="{40691276-9D01-45ED-BD9B-52252507D2C1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9" max="9" width="11.42578125" bestFit="1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11</v>
      </c>
      <c r="C7" s="4" t="s">
        <v>12</v>
      </c>
      <c r="D7" s="4" t="s">
        <v>13</v>
      </c>
      <c r="E7" s="5">
        <v>308887</v>
      </c>
      <c r="F7" s="6">
        <v>5110.5354150000003</v>
      </c>
      <c r="G7" s="7">
        <v>8.6759521000000006E-2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192490</v>
      </c>
      <c r="F8" s="6">
        <v>5067.5879850000001</v>
      </c>
      <c r="G8" s="7">
        <v>8.6030418999999997E-2</v>
      </c>
      <c r="H8" s="6"/>
    </row>
    <row r="9" spans="1:14" ht="17.100000000000001" customHeight="1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584107</v>
      </c>
      <c r="F9" s="6">
        <v>4397.4495495000001</v>
      </c>
      <c r="G9" s="7">
        <v>7.4653746000000007E-2</v>
      </c>
      <c r="H9" s="6"/>
    </row>
    <row r="10" spans="1:14" ht="17.100000000000001" customHeight="1" x14ac:dyDescent="0.2">
      <c r="A10" s="3">
        <v>4</v>
      </c>
      <c r="B10" s="4" t="s">
        <v>20</v>
      </c>
      <c r="C10" s="4" t="s">
        <v>21</v>
      </c>
      <c r="D10" s="4" t="s">
        <v>22</v>
      </c>
      <c r="E10" s="5">
        <v>551604</v>
      </c>
      <c r="F10" s="6">
        <v>3862.3312080000001</v>
      </c>
      <c r="G10" s="7">
        <v>6.5569256000000006E-2</v>
      </c>
      <c r="H10" s="6"/>
    </row>
    <row r="11" spans="1:14" ht="29.1" customHeight="1" x14ac:dyDescent="0.2">
      <c r="A11" s="3">
        <v>5</v>
      </c>
      <c r="B11" s="4" t="s">
        <v>23</v>
      </c>
      <c r="C11" s="4" t="s">
        <v>24</v>
      </c>
      <c r="D11" s="4" t="s">
        <v>25</v>
      </c>
      <c r="E11" s="5">
        <v>44676</v>
      </c>
      <c r="F11" s="6">
        <v>2717.4623759999999</v>
      </c>
      <c r="G11" s="7">
        <v>4.6133275000000001E-2</v>
      </c>
      <c r="H11" s="6"/>
    </row>
    <row r="12" spans="1:14" ht="17.100000000000001" customHeight="1" x14ac:dyDescent="0.2">
      <c r="A12" s="3">
        <v>6</v>
      </c>
      <c r="B12" s="4" t="s">
        <v>26</v>
      </c>
      <c r="C12" s="4" t="s">
        <v>27</v>
      </c>
      <c r="D12" s="4" t="s">
        <v>28</v>
      </c>
      <c r="E12" s="5">
        <v>86173</v>
      </c>
      <c r="F12" s="6">
        <v>2104.1723139999999</v>
      </c>
      <c r="G12" s="7">
        <v>3.5721693999999998E-2</v>
      </c>
      <c r="H12" s="6"/>
      <c r="J12" s="169" t="s">
        <v>1143</v>
      </c>
    </row>
    <row r="13" spans="1:14" ht="17.100000000000001" customHeight="1" x14ac:dyDescent="0.2">
      <c r="A13" s="3">
        <v>7</v>
      </c>
      <c r="B13" s="4" t="s">
        <v>29</v>
      </c>
      <c r="C13" s="4" t="s">
        <v>30</v>
      </c>
      <c r="D13" s="4" t="s">
        <v>31</v>
      </c>
      <c r="E13" s="5">
        <v>1234236</v>
      </c>
      <c r="F13" s="6">
        <v>1925.40816</v>
      </c>
      <c r="G13" s="7">
        <v>3.2686885999999998E-2</v>
      </c>
      <c r="H13" s="6"/>
    </row>
    <row r="14" spans="1:14" ht="17.100000000000001" customHeight="1" x14ac:dyDescent="0.2">
      <c r="A14" s="3">
        <v>8</v>
      </c>
      <c r="B14" s="4" t="s">
        <v>32</v>
      </c>
      <c r="C14" s="4" t="s">
        <v>33</v>
      </c>
      <c r="D14" s="4" t="s">
        <v>28</v>
      </c>
      <c r="E14" s="5">
        <v>107795</v>
      </c>
      <c r="F14" s="6">
        <v>1847.6601975000001</v>
      </c>
      <c r="G14" s="7">
        <v>3.1366989999999997E-2</v>
      </c>
      <c r="H14" s="6"/>
    </row>
    <row r="15" spans="1:14" ht="17.100000000000001" customHeight="1" x14ac:dyDescent="0.2">
      <c r="A15" s="3">
        <v>9</v>
      </c>
      <c r="B15" s="4" t="s">
        <v>34</v>
      </c>
      <c r="C15" s="4" t="s">
        <v>35</v>
      </c>
      <c r="D15" s="4" t="s">
        <v>28</v>
      </c>
      <c r="E15" s="5">
        <v>120625</v>
      </c>
      <c r="F15" s="6">
        <v>1634.589375</v>
      </c>
      <c r="G15" s="7">
        <v>2.7749771999999999E-2</v>
      </c>
      <c r="H15" s="6"/>
    </row>
    <row r="16" spans="1:14" ht="17.100000000000001" customHeight="1" x14ac:dyDescent="0.2">
      <c r="A16" s="3">
        <v>10</v>
      </c>
      <c r="B16" s="4" t="s">
        <v>36</v>
      </c>
      <c r="C16" s="4" t="s">
        <v>37</v>
      </c>
      <c r="D16" s="4" t="s">
        <v>28</v>
      </c>
      <c r="E16" s="5">
        <v>48128</v>
      </c>
      <c r="F16" s="6">
        <v>1531.240448</v>
      </c>
      <c r="G16" s="7">
        <v>2.5995258E-2</v>
      </c>
      <c r="H16" s="6"/>
    </row>
    <row r="17" spans="1:8" ht="17.100000000000001" customHeight="1" x14ac:dyDescent="0.2">
      <c r="A17" s="3">
        <v>11</v>
      </c>
      <c r="B17" s="4" t="s">
        <v>38</v>
      </c>
      <c r="C17" s="4" t="s">
        <v>39</v>
      </c>
      <c r="D17" s="4" t="s">
        <v>31</v>
      </c>
      <c r="E17" s="5">
        <v>603954</v>
      </c>
      <c r="F17" s="6">
        <v>1420.197831</v>
      </c>
      <c r="G17" s="7">
        <v>2.4110131999999999E-2</v>
      </c>
      <c r="H17" s="6"/>
    </row>
    <row r="18" spans="1:8" ht="29.1" customHeight="1" x14ac:dyDescent="0.2">
      <c r="A18" s="3">
        <v>12</v>
      </c>
      <c r="B18" s="4" t="s">
        <v>40</v>
      </c>
      <c r="C18" s="4" t="s">
        <v>41</v>
      </c>
      <c r="D18" s="4" t="s">
        <v>42</v>
      </c>
      <c r="E18" s="5">
        <v>3879</v>
      </c>
      <c r="F18" s="6">
        <v>1248.719922</v>
      </c>
      <c r="G18" s="7">
        <v>2.1199019999999999E-2</v>
      </c>
      <c r="H18" s="6"/>
    </row>
    <row r="19" spans="1:8" ht="29.1" customHeight="1" x14ac:dyDescent="0.2">
      <c r="A19" s="3">
        <v>13</v>
      </c>
      <c r="B19" s="4" t="s">
        <v>43</v>
      </c>
      <c r="C19" s="4" t="s">
        <v>44</v>
      </c>
      <c r="D19" s="4" t="s">
        <v>25</v>
      </c>
      <c r="E19" s="5">
        <v>50412</v>
      </c>
      <c r="F19" s="6">
        <v>1200.9398699999999</v>
      </c>
      <c r="G19" s="7">
        <v>2.0387876999999999E-2</v>
      </c>
      <c r="H19" s="6"/>
    </row>
    <row r="20" spans="1:8" ht="17.100000000000001" customHeight="1" x14ac:dyDescent="0.2">
      <c r="A20" s="3">
        <v>14</v>
      </c>
      <c r="B20" s="4" t="s">
        <v>45</v>
      </c>
      <c r="C20" s="4" t="s">
        <v>46</v>
      </c>
      <c r="D20" s="4" t="s">
        <v>47</v>
      </c>
      <c r="E20" s="5">
        <v>184211</v>
      </c>
      <c r="F20" s="6">
        <v>1198.2004495000001</v>
      </c>
      <c r="G20" s="7">
        <v>2.0341371E-2</v>
      </c>
      <c r="H20" s="6"/>
    </row>
    <row r="21" spans="1:8" ht="29.1" customHeight="1" x14ac:dyDescent="0.2">
      <c r="A21" s="3">
        <v>15</v>
      </c>
      <c r="B21" s="4" t="s">
        <v>48</v>
      </c>
      <c r="C21" s="4" t="s">
        <v>49</v>
      </c>
      <c r="D21" s="4" t="s">
        <v>25</v>
      </c>
      <c r="E21" s="5">
        <v>161942</v>
      </c>
      <c r="F21" s="6">
        <v>1131.5697250000001</v>
      </c>
      <c r="G21" s="7">
        <v>1.9210207999999999E-2</v>
      </c>
      <c r="H21" s="6"/>
    </row>
    <row r="22" spans="1:8" ht="17.100000000000001" customHeight="1" x14ac:dyDescent="0.2">
      <c r="A22" s="3">
        <v>16</v>
      </c>
      <c r="B22" s="4" t="s">
        <v>50</v>
      </c>
      <c r="C22" s="4" t="s">
        <v>51</v>
      </c>
      <c r="D22" s="4" t="s">
        <v>19</v>
      </c>
      <c r="E22" s="5">
        <v>235591</v>
      </c>
      <c r="F22" s="6">
        <v>1102.801471</v>
      </c>
      <c r="G22" s="7">
        <v>1.8721821E-2</v>
      </c>
      <c r="H22" s="6"/>
    </row>
    <row r="23" spans="1:8" ht="17.100000000000001" customHeight="1" x14ac:dyDescent="0.2">
      <c r="A23" s="3">
        <v>17</v>
      </c>
      <c r="B23" s="4" t="s">
        <v>52</v>
      </c>
      <c r="C23" s="4" t="s">
        <v>53</v>
      </c>
      <c r="D23" s="4" t="s">
        <v>54</v>
      </c>
      <c r="E23" s="5">
        <v>716249</v>
      </c>
      <c r="F23" s="6">
        <v>1054.318528</v>
      </c>
      <c r="G23" s="7">
        <v>1.7898745000000001E-2</v>
      </c>
      <c r="H23" s="6"/>
    </row>
    <row r="24" spans="1:8" ht="29.1" customHeight="1" x14ac:dyDescent="0.2">
      <c r="A24" s="3">
        <v>18</v>
      </c>
      <c r="B24" s="4" t="s">
        <v>55</v>
      </c>
      <c r="C24" s="4" t="s">
        <v>56</v>
      </c>
      <c r="D24" s="4" t="s">
        <v>57</v>
      </c>
      <c r="E24" s="5">
        <v>140270</v>
      </c>
      <c r="F24" s="6">
        <v>1037.787595</v>
      </c>
      <c r="G24" s="7">
        <v>1.7618106000000001E-2</v>
      </c>
      <c r="H24" s="6"/>
    </row>
    <row r="25" spans="1:8" ht="17.100000000000001" customHeight="1" x14ac:dyDescent="0.2">
      <c r="A25" s="3">
        <v>19</v>
      </c>
      <c r="B25" s="4" t="s">
        <v>58</v>
      </c>
      <c r="C25" s="4" t="s">
        <v>59</v>
      </c>
      <c r="D25" s="4" t="s">
        <v>16</v>
      </c>
      <c r="E25" s="5">
        <v>312762</v>
      </c>
      <c r="F25" s="6">
        <v>1020.229644</v>
      </c>
      <c r="G25" s="7">
        <v>1.7320031999999999E-2</v>
      </c>
      <c r="H25" s="6"/>
    </row>
    <row r="26" spans="1:8" ht="29.1" customHeight="1" x14ac:dyDescent="0.2">
      <c r="A26" s="3">
        <v>20</v>
      </c>
      <c r="B26" s="4" t="s">
        <v>60</v>
      </c>
      <c r="C26" s="4" t="s">
        <v>61</v>
      </c>
      <c r="D26" s="4" t="s">
        <v>42</v>
      </c>
      <c r="E26" s="5">
        <v>23847</v>
      </c>
      <c r="F26" s="6">
        <v>999.96432749999997</v>
      </c>
      <c r="G26" s="7">
        <v>1.6975995000000001E-2</v>
      </c>
      <c r="H26" s="6"/>
    </row>
    <row r="27" spans="1:8" ht="17.100000000000001" customHeight="1" x14ac:dyDescent="0.2">
      <c r="A27" s="3">
        <v>21</v>
      </c>
      <c r="B27" s="4" t="s">
        <v>62</v>
      </c>
      <c r="C27" s="4" t="s">
        <v>63</v>
      </c>
      <c r="D27" s="4" t="s">
        <v>13</v>
      </c>
      <c r="E27" s="5">
        <v>1542666</v>
      </c>
      <c r="F27" s="6">
        <v>995.79090299999996</v>
      </c>
      <c r="G27" s="7">
        <v>1.6905145E-2</v>
      </c>
      <c r="H27" s="6"/>
    </row>
    <row r="28" spans="1:8" ht="17.100000000000001" customHeight="1" x14ac:dyDescent="0.2">
      <c r="A28" s="3">
        <v>22</v>
      </c>
      <c r="B28" s="4" t="s">
        <v>64</v>
      </c>
      <c r="C28" s="4" t="s">
        <v>65</v>
      </c>
      <c r="D28" s="4" t="s">
        <v>31</v>
      </c>
      <c r="E28" s="5">
        <v>414816</v>
      </c>
      <c r="F28" s="6">
        <v>966.10646399999996</v>
      </c>
      <c r="G28" s="7">
        <v>1.6401203999999999E-2</v>
      </c>
      <c r="H28" s="6"/>
    </row>
    <row r="29" spans="1:8" ht="17.100000000000001" customHeight="1" x14ac:dyDescent="0.2">
      <c r="A29" s="3">
        <v>23</v>
      </c>
      <c r="B29" s="4" t="s">
        <v>66</v>
      </c>
      <c r="C29" s="4" t="s">
        <v>67</v>
      </c>
      <c r="D29" s="4" t="s">
        <v>68</v>
      </c>
      <c r="E29" s="5">
        <v>629674</v>
      </c>
      <c r="F29" s="6">
        <v>952.38192500000002</v>
      </c>
      <c r="G29" s="7">
        <v>1.6168208E-2</v>
      </c>
      <c r="H29" s="6"/>
    </row>
    <row r="30" spans="1:8" ht="17.100000000000001" customHeight="1" x14ac:dyDescent="0.2">
      <c r="A30" s="3">
        <v>24</v>
      </c>
      <c r="B30" s="4" t="s">
        <v>69</v>
      </c>
      <c r="C30" s="4" t="s">
        <v>70</v>
      </c>
      <c r="D30" s="4" t="s">
        <v>13</v>
      </c>
      <c r="E30" s="5">
        <v>380518</v>
      </c>
      <c r="F30" s="6">
        <v>932.26909999999998</v>
      </c>
      <c r="G30" s="7">
        <v>1.5826761000000002E-2</v>
      </c>
      <c r="H30" s="6"/>
    </row>
    <row r="31" spans="1:8" ht="17.100000000000001" customHeight="1" x14ac:dyDescent="0.2">
      <c r="A31" s="3">
        <v>25</v>
      </c>
      <c r="B31" s="4" t="s">
        <v>71</v>
      </c>
      <c r="C31" s="4" t="s">
        <v>72</v>
      </c>
      <c r="D31" s="4" t="s">
        <v>16</v>
      </c>
      <c r="E31" s="5">
        <v>773705</v>
      </c>
      <c r="F31" s="6">
        <v>897.49779999999998</v>
      </c>
      <c r="G31" s="7">
        <v>1.5236461999999999E-2</v>
      </c>
      <c r="H31" s="6"/>
    </row>
    <row r="32" spans="1:8" ht="53.1" customHeight="1" x14ac:dyDescent="0.2">
      <c r="A32" s="3">
        <v>26</v>
      </c>
      <c r="B32" s="4" t="s">
        <v>73</v>
      </c>
      <c r="C32" s="4" t="s">
        <v>74</v>
      </c>
      <c r="D32" s="4" t="s">
        <v>75</v>
      </c>
      <c r="E32" s="5">
        <v>624467</v>
      </c>
      <c r="F32" s="6">
        <v>858.64212499999996</v>
      </c>
      <c r="G32" s="7">
        <v>1.4576825E-2</v>
      </c>
      <c r="H32" s="6"/>
    </row>
    <row r="33" spans="1:8" ht="17.100000000000001" customHeight="1" x14ac:dyDescent="0.2">
      <c r="A33" s="3">
        <v>27</v>
      </c>
      <c r="B33" s="4" t="s">
        <v>76</v>
      </c>
      <c r="C33" s="4" t="s">
        <v>77</v>
      </c>
      <c r="D33" s="4" t="s">
        <v>28</v>
      </c>
      <c r="E33" s="5">
        <v>84259</v>
      </c>
      <c r="F33" s="6">
        <v>789.67534799999999</v>
      </c>
      <c r="G33" s="7">
        <v>1.3406003E-2</v>
      </c>
      <c r="H33" s="6"/>
    </row>
    <row r="34" spans="1:8" ht="17.100000000000001" customHeight="1" x14ac:dyDescent="0.2">
      <c r="A34" s="3">
        <v>28</v>
      </c>
      <c r="B34" s="4" t="s">
        <v>78</v>
      </c>
      <c r="C34" s="4" t="s">
        <v>79</v>
      </c>
      <c r="D34" s="4" t="s">
        <v>80</v>
      </c>
      <c r="E34" s="5">
        <v>153349</v>
      </c>
      <c r="F34" s="6">
        <v>749.64658650000001</v>
      </c>
      <c r="G34" s="7">
        <v>1.2726451E-2</v>
      </c>
      <c r="H34" s="6"/>
    </row>
    <row r="35" spans="1:8" ht="17.100000000000001" customHeight="1" x14ac:dyDescent="0.2">
      <c r="A35" s="3">
        <v>29</v>
      </c>
      <c r="B35" s="4" t="s">
        <v>81</v>
      </c>
      <c r="C35" s="4" t="s">
        <v>82</v>
      </c>
      <c r="D35" s="4" t="s">
        <v>47</v>
      </c>
      <c r="E35" s="5">
        <v>160298</v>
      </c>
      <c r="F35" s="6">
        <v>736.40901199999996</v>
      </c>
      <c r="G35" s="7">
        <v>1.2501722E-2</v>
      </c>
      <c r="H35" s="6"/>
    </row>
    <row r="36" spans="1:8" ht="29.1" customHeight="1" x14ac:dyDescent="0.2">
      <c r="A36" s="3">
        <v>30</v>
      </c>
      <c r="B36" s="4" t="s">
        <v>83</v>
      </c>
      <c r="C36" s="4" t="s">
        <v>84</v>
      </c>
      <c r="D36" s="4" t="s">
        <v>85</v>
      </c>
      <c r="E36" s="5">
        <v>102316</v>
      </c>
      <c r="F36" s="6">
        <v>695.33953599999995</v>
      </c>
      <c r="G36" s="7">
        <v>1.1804502E-2</v>
      </c>
      <c r="H36" s="6"/>
    </row>
    <row r="37" spans="1:8" ht="53.1" customHeight="1" x14ac:dyDescent="0.2">
      <c r="A37" s="3">
        <v>31</v>
      </c>
      <c r="B37" s="4" t="s">
        <v>86</v>
      </c>
      <c r="C37" s="4" t="s">
        <v>87</v>
      </c>
      <c r="D37" s="4" t="s">
        <v>75</v>
      </c>
      <c r="E37" s="5">
        <v>45404</v>
      </c>
      <c r="F37" s="6">
        <v>643.21576600000003</v>
      </c>
      <c r="G37" s="7">
        <v>1.0919617E-2</v>
      </c>
      <c r="H37" s="6"/>
    </row>
    <row r="38" spans="1:8" ht="17.100000000000001" customHeight="1" x14ac:dyDescent="0.2">
      <c r="A38" s="3">
        <v>32</v>
      </c>
      <c r="B38" s="4" t="s">
        <v>88</v>
      </c>
      <c r="C38" s="4" t="s">
        <v>89</v>
      </c>
      <c r="D38" s="4" t="s">
        <v>13</v>
      </c>
      <c r="E38" s="5">
        <v>44400</v>
      </c>
      <c r="F38" s="6">
        <v>629.48099999999999</v>
      </c>
      <c r="G38" s="7">
        <v>1.0686447999999999E-2</v>
      </c>
      <c r="H38" s="6"/>
    </row>
    <row r="39" spans="1:8" ht="17.100000000000001" customHeight="1" x14ac:dyDescent="0.2">
      <c r="A39" s="3">
        <v>33</v>
      </c>
      <c r="B39" s="4" t="s">
        <v>90</v>
      </c>
      <c r="C39" s="4" t="s">
        <v>91</v>
      </c>
      <c r="D39" s="4" t="s">
        <v>92</v>
      </c>
      <c r="E39" s="5">
        <v>134092</v>
      </c>
      <c r="F39" s="6">
        <v>623.05847800000004</v>
      </c>
      <c r="G39" s="7">
        <v>1.0577415E-2</v>
      </c>
      <c r="H39" s="6"/>
    </row>
    <row r="40" spans="1:8" ht="17.100000000000001" customHeight="1" x14ac:dyDescent="0.2">
      <c r="A40" s="3">
        <v>34</v>
      </c>
      <c r="B40" s="4" t="s">
        <v>93</v>
      </c>
      <c r="C40" s="4" t="s">
        <v>94</v>
      </c>
      <c r="D40" s="4" t="s">
        <v>95</v>
      </c>
      <c r="E40" s="5">
        <v>26495</v>
      </c>
      <c r="F40" s="6">
        <v>609.54396999999994</v>
      </c>
      <c r="G40" s="7">
        <v>1.0347985000000001E-2</v>
      </c>
      <c r="H40" s="6"/>
    </row>
    <row r="41" spans="1:8" ht="17.100000000000001" customHeight="1" x14ac:dyDescent="0.2">
      <c r="A41" s="3">
        <v>35</v>
      </c>
      <c r="B41" s="4" t="s">
        <v>96</v>
      </c>
      <c r="C41" s="4" t="s">
        <v>97</v>
      </c>
      <c r="D41" s="4" t="s">
        <v>80</v>
      </c>
      <c r="E41" s="5">
        <v>19482</v>
      </c>
      <c r="F41" s="6">
        <v>512.96105999999997</v>
      </c>
      <c r="G41" s="7">
        <v>8.7083349999999993E-3</v>
      </c>
      <c r="H41" s="6"/>
    </row>
    <row r="42" spans="1:8" ht="17.100000000000001" customHeight="1" x14ac:dyDescent="0.2">
      <c r="A42" s="3">
        <v>36</v>
      </c>
      <c r="B42" s="4" t="s">
        <v>98</v>
      </c>
      <c r="C42" s="4" t="s">
        <v>99</v>
      </c>
      <c r="D42" s="4" t="s">
        <v>22</v>
      </c>
      <c r="E42" s="5">
        <v>244199</v>
      </c>
      <c r="F42" s="6">
        <v>492.79358200000001</v>
      </c>
      <c r="G42" s="7">
        <v>8.3659600000000004E-3</v>
      </c>
      <c r="H42" s="6"/>
    </row>
    <row r="43" spans="1:8" ht="17.100000000000001" customHeight="1" x14ac:dyDescent="0.2">
      <c r="A43" s="3">
        <v>37</v>
      </c>
      <c r="B43" s="4" t="s">
        <v>100</v>
      </c>
      <c r="C43" s="4" t="s">
        <v>101</v>
      </c>
      <c r="D43" s="4" t="s">
        <v>54</v>
      </c>
      <c r="E43" s="5">
        <v>87973</v>
      </c>
      <c r="F43" s="6">
        <v>492.03298899999999</v>
      </c>
      <c r="G43" s="7">
        <v>8.3530480000000001E-3</v>
      </c>
      <c r="H43" s="6"/>
    </row>
    <row r="44" spans="1:8" ht="17.100000000000001" customHeight="1" x14ac:dyDescent="0.2">
      <c r="A44" s="3">
        <v>38</v>
      </c>
      <c r="B44" s="4" t="s">
        <v>102</v>
      </c>
      <c r="C44" s="4" t="s">
        <v>103</v>
      </c>
      <c r="D44" s="4" t="s">
        <v>92</v>
      </c>
      <c r="E44" s="5">
        <v>112117</v>
      </c>
      <c r="F44" s="6">
        <v>481.1501055</v>
      </c>
      <c r="G44" s="7">
        <v>8.1682930000000001E-3</v>
      </c>
      <c r="H44" s="6"/>
    </row>
    <row r="45" spans="1:8" ht="17.100000000000001" customHeight="1" x14ac:dyDescent="0.2">
      <c r="A45" s="3">
        <v>39</v>
      </c>
      <c r="B45" s="4" t="s">
        <v>104</v>
      </c>
      <c r="C45" s="4" t="s">
        <v>105</v>
      </c>
      <c r="D45" s="4" t="s">
        <v>106</v>
      </c>
      <c r="E45" s="5">
        <v>589999</v>
      </c>
      <c r="F45" s="6">
        <v>448.1042405</v>
      </c>
      <c r="G45" s="7">
        <v>7.6072869999999999E-3</v>
      </c>
      <c r="H45" s="6"/>
    </row>
    <row r="46" spans="1:8" ht="17.100000000000001" customHeight="1" x14ac:dyDescent="0.2">
      <c r="A46" s="3">
        <v>40</v>
      </c>
      <c r="B46" s="4" t="s">
        <v>107</v>
      </c>
      <c r="C46" s="4" t="s">
        <v>108</v>
      </c>
      <c r="D46" s="4" t="s">
        <v>13</v>
      </c>
      <c r="E46" s="5">
        <v>379538</v>
      </c>
      <c r="F46" s="6">
        <v>442.54130800000001</v>
      </c>
      <c r="G46" s="7">
        <v>7.5128469999999996E-3</v>
      </c>
      <c r="H46" s="6"/>
    </row>
    <row r="47" spans="1:8" ht="17.100000000000001" customHeight="1" x14ac:dyDescent="0.2">
      <c r="A47" s="3">
        <v>41</v>
      </c>
      <c r="B47" s="4" t="s">
        <v>109</v>
      </c>
      <c r="C47" s="4" t="s">
        <v>110</v>
      </c>
      <c r="D47" s="4" t="s">
        <v>54</v>
      </c>
      <c r="E47" s="5">
        <v>81311</v>
      </c>
      <c r="F47" s="6">
        <v>307.51820199999997</v>
      </c>
      <c r="G47" s="7">
        <v>5.2206140000000002E-3</v>
      </c>
      <c r="H47" s="6"/>
    </row>
    <row r="48" spans="1:8" ht="17.100000000000001" customHeight="1" x14ac:dyDescent="0.2">
      <c r="A48" s="3">
        <v>42</v>
      </c>
      <c r="B48" s="4" t="s">
        <v>111</v>
      </c>
      <c r="C48" s="4" t="s">
        <v>112</v>
      </c>
      <c r="D48" s="4" t="s">
        <v>54</v>
      </c>
      <c r="E48" s="5">
        <v>98674</v>
      </c>
      <c r="F48" s="6">
        <v>251.12532999999999</v>
      </c>
      <c r="G48" s="7">
        <v>4.2632549999999996E-3</v>
      </c>
      <c r="H48" s="6"/>
    </row>
    <row r="49" spans="1:8" ht="17.100000000000001" customHeight="1" x14ac:dyDescent="0.2">
      <c r="A49" s="3">
        <v>43</v>
      </c>
      <c r="B49" s="4" t="s">
        <v>113</v>
      </c>
      <c r="C49" s="4" t="s">
        <v>114</v>
      </c>
      <c r="D49" s="4" t="s">
        <v>92</v>
      </c>
      <c r="E49" s="5">
        <v>18552</v>
      </c>
      <c r="F49" s="6">
        <v>149.48274000000001</v>
      </c>
      <c r="G49" s="7">
        <v>2.537709E-3</v>
      </c>
      <c r="H49" s="6"/>
    </row>
    <row r="50" spans="1:8" ht="17.100000000000001" customHeight="1" x14ac:dyDescent="0.2">
      <c r="A50" s="3">
        <v>44</v>
      </c>
      <c r="B50" s="4" t="s">
        <v>115</v>
      </c>
      <c r="C50" s="4" t="s">
        <v>116</v>
      </c>
      <c r="D50" s="4" t="s">
        <v>92</v>
      </c>
      <c r="E50" s="5">
        <v>45231</v>
      </c>
      <c r="F50" s="6">
        <v>32.928167999999999</v>
      </c>
      <c r="G50" s="7">
        <v>5.5900800000000005E-4</v>
      </c>
      <c r="H50" s="6"/>
    </row>
    <row r="51" spans="1:8" ht="14.1" customHeight="1" x14ac:dyDescent="0.2">
      <c r="A51" s="1"/>
      <c r="B51" s="1"/>
      <c r="C51" s="2" t="s">
        <v>119</v>
      </c>
      <c r="D51" s="1"/>
      <c r="E51" s="1" t="s">
        <v>120</v>
      </c>
      <c r="F51" s="9">
        <v>56302.862129499983</v>
      </c>
      <c r="G51" s="10">
        <v>0.95583122799999998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121</v>
      </c>
      <c r="D53" s="1"/>
      <c r="E53" s="1"/>
      <c r="F53" s="1"/>
      <c r="G53" s="1"/>
      <c r="H53" s="6"/>
    </row>
    <row r="54" spans="1:8" ht="14.1" customHeight="1" x14ac:dyDescent="0.2">
      <c r="A54" s="1"/>
      <c r="B54" s="1"/>
      <c r="C54" s="2" t="s">
        <v>119</v>
      </c>
      <c r="D54" s="1"/>
      <c r="E54" s="1" t="s">
        <v>120</v>
      </c>
      <c r="F54" s="13">
        <v>0</v>
      </c>
      <c r="G54" s="14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122</v>
      </c>
      <c r="D56" s="1"/>
      <c r="E56" s="1"/>
      <c r="F56" s="1"/>
      <c r="G56" s="1"/>
      <c r="H56" s="6"/>
    </row>
    <row r="57" spans="1:8" ht="17.100000000000001" customHeight="1" x14ac:dyDescent="0.2">
      <c r="A57" s="3">
        <v>1</v>
      </c>
      <c r="B57" s="4" t="s">
        <v>117</v>
      </c>
      <c r="C57" s="97" t="s">
        <v>995</v>
      </c>
      <c r="D57" s="97" t="s">
        <v>996</v>
      </c>
      <c r="E57" s="5">
        <v>559425</v>
      </c>
      <c r="F57" s="6">
        <v>1.1189000000000001E-5</v>
      </c>
      <c r="G57" s="8" t="s">
        <v>118</v>
      </c>
      <c r="H57" s="6"/>
    </row>
    <row r="58" spans="1:8" ht="14.1" customHeight="1" x14ac:dyDescent="0.2">
      <c r="A58" s="1"/>
      <c r="B58" s="1"/>
      <c r="C58" s="2" t="s">
        <v>119</v>
      </c>
      <c r="D58" s="1"/>
      <c r="E58" s="1" t="s">
        <v>120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123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119</v>
      </c>
      <c r="D61" s="1"/>
      <c r="E61" s="1" t="s">
        <v>120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124</v>
      </c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119</v>
      </c>
      <c r="D64" s="1"/>
      <c r="E64" s="1" t="s">
        <v>120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125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8" customHeight="1" x14ac:dyDescent="0.2">
      <c r="A69" s="1"/>
      <c r="B69" s="1"/>
      <c r="C69" s="2" t="s">
        <v>126</v>
      </c>
      <c r="D69" s="1"/>
      <c r="E69" s="1"/>
      <c r="F69" s="9">
        <v>56302.862140689002</v>
      </c>
      <c r="G69" s="10">
        <v>0.95583122799999998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127</v>
      </c>
      <c r="D71" s="1"/>
      <c r="E71" s="1"/>
      <c r="F71" s="12"/>
      <c r="G71" s="12"/>
      <c r="H71" s="6"/>
    </row>
    <row r="72" spans="1:8" ht="24" customHeight="1" x14ac:dyDescent="0.2">
      <c r="A72" s="1"/>
      <c r="B72" s="1"/>
      <c r="C72" s="2" t="s">
        <v>10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128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119</v>
      </c>
      <c r="D76" s="1"/>
      <c r="E76" s="1" t="s">
        <v>120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129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130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131</v>
      </c>
      <c r="D84" s="1"/>
      <c r="E84" s="1"/>
      <c r="F84" s="9">
        <v>0</v>
      </c>
      <c r="G84" s="10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132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133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134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135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136</v>
      </c>
      <c r="D96" s="1"/>
      <c r="E96" s="1"/>
      <c r="F96" s="12"/>
      <c r="G96" s="12"/>
      <c r="H96" s="6"/>
    </row>
    <row r="97" spans="1:8" ht="17.100000000000001" customHeight="1" x14ac:dyDescent="0.2">
      <c r="A97" s="3">
        <v>1</v>
      </c>
      <c r="B97" s="4"/>
      <c r="C97" s="4" t="s">
        <v>137</v>
      </c>
      <c r="D97" s="4"/>
      <c r="E97" s="8"/>
      <c r="F97" s="6">
        <v>2068.3764209000001</v>
      </c>
      <c r="G97" s="7">
        <v>3.5114000999999999E-2</v>
      </c>
      <c r="H97" s="6">
        <v>4.1713246754849944</v>
      </c>
    </row>
    <row r="98" spans="1:8" ht="14.1" customHeight="1" x14ac:dyDescent="0.2">
      <c r="A98" s="1"/>
      <c r="B98" s="1"/>
      <c r="C98" s="2" t="s">
        <v>119</v>
      </c>
      <c r="D98" s="1"/>
      <c r="E98" s="1" t="s">
        <v>120</v>
      </c>
      <c r="F98" s="9">
        <v>2068.3764209000001</v>
      </c>
      <c r="G98" s="10">
        <v>3.5114000999999999E-2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138</v>
      </c>
      <c r="D100" s="1"/>
      <c r="E100" s="1"/>
      <c r="F100" s="9">
        <v>2068.3764209000001</v>
      </c>
      <c r="G100" s="10">
        <v>3.5114000999999999E-2</v>
      </c>
      <c r="H100" s="6"/>
    </row>
    <row r="101" spans="1:8" ht="14.1" customHeight="1" x14ac:dyDescent="0.2">
      <c r="A101" s="1"/>
      <c r="B101" s="1"/>
      <c r="C101" s="12"/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139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140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119</v>
      </c>
      <c r="D104" s="1"/>
      <c r="E104" s="1" t="s">
        <v>120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141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142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119</v>
      </c>
      <c r="D108" s="1"/>
      <c r="E108" s="1" t="s">
        <v>120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24" customHeight="1" x14ac:dyDescent="0.2">
      <c r="A111" s="1"/>
      <c r="B111" s="1"/>
      <c r="C111" s="2" t="s">
        <v>143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119</v>
      </c>
      <c r="D112" s="1"/>
      <c r="E112" s="1" t="s">
        <v>120</v>
      </c>
      <c r="F112" s="13">
        <v>0</v>
      </c>
      <c r="G112" s="14">
        <v>0</v>
      </c>
      <c r="H112" s="6"/>
    </row>
    <row r="113" spans="1:15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15" ht="14.1" customHeight="1" x14ac:dyDescent="0.2">
      <c r="A114" s="1"/>
      <c r="B114" s="4"/>
      <c r="C114" s="4"/>
      <c r="D114" s="2"/>
      <c r="E114" s="1"/>
      <c r="F114" s="4"/>
      <c r="G114" s="8"/>
      <c r="H114" s="6"/>
    </row>
    <row r="115" spans="1:15" ht="18" customHeight="1" x14ac:dyDescent="0.2">
      <c r="A115" s="8"/>
      <c r="B115" s="4"/>
      <c r="C115" s="4" t="s">
        <v>144</v>
      </c>
      <c r="D115" s="4"/>
      <c r="E115" s="8"/>
      <c r="F115" s="6">
        <v>533.36779705000004</v>
      </c>
      <c r="G115" s="7">
        <v>9.0547720000000009E-3</v>
      </c>
      <c r="H115" s="6"/>
    </row>
    <row r="116" spans="1:15" ht="14.1" customHeight="1" x14ac:dyDescent="0.2">
      <c r="A116" s="11"/>
      <c r="B116" s="11"/>
      <c r="C116" s="2" t="s">
        <v>145</v>
      </c>
      <c r="D116" s="15"/>
      <c r="E116" s="15"/>
      <c r="F116" s="9">
        <v>58904.606358639001</v>
      </c>
      <c r="G116" s="10">
        <v>1.0000000010000001</v>
      </c>
      <c r="H116" s="6"/>
    </row>
    <row r="117" spans="1:15" ht="14.1" customHeight="1" x14ac:dyDescent="0.2">
      <c r="A117" s="16"/>
      <c r="B117" s="16"/>
      <c r="C117" s="16"/>
      <c r="D117" s="17"/>
      <c r="E117" s="17"/>
      <c r="F117" s="17"/>
      <c r="G117" s="17"/>
    </row>
    <row r="118" spans="1:15" ht="17.100000000000001" customHeight="1" x14ac:dyDescent="0.2">
      <c r="A118" s="18"/>
      <c r="B118" s="267" t="s">
        <v>146</v>
      </c>
      <c r="C118" s="267"/>
      <c r="D118" s="267"/>
      <c r="E118" s="267"/>
      <c r="F118" s="267"/>
      <c r="G118" s="20"/>
    </row>
    <row r="119" spans="1:15" ht="14.1" customHeight="1" x14ac:dyDescent="0.2">
      <c r="A119" s="18"/>
      <c r="B119" s="18"/>
      <c r="C119" s="18"/>
      <c r="D119" s="20"/>
      <c r="E119" s="20"/>
      <c r="F119" s="20"/>
      <c r="G119" s="20"/>
    </row>
    <row r="120" spans="1:15" ht="14.1" customHeight="1" x14ac:dyDescent="0.2">
      <c r="A120" s="18"/>
      <c r="B120" s="265" t="s">
        <v>147</v>
      </c>
      <c r="C120" s="266"/>
      <c r="D120" s="12" t="s">
        <v>120</v>
      </c>
      <c r="E120" s="21"/>
      <c r="F120" s="20"/>
      <c r="G120" s="20"/>
    </row>
    <row r="121" spans="1:15" ht="29.1" customHeight="1" x14ac:dyDescent="0.2">
      <c r="A121" s="18"/>
      <c r="B121" s="272" t="s">
        <v>148</v>
      </c>
      <c r="C121" s="273"/>
      <c r="D121" s="2" t="s">
        <v>149</v>
      </c>
      <c r="E121" s="21"/>
      <c r="F121" s="20"/>
      <c r="G121" s="20"/>
    </row>
    <row r="122" spans="1:15" ht="17.100000000000001" customHeight="1" x14ac:dyDescent="0.2">
      <c r="A122" s="18"/>
      <c r="B122" s="274" t="s">
        <v>997</v>
      </c>
      <c r="C122" s="275"/>
      <c r="D122" s="98" t="s">
        <v>998</v>
      </c>
      <c r="E122" s="21"/>
      <c r="F122" s="20"/>
      <c r="G122" s="20"/>
    </row>
    <row r="123" spans="1:15" ht="17.100000000000001" customHeight="1" x14ac:dyDescent="0.2">
      <c r="A123" s="18"/>
      <c r="B123" s="272" t="s">
        <v>151</v>
      </c>
      <c r="C123" s="273"/>
      <c r="D123" s="12" t="s">
        <v>120</v>
      </c>
      <c r="E123" s="21"/>
      <c r="F123" s="20"/>
      <c r="G123" s="20"/>
    </row>
    <row r="124" spans="1:15" ht="24" customHeight="1" x14ac:dyDescent="0.2">
      <c r="A124" s="22"/>
      <c r="B124" s="23" t="s">
        <v>120</v>
      </c>
      <c r="C124" s="23" t="s">
        <v>152</v>
      </c>
      <c r="D124" s="23" t="s">
        <v>153</v>
      </c>
      <c r="E124" s="22"/>
      <c r="F124" s="22"/>
      <c r="G124" s="22"/>
    </row>
    <row r="125" spans="1:15" ht="18" customHeight="1" x14ac:dyDescent="0.2">
      <c r="A125" s="22"/>
      <c r="B125" s="23" t="s">
        <v>154</v>
      </c>
      <c r="C125" s="23" t="s">
        <v>155</v>
      </c>
      <c r="D125" s="23" t="s">
        <v>156</v>
      </c>
      <c r="E125" s="22"/>
      <c r="F125" s="22"/>
      <c r="G125" s="22"/>
    </row>
    <row r="126" spans="1:15" ht="17.100000000000001" customHeight="1" x14ac:dyDescent="0.2">
      <c r="A126" s="22"/>
      <c r="B126" s="4" t="s">
        <v>157</v>
      </c>
      <c r="C126" s="24">
        <v>53.485100000000003</v>
      </c>
      <c r="D126" s="24">
        <v>50.642299999999999</v>
      </c>
      <c r="E126" s="22"/>
      <c r="F126" s="19"/>
      <c r="G126" s="25"/>
    </row>
    <row r="127" spans="1:15" ht="17.100000000000001" customHeight="1" x14ac:dyDescent="0.2">
      <c r="A127" s="22"/>
      <c r="B127" s="4" t="s">
        <v>1120</v>
      </c>
      <c r="C127" s="24">
        <v>41.2654</v>
      </c>
      <c r="D127" s="24">
        <v>39.072099999999999</v>
      </c>
      <c r="E127" s="22"/>
      <c r="F127" s="19"/>
      <c r="G127" s="25"/>
    </row>
    <row r="128" spans="1:15" ht="17.100000000000001" customHeight="1" x14ac:dyDescent="0.2">
      <c r="A128" s="22"/>
      <c r="B128" s="4" t="s">
        <v>158</v>
      </c>
      <c r="C128" s="24">
        <v>50.9664</v>
      </c>
      <c r="D128" s="24">
        <v>48.234900000000003</v>
      </c>
      <c r="E128" s="22"/>
      <c r="F128" s="19"/>
      <c r="G128" s="25"/>
      <c r="J128" s="170"/>
      <c r="K128" s="170"/>
      <c r="L128" s="170"/>
      <c r="M128" s="170"/>
      <c r="N128" s="170"/>
      <c r="O128" s="170"/>
    </row>
    <row r="129" spans="1:7" ht="17.100000000000001" customHeight="1" x14ac:dyDescent="0.2">
      <c r="A129" s="22"/>
      <c r="B129" s="4" t="s">
        <v>1121</v>
      </c>
      <c r="C129" s="24">
        <v>39.1235</v>
      </c>
      <c r="D129" s="24">
        <v>37.026699999999998</v>
      </c>
      <c r="E129" s="22"/>
      <c r="F129" s="19"/>
      <c r="G129" s="25"/>
    </row>
    <row r="130" spans="1:7" ht="14.1" customHeight="1" x14ac:dyDescent="0.2">
      <c r="A130" s="22"/>
      <c r="B130" s="22"/>
      <c r="C130" s="22"/>
      <c r="D130" s="22"/>
      <c r="E130" s="22"/>
      <c r="F130" s="22"/>
      <c r="G130" s="22"/>
    </row>
    <row r="131" spans="1:7" ht="17.100000000000001" customHeight="1" x14ac:dyDescent="0.2">
      <c r="A131" s="22"/>
      <c r="B131" s="272" t="s">
        <v>1122</v>
      </c>
      <c r="C131" s="273"/>
      <c r="D131" s="2" t="s">
        <v>149</v>
      </c>
      <c r="E131" s="22"/>
      <c r="F131" s="22"/>
      <c r="G131" s="22"/>
    </row>
    <row r="132" spans="1:7" ht="14.1" customHeight="1" x14ac:dyDescent="0.2">
      <c r="A132" s="22"/>
      <c r="B132" s="19"/>
      <c r="C132" s="19"/>
      <c r="D132" s="22"/>
      <c r="E132" s="22"/>
      <c r="F132" s="22"/>
      <c r="G132" s="22"/>
    </row>
    <row r="133" spans="1:7" ht="29.1" customHeight="1" x14ac:dyDescent="0.2">
      <c r="A133" s="22"/>
      <c r="B133" s="272" t="s">
        <v>160</v>
      </c>
      <c r="C133" s="273"/>
      <c r="D133" s="2" t="s">
        <v>149</v>
      </c>
      <c r="E133" s="22"/>
      <c r="F133" s="22"/>
      <c r="G133" s="22"/>
    </row>
    <row r="134" spans="1:7" ht="29.1" customHeight="1" x14ac:dyDescent="0.2">
      <c r="A134" s="22"/>
      <c r="B134" s="272" t="s">
        <v>161</v>
      </c>
      <c r="C134" s="273"/>
      <c r="D134" s="2" t="s">
        <v>149</v>
      </c>
      <c r="E134" s="22"/>
      <c r="F134" s="22"/>
      <c r="G134" s="22"/>
    </row>
    <row r="135" spans="1:7" ht="17.100000000000001" customHeight="1" x14ac:dyDescent="0.2">
      <c r="A135" s="22"/>
      <c r="B135" s="272" t="s">
        <v>162</v>
      </c>
      <c r="C135" s="273"/>
      <c r="D135" s="27">
        <v>0.34702699999999997</v>
      </c>
      <c r="E135" s="22"/>
      <c r="F135" s="19"/>
      <c r="G135" s="25"/>
    </row>
    <row r="136" spans="1:7" ht="17.100000000000001" customHeight="1" x14ac:dyDescent="0.2">
      <c r="A136" s="22"/>
      <c r="B136" s="272" t="s">
        <v>163</v>
      </c>
      <c r="C136" s="273"/>
      <c r="D136" s="2" t="s">
        <v>149</v>
      </c>
      <c r="E136" s="22"/>
      <c r="F136" s="22"/>
      <c r="G136" s="22"/>
    </row>
  </sheetData>
  <mergeCells count="14">
    <mergeCell ref="B135:C135"/>
    <mergeCell ref="B136:C136"/>
    <mergeCell ref="B121:C121"/>
    <mergeCell ref="B122:C122"/>
    <mergeCell ref="B123:C123"/>
    <mergeCell ref="B131:C131"/>
    <mergeCell ref="B133:C133"/>
    <mergeCell ref="B134:C134"/>
    <mergeCell ref="J2:N2"/>
    <mergeCell ref="B120:C120"/>
    <mergeCell ref="B118:F11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164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4.1" customHeight="1" x14ac:dyDescent="0.2">
      <c r="A7" s="1"/>
      <c r="B7" s="1"/>
      <c r="C7" s="2" t="s">
        <v>119</v>
      </c>
      <c r="D7" s="1"/>
      <c r="E7" s="1" t="s">
        <v>120</v>
      </c>
      <c r="F7" s="13">
        <v>0</v>
      </c>
      <c r="G7" s="14">
        <v>0</v>
      </c>
      <c r="H7" s="6"/>
    </row>
    <row r="8" spans="1:14" ht="14.1" customHeight="1" x14ac:dyDescent="0.2">
      <c r="A8" s="1"/>
      <c r="B8" s="1"/>
      <c r="C8" s="11"/>
      <c r="D8" s="1"/>
      <c r="E8" s="1"/>
      <c r="F8" s="12"/>
      <c r="G8" s="12"/>
      <c r="H8" s="6"/>
    </row>
    <row r="9" spans="1:14" ht="14.1" customHeight="1" x14ac:dyDescent="0.2">
      <c r="A9" s="1"/>
      <c r="B9" s="1"/>
      <c r="C9" s="2" t="s">
        <v>121</v>
      </c>
      <c r="D9" s="1"/>
      <c r="E9" s="1"/>
      <c r="F9" s="1"/>
      <c r="G9" s="1"/>
      <c r="H9" s="6"/>
    </row>
    <row r="10" spans="1:14" ht="14.1" customHeight="1" x14ac:dyDescent="0.2">
      <c r="A10" s="1"/>
      <c r="B10" s="1"/>
      <c r="C10" s="2" t="s">
        <v>119</v>
      </c>
      <c r="D10" s="1"/>
      <c r="E10" s="1" t="s">
        <v>120</v>
      </c>
      <c r="F10" s="13">
        <v>0</v>
      </c>
      <c r="G10" s="14">
        <v>0</v>
      </c>
      <c r="H10" s="6"/>
    </row>
    <row r="11" spans="1:14" ht="14.1" customHeight="1" x14ac:dyDescent="0.2">
      <c r="A11" s="1"/>
      <c r="B11" s="1"/>
      <c r="C11" s="11"/>
      <c r="D11" s="1"/>
      <c r="E11" s="1"/>
      <c r="F11" s="12"/>
      <c r="G11" s="12"/>
      <c r="H11" s="6"/>
    </row>
    <row r="12" spans="1:14" ht="14.1" customHeight="1" x14ac:dyDescent="0.2">
      <c r="A12" s="1"/>
      <c r="B12" s="1"/>
      <c r="C12" s="2" t="s">
        <v>122</v>
      </c>
      <c r="D12" s="1"/>
      <c r="E12" s="1"/>
      <c r="F12" s="1"/>
      <c r="G12" s="1"/>
      <c r="H12" s="6"/>
    </row>
    <row r="13" spans="1:14" ht="14.1" customHeight="1" x14ac:dyDescent="0.2">
      <c r="A13" s="1"/>
      <c r="B13" s="1"/>
      <c r="C13" s="2" t="s">
        <v>119</v>
      </c>
      <c r="D13" s="1"/>
      <c r="E13" s="1" t="s">
        <v>120</v>
      </c>
      <c r="F13" s="13">
        <v>0</v>
      </c>
      <c r="G13" s="14">
        <v>0</v>
      </c>
      <c r="H13" s="6"/>
    </row>
    <row r="14" spans="1:14" ht="14.1" customHeight="1" x14ac:dyDescent="0.2">
      <c r="A14" s="1"/>
      <c r="B14" s="1"/>
      <c r="C14" s="11"/>
      <c r="D14" s="1"/>
      <c r="E14" s="1"/>
      <c r="F14" s="12"/>
      <c r="G14" s="12"/>
      <c r="H14" s="6"/>
    </row>
    <row r="15" spans="1:14" ht="14.1" customHeight="1" x14ac:dyDescent="0.2">
      <c r="A15" s="1"/>
      <c r="B15" s="1"/>
      <c r="C15" s="2" t="s">
        <v>123</v>
      </c>
      <c r="D15" s="1"/>
      <c r="E15" s="1"/>
      <c r="F15" s="1"/>
      <c r="G15" s="1"/>
      <c r="H15" s="6"/>
    </row>
    <row r="16" spans="1:14" ht="14.1" customHeight="1" x14ac:dyDescent="0.2">
      <c r="A16" s="1"/>
      <c r="B16" s="1"/>
      <c r="C16" s="2" t="s">
        <v>119</v>
      </c>
      <c r="D16" s="1"/>
      <c r="E16" s="1" t="s">
        <v>120</v>
      </c>
      <c r="F16" s="13">
        <v>0</v>
      </c>
      <c r="G16" s="14">
        <v>0</v>
      </c>
      <c r="H16" s="6"/>
      <c r="J16" s="169" t="s">
        <v>1144</v>
      </c>
    </row>
    <row r="17" spans="1:8" ht="14.1" customHeight="1" x14ac:dyDescent="0.2">
      <c r="A17" s="1"/>
      <c r="B17" s="1"/>
      <c r="C17" s="11"/>
      <c r="D17" s="1"/>
      <c r="E17" s="1"/>
      <c r="F17" s="12"/>
      <c r="G17" s="12"/>
      <c r="H17" s="6"/>
    </row>
    <row r="18" spans="1:8" ht="14.1" customHeight="1" x14ac:dyDescent="0.2">
      <c r="A18" s="1"/>
      <c r="B18" s="1"/>
      <c r="C18" s="2" t="s">
        <v>124</v>
      </c>
      <c r="D18" s="1"/>
      <c r="E18" s="1"/>
      <c r="F18" s="12"/>
      <c r="G18" s="12"/>
      <c r="H18" s="6"/>
    </row>
    <row r="19" spans="1:8" ht="14.1" customHeight="1" x14ac:dyDescent="0.2">
      <c r="A19" s="1"/>
      <c r="B19" s="1"/>
      <c r="C19" s="2" t="s">
        <v>119</v>
      </c>
      <c r="D19" s="1"/>
      <c r="E19" s="1" t="s">
        <v>120</v>
      </c>
      <c r="F19" s="13">
        <v>0</v>
      </c>
      <c r="G19" s="14">
        <v>0</v>
      </c>
      <c r="H19" s="6"/>
    </row>
    <row r="20" spans="1:8" ht="14.1" customHeight="1" x14ac:dyDescent="0.2">
      <c r="A20" s="1"/>
      <c r="B20" s="1"/>
      <c r="C20" s="11"/>
      <c r="D20" s="1"/>
      <c r="E20" s="1"/>
      <c r="F20" s="12"/>
      <c r="G20" s="12"/>
      <c r="H20" s="6"/>
    </row>
    <row r="21" spans="1:8" ht="14.1" customHeight="1" x14ac:dyDescent="0.2">
      <c r="A21" s="1"/>
      <c r="B21" s="1"/>
      <c r="C21" s="2" t="s">
        <v>125</v>
      </c>
      <c r="D21" s="1"/>
      <c r="E21" s="1"/>
      <c r="F21" s="12"/>
      <c r="G21" s="12"/>
      <c r="H21" s="6"/>
    </row>
    <row r="22" spans="1:8" ht="14.1" customHeight="1" x14ac:dyDescent="0.2">
      <c r="A22" s="1"/>
      <c r="B22" s="1"/>
      <c r="C22" s="2" t="s">
        <v>119</v>
      </c>
      <c r="D22" s="1"/>
      <c r="E22" s="1" t="s">
        <v>120</v>
      </c>
      <c r="F22" s="13">
        <v>0</v>
      </c>
      <c r="G22" s="14">
        <v>0</v>
      </c>
      <c r="H22" s="6"/>
    </row>
    <row r="23" spans="1:8" ht="14.1" customHeight="1" x14ac:dyDescent="0.2">
      <c r="A23" s="1"/>
      <c r="B23" s="1"/>
      <c r="C23" s="11"/>
      <c r="D23" s="1"/>
      <c r="E23" s="1"/>
      <c r="F23" s="12"/>
      <c r="G23" s="12"/>
      <c r="H23" s="6"/>
    </row>
    <row r="24" spans="1:8" ht="18" customHeight="1" x14ac:dyDescent="0.2">
      <c r="A24" s="1"/>
      <c r="B24" s="1"/>
      <c r="C24" s="2" t="s">
        <v>126</v>
      </c>
      <c r="D24" s="1"/>
      <c r="E24" s="1"/>
      <c r="F24" s="9">
        <v>0</v>
      </c>
      <c r="G24" s="10">
        <v>0</v>
      </c>
      <c r="H24" s="6"/>
    </row>
    <row r="25" spans="1:8" ht="14.1" customHeight="1" x14ac:dyDescent="0.2">
      <c r="A25" s="1"/>
      <c r="B25" s="1"/>
      <c r="C25" s="11"/>
      <c r="D25" s="1"/>
      <c r="E25" s="1"/>
      <c r="F25" s="12"/>
      <c r="G25" s="12"/>
      <c r="H25" s="6"/>
    </row>
    <row r="26" spans="1:8" ht="14.1" customHeight="1" x14ac:dyDescent="0.2">
      <c r="A26" s="1"/>
      <c r="B26" s="1"/>
      <c r="C26" s="2" t="s">
        <v>127</v>
      </c>
      <c r="D26" s="1"/>
      <c r="E26" s="1"/>
      <c r="F26" s="12"/>
      <c r="G26" s="12"/>
      <c r="H26" s="6"/>
    </row>
    <row r="27" spans="1:8" ht="24" customHeight="1" x14ac:dyDescent="0.2">
      <c r="A27" s="1"/>
      <c r="B27" s="1"/>
      <c r="C27" s="2" t="s">
        <v>10</v>
      </c>
      <c r="D27" s="1"/>
      <c r="E27" s="1"/>
      <c r="F27" s="12"/>
      <c r="G27" s="12"/>
      <c r="H27" s="6"/>
    </row>
    <row r="28" spans="1:8" ht="14.1" customHeight="1" x14ac:dyDescent="0.2">
      <c r="A28" s="1"/>
      <c r="B28" s="1"/>
      <c r="C28" s="2" t="s">
        <v>119</v>
      </c>
      <c r="D28" s="1"/>
      <c r="E28" s="1" t="s">
        <v>120</v>
      </c>
      <c r="F28" s="13">
        <v>0</v>
      </c>
      <c r="G28" s="14">
        <v>0</v>
      </c>
      <c r="H28" s="6"/>
    </row>
    <row r="29" spans="1:8" ht="14.1" customHeight="1" x14ac:dyDescent="0.2">
      <c r="A29" s="1"/>
      <c r="B29" s="1"/>
      <c r="C29" s="11"/>
      <c r="D29" s="1"/>
      <c r="E29" s="1"/>
      <c r="F29" s="12"/>
      <c r="G29" s="12"/>
      <c r="H29" s="6"/>
    </row>
    <row r="30" spans="1:8" ht="14.1" customHeight="1" x14ac:dyDescent="0.2">
      <c r="A30" s="1"/>
      <c r="B30" s="1"/>
      <c r="C30" s="2" t="s">
        <v>128</v>
      </c>
      <c r="D30" s="1"/>
      <c r="E30" s="1"/>
      <c r="F30" s="1"/>
      <c r="G30" s="1"/>
      <c r="H30" s="6"/>
    </row>
    <row r="31" spans="1:8" ht="14.1" customHeight="1" x14ac:dyDescent="0.2">
      <c r="A31" s="1"/>
      <c r="B31" s="1"/>
      <c r="C31" s="2" t="s">
        <v>119</v>
      </c>
      <c r="D31" s="1"/>
      <c r="E31" s="1" t="s">
        <v>120</v>
      </c>
      <c r="F31" s="13">
        <v>0</v>
      </c>
      <c r="G31" s="14">
        <v>0</v>
      </c>
      <c r="H31" s="6"/>
    </row>
    <row r="32" spans="1:8" ht="14.1" customHeight="1" x14ac:dyDescent="0.2">
      <c r="A32" s="1"/>
      <c r="B32" s="1"/>
      <c r="C32" s="11"/>
      <c r="D32" s="1"/>
      <c r="E32" s="1"/>
      <c r="F32" s="12"/>
      <c r="G32" s="12"/>
      <c r="H32" s="6"/>
    </row>
    <row r="33" spans="1:8" ht="14.1" customHeight="1" x14ac:dyDescent="0.2">
      <c r="A33" s="1"/>
      <c r="B33" s="1"/>
      <c r="C33" s="2" t="s">
        <v>129</v>
      </c>
      <c r="D33" s="1"/>
      <c r="E33" s="1"/>
      <c r="F33" s="1"/>
      <c r="G33" s="1"/>
      <c r="H33" s="6"/>
    </row>
    <row r="34" spans="1:8" ht="14.1" customHeight="1" x14ac:dyDescent="0.2">
      <c r="A34" s="1"/>
      <c r="B34" s="1"/>
      <c r="C34" s="2" t="s">
        <v>119</v>
      </c>
      <c r="D34" s="1"/>
      <c r="E34" s="1" t="s">
        <v>120</v>
      </c>
      <c r="F34" s="13">
        <v>0</v>
      </c>
      <c r="G34" s="14">
        <v>0</v>
      </c>
      <c r="H34" s="6"/>
    </row>
    <row r="35" spans="1:8" ht="14.1" customHeight="1" x14ac:dyDescent="0.2">
      <c r="A35" s="1"/>
      <c r="B35" s="1"/>
      <c r="C35" s="11"/>
      <c r="D35" s="1"/>
      <c r="E35" s="1"/>
      <c r="F35" s="12"/>
      <c r="G35" s="12"/>
      <c r="H35" s="6"/>
    </row>
    <row r="36" spans="1:8" ht="14.1" customHeight="1" x14ac:dyDescent="0.2">
      <c r="A36" s="1"/>
      <c r="B36" s="1"/>
      <c r="C36" s="2" t="s">
        <v>130</v>
      </c>
      <c r="D36" s="1"/>
      <c r="E36" s="1"/>
      <c r="F36" s="12"/>
      <c r="G36" s="12"/>
      <c r="H36" s="6"/>
    </row>
    <row r="37" spans="1:8" ht="14.1" customHeight="1" x14ac:dyDescent="0.2">
      <c r="A37" s="1"/>
      <c r="B37" s="1"/>
      <c r="C37" s="2" t="s">
        <v>119</v>
      </c>
      <c r="D37" s="1"/>
      <c r="E37" s="1" t="s">
        <v>120</v>
      </c>
      <c r="F37" s="13">
        <v>0</v>
      </c>
      <c r="G37" s="14">
        <v>0</v>
      </c>
      <c r="H37" s="6"/>
    </row>
    <row r="38" spans="1:8" ht="14.1" customHeight="1" x14ac:dyDescent="0.2">
      <c r="A38" s="1"/>
      <c r="B38" s="1"/>
      <c r="C38" s="11"/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131</v>
      </c>
      <c r="D39" s="1"/>
      <c r="E39" s="1"/>
      <c r="F39" s="9">
        <v>0</v>
      </c>
      <c r="G39" s="10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132</v>
      </c>
      <c r="D41" s="1"/>
      <c r="E41" s="1"/>
      <c r="F41" s="12"/>
      <c r="G41" s="12"/>
      <c r="H41" s="6"/>
    </row>
    <row r="42" spans="1:8" ht="14.1" customHeight="1" x14ac:dyDescent="0.2">
      <c r="A42" s="1"/>
      <c r="B42" s="1"/>
      <c r="C42" s="2" t="s">
        <v>133</v>
      </c>
      <c r="D42" s="1"/>
      <c r="E42" s="1"/>
      <c r="F42" s="12"/>
      <c r="G42" s="12"/>
      <c r="H42" s="6"/>
    </row>
    <row r="43" spans="1:8" ht="14.1" customHeight="1" x14ac:dyDescent="0.2">
      <c r="A43" s="1"/>
      <c r="B43" s="1"/>
      <c r="C43" s="2" t="s">
        <v>119</v>
      </c>
      <c r="D43" s="1"/>
      <c r="E43" s="1" t="s">
        <v>120</v>
      </c>
      <c r="F43" s="13">
        <v>0</v>
      </c>
      <c r="G43" s="14">
        <v>0</v>
      </c>
      <c r="H43" s="6"/>
    </row>
    <row r="44" spans="1:8" ht="14.1" customHeight="1" x14ac:dyDescent="0.2">
      <c r="A44" s="1"/>
      <c r="B44" s="1"/>
      <c r="C44" s="11"/>
      <c r="D44" s="1"/>
      <c r="E44" s="1"/>
      <c r="F44" s="12"/>
      <c r="G44" s="12"/>
      <c r="H44" s="6"/>
    </row>
    <row r="45" spans="1:8" ht="14.1" customHeight="1" x14ac:dyDescent="0.2">
      <c r="A45" s="1"/>
      <c r="B45" s="1"/>
      <c r="C45" s="2" t="s">
        <v>134</v>
      </c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119</v>
      </c>
      <c r="D46" s="1"/>
      <c r="E46" s="1" t="s">
        <v>120</v>
      </c>
      <c r="F46" s="13">
        <v>0</v>
      </c>
      <c r="G46" s="14">
        <v>0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135</v>
      </c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119</v>
      </c>
      <c r="D49" s="1"/>
      <c r="E49" s="1" t="s">
        <v>120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136</v>
      </c>
      <c r="D51" s="1"/>
      <c r="E51" s="1"/>
      <c r="F51" s="12"/>
      <c r="G51" s="12"/>
      <c r="H51" s="6"/>
    </row>
    <row r="52" spans="1:8" ht="17.100000000000001" customHeight="1" x14ac:dyDescent="0.2">
      <c r="A52" s="3">
        <v>1</v>
      </c>
      <c r="B52" s="4"/>
      <c r="C52" s="4" t="s">
        <v>137</v>
      </c>
      <c r="D52" s="4"/>
      <c r="E52" s="8"/>
      <c r="F52" s="6">
        <v>21068.393051700001</v>
      </c>
      <c r="G52" s="7">
        <v>0.99329794000000005</v>
      </c>
      <c r="H52" s="6">
        <v>4.1713246754849944</v>
      </c>
    </row>
    <row r="53" spans="1:8" ht="14.1" customHeight="1" x14ac:dyDescent="0.2">
      <c r="A53" s="1"/>
      <c r="B53" s="1"/>
      <c r="C53" s="2" t="s">
        <v>119</v>
      </c>
      <c r="D53" s="1"/>
      <c r="E53" s="1" t="s">
        <v>120</v>
      </c>
      <c r="F53" s="9">
        <v>21068.393051700001</v>
      </c>
      <c r="G53" s="10">
        <v>0.99329794000000005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138</v>
      </c>
      <c r="D55" s="1"/>
      <c r="E55" s="1"/>
      <c r="F55" s="9">
        <v>21068.393051700001</v>
      </c>
      <c r="G55" s="10">
        <v>0.99329794000000005</v>
      </c>
      <c r="H55" s="6"/>
    </row>
    <row r="56" spans="1:8" ht="14.1" customHeight="1" x14ac:dyDescent="0.2">
      <c r="A56" s="1"/>
      <c r="B56" s="1"/>
      <c r="C56" s="12"/>
      <c r="D56" s="1"/>
      <c r="E56" s="1"/>
      <c r="F56" s="1"/>
      <c r="G56" s="1"/>
      <c r="H56" s="6"/>
    </row>
    <row r="57" spans="1:8" ht="14.1" customHeight="1" x14ac:dyDescent="0.2">
      <c r="A57" s="1"/>
      <c r="B57" s="1"/>
      <c r="C57" s="2" t="s">
        <v>139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140</v>
      </c>
      <c r="D58" s="1"/>
      <c r="E58" s="1"/>
      <c r="F58" s="1"/>
      <c r="G58" s="1"/>
      <c r="H58" s="6"/>
    </row>
    <row r="59" spans="1:8" ht="14.1" customHeight="1" x14ac:dyDescent="0.2">
      <c r="A59" s="1"/>
      <c r="B59" s="1"/>
      <c r="C59" s="2" t="s">
        <v>119</v>
      </c>
      <c r="D59" s="1"/>
      <c r="E59" s="1" t="s">
        <v>120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141</v>
      </c>
      <c r="D61" s="1"/>
      <c r="E61" s="1"/>
      <c r="F61" s="1"/>
      <c r="G61" s="1"/>
      <c r="H61" s="6"/>
    </row>
    <row r="62" spans="1:8" ht="14.1" customHeight="1" x14ac:dyDescent="0.2">
      <c r="A62" s="1"/>
      <c r="B62" s="1"/>
      <c r="C62" s="2" t="s">
        <v>142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119</v>
      </c>
      <c r="D63" s="1"/>
      <c r="E63" s="1" t="s">
        <v>120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24" customHeight="1" x14ac:dyDescent="0.2">
      <c r="A66" s="1"/>
      <c r="B66" s="1"/>
      <c r="C66" s="2" t="s">
        <v>143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4"/>
      <c r="C69" s="4"/>
      <c r="D69" s="2"/>
      <c r="E69" s="1"/>
      <c r="F69" s="4"/>
      <c r="G69" s="8"/>
      <c r="H69" s="6"/>
    </row>
    <row r="70" spans="1:8" ht="18" customHeight="1" x14ac:dyDescent="0.2">
      <c r="A70" s="8"/>
      <c r="B70" s="4"/>
      <c r="C70" s="4" t="s">
        <v>144</v>
      </c>
      <c r="D70" s="4"/>
      <c r="E70" s="8"/>
      <c r="F70" s="6">
        <v>142.15436939</v>
      </c>
      <c r="G70" s="7">
        <v>6.7020600000000001E-3</v>
      </c>
      <c r="H70" s="6"/>
    </row>
    <row r="71" spans="1:8" ht="14.1" customHeight="1" x14ac:dyDescent="0.2">
      <c r="A71" s="11"/>
      <c r="B71" s="11"/>
      <c r="C71" s="2" t="s">
        <v>145</v>
      </c>
      <c r="D71" s="15"/>
      <c r="E71" s="15"/>
      <c r="F71" s="9">
        <v>21210.547421089999</v>
      </c>
      <c r="G71" s="10">
        <v>1</v>
      </c>
      <c r="H71" s="6"/>
    </row>
    <row r="72" spans="1:8" ht="14.1" customHeight="1" x14ac:dyDescent="0.2">
      <c r="A72" s="18"/>
      <c r="B72" s="18"/>
      <c r="C72" s="18"/>
      <c r="D72" s="20"/>
      <c r="E72" s="20"/>
      <c r="F72" s="20"/>
      <c r="G72" s="20"/>
    </row>
    <row r="73" spans="1:8" ht="14.1" customHeight="1" x14ac:dyDescent="0.2">
      <c r="A73" s="18"/>
      <c r="B73" s="265" t="s">
        <v>147</v>
      </c>
      <c r="C73" s="266"/>
      <c r="D73" s="12" t="s">
        <v>120</v>
      </c>
      <c r="E73" s="21"/>
      <c r="F73" s="20"/>
      <c r="G73" s="20"/>
    </row>
    <row r="74" spans="1:8" ht="29.1" customHeight="1" x14ac:dyDescent="0.2">
      <c r="A74" s="18"/>
      <c r="B74" s="272" t="s">
        <v>148</v>
      </c>
      <c r="C74" s="273"/>
      <c r="D74" s="2" t="s">
        <v>149</v>
      </c>
      <c r="E74" s="21"/>
      <c r="F74" s="20"/>
      <c r="G74" s="20"/>
    </row>
    <row r="75" spans="1:8" ht="17.100000000000001" customHeight="1" x14ac:dyDescent="0.2">
      <c r="A75" s="18"/>
      <c r="B75" s="272" t="s">
        <v>150</v>
      </c>
      <c r="C75" s="273"/>
      <c r="D75" s="2" t="s">
        <v>149</v>
      </c>
      <c r="E75" s="21"/>
      <c r="F75" s="20"/>
      <c r="G75" s="20"/>
    </row>
    <row r="76" spans="1:8" ht="17.100000000000001" customHeight="1" x14ac:dyDescent="0.2">
      <c r="A76" s="18"/>
      <c r="B76" s="272" t="s">
        <v>151</v>
      </c>
      <c r="C76" s="273"/>
      <c r="D76" s="12" t="s">
        <v>120</v>
      </c>
      <c r="E76" s="21"/>
      <c r="F76" s="20"/>
      <c r="G76" s="20"/>
    </row>
    <row r="77" spans="1:8" ht="24" customHeight="1" x14ac:dyDescent="0.2">
      <c r="A77" s="22"/>
      <c r="B77" s="23" t="s">
        <v>120</v>
      </c>
      <c r="C77" s="23" t="s">
        <v>152</v>
      </c>
      <c r="D77" s="23" t="s">
        <v>153</v>
      </c>
      <c r="E77" s="22"/>
      <c r="F77" s="22"/>
      <c r="G77" s="22"/>
    </row>
    <row r="78" spans="1:8" ht="18" customHeight="1" x14ac:dyDescent="0.2">
      <c r="A78" s="22"/>
      <c r="B78" s="23" t="s">
        <v>154</v>
      </c>
      <c r="C78" s="112">
        <v>44681</v>
      </c>
      <c r="D78" s="23" t="s">
        <v>156</v>
      </c>
      <c r="E78" s="22"/>
      <c r="F78" s="22"/>
      <c r="G78" s="22"/>
    </row>
    <row r="79" spans="1:8" ht="17.100000000000001" customHeight="1" x14ac:dyDescent="0.2">
      <c r="A79" s="22"/>
      <c r="B79" s="4" t="s">
        <v>157</v>
      </c>
      <c r="C79" s="24">
        <v>16.521599999999999</v>
      </c>
      <c r="D79" s="24">
        <v>16.528600000000001</v>
      </c>
      <c r="E79" s="22"/>
      <c r="F79" s="19"/>
      <c r="G79" s="25"/>
    </row>
    <row r="80" spans="1:8" ht="17.100000000000001" customHeight="1" x14ac:dyDescent="0.2">
      <c r="A80" s="22"/>
      <c r="B80" s="4" t="s">
        <v>1120</v>
      </c>
      <c r="C80" s="24">
        <v>16.5215</v>
      </c>
      <c r="D80" s="24">
        <v>16.528500000000001</v>
      </c>
      <c r="E80" s="22"/>
      <c r="F80" s="19"/>
      <c r="G80" s="25"/>
    </row>
    <row r="81" spans="1:7" ht="17.100000000000001" customHeight="1" x14ac:dyDescent="0.2">
      <c r="A81" s="22"/>
      <c r="B81" s="4" t="s">
        <v>158</v>
      </c>
      <c r="C81" s="24">
        <v>15.888500000000001</v>
      </c>
      <c r="D81" s="24">
        <v>15.8941</v>
      </c>
      <c r="E81" s="22"/>
      <c r="F81" s="19"/>
      <c r="G81" s="25"/>
    </row>
    <row r="82" spans="1:7" ht="17.100000000000001" customHeight="1" x14ac:dyDescent="0.2">
      <c r="A82" s="22"/>
      <c r="B82" s="4" t="s">
        <v>1121</v>
      </c>
      <c r="C82" s="24">
        <v>15.8886</v>
      </c>
      <c r="D82" s="24">
        <v>15.8941</v>
      </c>
      <c r="E82" s="22"/>
      <c r="F82" s="19"/>
      <c r="G82" s="25"/>
    </row>
    <row r="83" spans="1:7" ht="14.1" customHeight="1" x14ac:dyDescent="0.2">
      <c r="A83" s="22"/>
      <c r="B83" s="22"/>
      <c r="C83" s="22"/>
      <c r="D83" s="22"/>
      <c r="E83" s="22"/>
      <c r="F83" s="22"/>
      <c r="G83" s="22"/>
    </row>
    <row r="84" spans="1:7" ht="17.100000000000001" customHeight="1" x14ac:dyDescent="0.2">
      <c r="A84" s="22"/>
      <c r="B84" s="272" t="s">
        <v>1122</v>
      </c>
      <c r="C84" s="273"/>
      <c r="D84" s="2" t="s">
        <v>149</v>
      </c>
      <c r="E84" s="22"/>
      <c r="F84" s="22"/>
      <c r="G84" s="22"/>
    </row>
    <row r="85" spans="1:7" ht="14.1" customHeight="1" x14ac:dyDescent="0.2">
      <c r="A85" s="22"/>
      <c r="B85" s="19"/>
      <c r="C85" s="19"/>
      <c r="D85" s="22"/>
      <c r="E85" s="22"/>
      <c r="F85" s="22"/>
      <c r="G85" s="22"/>
    </row>
    <row r="86" spans="1:7" ht="29.1" customHeight="1" x14ac:dyDescent="0.2">
      <c r="A86" s="22"/>
      <c r="B86" s="272" t="s">
        <v>160</v>
      </c>
      <c r="C86" s="273"/>
      <c r="D86" s="2" t="s">
        <v>149</v>
      </c>
      <c r="E86" s="22"/>
      <c r="F86" s="22"/>
      <c r="G86" s="22"/>
    </row>
    <row r="87" spans="1:7" ht="29.1" customHeight="1" x14ac:dyDescent="0.2">
      <c r="A87" s="22"/>
      <c r="B87" s="272" t="s">
        <v>161</v>
      </c>
      <c r="C87" s="273"/>
      <c r="D87" s="2" t="s">
        <v>149</v>
      </c>
      <c r="E87" s="22"/>
      <c r="F87" s="22"/>
      <c r="G87" s="22"/>
    </row>
    <row r="88" spans="1:7" ht="17.100000000000001" customHeight="1" x14ac:dyDescent="0.2">
      <c r="A88" s="22"/>
      <c r="B88" s="272" t="s">
        <v>162</v>
      </c>
      <c r="C88" s="273"/>
      <c r="D88" s="27">
        <v>0.29815700000000001</v>
      </c>
      <c r="E88" s="22"/>
      <c r="F88" s="19"/>
      <c r="G88" s="25"/>
    </row>
    <row r="89" spans="1:7" ht="17.100000000000001" customHeight="1" x14ac:dyDescent="0.2">
      <c r="A89" s="22"/>
      <c r="B89" s="272" t="s">
        <v>163</v>
      </c>
      <c r="C89" s="273"/>
      <c r="D89" s="2" t="s">
        <v>149</v>
      </c>
      <c r="E89" s="22"/>
      <c r="F89" s="22"/>
      <c r="G89" s="22"/>
    </row>
    <row r="164" spans="10:15" x14ac:dyDescent="0.2">
      <c r="J164" s="170"/>
      <c r="K164" s="170"/>
      <c r="L164" s="170"/>
      <c r="M164" s="170"/>
      <c r="N164" s="170"/>
      <c r="O164" s="170"/>
    </row>
  </sheetData>
  <mergeCells count="13">
    <mergeCell ref="B88:C88"/>
    <mergeCell ref="B89:C89"/>
    <mergeCell ref="B74:C74"/>
    <mergeCell ref="B75:C75"/>
    <mergeCell ref="B76:C76"/>
    <mergeCell ref="B84:C84"/>
    <mergeCell ref="B86:C86"/>
    <mergeCell ref="B87:C87"/>
    <mergeCell ref="J2:N2"/>
    <mergeCell ref="B73:C7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165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166</v>
      </c>
      <c r="C7" s="4" t="s">
        <v>167</v>
      </c>
      <c r="D7" s="4" t="s">
        <v>80</v>
      </c>
      <c r="E7" s="5">
        <v>77965</v>
      </c>
      <c r="F7" s="6">
        <v>1106.3623325000001</v>
      </c>
      <c r="G7" s="7">
        <v>8.0280070999999995E-2</v>
      </c>
      <c r="H7" s="6"/>
    </row>
    <row r="8" spans="1:14" ht="29.1" customHeight="1" x14ac:dyDescent="0.2">
      <c r="A8" s="3">
        <v>2</v>
      </c>
      <c r="B8" s="4" t="s">
        <v>168</v>
      </c>
      <c r="C8" s="4" t="s">
        <v>169</v>
      </c>
      <c r="D8" s="4" t="s">
        <v>25</v>
      </c>
      <c r="E8" s="5">
        <v>190330</v>
      </c>
      <c r="F8" s="6">
        <v>703.07902000000001</v>
      </c>
      <c r="G8" s="7">
        <v>5.1016951999999997E-2</v>
      </c>
      <c r="H8" s="6"/>
    </row>
    <row r="9" spans="1:14" ht="17.100000000000001" customHeight="1" x14ac:dyDescent="0.2">
      <c r="A9" s="3">
        <v>3</v>
      </c>
      <c r="B9" s="4" t="s">
        <v>170</v>
      </c>
      <c r="C9" s="4" t="s">
        <v>171</v>
      </c>
      <c r="D9" s="4" t="s">
        <v>28</v>
      </c>
      <c r="E9" s="5">
        <v>28070</v>
      </c>
      <c r="F9" s="6">
        <v>347.02940999999998</v>
      </c>
      <c r="G9" s="7">
        <v>2.5181213000000001E-2</v>
      </c>
      <c r="H9" s="6"/>
    </row>
    <row r="10" spans="1:14" ht="17.100000000000001" customHeight="1" x14ac:dyDescent="0.2">
      <c r="A10" s="3">
        <v>4</v>
      </c>
      <c r="B10" s="4" t="s">
        <v>172</v>
      </c>
      <c r="C10" s="4" t="s">
        <v>173</v>
      </c>
      <c r="D10" s="4" t="s">
        <v>994</v>
      </c>
      <c r="E10" s="5">
        <v>58996</v>
      </c>
      <c r="F10" s="6">
        <v>312.85578800000002</v>
      </c>
      <c r="G10" s="7">
        <v>2.2701499999999999E-2</v>
      </c>
      <c r="H10" s="6"/>
    </row>
    <row r="11" spans="1:14" ht="17.100000000000001" customHeight="1" x14ac:dyDescent="0.2">
      <c r="A11" s="3">
        <v>5</v>
      </c>
      <c r="B11" s="4" t="s">
        <v>174</v>
      </c>
      <c r="C11" s="4" t="s">
        <v>175</v>
      </c>
      <c r="D11" s="4" t="s">
        <v>176</v>
      </c>
      <c r="E11" s="5">
        <v>25532</v>
      </c>
      <c r="F11" s="6">
        <v>268.60940599999998</v>
      </c>
      <c r="G11" s="7">
        <v>1.9490885999999999E-2</v>
      </c>
      <c r="H11" s="6"/>
    </row>
    <row r="12" spans="1:14" ht="17.100000000000001" customHeight="1" x14ac:dyDescent="0.2">
      <c r="A12" s="3">
        <v>6</v>
      </c>
      <c r="B12" s="4" t="s">
        <v>177</v>
      </c>
      <c r="C12" s="4" t="s">
        <v>178</v>
      </c>
      <c r="D12" s="4" t="s">
        <v>85</v>
      </c>
      <c r="E12" s="5">
        <v>273941</v>
      </c>
      <c r="F12" s="6">
        <v>255.58695299999999</v>
      </c>
      <c r="G12" s="7">
        <v>1.8545948999999999E-2</v>
      </c>
      <c r="H12" s="6"/>
    </row>
    <row r="13" spans="1:14" ht="17.100000000000001" customHeight="1" x14ac:dyDescent="0.2">
      <c r="A13" s="3">
        <v>7</v>
      </c>
      <c r="B13" s="4" t="s">
        <v>179</v>
      </c>
      <c r="C13" s="4" t="s">
        <v>180</v>
      </c>
      <c r="D13" s="4" t="s">
        <v>181</v>
      </c>
      <c r="E13" s="5">
        <v>16960</v>
      </c>
      <c r="F13" s="6">
        <v>250.2448</v>
      </c>
      <c r="G13" s="7">
        <v>1.815831E-2</v>
      </c>
      <c r="H13" s="6"/>
      <c r="J13" s="169" t="s">
        <v>1144</v>
      </c>
    </row>
    <row r="14" spans="1:14" ht="17.100000000000001" customHeight="1" x14ac:dyDescent="0.2">
      <c r="A14" s="3">
        <v>8</v>
      </c>
      <c r="B14" s="4" t="s">
        <v>182</v>
      </c>
      <c r="C14" s="4" t="s">
        <v>183</v>
      </c>
      <c r="D14" s="4" t="s">
        <v>80</v>
      </c>
      <c r="E14" s="5">
        <v>43292</v>
      </c>
      <c r="F14" s="6">
        <v>248.474434</v>
      </c>
      <c r="G14" s="7">
        <v>1.8029849000000001E-2</v>
      </c>
      <c r="H14" s="6"/>
    </row>
    <row r="15" spans="1:14" ht="17.100000000000001" customHeight="1" x14ac:dyDescent="0.2">
      <c r="A15" s="3">
        <v>9</v>
      </c>
      <c r="B15" s="4" t="s">
        <v>184</v>
      </c>
      <c r="C15" s="4" t="s">
        <v>185</v>
      </c>
      <c r="D15" s="4" t="s">
        <v>186</v>
      </c>
      <c r="E15" s="5">
        <v>21096</v>
      </c>
      <c r="F15" s="6">
        <v>224.19774000000001</v>
      </c>
      <c r="G15" s="7">
        <v>1.6268279E-2</v>
      </c>
      <c r="H15" s="6"/>
    </row>
    <row r="16" spans="1:14" ht="17.100000000000001" customHeight="1" x14ac:dyDescent="0.2">
      <c r="A16" s="3">
        <v>10</v>
      </c>
      <c r="B16" s="4" t="s">
        <v>187</v>
      </c>
      <c r="C16" s="4" t="s">
        <v>188</v>
      </c>
      <c r="D16" s="4" t="s">
        <v>181</v>
      </c>
      <c r="E16" s="5">
        <v>15696</v>
      </c>
      <c r="F16" s="6">
        <v>215.294184</v>
      </c>
      <c r="G16" s="7">
        <v>1.5622217000000001E-2</v>
      </c>
      <c r="H16" s="6"/>
    </row>
    <row r="17" spans="1:8" ht="17.100000000000001" customHeight="1" x14ac:dyDescent="0.2">
      <c r="A17" s="3">
        <v>11</v>
      </c>
      <c r="B17" s="4" t="s">
        <v>88</v>
      </c>
      <c r="C17" s="4" t="s">
        <v>89</v>
      </c>
      <c r="D17" s="4" t="s">
        <v>13</v>
      </c>
      <c r="E17" s="5">
        <v>15135</v>
      </c>
      <c r="F17" s="6">
        <v>214.57646249999999</v>
      </c>
      <c r="G17" s="7">
        <v>1.5570138000000001E-2</v>
      </c>
      <c r="H17" s="6"/>
    </row>
    <row r="18" spans="1:8" ht="29.1" customHeight="1" x14ac:dyDescent="0.2">
      <c r="A18" s="3">
        <v>12</v>
      </c>
      <c r="B18" s="4" t="s">
        <v>189</v>
      </c>
      <c r="C18" s="4" t="s">
        <v>190</v>
      </c>
      <c r="D18" s="4" t="s">
        <v>191</v>
      </c>
      <c r="E18" s="5">
        <v>30169</v>
      </c>
      <c r="F18" s="6">
        <v>212.4048445</v>
      </c>
      <c r="G18" s="7">
        <v>1.541256E-2</v>
      </c>
      <c r="H18" s="6"/>
    </row>
    <row r="19" spans="1:8" ht="29.1" customHeight="1" x14ac:dyDescent="0.2">
      <c r="A19" s="3">
        <v>13</v>
      </c>
      <c r="B19" s="4" t="s">
        <v>192</v>
      </c>
      <c r="C19" s="4" t="s">
        <v>193</v>
      </c>
      <c r="D19" s="4" t="s">
        <v>80</v>
      </c>
      <c r="E19" s="5">
        <v>58202</v>
      </c>
      <c r="F19" s="6">
        <v>210.371129</v>
      </c>
      <c r="G19" s="7">
        <v>1.5264989E-2</v>
      </c>
      <c r="H19" s="6"/>
    </row>
    <row r="20" spans="1:8" ht="17.100000000000001" customHeight="1" x14ac:dyDescent="0.2">
      <c r="A20" s="3">
        <v>14</v>
      </c>
      <c r="B20" s="4" t="s">
        <v>194</v>
      </c>
      <c r="C20" s="4" t="s">
        <v>195</v>
      </c>
      <c r="D20" s="4" t="s">
        <v>85</v>
      </c>
      <c r="E20" s="5">
        <v>41187</v>
      </c>
      <c r="F20" s="6">
        <v>199.221519</v>
      </c>
      <c r="G20" s="7">
        <v>1.4455948999999999E-2</v>
      </c>
      <c r="H20" s="6"/>
    </row>
    <row r="21" spans="1:8" ht="29.1" customHeight="1" x14ac:dyDescent="0.2">
      <c r="A21" s="3">
        <v>15</v>
      </c>
      <c r="B21" s="4" t="s">
        <v>196</v>
      </c>
      <c r="C21" s="4" t="s">
        <v>197</v>
      </c>
      <c r="D21" s="4" t="s">
        <v>198</v>
      </c>
      <c r="E21" s="5">
        <v>56271</v>
      </c>
      <c r="F21" s="6">
        <v>198.7210365</v>
      </c>
      <c r="G21" s="7">
        <v>1.4419632999999999E-2</v>
      </c>
      <c r="H21" s="6"/>
    </row>
    <row r="22" spans="1:8" ht="17.100000000000001" customHeight="1" x14ac:dyDescent="0.2">
      <c r="A22" s="3">
        <v>16</v>
      </c>
      <c r="B22" s="4" t="s">
        <v>199</v>
      </c>
      <c r="C22" s="4" t="s">
        <v>200</v>
      </c>
      <c r="D22" s="4" t="s">
        <v>13</v>
      </c>
      <c r="E22" s="5">
        <v>51485</v>
      </c>
      <c r="F22" s="6">
        <v>185.62916749999999</v>
      </c>
      <c r="G22" s="7">
        <v>1.3469659E-2</v>
      </c>
      <c r="H22" s="6"/>
    </row>
    <row r="23" spans="1:8" ht="29.1" customHeight="1" x14ac:dyDescent="0.2">
      <c r="A23" s="3">
        <v>17</v>
      </c>
      <c r="B23" s="4" t="s">
        <v>43</v>
      </c>
      <c r="C23" s="4" t="s">
        <v>44</v>
      </c>
      <c r="D23" s="4" t="s">
        <v>25</v>
      </c>
      <c r="E23" s="5">
        <v>7660</v>
      </c>
      <c r="F23" s="6">
        <v>182.48034999999999</v>
      </c>
      <c r="G23" s="7">
        <v>1.3241173E-2</v>
      </c>
      <c r="H23" s="6"/>
    </row>
    <row r="24" spans="1:8" ht="17.100000000000001" customHeight="1" x14ac:dyDescent="0.2">
      <c r="A24" s="3">
        <v>18</v>
      </c>
      <c r="B24" s="4" t="s">
        <v>201</v>
      </c>
      <c r="C24" s="4" t="s">
        <v>202</v>
      </c>
      <c r="D24" s="4" t="s">
        <v>203</v>
      </c>
      <c r="E24" s="5">
        <v>35634</v>
      </c>
      <c r="F24" s="6">
        <v>179.41719000000001</v>
      </c>
      <c r="G24" s="7">
        <v>1.3018904E-2</v>
      </c>
      <c r="H24" s="6"/>
    </row>
    <row r="25" spans="1:8" ht="17.100000000000001" customHeight="1" x14ac:dyDescent="0.2">
      <c r="A25" s="3">
        <v>19</v>
      </c>
      <c r="B25" s="4" t="s">
        <v>204</v>
      </c>
      <c r="C25" s="4" t="s">
        <v>205</v>
      </c>
      <c r="D25" s="4" t="s">
        <v>85</v>
      </c>
      <c r="E25" s="5">
        <v>22949</v>
      </c>
      <c r="F25" s="6">
        <v>178.54321999999999</v>
      </c>
      <c r="G25" s="7">
        <v>1.2955487E-2</v>
      </c>
      <c r="H25" s="6"/>
    </row>
    <row r="26" spans="1:8" ht="17.100000000000001" customHeight="1" x14ac:dyDescent="0.2">
      <c r="A26" s="3">
        <v>20</v>
      </c>
      <c r="B26" s="4" t="s">
        <v>78</v>
      </c>
      <c r="C26" s="4" t="s">
        <v>79</v>
      </c>
      <c r="D26" s="4" t="s">
        <v>80</v>
      </c>
      <c r="E26" s="5">
        <v>35072</v>
      </c>
      <c r="F26" s="6">
        <v>171.44947199999999</v>
      </c>
      <c r="G26" s="7">
        <v>1.2440748999999999E-2</v>
      </c>
      <c r="H26" s="6"/>
    </row>
    <row r="27" spans="1:8" ht="29.1" customHeight="1" x14ac:dyDescent="0.2">
      <c r="A27" s="3">
        <v>21</v>
      </c>
      <c r="B27" s="4" t="s">
        <v>206</v>
      </c>
      <c r="C27" s="4" t="s">
        <v>207</v>
      </c>
      <c r="D27" s="4" t="s">
        <v>191</v>
      </c>
      <c r="E27" s="5">
        <v>36074</v>
      </c>
      <c r="F27" s="6">
        <v>169.34939299999999</v>
      </c>
      <c r="G27" s="7">
        <v>1.2288362000000001E-2</v>
      </c>
      <c r="H27" s="6"/>
    </row>
    <row r="28" spans="1:8" ht="29.1" customHeight="1" x14ac:dyDescent="0.2">
      <c r="A28" s="3">
        <v>22</v>
      </c>
      <c r="B28" s="4" t="s">
        <v>208</v>
      </c>
      <c r="C28" s="4" t="s">
        <v>209</v>
      </c>
      <c r="D28" s="4" t="s">
        <v>210</v>
      </c>
      <c r="E28" s="5">
        <v>10782</v>
      </c>
      <c r="F28" s="6">
        <v>153.82679400000001</v>
      </c>
      <c r="G28" s="7">
        <v>1.1162009000000001E-2</v>
      </c>
      <c r="H28" s="6"/>
    </row>
    <row r="29" spans="1:8" ht="29.1" customHeight="1" x14ac:dyDescent="0.2">
      <c r="A29" s="3">
        <v>23</v>
      </c>
      <c r="B29" s="4" t="s">
        <v>211</v>
      </c>
      <c r="C29" s="4" t="s">
        <v>212</v>
      </c>
      <c r="D29" s="4" t="s">
        <v>198</v>
      </c>
      <c r="E29" s="5">
        <v>25404</v>
      </c>
      <c r="F29" s="6">
        <v>144.15499800000001</v>
      </c>
      <c r="G29" s="7">
        <v>1.0460202E-2</v>
      </c>
      <c r="H29" s="6"/>
    </row>
    <row r="30" spans="1:8" ht="17.100000000000001" customHeight="1" x14ac:dyDescent="0.2">
      <c r="A30" s="3">
        <v>24</v>
      </c>
      <c r="B30" s="4" t="s">
        <v>213</v>
      </c>
      <c r="C30" s="4" t="s">
        <v>214</v>
      </c>
      <c r="D30" s="4" t="s">
        <v>13</v>
      </c>
      <c r="E30" s="5">
        <v>172563</v>
      </c>
      <c r="F30" s="6">
        <v>141.7605045</v>
      </c>
      <c r="G30" s="7">
        <v>1.0286452E-2</v>
      </c>
      <c r="H30" s="6"/>
    </row>
    <row r="31" spans="1:8" ht="17.100000000000001" customHeight="1" x14ac:dyDescent="0.2">
      <c r="A31" s="3">
        <v>25</v>
      </c>
      <c r="B31" s="4" t="s">
        <v>215</v>
      </c>
      <c r="C31" s="4" t="s">
        <v>216</v>
      </c>
      <c r="D31" s="4" t="s">
        <v>186</v>
      </c>
      <c r="E31" s="5">
        <v>30931</v>
      </c>
      <c r="F31" s="6">
        <v>140.797912</v>
      </c>
      <c r="G31" s="7">
        <v>1.0216605E-2</v>
      </c>
      <c r="H31" s="6"/>
    </row>
    <row r="32" spans="1:8" ht="29.1" customHeight="1" x14ac:dyDescent="0.2">
      <c r="A32" s="3">
        <v>26</v>
      </c>
      <c r="B32" s="4" t="s">
        <v>217</v>
      </c>
      <c r="C32" s="4" t="s">
        <v>218</v>
      </c>
      <c r="D32" s="4" t="s">
        <v>219</v>
      </c>
      <c r="E32" s="5">
        <v>3526</v>
      </c>
      <c r="F32" s="6">
        <v>138.37610699999999</v>
      </c>
      <c r="G32" s="7">
        <v>1.0040873000000001E-2</v>
      </c>
      <c r="H32" s="6"/>
    </row>
    <row r="33" spans="1:8" ht="29.1" customHeight="1" x14ac:dyDescent="0.2">
      <c r="A33" s="3">
        <v>27</v>
      </c>
      <c r="B33" s="4" t="s">
        <v>220</v>
      </c>
      <c r="C33" s="4" t="s">
        <v>221</v>
      </c>
      <c r="D33" s="4" t="s">
        <v>219</v>
      </c>
      <c r="E33" s="5">
        <v>14443</v>
      </c>
      <c r="F33" s="6">
        <v>126.0368395</v>
      </c>
      <c r="G33" s="7">
        <v>9.1455089999999996E-3</v>
      </c>
      <c r="H33" s="6"/>
    </row>
    <row r="34" spans="1:8" ht="17.100000000000001" customHeight="1" x14ac:dyDescent="0.2">
      <c r="A34" s="3">
        <v>28</v>
      </c>
      <c r="B34" s="4" t="s">
        <v>222</v>
      </c>
      <c r="C34" s="4" t="s">
        <v>223</v>
      </c>
      <c r="D34" s="4" t="s">
        <v>95</v>
      </c>
      <c r="E34" s="5">
        <v>7987</v>
      </c>
      <c r="F34" s="6">
        <v>125.4238545</v>
      </c>
      <c r="G34" s="7">
        <v>9.1010290000000001E-3</v>
      </c>
      <c r="H34" s="6"/>
    </row>
    <row r="35" spans="1:8" ht="29.1" customHeight="1" x14ac:dyDescent="0.2">
      <c r="A35" s="3">
        <v>29</v>
      </c>
      <c r="B35" s="4" t="s">
        <v>224</v>
      </c>
      <c r="C35" s="4" t="s">
        <v>225</v>
      </c>
      <c r="D35" s="4" t="s">
        <v>198</v>
      </c>
      <c r="E35" s="5">
        <v>7157</v>
      </c>
      <c r="F35" s="6">
        <v>116.3477705</v>
      </c>
      <c r="G35" s="7">
        <v>8.4424489999999994E-3</v>
      </c>
      <c r="H35" s="6"/>
    </row>
    <row r="36" spans="1:8" ht="29.1" customHeight="1" x14ac:dyDescent="0.2">
      <c r="A36" s="3">
        <v>30</v>
      </c>
      <c r="B36" s="4" t="s">
        <v>226</v>
      </c>
      <c r="C36" s="4" t="s">
        <v>227</v>
      </c>
      <c r="D36" s="4" t="s">
        <v>80</v>
      </c>
      <c r="E36" s="5">
        <v>6492</v>
      </c>
      <c r="F36" s="6">
        <v>114.75259200000001</v>
      </c>
      <c r="G36" s="7">
        <v>8.3266989999999999E-3</v>
      </c>
      <c r="H36" s="6"/>
    </row>
    <row r="37" spans="1:8" ht="17.100000000000001" customHeight="1" x14ac:dyDescent="0.2">
      <c r="A37" s="3">
        <v>31</v>
      </c>
      <c r="B37" s="4" t="s">
        <v>228</v>
      </c>
      <c r="C37" s="4" t="s">
        <v>229</v>
      </c>
      <c r="D37" s="4" t="s">
        <v>230</v>
      </c>
      <c r="E37" s="5">
        <v>37245</v>
      </c>
      <c r="F37" s="6">
        <v>110.058975</v>
      </c>
      <c r="G37" s="7">
        <v>7.9861199999999993E-3</v>
      </c>
      <c r="H37" s="6"/>
    </row>
    <row r="38" spans="1:8" ht="29.1" customHeight="1" x14ac:dyDescent="0.2">
      <c r="A38" s="3">
        <v>32</v>
      </c>
      <c r="B38" s="4" t="s">
        <v>231</v>
      </c>
      <c r="C38" s="4" t="s">
        <v>232</v>
      </c>
      <c r="D38" s="4" t="s">
        <v>233</v>
      </c>
      <c r="E38" s="5">
        <v>30826</v>
      </c>
      <c r="F38" s="6">
        <v>109.154866</v>
      </c>
      <c r="G38" s="7">
        <v>7.9205160000000007E-3</v>
      </c>
      <c r="H38" s="6"/>
    </row>
    <row r="39" spans="1:8" ht="29.1" customHeight="1" x14ac:dyDescent="0.2">
      <c r="A39" s="3">
        <v>33</v>
      </c>
      <c r="B39" s="4" t="s">
        <v>234</v>
      </c>
      <c r="C39" s="4" t="s">
        <v>235</v>
      </c>
      <c r="D39" s="4" t="s">
        <v>236</v>
      </c>
      <c r="E39" s="5">
        <v>118261</v>
      </c>
      <c r="F39" s="6">
        <v>107.6766405</v>
      </c>
      <c r="G39" s="7">
        <v>7.8132529999999992E-3</v>
      </c>
      <c r="H39" s="6"/>
    </row>
    <row r="40" spans="1:8" ht="17.100000000000001" customHeight="1" x14ac:dyDescent="0.2">
      <c r="A40" s="3">
        <v>34</v>
      </c>
      <c r="B40" s="4" t="s">
        <v>237</v>
      </c>
      <c r="C40" s="4" t="s">
        <v>238</v>
      </c>
      <c r="D40" s="4" t="s">
        <v>239</v>
      </c>
      <c r="E40" s="5">
        <v>37381</v>
      </c>
      <c r="F40" s="6">
        <v>104.9845385</v>
      </c>
      <c r="G40" s="7">
        <v>7.6179079999999996E-3</v>
      </c>
      <c r="H40" s="6"/>
    </row>
    <row r="41" spans="1:8" ht="17.100000000000001" customHeight="1" x14ac:dyDescent="0.2">
      <c r="A41" s="3">
        <v>35</v>
      </c>
      <c r="B41" s="4" t="s">
        <v>240</v>
      </c>
      <c r="C41" s="4" t="s">
        <v>241</v>
      </c>
      <c r="D41" s="4" t="s">
        <v>80</v>
      </c>
      <c r="E41" s="5">
        <v>19380</v>
      </c>
      <c r="F41" s="6">
        <v>104.64230999999999</v>
      </c>
      <c r="G41" s="7">
        <v>7.5930750000000003E-3</v>
      </c>
      <c r="H41" s="6"/>
    </row>
    <row r="42" spans="1:8" ht="17.100000000000001" customHeight="1" x14ac:dyDescent="0.2">
      <c r="A42" s="3">
        <v>36</v>
      </c>
      <c r="B42" s="4" t="s">
        <v>242</v>
      </c>
      <c r="C42" s="4" t="s">
        <v>243</v>
      </c>
      <c r="D42" s="4" t="s">
        <v>80</v>
      </c>
      <c r="E42" s="5">
        <v>48497</v>
      </c>
      <c r="F42" s="6">
        <v>103.3228585</v>
      </c>
      <c r="G42" s="7">
        <v>7.4973330000000001E-3</v>
      </c>
      <c r="H42" s="6"/>
    </row>
    <row r="43" spans="1:8" ht="17.100000000000001" customHeight="1" x14ac:dyDescent="0.2">
      <c r="A43" s="3">
        <v>37</v>
      </c>
      <c r="B43" s="4" t="s">
        <v>90</v>
      </c>
      <c r="C43" s="4" t="s">
        <v>91</v>
      </c>
      <c r="D43" s="4" t="s">
        <v>92</v>
      </c>
      <c r="E43" s="5">
        <v>21219</v>
      </c>
      <c r="F43" s="6">
        <v>98.594083499999996</v>
      </c>
      <c r="G43" s="7">
        <v>7.1542020000000001E-3</v>
      </c>
      <c r="H43" s="6"/>
    </row>
    <row r="44" spans="1:8" ht="17.100000000000001" customHeight="1" x14ac:dyDescent="0.2">
      <c r="A44" s="3">
        <v>38</v>
      </c>
      <c r="B44" s="4" t="s">
        <v>244</v>
      </c>
      <c r="C44" s="4" t="s">
        <v>245</v>
      </c>
      <c r="D44" s="4" t="s">
        <v>95</v>
      </c>
      <c r="E44" s="5">
        <v>17673</v>
      </c>
      <c r="F44" s="6">
        <v>92.8274325</v>
      </c>
      <c r="G44" s="7">
        <v>6.7357620000000002E-3</v>
      </c>
      <c r="H44" s="6"/>
    </row>
    <row r="45" spans="1:8" ht="17.100000000000001" customHeight="1" x14ac:dyDescent="0.2">
      <c r="A45" s="3">
        <v>39</v>
      </c>
      <c r="B45" s="4" t="s">
        <v>246</v>
      </c>
      <c r="C45" s="4" t="s">
        <v>247</v>
      </c>
      <c r="D45" s="4" t="s">
        <v>248</v>
      </c>
      <c r="E45" s="5">
        <v>49926</v>
      </c>
      <c r="F45" s="6">
        <v>90.840356999999997</v>
      </c>
      <c r="G45" s="7">
        <v>6.5915749999999997E-3</v>
      </c>
      <c r="H45" s="6"/>
    </row>
    <row r="46" spans="1:8" ht="17.100000000000001" customHeight="1" x14ac:dyDescent="0.2">
      <c r="A46" s="3">
        <v>40</v>
      </c>
      <c r="B46" s="4" t="s">
        <v>249</v>
      </c>
      <c r="C46" s="4" t="s">
        <v>250</v>
      </c>
      <c r="D46" s="4" t="s">
        <v>994</v>
      </c>
      <c r="E46" s="5">
        <v>2269</v>
      </c>
      <c r="F46" s="6">
        <v>85.312130999999994</v>
      </c>
      <c r="G46" s="7">
        <v>6.1904350000000002E-3</v>
      </c>
      <c r="H46" s="6"/>
    </row>
    <row r="47" spans="1:8" ht="53.1" customHeight="1" x14ac:dyDescent="0.2">
      <c r="A47" s="3">
        <v>41</v>
      </c>
      <c r="B47" s="4" t="s">
        <v>251</v>
      </c>
      <c r="C47" s="4" t="s">
        <v>1141</v>
      </c>
      <c r="D47" s="4" t="s">
        <v>75</v>
      </c>
      <c r="E47" s="5">
        <v>40861</v>
      </c>
      <c r="F47" s="6">
        <v>81.109084999999993</v>
      </c>
      <c r="G47" s="7">
        <v>5.8854529999999997E-3</v>
      </c>
      <c r="H47" s="6"/>
    </row>
    <row r="48" spans="1:8" ht="17.100000000000001" customHeight="1" x14ac:dyDescent="0.2">
      <c r="A48" s="3">
        <v>42</v>
      </c>
      <c r="B48" s="4" t="s">
        <v>252</v>
      </c>
      <c r="C48" s="4" t="s">
        <v>253</v>
      </c>
      <c r="D48" s="4" t="s">
        <v>254</v>
      </c>
      <c r="E48" s="5">
        <v>67193</v>
      </c>
      <c r="F48" s="6">
        <v>79.724494500000006</v>
      </c>
      <c r="G48" s="7">
        <v>5.784984E-3</v>
      </c>
      <c r="H48" s="6"/>
    </row>
    <row r="49" spans="1:8" ht="29.1" customHeight="1" x14ac:dyDescent="0.2">
      <c r="A49" s="3">
        <v>43</v>
      </c>
      <c r="B49" s="4" t="s">
        <v>255</v>
      </c>
      <c r="C49" s="4" t="s">
        <v>256</v>
      </c>
      <c r="D49" s="4" t="s">
        <v>210</v>
      </c>
      <c r="E49" s="5">
        <v>35358</v>
      </c>
      <c r="F49" s="6">
        <v>77.239551000000006</v>
      </c>
      <c r="G49" s="7">
        <v>5.6046710000000003E-3</v>
      </c>
      <c r="H49" s="6"/>
    </row>
    <row r="50" spans="1:8" ht="17.100000000000001" customHeight="1" x14ac:dyDescent="0.2">
      <c r="A50" s="3">
        <v>44</v>
      </c>
      <c r="B50" s="4" t="s">
        <v>257</v>
      </c>
      <c r="C50" s="4" t="s">
        <v>258</v>
      </c>
      <c r="D50" s="4" t="s">
        <v>186</v>
      </c>
      <c r="E50" s="5">
        <v>77084</v>
      </c>
      <c r="F50" s="6">
        <v>74.925647999999995</v>
      </c>
      <c r="G50" s="7">
        <v>5.4367690000000002E-3</v>
      </c>
      <c r="H50" s="6"/>
    </row>
    <row r="51" spans="1:8" ht="17.100000000000001" customHeight="1" x14ac:dyDescent="0.2">
      <c r="A51" s="3">
        <v>45</v>
      </c>
      <c r="B51" s="4" t="s">
        <v>259</v>
      </c>
      <c r="C51" s="4" t="s">
        <v>260</v>
      </c>
      <c r="D51" s="4" t="s">
        <v>186</v>
      </c>
      <c r="E51" s="5">
        <v>50412</v>
      </c>
      <c r="F51" s="6">
        <v>73.374666000000005</v>
      </c>
      <c r="G51" s="7">
        <v>5.3242259999999996E-3</v>
      </c>
      <c r="H51" s="6"/>
    </row>
    <row r="52" spans="1:8" ht="17.100000000000001" customHeight="1" x14ac:dyDescent="0.2">
      <c r="A52" s="3">
        <v>46</v>
      </c>
      <c r="B52" s="4" t="s">
        <v>261</v>
      </c>
      <c r="C52" s="4" t="s">
        <v>262</v>
      </c>
      <c r="D52" s="4" t="s">
        <v>106</v>
      </c>
      <c r="E52" s="5">
        <v>9967</v>
      </c>
      <c r="F52" s="6">
        <v>72.280683999999994</v>
      </c>
      <c r="G52" s="7">
        <v>5.2448449999999997E-3</v>
      </c>
      <c r="H52" s="6"/>
    </row>
    <row r="53" spans="1:8" ht="17.100000000000001" customHeight="1" x14ac:dyDescent="0.2">
      <c r="A53" s="3">
        <v>47</v>
      </c>
      <c r="B53" s="4" t="s">
        <v>263</v>
      </c>
      <c r="C53" s="4" t="s">
        <v>264</v>
      </c>
      <c r="D53" s="4" t="s">
        <v>16</v>
      </c>
      <c r="E53" s="5">
        <v>31483</v>
      </c>
      <c r="F53" s="6">
        <v>71.718273999999994</v>
      </c>
      <c r="G53" s="7">
        <v>5.2040350000000001E-3</v>
      </c>
      <c r="H53" s="6"/>
    </row>
    <row r="54" spans="1:8" ht="29.1" customHeight="1" x14ac:dyDescent="0.2">
      <c r="A54" s="3">
        <v>48</v>
      </c>
      <c r="B54" s="4" t="s">
        <v>265</v>
      </c>
      <c r="C54" s="4" t="s">
        <v>266</v>
      </c>
      <c r="D54" s="4" t="s">
        <v>198</v>
      </c>
      <c r="E54" s="5">
        <v>1484</v>
      </c>
      <c r="F54" s="6">
        <v>63.342314000000002</v>
      </c>
      <c r="G54" s="7">
        <v>4.5962570000000003E-3</v>
      </c>
      <c r="H54" s="6"/>
    </row>
    <row r="55" spans="1:8" ht="17.100000000000001" customHeight="1" x14ac:dyDescent="0.2">
      <c r="A55" s="3">
        <v>49</v>
      </c>
      <c r="B55" s="4" t="s">
        <v>115</v>
      </c>
      <c r="C55" s="4" t="s">
        <v>116</v>
      </c>
      <c r="D55" s="4" t="s">
        <v>92</v>
      </c>
      <c r="E55" s="5">
        <v>78875</v>
      </c>
      <c r="F55" s="6">
        <v>57.420999999999999</v>
      </c>
      <c r="G55" s="7">
        <v>4.1665929999999997E-3</v>
      </c>
      <c r="H55" s="6"/>
    </row>
    <row r="56" spans="1:8" ht="41.1" customHeight="1" x14ac:dyDescent="0.2">
      <c r="A56" s="3">
        <v>50</v>
      </c>
      <c r="B56" s="4" t="s">
        <v>267</v>
      </c>
      <c r="C56" s="4" t="s">
        <v>268</v>
      </c>
      <c r="D56" s="4" t="s">
        <v>269</v>
      </c>
      <c r="E56" s="5">
        <v>6764</v>
      </c>
      <c r="F56" s="6">
        <v>49.069437999999998</v>
      </c>
      <c r="G56" s="7">
        <v>3.5605860000000001E-3</v>
      </c>
      <c r="H56" s="6"/>
    </row>
    <row r="57" spans="1:8" ht="17.100000000000001" customHeight="1" x14ac:dyDescent="0.2">
      <c r="A57" s="3">
        <v>51</v>
      </c>
      <c r="B57" s="4" t="s">
        <v>270</v>
      </c>
      <c r="C57" s="4" t="s">
        <v>271</v>
      </c>
      <c r="D57" s="4" t="s">
        <v>28</v>
      </c>
      <c r="E57" s="5">
        <v>4191</v>
      </c>
      <c r="F57" s="6">
        <v>42.884407500000002</v>
      </c>
      <c r="G57" s="7">
        <v>3.1117860000000001E-3</v>
      </c>
      <c r="H57" s="6"/>
    </row>
    <row r="58" spans="1:8" ht="17.100000000000001" customHeight="1" x14ac:dyDescent="0.2">
      <c r="A58" s="3">
        <v>52</v>
      </c>
      <c r="B58" s="4" t="s">
        <v>107</v>
      </c>
      <c r="C58" s="4" t="s">
        <v>108</v>
      </c>
      <c r="D58" s="4" t="s">
        <v>13</v>
      </c>
      <c r="E58" s="5">
        <v>27635</v>
      </c>
      <c r="F58" s="6">
        <v>32.222410000000004</v>
      </c>
      <c r="G58" s="7">
        <v>2.338129E-3</v>
      </c>
      <c r="H58" s="6"/>
    </row>
    <row r="59" spans="1:8" ht="17.100000000000001" customHeight="1" x14ac:dyDescent="0.2">
      <c r="A59" s="3">
        <v>53</v>
      </c>
      <c r="B59" s="4" t="s">
        <v>272</v>
      </c>
      <c r="C59" s="4" t="s">
        <v>273</v>
      </c>
      <c r="D59" s="4" t="s">
        <v>28</v>
      </c>
      <c r="E59" s="5">
        <v>3359</v>
      </c>
      <c r="F59" s="6">
        <v>27.023154999999999</v>
      </c>
      <c r="G59" s="7">
        <v>1.9608590000000001E-3</v>
      </c>
      <c r="H59" s="6"/>
    </row>
    <row r="60" spans="1:8" ht="29.1" customHeight="1" x14ac:dyDescent="0.2">
      <c r="A60" s="3">
        <v>54</v>
      </c>
      <c r="B60" s="4" t="s">
        <v>274</v>
      </c>
      <c r="C60" s="4" t="s">
        <v>275</v>
      </c>
      <c r="D60" s="4" t="s">
        <v>219</v>
      </c>
      <c r="E60" s="5">
        <v>3966</v>
      </c>
      <c r="F60" s="6">
        <v>26.816109000000001</v>
      </c>
      <c r="G60" s="7">
        <v>1.945836E-3</v>
      </c>
      <c r="H60" s="6"/>
    </row>
    <row r="61" spans="1:8" ht="14.1" customHeight="1" x14ac:dyDescent="0.2">
      <c r="A61" s="1"/>
      <c r="B61" s="1"/>
      <c r="C61" s="2" t="s">
        <v>119</v>
      </c>
      <c r="D61" s="1"/>
      <c r="E61" s="1" t="s">
        <v>120</v>
      </c>
      <c r="F61" s="9">
        <v>9071.9406519999993</v>
      </c>
      <c r="G61" s="10">
        <v>0.65827986400000005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121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119</v>
      </c>
      <c r="D64" s="1"/>
      <c r="E64" s="1" t="s">
        <v>120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122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123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124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125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119</v>
      </c>
      <c r="D76" s="1"/>
      <c r="E76" s="1" t="s">
        <v>120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8" customHeight="1" x14ac:dyDescent="0.2">
      <c r="A78" s="1"/>
      <c r="B78" s="1"/>
      <c r="C78" s="2" t="s">
        <v>126</v>
      </c>
      <c r="D78" s="1"/>
      <c r="E78" s="1"/>
      <c r="F78" s="9">
        <v>9071.9406519999993</v>
      </c>
      <c r="G78" s="10">
        <v>0.65827986400000005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127</v>
      </c>
      <c r="D80" s="1"/>
      <c r="E80" s="1"/>
      <c r="F80" s="12"/>
      <c r="G80" s="12"/>
      <c r="H80" s="6"/>
    </row>
    <row r="81" spans="1:8" ht="24" customHeight="1" x14ac:dyDescent="0.2">
      <c r="A81" s="1"/>
      <c r="B81" s="1"/>
      <c r="C81" s="2" t="s">
        <v>10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128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119</v>
      </c>
      <c r="D85" s="1"/>
      <c r="E85" s="1" t="s">
        <v>120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129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130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131</v>
      </c>
      <c r="D93" s="1"/>
      <c r="E93" s="1"/>
      <c r="F93" s="9">
        <v>0</v>
      </c>
      <c r="G93" s="10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132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133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134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135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136</v>
      </c>
      <c r="D105" s="1"/>
      <c r="E105" s="1"/>
      <c r="F105" s="12"/>
      <c r="G105" s="12"/>
      <c r="H105" s="6"/>
    </row>
    <row r="106" spans="1:8" ht="17.100000000000001" customHeight="1" x14ac:dyDescent="0.2">
      <c r="A106" s="3">
        <v>1</v>
      </c>
      <c r="B106" s="4"/>
      <c r="C106" s="4" t="s">
        <v>137</v>
      </c>
      <c r="D106" s="4"/>
      <c r="E106" s="8"/>
      <c r="F106" s="6">
        <v>4522.0727061999996</v>
      </c>
      <c r="G106" s="7">
        <v>0.328131489</v>
      </c>
      <c r="H106" s="6">
        <v>4.1713246754849944</v>
      </c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9">
        <v>4522.0727061999996</v>
      </c>
      <c r="G107" s="10">
        <v>0.328131489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138</v>
      </c>
      <c r="D109" s="1"/>
      <c r="E109" s="1"/>
      <c r="F109" s="9">
        <v>4522.0727061999996</v>
      </c>
      <c r="G109" s="10">
        <v>0.328131489</v>
      </c>
      <c r="H109" s="6"/>
    </row>
    <row r="110" spans="1:8" ht="14.1" customHeight="1" x14ac:dyDescent="0.2">
      <c r="A110" s="1"/>
      <c r="B110" s="1"/>
      <c r="C110" s="12"/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139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140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119</v>
      </c>
      <c r="D113" s="1"/>
      <c r="E113" s="1" t="s">
        <v>120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141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142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24" customHeight="1" x14ac:dyDescent="0.2">
      <c r="A120" s="1"/>
      <c r="B120" s="1"/>
      <c r="C120" s="2" t="s">
        <v>143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119</v>
      </c>
      <c r="D121" s="1"/>
      <c r="E121" s="1" t="s">
        <v>120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4"/>
      <c r="C123" s="4"/>
      <c r="D123" s="2"/>
      <c r="E123" s="1"/>
      <c r="F123" s="4"/>
      <c r="G123" s="8"/>
      <c r="H123" s="6"/>
    </row>
    <row r="124" spans="1:8" ht="18" customHeight="1" x14ac:dyDescent="0.2">
      <c r="A124" s="8"/>
      <c r="B124" s="4"/>
      <c r="C124" s="4" t="s">
        <v>144</v>
      </c>
      <c r="D124" s="4"/>
      <c r="E124" s="8"/>
      <c r="F124" s="6">
        <v>187.26900229</v>
      </c>
      <c r="G124" s="7">
        <v>1.3588649E-2</v>
      </c>
      <c r="H124" s="6"/>
    </row>
    <row r="125" spans="1:8" ht="14.1" customHeight="1" x14ac:dyDescent="0.2">
      <c r="A125" s="11"/>
      <c r="B125" s="11"/>
      <c r="C125" s="2" t="s">
        <v>145</v>
      </c>
      <c r="D125" s="15"/>
      <c r="E125" s="15"/>
      <c r="F125" s="9">
        <v>13781.28236049</v>
      </c>
      <c r="G125" s="10">
        <v>1.0000000019999999</v>
      </c>
      <c r="H125" s="6"/>
    </row>
    <row r="126" spans="1:8" ht="14.1" customHeight="1" x14ac:dyDescent="0.2">
      <c r="A126" s="18"/>
      <c r="B126" s="18"/>
      <c r="C126" s="18"/>
      <c r="D126" s="20"/>
      <c r="E126" s="20"/>
      <c r="F126" s="20"/>
      <c r="G126" s="20"/>
    </row>
    <row r="127" spans="1:8" ht="14.1" customHeight="1" x14ac:dyDescent="0.2">
      <c r="A127" s="18"/>
      <c r="B127" s="265" t="s">
        <v>147</v>
      </c>
      <c r="C127" s="266"/>
      <c r="D127" s="12" t="s">
        <v>120</v>
      </c>
      <c r="E127" s="21"/>
      <c r="F127" s="20"/>
      <c r="G127" s="20"/>
    </row>
    <row r="128" spans="1:8" ht="29.1" customHeight="1" x14ac:dyDescent="0.2">
      <c r="A128" s="18"/>
      <c r="B128" s="272" t="s">
        <v>148</v>
      </c>
      <c r="C128" s="273"/>
      <c r="D128" s="2" t="s">
        <v>149</v>
      </c>
      <c r="E128" s="21"/>
      <c r="F128" s="20"/>
      <c r="G128" s="20"/>
    </row>
    <row r="129" spans="1:7" ht="17.100000000000001" customHeight="1" x14ac:dyDescent="0.2">
      <c r="A129" s="18"/>
      <c r="B129" s="272" t="s">
        <v>150</v>
      </c>
      <c r="C129" s="273"/>
      <c r="D129" s="2" t="s">
        <v>149</v>
      </c>
      <c r="E129" s="21"/>
      <c r="F129" s="20"/>
      <c r="G129" s="20"/>
    </row>
    <row r="130" spans="1:7" ht="17.100000000000001" customHeight="1" x14ac:dyDescent="0.2">
      <c r="A130" s="18"/>
      <c r="B130" s="272" t="s">
        <v>151</v>
      </c>
      <c r="C130" s="273"/>
      <c r="D130" s="12" t="s">
        <v>120</v>
      </c>
      <c r="E130" s="21"/>
      <c r="F130" s="20"/>
      <c r="G130" s="20"/>
    </row>
    <row r="131" spans="1:7" ht="24" customHeight="1" x14ac:dyDescent="0.2">
      <c r="A131" s="22"/>
      <c r="B131" s="23" t="s">
        <v>120</v>
      </c>
      <c r="C131" s="23" t="s">
        <v>152</v>
      </c>
      <c r="D131" s="23" t="s">
        <v>153</v>
      </c>
      <c r="E131" s="22"/>
      <c r="F131" s="22"/>
      <c r="G131" s="22"/>
    </row>
    <row r="132" spans="1:7" ht="18" customHeight="1" x14ac:dyDescent="0.2">
      <c r="A132" s="22"/>
      <c r="B132" s="23" t="s">
        <v>154</v>
      </c>
      <c r="C132" s="23" t="s">
        <v>155</v>
      </c>
      <c r="D132" s="23" t="s">
        <v>156</v>
      </c>
      <c r="E132" s="22"/>
      <c r="F132" s="22"/>
      <c r="G132" s="22"/>
    </row>
    <row r="133" spans="1:7" ht="17.100000000000001" customHeight="1" x14ac:dyDescent="0.2">
      <c r="A133" s="22"/>
      <c r="B133" s="4" t="s">
        <v>157</v>
      </c>
      <c r="C133" s="24">
        <v>16.2742</v>
      </c>
      <c r="D133" s="24">
        <v>15.582700000000001</v>
      </c>
      <c r="E133" s="22"/>
      <c r="F133" s="19"/>
      <c r="G133" s="25"/>
    </row>
    <row r="134" spans="1:7" ht="17.100000000000001" customHeight="1" x14ac:dyDescent="0.2">
      <c r="A134" s="22"/>
      <c r="B134" s="4" t="s">
        <v>1120</v>
      </c>
      <c r="C134" s="24">
        <v>16.2742</v>
      </c>
      <c r="D134" s="24">
        <v>15.582700000000001</v>
      </c>
      <c r="E134" s="22"/>
      <c r="F134" s="19"/>
      <c r="G134" s="25"/>
    </row>
    <row r="135" spans="1:7" ht="17.100000000000001" customHeight="1" x14ac:dyDescent="0.2">
      <c r="A135" s="22"/>
      <c r="B135" s="4" t="s">
        <v>158</v>
      </c>
      <c r="C135" s="24">
        <v>15.835900000000001</v>
      </c>
      <c r="D135" s="24">
        <v>15.1554</v>
      </c>
      <c r="E135" s="22"/>
      <c r="F135" s="19"/>
      <c r="G135" s="25"/>
    </row>
    <row r="136" spans="1:7" ht="17.100000000000001" customHeight="1" x14ac:dyDescent="0.2">
      <c r="A136" s="22"/>
      <c r="B136" s="4" t="s">
        <v>1121</v>
      </c>
      <c r="C136" s="24">
        <v>15.835900000000001</v>
      </c>
      <c r="D136" s="24">
        <v>15.1554</v>
      </c>
      <c r="E136" s="22"/>
      <c r="F136" s="19"/>
      <c r="G136" s="25"/>
    </row>
    <row r="137" spans="1:7" ht="14.1" customHeight="1" x14ac:dyDescent="0.2">
      <c r="A137" s="22"/>
      <c r="B137" s="22"/>
      <c r="C137" s="22"/>
      <c r="D137" s="22"/>
      <c r="E137" s="22"/>
      <c r="F137" s="22"/>
      <c r="G137" s="22"/>
    </row>
    <row r="138" spans="1:7" ht="17.100000000000001" customHeight="1" x14ac:dyDescent="0.2">
      <c r="A138" s="22"/>
      <c r="B138" s="272" t="s">
        <v>1122</v>
      </c>
      <c r="C138" s="273"/>
      <c r="D138" s="2" t="s">
        <v>149</v>
      </c>
      <c r="E138" s="22"/>
      <c r="F138" s="22"/>
      <c r="G138" s="22"/>
    </row>
    <row r="139" spans="1:7" ht="14.1" customHeight="1" x14ac:dyDescent="0.2">
      <c r="A139" s="22"/>
      <c r="B139" s="19"/>
      <c r="C139" s="19"/>
      <c r="D139" s="22"/>
      <c r="E139" s="22"/>
      <c r="F139" s="22"/>
      <c r="G139" s="22"/>
    </row>
    <row r="140" spans="1:7" ht="29.1" customHeight="1" x14ac:dyDescent="0.2">
      <c r="A140" s="22"/>
      <c r="B140" s="272" t="s">
        <v>160</v>
      </c>
      <c r="C140" s="273"/>
      <c r="D140" s="2" t="s">
        <v>149</v>
      </c>
      <c r="E140" s="22"/>
      <c r="F140" s="22"/>
      <c r="G140" s="22"/>
    </row>
    <row r="141" spans="1:7" ht="29.1" customHeight="1" x14ac:dyDescent="0.2">
      <c r="A141" s="22"/>
      <c r="B141" s="272" t="s">
        <v>161</v>
      </c>
      <c r="C141" s="273"/>
      <c r="D141" s="2" t="s">
        <v>149</v>
      </c>
      <c r="E141" s="22"/>
      <c r="F141" s="22"/>
      <c r="G141" s="22"/>
    </row>
    <row r="142" spans="1:7" ht="17.100000000000001" customHeight="1" x14ac:dyDescent="0.2">
      <c r="A142" s="22"/>
      <c r="B142" s="272" t="s">
        <v>162</v>
      </c>
      <c r="C142" s="273"/>
      <c r="D142" s="27">
        <v>0.48472100000000001</v>
      </c>
      <c r="E142" s="22"/>
      <c r="F142" s="19"/>
      <c r="G142" s="25"/>
    </row>
    <row r="143" spans="1:7" ht="17.100000000000001" customHeight="1" x14ac:dyDescent="0.2">
      <c r="A143" s="22"/>
      <c r="B143" s="272" t="s">
        <v>163</v>
      </c>
      <c r="C143" s="273"/>
      <c r="D143" s="2" t="s">
        <v>149</v>
      </c>
      <c r="E143" s="22"/>
      <c r="F143" s="22"/>
      <c r="G143" s="22"/>
    </row>
    <row r="165" spans="10:15" x14ac:dyDescent="0.2">
      <c r="J165" s="170"/>
      <c r="K165" s="170"/>
      <c r="L165" s="170"/>
      <c r="M165" s="170"/>
      <c r="N165" s="170"/>
      <c r="O165" s="170"/>
    </row>
  </sheetData>
  <mergeCells count="13">
    <mergeCell ref="B142:C142"/>
    <mergeCell ref="B143:C143"/>
    <mergeCell ref="B128:C128"/>
    <mergeCell ref="B129:C129"/>
    <mergeCell ref="B130:C130"/>
    <mergeCell ref="B138:C138"/>
    <mergeCell ref="B140:C140"/>
    <mergeCell ref="B141:C141"/>
    <mergeCell ref="J2:N2"/>
    <mergeCell ref="B127:C12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6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276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29.1" customHeight="1" x14ac:dyDescent="0.2">
      <c r="A7" s="3">
        <v>1</v>
      </c>
      <c r="B7" s="4" t="s">
        <v>168</v>
      </c>
      <c r="C7" s="4" t="s">
        <v>169</v>
      </c>
      <c r="D7" s="4" t="s">
        <v>25</v>
      </c>
      <c r="E7" s="5">
        <v>122417</v>
      </c>
      <c r="F7" s="6">
        <v>452.20839799999999</v>
      </c>
      <c r="G7" s="7">
        <v>4.0171015999999997E-2</v>
      </c>
      <c r="H7" s="6"/>
    </row>
    <row r="8" spans="1:14" ht="17.100000000000001" customHeight="1" x14ac:dyDescent="0.2">
      <c r="A8" s="3">
        <v>2</v>
      </c>
      <c r="B8" s="4" t="s">
        <v>170</v>
      </c>
      <c r="C8" s="4" t="s">
        <v>171</v>
      </c>
      <c r="D8" s="4" t="s">
        <v>28</v>
      </c>
      <c r="E8" s="5">
        <v>32056</v>
      </c>
      <c r="F8" s="6">
        <v>396.30832800000002</v>
      </c>
      <c r="G8" s="7">
        <v>3.5205246000000003E-2</v>
      </c>
      <c r="H8" s="6"/>
    </row>
    <row r="9" spans="1:14" ht="17.100000000000001" customHeight="1" x14ac:dyDescent="0.2">
      <c r="A9" s="3">
        <v>3</v>
      </c>
      <c r="B9" s="4" t="s">
        <v>246</v>
      </c>
      <c r="C9" s="4" t="s">
        <v>247</v>
      </c>
      <c r="D9" s="4" t="s">
        <v>248</v>
      </c>
      <c r="E9" s="5">
        <v>188288</v>
      </c>
      <c r="F9" s="6">
        <v>342.59001599999999</v>
      </c>
      <c r="G9" s="7">
        <v>3.0433288999999999E-2</v>
      </c>
      <c r="H9" s="6"/>
    </row>
    <row r="10" spans="1:14" ht="29.1" customHeight="1" x14ac:dyDescent="0.2">
      <c r="A10" s="3">
        <v>4</v>
      </c>
      <c r="B10" s="4" t="s">
        <v>217</v>
      </c>
      <c r="C10" s="4" t="s">
        <v>218</v>
      </c>
      <c r="D10" s="4" t="s">
        <v>219</v>
      </c>
      <c r="E10" s="5">
        <v>8708</v>
      </c>
      <c r="F10" s="6">
        <v>341.741106</v>
      </c>
      <c r="G10" s="7">
        <v>3.0357878000000001E-2</v>
      </c>
      <c r="H10" s="6"/>
    </row>
    <row r="11" spans="1:14" ht="17.100000000000001" customHeight="1" x14ac:dyDescent="0.2">
      <c r="A11" s="3">
        <v>5</v>
      </c>
      <c r="B11" s="4" t="s">
        <v>166</v>
      </c>
      <c r="C11" s="4" t="s">
        <v>167</v>
      </c>
      <c r="D11" s="4" t="s">
        <v>80</v>
      </c>
      <c r="E11" s="5">
        <v>24070</v>
      </c>
      <c r="F11" s="6">
        <v>341.565335</v>
      </c>
      <c r="G11" s="7">
        <v>3.0342264000000001E-2</v>
      </c>
      <c r="H11" s="6"/>
    </row>
    <row r="12" spans="1:14" ht="17.100000000000001" customHeight="1" x14ac:dyDescent="0.2">
      <c r="A12" s="3">
        <v>6</v>
      </c>
      <c r="B12" s="4" t="s">
        <v>78</v>
      </c>
      <c r="C12" s="4" t="s">
        <v>79</v>
      </c>
      <c r="D12" s="4" t="s">
        <v>80</v>
      </c>
      <c r="E12" s="5">
        <v>68471</v>
      </c>
      <c r="F12" s="6">
        <v>334.7204835</v>
      </c>
      <c r="G12" s="7">
        <v>2.9734215000000001E-2</v>
      </c>
      <c r="H12" s="6"/>
      <c r="J12" s="169" t="s">
        <v>1144</v>
      </c>
    </row>
    <row r="13" spans="1:14" ht="17.100000000000001" customHeight="1" x14ac:dyDescent="0.2">
      <c r="A13" s="3">
        <v>7</v>
      </c>
      <c r="B13" s="4" t="s">
        <v>182</v>
      </c>
      <c r="C13" s="4" t="s">
        <v>183</v>
      </c>
      <c r="D13" s="4" t="s">
        <v>80</v>
      </c>
      <c r="E13" s="5">
        <v>49555</v>
      </c>
      <c r="F13" s="6">
        <v>284.42092250000002</v>
      </c>
      <c r="G13" s="7">
        <v>2.5265955999999999E-2</v>
      </c>
      <c r="H13" s="6"/>
    </row>
    <row r="14" spans="1:14" ht="17.100000000000001" customHeight="1" x14ac:dyDescent="0.2">
      <c r="A14" s="3">
        <v>8</v>
      </c>
      <c r="B14" s="4" t="s">
        <v>201</v>
      </c>
      <c r="C14" s="4" t="s">
        <v>202</v>
      </c>
      <c r="D14" s="4" t="s">
        <v>203</v>
      </c>
      <c r="E14" s="5">
        <v>55085</v>
      </c>
      <c r="F14" s="6">
        <v>277.35297500000001</v>
      </c>
      <c r="G14" s="7">
        <v>2.4638088999999998E-2</v>
      </c>
      <c r="H14" s="6"/>
    </row>
    <row r="15" spans="1:14" ht="17.100000000000001" customHeight="1" x14ac:dyDescent="0.2">
      <c r="A15" s="3">
        <v>9</v>
      </c>
      <c r="B15" s="4" t="s">
        <v>32</v>
      </c>
      <c r="C15" s="4" t="s">
        <v>33</v>
      </c>
      <c r="D15" s="4" t="s">
        <v>28</v>
      </c>
      <c r="E15" s="5">
        <v>15418</v>
      </c>
      <c r="F15" s="6">
        <v>264.27222899999998</v>
      </c>
      <c r="G15" s="7">
        <v>2.3476087E-2</v>
      </c>
      <c r="H15" s="6"/>
    </row>
    <row r="16" spans="1:14" ht="17.100000000000001" customHeight="1" x14ac:dyDescent="0.2">
      <c r="A16" s="3">
        <v>10</v>
      </c>
      <c r="B16" s="4" t="s">
        <v>172</v>
      </c>
      <c r="C16" s="4" t="s">
        <v>173</v>
      </c>
      <c r="D16" s="4" t="s">
        <v>994</v>
      </c>
      <c r="E16" s="5">
        <v>49716</v>
      </c>
      <c r="F16" s="6">
        <v>263.64394800000002</v>
      </c>
      <c r="G16" s="7">
        <v>2.3420275000000001E-2</v>
      </c>
      <c r="H16" s="6"/>
    </row>
    <row r="17" spans="1:8" ht="17.100000000000001" customHeight="1" x14ac:dyDescent="0.2">
      <c r="A17" s="3">
        <v>11</v>
      </c>
      <c r="B17" s="4" t="s">
        <v>179</v>
      </c>
      <c r="C17" s="4" t="s">
        <v>180</v>
      </c>
      <c r="D17" s="4" t="s">
        <v>181</v>
      </c>
      <c r="E17" s="5">
        <v>17493</v>
      </c>
      <c r="F17" s="6">
        <v>258.10921500000001</v>
      </c>
      <c r="G17" s="7">
        <v>2.2928608999999999E-2</v>
      </c>
      <c r="H17" s="6"/>
    </row>
    <row r="18" spans="1:8" ht="17.100000000000001" customHeight="1" x14ac:dyDescent="0.2">
      <c r="A18" s="3">
        <v>12</v>
      </c>
      <c r="B18" s="4" t="s">
        <v>174</v>
      </c>
      <c r="C18" s="4" t="s">
        <v>175</v>
      </c>
      <c r="D18" s="4" t="s">
        <v>176</v>
      </c>
      <c r="E18" s="5">
        <v>21516</v>
      </c>
      <c r="F18" s="6">
        <v>226.35907800000001</v>
      </c>
      <c r="G18" s="7">
        <v>2.0108150000000002E-2</v>
      </c>
      <c r="H18" s="6"/>
    </row>
    <row r="19" spans="1:8" ht="17.100000000000001" customHeight="1" x14ac:dyDescent="0.2">
      <c r="A19" s="3">
        <v>13</v>
      </c>
      <c r="B19" s="4" t="s">
        <v>249</v>
      </c>
      <c r="C19" s="4" t="s">
        <v>250</v>
      </c>
      <c r="D19" s="4" t="s">
        <v>994</v>
      </c>
      <c r="E19" s="5">
        <v>5738</v>
      </c>
      <c r="F19" s="6">
        <v>215.74306200000001</v>
      </c>
      <c r="G19" s="7">
        <v>1.9165096999999999E-2</v>
      </c>
      <c r="H19" s="6"/>
    </row>
    <row r="20" spans="1:8" ht="17.100000000000001" customHeight="1" x14ac:dyDescent="0.2">
      <c r="A20" s="3">
        <v>14</v>
      </c>
      <c r="B20" s="4" t="s">
        <v>177</v>
      </c>
      <c r="C20" s="4" t="s">
        <v>178</v>
      </c>
      <c r="D20" s="4" t="s">
        <v>85</v>
      </c>
      <c r="E20" s="5">
        <v>230364</v>
      </c>
      <c r="F20" s="6">
        <v>214.92961199999999</v>
      </c>
      <c r="G20" s="7">
        <v>1.9092835999999998E-2</v>
      </c>
      <c r="H20" s="6"/>
    </row>
    <row r="21" spans="1:8" ht="17.100000000000001" customHeight="1" x14ac:dyDescent="0.2">
      <c r="A21" s="3">
        <v>15</v>
      </c>
      <c r="B21" s="4" t="s">
        <v>272</v>
      </c>
      <c r="C21" s="4" t="s">
        <v>273</v>
      </c>
      <c r="D21" s="4" t="s">
        <v>28</v>
      </c>
      <c r="E21" s="5">
        <v>25649</v>
      </c>
      <c r="F21" s="6">
        <v>206.346205</v>
      </c>
      <c r="G21" s="7">
        <v>1.8330347E-2</v>
      </c>
      <c r="H21" s="6"/>
    </row>
    <row r="22" spans="1:8" ht="17.100000000000001" customHeight="1" x14ac:dyDescent="0.2">
      <c r="A22" s="3">
        <v>16</v>
      </c>
      <c r="B22" s="4" t="s">
        <v>237</v>
      </c>
      <c r="C22" s="4" t="s">
        <v>238</v>
      </c>
      <c r="D22" s="4" t="s">
        <v>239</v>
      </c>
      <c r="E22" s="5">
        <v>72801</v>
      </c>
      <c r="F22" s="6">
        <v>204.46160850000001</v>
      </c>
      <c r="G22" s="7">
        <v>1.8162932E-2</v>
      </c>
      <c r="H22" s="6"/>
    </row>
    <row r="23" spans="1:8" ht="17.100000000000001" customHeight="1" x14ac:dyDescent="0.2">
      <c r="A23" s="3">
        <v>17</v>
      </c>
      <c r="B23" s="4" t="s">
        <v>277</v>
      </c>
      <c r="C23" s="4" t="s">
        <v>278</v>
      </c>
      <c r="D23" s="4" t="s">
        <v>92</v>
      </c>
      <c r="E23" s="5">
        <v>16360</v>
      </c>
      <c r="F23" s="6">
        <v>190.90484000000001</v>
      </c>
      <c r="G23" s="7">
        <v>1.6958643999999998E-2</v>
      </c>
      <c r="H23" s="6"/>
    </row>
    <row r="24" spans="1:8" ht="17.100000000000001" customHeight="1" x14ac:dyDescent="0.2">
      <c r="A24" s="3">
        <v>18</v>
      </c>
      <c r="B24" s="4" t="s">
        <v>184</v>
      </c>
      <c r="C24" s="4" t="s">
        <v>185</v>
      </c>
      <c r="D24" s="4" t="s">
        <v>186</v>
      </c>
      <c r="E24" s="5">
        <v>17819</v>
      </c>
      <c r="F24" s="6">
        <v>189.37142249999999</v>
      </c>
      <c r="G24" s="7">
        <v>1.6822426000000001E-2</v>
      </c>
      <c r="H24" s="6"/>
    </row>
    <row r="25" spans="1:8" ht="17.100000000000001" customHeight="1" x14ac:dyDescent="0.2">
      <c r="A25" s="3">
        <v>19</v>
      </c>
      <c r="B25" s="4" t="s">
        <v>90</v>
      </c>
      <c r="C25" s="4" t="s">
        <v>91</v>
      </c>
      <c r="D25" s="4" t="s">
        <v>92</v>
      </c>
      <c r="E25" s="5">
        <v>39179</v>
      </c>
      <c r="F25" s="6">
        <v>182.04522349999999</v>
      </c>
      <c r="G25" s="7">
        <v>1.6171617999999999E-2</v>
      </c>
      <c r="H25" s="6"/>
    </row>
    <row r="26" spans="1:8" ht="17.100000000000001" customHeight="1" x14ac:dyDescent="0.2">
      <c r="A26" s="3">
        <v>20</v>
      </c>
      <c r="B26" s="4" t="s">
        <v>187</v>
      </c>
      <c r="C26" s="4" t="s">
        <v>188</v>
      </c>
      <c r="D26" s="4" t="s">
        <v>181</v>
      </c>
      <c r="E26" s="5">
        <v>13239</v>
      </c>
      <c r="F26" s="6">
        <v>181.59274350000001</v>
      </c>
      <c r="G26" s="7">
        <v>1.6131422999999999E-2</v>
      </c>
      <c r="H26" s="6"/>
    </row>
    <row r="27" spans="1:8" ht="17.100000000000001" customHeight="1" x14ac:dyDescent="0.2">
      <c r="A27" s="3">
        <v>21</v>
      </c>
      <c r="B27" s="4" t="s">
        <v>88</v>
      </c>
      <c r="C27" s="4" t="s">
        <v>89</v>
      </c>
      <c r="D27" s="4" t="s">
        <v>13</v>
      </c>
      <c r="E27" s="5">
        <v>12753</v>
      </c>
      <c r="F27" s="6">
        <v>180.8056575</v>
      </c>
      <c r="G27" s="7">
        <v>1.6061504000000001E-2</v>
      </c>
      <c r="H27" s="6"/>
    </row>
    <row r="28" spans="1:8" ht="29.1" customHeight="1" x14ac:dyDescent="0.2">
      <c r="A28" s="3">
        <v>22</v>
      </c>
      <c r="B28" s="4" t="s">
        <v>189</v>
      </c>
      <c r="C28" s="4" t="s">
        <v>190</v>
      </c>
      <c r="D28" s="4" t="s">
        <v>191</v>
      </c>
      <c r="E28" s="5">
        <v>25510</v>
      </c>
      <c r="F28" s="6">
        <v>179.60315499999999</v>
      </c>
      <c r="G28" s="7">
        <v>1.5954682000000001E-2</v>
      </c>
      <c r="H28" s="6"/>
    </row>
    <row r="29" spans="1:8" ht="29.1" customHeight="1" x14ac:dyDescent="0.2">
      <c r="A29" s="3">
        <v>23</v>
      </c>
      <c r="B29" s="4" t="s">
        <v>192</v>
      </c>
      <c r="C29" s="4" t="s">
        <v>193</v>
      </c>
      <c r="D29" s="4" t="s">
        <v>80</v>
      </c>
      <c r="E29" s="5">
        <v>48153</v>
      </c>
      <c r="F29" s="6">
        <v>174.04901849999999</v>
      </c>
      <c r="G29" s="7">
        <v>1.5461292E-2</v>
      </c>
      <c r="H29" s="6"/>
    </row>
    <row r="30" spans="1:8" ht="17.100000000000001" customHeight="1" x14ac:dyDescent="0.2">
      <c r="A30" s="3">
        <v>24</v>
      </c>
      <c r="B30" s="4" t="s">
        <v>194</v>
      </c>
      <c r="C30" s="4" t="s">
        <v>195</v>
      </c>
      <c r="D30" s="4" t="s">
        <v>85</v>
      </c>
      <c r="E30" s="5">
        <v>34708</v>
      </c>
      <c r="F30" s="6">
        <v>167.88259600000001</v>
      </c>
      <c r="G30" s="7">
        <v>1.491351E-2</v>
      </c>
      <c r="H30" s="6"/>
    </row>
    <row r="31" spans="1:8" ht="29.1" customHeight="1" x14ac:dyDescent="0.2">
      <c r="A31" s="3">
        <v>25</v>
      </c>
      <c r="B31" s="4" t="s">
        <v>196</v>
      </c>
      <c r="C31" s="4" t="s">
        <v>197</v>
      </c>
      <c r="D31" s="4" t="s">
        <v>198</v>
      </c>
      <c r="E31" s="5">
        <v>47293</v>
      </c>
      <c r="F31" s="6">
        <v>167.0152295</v>
      </c>
      <c r="G31" s="7">
        <v>1.4836459E-2</v>
      </c>
      <c r="H31" s="6"/>
    </row>
    <row r="32" spans="1:8" ht="17.100000000000001" customHeight="1" x14ac:dyDescent="0.2">
      <c r="A32" s="3">
        <v>26</v>
      </c>
      <c r="B32" s="4" t="s">
        <v>279</v>
      </c>
      <c r="C32" s="4" t="s">
        <v>280</v>
      </c>
      <c r="D32" s="4" t="s">
        <v>28</v>
      </c>
      <c r="E32" s="5">
        <v>23981</v>
      </c>
      <c r="F32" s="6">
        <v>161.29620600000001</v>
      </c>
      <c r="G32" s="7">
        <v>1.4328420999999999E-2</v>
      </c>
      <c r="H32" s="6"/>
    </row>
    <row r="33" spans="1:8" ht="17.100000000000001" customHeight="1" x14ac:dyDescent="0.2">
      <c r="A33" s="3">
        <v>27</v>
      </c>
      <c r="B33" s="4" t="s">
        <v>281</v>
      </c>
      <c r="C33" s="4" t="s">
        <v>282</v>
      </c>
      <c r="D33" s="4" t="s">
        <v>28</v>
      </c>
      <c r="E33" s="5">
        <v>7016</v>
      </c>
      <c r="F33" s="6">
        <v>159.975324</v>
      </c>
      <c r="G33" s="7">
        <v>1.4211082999999999E-2</v>
      </c>
      <c r="H33" s="6"/>
    </row>
    <row r="34" spans="1:8" ht="17.100000000000001" customHeight="1" x14ac:dyDescent="0.2">
      <c r="A34" s="3">
        <v>28</v>
      </c>
      <c r="B34" s="4" t="s">
        <v>222</v>
      </c>
      <c r="C34" s="4" t="s">
        <v>223</v>
      </c>
      <c r="D34" s="4" t="s">
        <v>95</v>
      </c>
      <c r="E34" s="5">
        <v>10027</v>
      </c>
      <c r="F34" s="6">
        <v>157.45899449999999</v>
      </c>
      <c r="G34" s="7">
        <v>1.398755E-2</v>
      </c>
      <c r="H34" s="6"/>
    </row>
    <row r="35" spans="1:8" ht="29.1" customHeight="1" x14ac:dyDescent="0.2">
      <c r="A35" s="3">
        <v>29</v>
      </c>
      <c r="B35" s="4" t="s">
        <v>43</v>
      </c>
      <c r="C35" s="4" t="s">
        <v>44</v>
      </c>
      <c r="D35" s="4" t="s">
        <v>25</v>
      </c>
      <c r="E35" s="5">
        <v>6481</v>
      </c>
      <c r="F35" s="6">
        <v>154.39362249999999</v>
      </c>
      <c r="G35" s="7">
        <v>1.3715244E-2</v>
      </c>
      <c r="H35" s="6"/>
    </row>
    <row r="36" spans="1:8" ht="17.100000000000001" customHeight="1" x14ac:dyDescent="0.2">
      <c r="A36" s="3">
        <v>30</v>
      </c>
      <c r="B36" s="4" t="s">
        <v>204</v>
      </c>
      <c r="C36" s="4" t="s">
        <v>205</v>
      </c>
      <c r="D36" s="4" t="s">
        <v>85</v>
      </c>
      <c r="E36" s="5">
        <v>19750</v>
      </c>
      <c r="F36" s="6">
        <v>153.655</v>
      </c>
      <c r="G36" s="7">
        <v>1.3649629999999999E-2</v>
      </c>
      <c r="H36" s="6"/>
    </row>
    <row r="37" spans="1:8" ht="17.100000000000001" customHeight="1" x14ac:dyDescent="0.2">
      <c r="A37" s="3">
        <v>31</v>
      </c>
      <c r="B37" s="4" t="s">
        <v>199</v>
      </c>
      <c r="C37" s="4" t="s">
        <v>200</v>
      </c>
      <c r="D37" s="4" t="s">
        <v>13</v>
      </c>
      <c r="E37" s="5">
        <v>40089</v>
      </c>
      <c r="F37" s="6">
        <v>144.54088949999999</v>
      </c>
      <c r="G37" s="7">
        <v>1.2839997000000001E-2</v>
      </c>
      <c r="H37" s="6"/>
    </row>
    <row r="38" spans="1:8" ht="53.1" customHeight="1" x14ac:dyDescent="0.2">
      <c r="A38" s="3">
        <v>32</v>
      </c>
      <c r="B38" s="4" t="s">
        <v>251</v>
      </c>
      <c r="C38" s="4" t="s">
        <v>1141</v>
      </c>
      <c r="D38" s="4" t="s">
        <v>75</v>
      </c>
      <c r="E38" s="5">
        <v>72461</v>
      </c>
      <c r="F38" s="6">
        <v>143.83508499999999</v>
      </c>
      <c r="G38" s="7">
        <v>1.2777297999999999E-2</v>
      </c>
      <c r="H38" s="6"/>
    </row>
    <row r="39" spans="1:8" ht="29.1" customHeight="1" x14ac:dyDescent="0.2">
      <c r="A39" s="3">
        <v>33</v>
      </c>
      <c r="B39" s="4" t="s">
        <v>206</v>
      </c>
      <c r="C39" s="4" t="s">
        <v>207</v>
      </c>
      <c r="D39" s="4" t="s">
        <v>191</v>
      </c>
      <c r="E39" s="5">
        <v>30419</v>
      </c>
      <c r="F39" s="6">
        <v>142.8019955</v>
      </c>
      <c r="G39" s="7">
        <v>1.2685526000000001E-2</v>
      </c>
      <c r="H39" s="6"/>
    </row>
    <row r="40" spans="1:8" ht="17.100000000000001" customHeight="1" x14ac:dyDescent="0.2">
      <c r="A40" s="3">
        <v>34</v>
      </c>
      <c r="B40" s="4" t="s">
        <v>283</v>
      </c>
      <c r="C40" s="4" t="s">
        <v>284</v>
      </c>
      <c r="D40" s="4" t="s">
        <v>176</v>
      </c>
      <c r="E40" s="5">
        <v>18035</v>
      </c>
      <c r="F40" s="6">
        <v>141.28619</v>
      </c>
      <c r="G40" s="7">
        <v>1.2550871999999999E-2</v>
      </c>
      <c r="H40" s="6"/>
    </row>
    <row r="41" spans="1:8" ht="29.1" customHeight="1" x14ac:dyDescent="0.2">
      <c r="A41" s="3">
        <v>35</v>
      </c>
      <c r="B41" s="4" t="s">
        <v>285</v>
      </c>
      <c r="C41" s="4" t="s">
        <v>286</v>
      </c>
      <c r="D41" s="4" t="s">
        <v>233</v>
      </c>
      <c r="E41" s="5">
        <v>24808</v>
      </c>
      <c r="F41" s="6">
        <v>137.845652</v>
      </c>
      <c r="G41" s="7">
        <v>1.2245239E-2</v>
      </c>
      <c r="H41" s="6"/>
    </row>
    <row r="42" spans="1:8" ht="17.100000000000001" customHeight="1" x14ac:dyDescent="0.2">
      <c r="A42" s="3">
        <v>36</v>
      </c>
      <c r="B42" s="4" t="s">
        <v>287</v>
      </c>
      <c r="C42" s="4" t="s">
        <v>288</v>
      </c>
      <c r="D42" s="4" t="s">
        <v>85</v>
      </c>
      <c r="E42" s="5">
        <v>264030</v>
      </c>
      <c r="F42" s="6">
        <v>130.56283500000001</v>
      </c>
      <c r="G42" s="7">
        <v>1.1598285E-2</v>
      </c>
      <c r="H42" s="6"/>
    </row>
    <row r="43" spans="1:8" ht="17.100000000000001" customHeight="1" x14ac:dyDescent="0.2">
      <c r="A43" s="3">
        <v>37</v>
      </c>
      <c r="B43" s="4" t="s">
        <v>213</v>
      </c>
      <c r="C43" s="4" t="s">
        <v>214</v>
      </c>
      <c r="D43" s="4" t="s">
        <v>13</v>
      </c>
      <c r="E43" s="5">
        <v>152329</v>
      </c>
      <c r="F43" s="6">
        <v>125.1382735</v>
      </c>
      <c r="G43" s="7">
        <v>1.1116404999999999E-2</v>
      </c>
      <c r="H43" s="6"/>
    </row>
    <row r="44" spans="1:8" ht="17.100000000000001" customHeight="1" x14ac:dyDescent="0.2">
      <c r="A44" s="3">
        <v>38</v>
      </c>
      <c r="B44" s="4" t="s">
        <v>263</v>
      </c>
      <c r="C44" s="4" t="s">
        <v>264</v>
      </c>
      <c r="D44" s="4" t="s">
        <v>16</v>
      </c>
      <c r="E44" s="5">
        <v>53872</v>
      </c>
      <c r="F44" s="6">
        <v>122.720416</v>
      </c>
      <c r="G44" s="7">
        <v>1.0901619E-2</v>
      </c>
      <c r="H44" s="6"/>
    </row>
    <row r="45" spans="1:8" ht="29.1" customHeight="1" x14ac:dyDescent="0.2">
      <c r="A45" s="3">
        <v>39</v>
      </c>
      <c r="B45" s="4" t="s">
        <v>211</v>
      </c>
      <c r="C45" s="4" t="s">
        <v>212</v>
      </c>
      <c r="D45" s="4" t="s">
        <v>198</v>
      </c>
      <c r="E45" s="5">
        <v>21308</v>
      </c>
      <c r="F45" s="6">
        <v>120.912246</v>
      </c>
      <c r="G45" s="7">
        <v>1.0740994E-2</v>
      </c>
      <c r="H45" s="6"/>
    </row>
    <row r="46" spans="1:8" ht="17.100000000000001" customHeight="1" x14ac:dyDescent="0.2">
      <c r="A46" s="3">
        <v>40</v>
      </c>
      <c r="B46" s="4" t="s">
        <v>215</v>
      </c>
      <c r="C46" s="4" t="s">
        <v>216</v>
      </c>
      <c r="D46" s="4" t="s">
        <v>186</v>
      </c>
      <c r="E46" s="5">
        <v>26053</v>
      </c>
      <c r="F46" s="6">
        <v>118.593256</v>
      </c>
      <c r="G46" s="7">
        <v>1.0534991E-2</v>
      </c>
      <c r="H46" s="6"/>
    </row>
    <row r="47" spans="1:8" ht="29.1" customHeight="1" x14ac:dyDescent="0.2">
      <c r="A47" s="3">
        <v>41</v>
      </c>
      <c r="B47" s="4" t="s">
        <v>208</v>
      </c>
      <c r="C47" s="4" t="s">
        <v>209</v>
      </c>
      <c r="D47" s="4" t="s">
        <v>210</v>
      </c>
      <c r="E47" s="5">
        <v>8036</v>
      </c>
      <c r="F47" s="6">
        <v>114.649612</v>
      </c>
      <c r="G47" s="7">
        <v>1.0184666E-2</v>
      </c>
      <c r="H47" s="6"/>
    </row>
    <row r="48" spans="1:8" ht="29.1" customHeight="1" x14ac:dyDescent="0.2">
      <c r="A48" s="3">
        <v>42</v>
      </c>
      <c r="B48" s="4" t="s">
        <v>220</v>
      </c>
      <c r="C48" s="4" t="s">
        <v>221</v>
      </c>
      <c r="D48" s="4" t="s">
        <v>219</v>
      </c>
      <c r="E48" s="5">
        <v>12112</v>
      </c>
      <c r="F48" s="6">
        <v>105.695368</v>
      </c>
      <c r="G48" s="7">
        <v>9.3892339999999998E-3</v>
      </c>
      <c r="H48" s="6"/>
    </row>
    <row r="49" spans="1:8" ht="17.100000000000001" customHeight="1" x14ac:dyDescent="0.2">
      <c r="A49" s="3">
        <v>43</v>
      </c>
      <c r="B49" s="4" t="s">
        <v>270</v>
      </c>
      <c r="C49" s="4" t="s">
        <v>271</v>
      </c>
      <c r="D49" s="4" t="s">
        <v>28</v>
      </c>
      <c r="E49" s="5">
        <v>9688</v>
      </c>
      <c r="F49" s="6">
        <v>99.132459999999995</v>
      </c>
      <c r="G49" s="7">
        <v>8.8062309999999994E-3</v>
      </c>
      <c r="H49" s="6"/>
    </row>
    <row r="50" spans="1:8" ht="29.1" customHeight="1" x14ac:dyDescent="0.2">
      <c r="A50" s="3">
        <v>44</v>
      </c>
      <c r="B50" s="4" t="s">
        <v>255</v>
      </c>
      <c r="C50" s="4" t="s">
        <v>256</v>
      </c>
      <c r="D50" s="4" t="s">
        <v>210</v>
      </c>
      <c r="E50" s="5">
        <v>45236</v>
      </c>
      <c r="F50" s="6">
        <v>98.818042000000005</v>
      </c>
      <c r="G50" s="7">
        <v>8.7782999999999993E-3</v>
      </c>
      <c r="H50" s="6"/>
    </row>
    <row r="51" spans="1:8" ht="29.1" customHeight="1" x14ac:dyDescent="0.2">
      <c r="A51" s="3">
        <v>45</v>
      </c>
      <c r="B51" s="4" t="s">
        <v>224</v>
      </c>
      <c r="C51" s="4" t="s">
        <v>225</v>
      </c>
      <c r="D51" s="4" t="s">
        <v>198</v>
      </c>
      <c r="E51" s="5">
        <v>5980</v>
      </c>
      <c r="F51" s="6">
        <v>97.21387</v>
      </c>
      <c r="G51" s="7">
        <v>8.6357970000000006E-3</v>
      </c>
      <c r="H51" s="6"/>
    </row>
    <row r="52" spans="1:8" ht="17.100000000000001" customHeight="1" x14ac:dyDescent="0.2">
      <c r="A52" s="3">
        <v>46</v>
      </c>
      <c r="B52" s="4" t="s">
        <v>289</v>
      </c>
      <c r="C52" s="4" t="s">
        <v>290</v>
      </c>
      <c r="D52" s="4" t="s">
        <v>106</v>
      </c>
      <c r="E52" s="5">
        <v>42614</v>
      </c>
      <c r="F52" s="6">
        <v>95.796272000000002</v>
      </c>
      <c r="G52" s="7">
        <v>8.5098680000000003E-3</v>
      </c>
      <c r="H52" s="6"/>
    </row>
    <row r="53" spans="1:8" ht="17.100000000000001" customHeight="1" x14ac:dyDescent="0.2">
      <c r="A53" s="3">
        <v>47</v>
      </c>
      <c r="B53" s="4" t="s">
        <v>228</v>
      </c>
      <c r="C53" s="4" t="s">
        <v>229</v>
      </c>
      <c r="D53" s="4" t="s">
        <v>230</v>
      </c>
      <c r="E53" s="5">
        <v>31242</v>
      </c>
      <c r="F53" s="6">
        <v>92.32011</v>
      </c>
      <c r="G53" s="7">
        <v>8.2010699999999995E-3</v>
      </c>
      <c r="H53" s="6"/>
    </row>
    <row r="54" spans="1:8" ht="29.1" customHeight="1" x14ac:dyDescent="0.2">
      <c r="A54" s="3">
        <v>48</v>
      </c>
      <c r="B54" s="4" t="s">
        <v>231</v>
      </c>
      <c r="C54" s="4" t="s">
        <v>232</v>
      </c>
      <c r="D54" s="4" t="s">
        <v>233</v>
      </c>
      <c r="E54" s="5">
        <v>25988</v>
      </c>
      <c r="F54" s="6">
        <v>92.023508000000007</v>
      </c>
      <c r="G54" s="7">
        <v>8.1747220000000006E-3</v>
      </c>
      <c r="H54" s="6"/>
    </row>
    <row r="55" spans="1:8" ht="29.1" customHeight="1" x14ac:dyDescent="0.2">
      <c r="A55" s="3">
        <v>49</v>
      </c>
      <c r="B55" s="4" t="s">
        <v>234</v>
      </c>
      <c r="C55" s="4" t="s">
        <v>235</v>
      </c>
      <c r="D55" s="4" t="s">
        <v>236</v>
      </c>
      <c r="E55" s="5">
        <v>100256</v>
      </c>
      <c r="F55" s="6">
        <v>91.283088000000006</v>
      </c>
      <c r="G55" s="7">
        <v>8.1089479999999995E-3</v>
      </c>
      <c r="H55" s="6"/>
    </row>
    <row r="56" spans="1:8" ht="17.100000000000001" customHeight="1" x14ac:dyDescent="0.2">
      <c r="A56" s="3">
        <v>50</v>
      </c>
      <c r="B56" s="4" t="s">
        <v>34</v>
      </c>
      <c r="C56" s="4" t="s">
        <v>35</v>
      </c>
      <c r="D56" s="4" t="s">
        <v>28</v>
      </c>
      <c r="E56" s="5">
        <v>6682</v>
      </c>
      <c r="F56" s="6">
        <v>90.547781999999998</v>
      </c>
      <c r="G56" s="7">
        <v>8.0436290000000001E-3</v>
      </c>
      <c r="H56" s="6"/>
    </row>
    <row r="57" spans="1:8" ht="17.100000000000001" customHeight="1" x14ac:dyDescent="0.2">
      <c r="A57" s="3">
        <v>51</v>
      </c>
      <c r="B57" s="4" t="s">
        <v>240</v>
      </c>
      <c r="C57" s="4" t="s">
        <v>241</v>
      </c>
      <c r="D57" s="4" t="s">
        <v>80</v>
      </c>
      <c r="E57" s="5">
        <v>16226</v>
      </c>
      <c r="F57" s="6">
        <v>87.612286999999995</v>
      </c>
      <c r="G57" s="7">
        <v>7.78286E-3</v>
      </c>
      <c r="H57" s="6"/>
    </row>
    <row r="58" spans="1:8" ht="17.100000000000001" customHeight="1" x14ac:dyDescent="0.2">
      <c r="A58" s="3">
        <v>52</v>
      </c>
      <c r="B58" s="4" t="s">
        <v>242</v>
      </c>
      <c r="C58" s="4" t="s">
        <v>243</v>
      </c>
      <c r="D58" s="4" t="s">
        <v>80</v>
      </c>
      <c r="E58" s="5">
        <v>40563</v>
      </c>
      <c r="F58" s="6">
        <v>86.4194715</v>
      </c>
      <c r="G58" s="7">
        <v>7.6768979999999997E-3</v>
      </c>
      <c r="H58" s="6"/>
    </row>
    <row r="59" spans="1:8" ht="41.1" customHeight="1" x14ac:dyDescent="0.2">
      <c r="A59" s="3">
        <v>53</v>
      </c>
      <c r="B59" s="4" t="s">
        <v>267</v>
      </c>
      <c r="C59" s="4" t="s">
        <v>268</v>
      </c>
      <c r="D59" s="4" t="s">
        <v>269</v>
      </c>
      <c r="E59" s="5">
        <v>11772</v>
      </c>
      <c r="F59" s="6">
        <v>85.399974</v>
      </c>
      <c r="G59" s="7">
        <v>7.5863329999999998E-3</v>
      </c>
      <c r="H59" s="6"/>
    </row>
    <row r="60" spans="1:8" ht="29.1" customHeight="1" x14ac:dyDescent="0.2">
      <c r="A60" s="3">
        <v>54</v>
      </c>
      <c r="B60" s="4" t="s">
        <v>226</v>
      </c>
      <c r="C60" s="4" t="s">
        <v>227</v>
      </c>
      <c r="D60" s="4" t="s">
        <v>80</v>
      </c>
      <c r="E60" s="5">
        <v>4600</v>
      </c>
      <c r="F60" s="6">
        <v>81.309600000000003</v>
      </c>
      <c r="G60" s="7">
        <v>7.2229729999999997E-3</v>
      </c>
      <c r="H60" s="6"/>
    </row>
    <row r="61" spans="1:8" ht="17.100000000000001" customHeight="1" x14ac:dyDescent="0.2">
      <c r="A61" s="3">
        <v>55</v>
      </c>
      <c r="B61" s="4" t="s">
        <v>96</v>
      </c>
      <c r="C61" s="4" t="s">
        <v>97</v>
      </c>
      <c r="D61" s="4" t="s">
        <v>80</v>
      </c>
      <c r="E61" s="5">
        <v>3000</v>
      </c>
      <c r="F61" s="6">
        <v>78.989999999999995</v>
      </c>
      <c r="G61" s="7">
        <v>7.0169159999999998E-3</v>
      </c>
      <c r="H61" s="6"/>
    </row>
    <row r="62" spans="1:8" ht="17.100000000000001" customHeight="1" x14ac:dyDescent="0.2">
      <c r="A62" s="3">
        <v>56</v>
      </c>
      <c r="B62" s="4" t="s">
        <v>291</v>
      </c>
      <c r="C62" s="4" t="s">
        <v>292</v>
      </c>
      <c r="D62" s="4" t="s">
        <v>95</v>
      </c>
      <c r="E62" s="5">
        <v>12261</v>
      </c>
      <c r="F62" s="6">
        <v>77.422084499999997</v>
      </c>
      <c r="G62" s="7">
        <v>6.8776339999999997E-3</v>
      </c>
      <c r="H62" s="6"/>
    </row>
    <row r="63" spans="1:8" ht="17.100000000000001" customHeight="1" x14ac:dyDescent="0.2">
      <c r="A63" s="3">
        <v>57</v>
      </c>
      <c r="B63" s="4" t="s">
        <v>252</v>
      </c>
      <c r="C63" s="4" t="s">
        <v>253</v>
      </c>
      <c r="D63" s="4" t="s">
        <v>254</v>
      </c>
      <c r="E63" s="5">
        <v>61316</v>
      </c>
      <c r="F63" s="6">
        <v>72.751434000000003</v>
      </c>
      <c r="G63" s="7">
        <v>6.4627260000000002E-3</v>
      </c>
      <c r="H63" s="6"/>
    </row>
    <row r="64" spans="1:8" ht="29.1" customHeight="1" x14ac:dyDescent="0.2">
      <c r="A64" s="3">
        <v>58</v>
      </c>
      <c r="B64" s="4" t="s">
        <v>293</v>
      </c>
      <c r="C64" s="4" t="s">
        <v>294</v>
      </c>
      <c r="D64" s="4" t="s">
        <v>295</v>
      </c>
      <c r="E64" s="5">
        <v>21172</v>
      </c>
      <c r="F64" s="6">
        <v>69.147751999999997</v>
      </c>
      <c r="G64" s="7">
        <v>6.1425999999999998E-3</v>
      </c>
      <c r="H64" s="6"/>
    </row>
    <row r="65" spans="1:8" ht="17.100000000000001" customHeight="1" x14ac:dyDescent="0.2">
      <c r="A65" s="3">
        <v>59</v>
      </c>
      <c r="B65" s="4" t="s">
        <v>257</v>
      </c>
      <c r="C65" s="4" t="s">
        <v>258</v>
      </c>
      <c r="D65" s="4" t="s">
        <v>186</v>
      </c>
      <c r="E65" s="5">
        <v>70479</v>
      </c>
      <c r="F65" s="6">
        <v>68.505588000000003</v>
      </c>
      <c r="G65" s="7">
        <v>6.0855550000000003E-3</v>
      </c>
      <c r="H65" s="6"/>
    </row>
    <row r="66" spans="1:8" ht="17.100000000000001" customHeight="1" x14ac:dyDescent="0.2">
      <c r="A66" s="3">
        <v>60</v>
      </c>
      <c r="B66" s="4" t="s">
        <v>244</v>
      </c>
      <c r="C66" s="4" t="s">
        <v>245</v>
      </c>
      <c r="D66" s="4" t="s">
        <v>95</v>
      </c>
      <c r="E66" s="5">
        <v>13025</v>
      </c>
      <c r="F66" s="6">
        <v>68.413812500000006</v>
      </c>
      <c r="G66" s="7">
        <v>6.077402E-3</v>
      </c>
      <c r="H66" s="6"/>
    </row>
    <row r="67" spans="1:8" ht="17.100000000000001" customHeight="1" x14ac:dyDescent="0.2">
      <c r="A67" s="3">
        <v>61</v>
      </c>
      <c r="B67" s="4" t="s">
        <v>296</v>
      </c>
      <c r="C67" s="4" t="s">
        <v>297</v>
      </c>
      <c r="D67" s="4" t="s">
        <v>31</v>
      </c>
      <c r="E67" s="5">
        <v>76703</v>
      </c>
      <c r="F67" s="6">
        <v>67.843803500000007</v>
      </c>
      <c r="G67" s="7">
        <v>6.0267669999999997E-3</v>
      </c>
      <c r="H67" s="6"/>
    </row>
    <row r="68" spans="1:8" ht="29.1" customHeight="1" x14ac:dyDescent="0.2">
      <c r="A68" s="3">
        <v>62</v>
      </c>
      <c r="B68" s="4" t="s">
        <v>298</v>
      </c>
      <c r="C68" s="4" t="s">
        <v>299</v>
      </c>
      <c r="D68" s="4" t="s">
        <v>25</v>
      </c>
      <c r="E68" s="5">
        <v>34035</v>
      </c>
      <c r="F68" s="6">
        <v>62.403172499999997</v>
      </c>
      <c r="G68" s="7">
        <v>5.5434589999999997E-3</v>
      </c>
      <c r="H68" s="6"/>
    </row>
    <row r="69" spans="1:8" ht="17.100000000000001" customHeight="1" x14ac:dyDescent="0.2">
      <c r="A69" s="3">
        <v>63</v>
      </c>
      <c r="B69" s="4" t="s">
        <v>259</v>
      </c>
      <c r="C69" s="4" t="s">
        <v>260</v>
      </c>
      <c r="D69" s="4" t="s">
        <v>186</v>
      </c>
      <c r="E69" s="5">
        <v>42305</v>
      </c>
      <c r="F69" s="6">
        <v>61.574927500000001</v>
      </c>
      <c r="G69" s="7">
        <v>5.4698840000000004E-3</v>
      </c>
      <c r="H69" s="6"/>
    </row>
    <row r="70" spans="1:8" ht="17.100000000000001" customHeight="1" x14ac:dyDescent="0.2">
      <c r="A70" s="3">
        <v>64</v>
      </c>
      <c r="B70" s="4" t="s">
        <v>261</v>
      </c>
      <c r="C70" s="4" t="s">
        <v>262</v>
      </c>
      <c r="D70" s="4" t="s">
        <v>106</v>
      </c>
      <c r="E70" s="5">
        <v>8427</v>
      </c>
      <c r="F70" s="6">
        <v>61.112603999999997</v>
      </c>
      <c r="G70" s="7">
        <v>5.4288139999999997E-3</v>
      </c>
      <c r="H70" s="6"/>
    </row>
    <row r="71" spans="1:8" ht="17.100000000000001" customHeight="1" x14ac:dyDescent="0.2">
      <c r="A71" s="3">
        <v>65</v>
      </c>
      <c r="B71" s="4" t="s">
        <v>300</v>
      </c>
      <c r="C71" s="4" t="s">
        <v>301</v>
      </c>
      <c r="D71" s="4" t="s">
        <v>302</v>
      </c>
      <c r="E71" s="5">
        <v>9171</v>
      </c>
      <c r="F71" s="6">
        <v>57.112402500000002</v>
      </c>
      <c r="G71" s="7">
        <v>5.0734639999999998E-3</v>
      </c>
      <c r="H71" s="6"/>
    </row>
    <row r="72" spans="1:8" ht="29.1" customHeight="1" x14ac:dyDescent="0.2">
      <c r="A72" s="3">
        <v>66</v>
      </c>
      <c r="B72" s="4" t="s">
        <v>265</v>
      </c>
      <c r="C72" s="4" t="s">
        <v>266</v>
      </c>
      <c r="D72" s="4" t="s">
        <v>198</v>
      </c>
      <c r="E72" s="5">
        <v>1256</v>
      </c>
      <c r="F72" s="6">
        <v>53.610475999999998</v>
      </c>
      <c r="G72" s="7">
        <v>4.7623780000000003E-3</v>
      </c>
      <c r="H72" s="6"/>
    </row>
    <row r="73" spans="1:8" ht="17.100000000000001" customHeight="1" x14ac:dyDescent="0.2">
      <c r="A73" s="3">
        <v>67</v>
      </c>
      <c r="B73" s="4" t="s">
        <v>303</v>
      </c>
      <c r="C73" s="4" t="s">
        <v>304</v>
      </c>
      <c r="D73" s="4" t="s">
        <v>19</v>
      </c>
      <c r="E73" s="5">
        <v>27137</v>
      </c>
      <c r="F73" s="6">
        <v>51.275361500000002</v>
      </c>
      <c r="G73" s="7">
        <v>4.5549429999999997E-3</v>
      </c>
      <c r="H73" s="6"/>
    </row>
    <row r="74" spans="1:8" ht="17.100000000000001" customHeight="1" x14ac:dyDescent="0.2">
      <c r="A74" s="3">
        <v>68</v>
      </c>
      <c r="B74" s="4" t="s">
        <v>115</v>
      </c>
      <c r="C74" s="4" t="s">
        <v>116</v>
      </c>
      <c r="D74" s="4" t="s">
        <v>92</v>
      </c>
      <c r="E74" s="5">
        <v>67000</v>
      </c>
      <c r="F74" s="6">
        <v>48.776000000000003</v>
      </c>
      <c r="G74" s="7">
        <v>4.3329170000000004E-3</v>
      </c>
      <c r="H74" s="6"/>
    </row>
    <row r="75" spans="1:8" ht="29.1" customHeight="1" x14ac:dyDescent="0.2">
      <c r="A75" s="3">
        <v>69</v>
      </c>
      <c r="B75" s="4" t="s">
        <v>305</v>
      </c>
      <c r="C75" s="4" t="s">
        <v>306</v>
      </c>
      <c r="D75" s="4" t="s">
        <v>219</v>
      </c>
      <c r="E75" s="5">
        <v>9829</v>
      </c>
      <c r="F75" s="6">
        <v>47.405267000000002</v>
      </c>
      <c r="G75" s="7">
        <v>4.2111509999999998E-3</v>
      </c>
      <c r="H75" s="6"/>
    </row>
    <row r="76" spans="1:8" ht="29.1" customHeight="1" x14ac:dyDescent="0.2">
      <c r="A76" s="3">
        <v>70</v>
      </c>
      <c r="B76" s="4" t="s">
        <v>307</v>
      </c>
      <c r="C76" s="4" t="s">
        <v>308</v>
      </c>
      <c r="D76" s="4" t="s">
        <v>198</v>
      </c>
      <c r="E76" s="5">
        <v>14986</v>
      </c>
      <c r="F76" s="6">
        <v>34.063178000000001</v>
      </c>
      <c r="G76" s="7">
        <v>3.0259330000000002E-3</v>
      </c>
      <c r="H76" s="6"/>
    </row>
    <row r="77" spans="1:8" ht="17.100000000000001" customHeight="1" x14ac:dyDescent="0.2">
      <c r="A77" s="3">
        <v>71</v>
      </c>
      <c r="B77" s="4" t="s">
        <v>107</v>
      </c>
      <c r="C77" s="4" t="s">
        <v>108</v>
      </c>
      <c r="D77" s="4" t="s">
        <v>13</v>
      </c>
      <c r="E77" s="5">
        <v>24117</v>
      </c>
      <c r="F77" s="6">
        <v>28.120422000000001</v>
      </c>
      <c r="G77" s="7">
        <v>2.498021E-3</v>
      </c>
      <c r="H77" s="6"/>
    </row>
    <row r="78" spans="1:8" ht="29.1" customHeight="1" x14ac:dyDescent="0.2">
      <c r="A78" s="3">
        <v>72</v>
      </c>
      <c r="B78" s="4" t="s">
        <v>274</v>
      </c>
      <c r="C78" s="4" t="s">
        <v>275</v>
      </c>
      <c r="D78" s="4" t="s">
        <v>219</v>
      </c>
      <c r="E78" s="5">
        <v>3329</v>
      </c>
      <c r="F78" s="6">
        <v>22.509033500000001</v>
      </c>
      <c r="G78" s="7">
        <v>1.9995439999999998E-3</v>
      </c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9">
        <v>10702.317156499999</v>
      </c>
      <c r="G79" s="10">
        <v>0.95071863499999998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121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122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119</v>
      </c>
      <c r="D85" s="1"/>
      <c r="E85" s="1" t="s">
        <v>120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123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124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125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8" customHeight="1" x14ac:dyDescent="0.2">
      <c r="A96" s="1"/>
      <c r="B96" s="1"/>
      <c r="C96" s="2" t="s">
        <v>126</v>
      </c>
      <c r="D96" s="1"/>
      <c r="E96" s="1"/>
      <c r="F96" s="9">
        <v>10702.317156499999</v>
      </c>
      <c r="G96" s="10">
        <v>0.95071863499999998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127</v>
      </c>
      <c r="D98" s="1"/>
      <c r="E98" s="1"/>
      <c r="F98" s="12"/>
      <c r="G98" s="12"/>
      <c r="H98" s="6"/>
    </row>
    <row r="99" spans="1:8" ht="24" customHeight="1" x14ac:dyDescent="0.2">
      <c r="A99" s="1"/>
      <c r="B99" s="1"/>
      <c r="C99" s="2" t="s">
        <v>10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128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129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131</v>
      </c>
      <c r="D111" s="1"/>
      <c r="E111" s="1"/>
      <c r="F111" s="9">
        <v>0</v>
      </c>
      <c r="G111" s="10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132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133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119</v>
      </c>
      <c r="D115" s="1"/>
      <c r="E115" s="1" t="s">
        <v>120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134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119</v>
      </c>
      <c r="D118" s="1"/>
      <c r="E118" s="1" t="s">
        <v>120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135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119</v>
      </c>
      <c r="D121" s="1"/>
      <c r="E121" s="1" t="s">
        <v>120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136</v>
      </c>
      <c r="D123" s="1"/>
      <c r="E123" s="1"/>
      <c r="F123" s="12"/>
      <c r="G123" s="12"/>
      <c r="H123" s="6"/>
    </row>
    <row r="124" spans="1:8" ht="17.100000000000001" customHeight="1" x14ac:dyDescent="0.2">
      <c r="A124" s="3">
        <v>1</v>
      </c>
      <c r="B124" s="4"/>
      <c r="C124" s="4" t="s">
        <v>137</v>
      </c>
      <c r="D124" s="4"/>
      <c r="E124" s="8"/>
      <c r="F124" s="6">
        <v>508.88034399999998</v>
      </c>
      <c r="G124" s="7">
        <v>4.5205352999999997E-2</v>
      </c>
      <c r="H124" s="6">
        <v>4.1713246754849944</v>
      </c>
    </row>
    <row r="125" spans="1:8" ht="14.1" customHeight="1" x14ac:dyDescent="0.2">
      <c r="A125" s="1"/>
      <c r="B125" s="1"/>
      <c r="C125" s="2" t="s">
        <v>119</v>
      </c>
      <c r="D125" s="1"/>
      <c r="E125" s="1" t="s">
        <v>120</v>
      </c>
      <c r="F125" s="9">
        <v>508.88034399999998</v>
      </c>
      <c r="G125" s="10">
        <v>4.5205352999999997E-2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138</v>
      </c>
      <c r="D127" s="1"/>
      <c r="E127" s="1"/>
      <c r="F127" s="9">
        <v>508.88034399999998</v>
      </c>
      <c r="G127" s="10">
        <v>4.5205352999999997E-2</v>
      </c>
      <c r="H127" s="6"/>
    </row>
    <row r="128" spans="1:8" ht="14.1" customHeight="1" x14ac:dyDescent="0.2">
      <c r="A128" s="1"/>
      <c r="B128" s="1"/>
      <c r="C128" s="12"/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139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140</v>
      </c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119</v>
      </c>
      <c r="D131" s="1"/>
      <c r="E131" s="1" t="s">
        <v>120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141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142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119</v>
      </c>
      <c r="D135" s="1"/>
      <c r="E135" s="1" t="s">
        <v>120</v>
      </c>
      <c r="F135" s="13">
        <v>0</v>
      </c>
      <c r="G135" s="14">
        <v>0</v>
      </c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24" customHeight="1" x14ac:dyDescent="0.2">
      <c r="A138" s="1"/>
      <c r="B138" s="1"/>
      <c r="C138" s="2" t="s">
        <v>143</v>
      </c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119</v>
      </c>
      <c r="D139" s="1"/>
      <c r="E139" s="1" t="s">
        <v>120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4"/>
      <c r="C141" s="4"/>
      <c r="D141" s="2"/>
      <c r="E141" s="1"/>
      <c r="F141" s="4"/>
      <c r="G141" s="8"/>
      <c r="H141" s="6"/>
    </row>
    <row r="142" spans="1:8" ht="18" customHeight="1" x14ac:dyDescent="0.2">
      <c r="A142" s="8"/>
      <c r="B142" s="4"/>
      <c r="C142" s="4" t="s">
        <v>144</v>
      </c>
      <c r="D142" s="4"/>
      <c r="E142" s="8"/>
      <c r="F142" s="6">
        <v>45.883987210000001</v>
      </c>
      <c r="G142" s="7">
        <v>4.076011E-3</v>
      </c>
      <c r="H142" s="6"/>
    </row>
    <row r="143" spans="1:8" ht="14.1" customHeight="1" x14ac:dyDescent="0.2">
      <c r="A143" s="11"/>
      <c r="B143" s="11"/>
      <c r="C143" s="2" t="s">
        <v>145</v>
      </c>
      <c r="D143" s="15"/>
      <c r="E143" s="15"/>
      <c r="F143" s="9">
        <v>11257.08148771</v>
      </c>
      <c r="G143" s="10">
        <v>0.99999999900000003</v>
      </c>
      <c r="H143" s="6"/>
    </row>
    <row r="144" spans="1:8" ht="14.1" customHeight="1" x14ac:dyDescent="0.2">
      <c r="A144" s="18"/>
      <c r="B144" s="18"/>
      <c r="C144" s="18"/>
      <c r="D144" s="20"/>
      <c r="E144" s="20"/>
      <c r="F144" s="20"/>
      <c r="G144" s="20"/>
    </row>
    <row r="145" spans="1:7" ht="14.1" customHeight="1" x14ac:dyDescent="0.2">
      <c r="A145" s="18"/>
      <c r="B145" s="265" t="s">
        <v>147</v>
      </c>
      <c r="C145" s="266"/>
      <c r="D145" s="12" t="s">
        <v>120</v>
      </c>
      <c r="E145" s="21"/>
      <c r="F145" s="20"/>
      <c r="G145" s="20"/>
    </row>
    <row r="146" spans="1:7" ht="29.1" customHeight="1" x14ac:dyDescent="0.2">
      <c r="A146" s="18"/>
      <c r="B146" s="272" t="s">
        <v>148</v>
      </c>
      <c r="C146" s="273"/>
      <c r="D146" s="2" t="s">
        <v>149</v>
      </c>
      <c r="E146" s="21"/>
      <c r="F146" s="20"/>
      <c r="G146" s="20"/>
    </row>
    <row r="147" spans="1:7" ht="17.100000000000001" customHeight="1" x14ac:dyDescent="0.2">
      <c r="A147" s="18"/>
      <c r="B147" s="272" t="s">
        <v>150</v>
      </c>
      <c r="C147" s="273"/>
      <c r="D147" s="2" t="s">
        <v>149</v>
      </c>
      <c r="E147" s="21"/>
      <c r="F147" s="20"/>
      <c r="G147" s="20"/>
    </row>
    <row r="148" spans="1:7" ht="17.100000000000001" customHeight="1" x14ac:dyDescent="0.2">
      <c r="A148" s="18"/>
      <c r="B148" s="272" t="s">
        <v>151</v>
      </c>
      <c r="C148" s="273"/>
      <c r="D148" s="12" t="s">
        <v>120</v>
      </c>
      <c r="E148" s="21"/>
      <c r="F148" s="20"/>
      <c r="G148" s="20"/>
    </row>
    <row r="149" spans="1:7" ht="24" customHeight="1" x14ac:dyDescent="0.2">
      <c r="A149" s="22"/>
      <c r="B149" s="23" t="s">
        <v>120</v>
      </c>
      <c r="C149" s="23" t="s">
        <v>152</v>
      </c>
      <c r="D149" s="23" t="s">
        <v>153</v>
      </c>
      <c r="E149" s="22"/>
      <c r="F149" s="22"/>
      <c r="G149" s="22"/>
    </row>
    <row r="150" spans="1:7" ht="18" customHeight="1" x14ac:dyDescent="0.2">
      <c r="A150" s="22"/>
      <c r="B150" s="23" t="s">
        <v>154</v>
      </c>
      <c r="C150" s="23" t="s">
        <v>155</v>
      </c>
      <c r="D150" s="23" t="s">
        <v>156</v>
      </c>
      <c r="E150" s="22"/>
      <c r="F150" s="22"/>
      <c r="G150" s="22"/>
    </row>
    <row r="151" spans="1:7" ht="17.100000000000001" customHeight="1" x14ac:dyDescent="0.2">
      <c r="A151" s="22"/>
      <c r="B151" s="4" t="s">
        <v>157</v>
      </c>
      <c r="C151" s="24">
        <v>15.5365</v>
      </c>
      <c r="D151" s="24">
        <v>14.489699999999999</v>
      </c>
      <c r="E151" s="22"/>
      <c r="F151" s="19"/>
      <c r="G151" s="25"/>
    </row>
    <row r="152" spans="1:7" ht="17.100000000000001" customHeight="1" x14ac:dyDescent="0.2">
      <c r="A152" s="22"/>
      <c r="B152" s="4" t="s">
        <v>1120</v>
      </c>
      <c r="C152" s="24">
        <v>15.5365</v>
      </c>
      <c r="D152" s="24">
        <v>14.489699999999999</v>
      </c>
      <c r="E152" s="22"/>
      <c r="F152" s="19"/>
      <c r="G152" s="25"/>
    </row>
    <row r="153" spans="1:7" ht="17.100000000000001" customHeight="1" x14ac:dyDescent="0.2">
      <c r="A153" s="22"/>
      <c r="B153" s="4" t="s">
        <v>158</v>
      </c>
      <c r="C153" s="24">
        <v>14.9229</v>
      </c>
      <c r="D153" s="24">
        <v>13.911</v>
      </c>
      <c r="E153" s="22"/>
      <c r="F153" s="19"/>
      <c r="G153" s="25"/>
    </row>
    <row r="154" spans="1:7" ht="17.100000000000001" customHeight="1" x14ac:dyDescent="0.2">
      <c r="A154" s="22"/>
      <c r="B154" s="4" t="s">
        <v>1121</v>
      </c>
      <c r="C154" s="24">
        <v>14.9229</v>
      </c>
      <c r="D154" s="24">
        <v>13.911</v>
      </c>
      <c r="E154" s="22"/>
      <c r="F154" s="19"/>
      <c r="G154" s="25"/>
    </row>
    <row r="155" spans="1:7" ht="14.1" customHeight="1" x14ac:dyDescent="0.2">
      <c r="A155" s="22"/>
      <c r="B155" s="22"/>
      <c r="C155" s="22"/>
      <c r="D155" s="22"/>
      <c r="E155" s="22"/>
      <c r="F155" s="22"/>
      <c r="G155" s="22"/>
    </row>
    <row r="156" spans="1:7" ht="17.100000000000001" customHeight="1" x14ac:dyDescent="0.2">
      <c r="A156" s="22"/>
      <c r="B156" s="272" t="s">
        <v>1122</v>
      </c>
      <c r="C156" s="273"/>
      <c r="D156" s="2" t="s">
        <v>149</v>
      </c>
      <c r="E156" s="22"/>
      <c r="F156" s="22"/>
      <c r="G156" s="22"/>
    </row>
    <row r="157" spans="1:7" ht="14.1" customHeight="1" x14ac:dyDescent="0.2">
      <c r="A157" s="22"/>
      <c r="B157" s="19"/>
      <c r="C157" s="19"/>
      <c r="D157" s="22"/>
      <c r="E157" s="22"/>
      <c r="F157" s="22"/>
      <c r="G157" s="22"/>
    </row>
    <row r="158" spans="1:7" ht="29.1" customHeight="1" x14ac:dyDescent="0.2">
      <c r="A158" s="22"/>
      <c r="B158" s="272" t="s">
        <v>160</v>
      </c>
      <c r="C158" s="273"/>
      <c r="D158" s="2" t="s">
        <v>149</v>
      </c>
      <c r="E158" s="22"/>
      <c r="F158" s="22"/>
      <c r="G158" s="22"/>
    </row>
    <row r="159" spans="1:7" ht="29.1" customHeight="1" x14ac:dyDescent="0.2">
      <c r="A159" s="22"/>
      <c r="B159" s="272" t="s">
        <v>161</v>
      </c>
      <c r="C159" s="273"/>
      <c r="D159" s="2" t="s">
        <v>149</v>
      </c>
      <c r="E159" s="22"/>
      <c r="F159" s="22"/>
      <c r="G159" s="22"/>
    </row>
    <row r="160" spans="1:7" ht="17.100000000000001" customHeight="1" x14ac:dyDescent="0.2">
      <c r="A160" s="22"/>
      <c r="B160" s="272" t="s">
        <v>162</v>
      </c>
      <c r="C160" s="273"/>
      <c r="D160" s="27">
        <v>0.41431800000000002</v>
      </c>
      <c r="E160" s="22"/>
      <c r="F160" s="19"/>
      <c r="G160" s="25"/>
    </row>
    <row r="161" spans="1:15" ht="17.100000000000001" customHeight="1" x14ac:dyDescent="0.2">
      <c r="A161" s="22"/>
      <c r="B161" s="272" t="s">
        <v>163</v>
      </c>
      <c r="C161" s="273"/>
      <c r="D161" s="2" t="s">
        <v>149</v>
      </c>
      <c r="E161" s="22"/>
      <c r="F161" s="22"/>
      <c r="G161" s="22"/>
    </row>
    <row r="166" spans="1:15" x14ac:dyDescent="0.2">
      <c r="J166" s="170"/>
      <c r="K166" s="170"/>
      <c r="L166" s="170"/>
      <c r="M166" s="170"/>
      <c r="N166" s="170"/>
      <c r="O166" s="170"/>
    </row>
  </sheetData>
  <mergeCells count="13">
    <mergeCell ref="B160:C160"/>
    <mergeCell ref="B161:C161"/>
    <mergeCell ref="B146:C146"/>
    <mergeCell ref="B147:C147"/>
    <mergeCell ref="B148:C148"/>
    <mergeCell ref="B156:C156"/>
    <mergeCell ref="B158:C158"/>
    <mergeCell ref="B159:C159"/>
    <mergeCell ref="J2:N2"/>
    <mergeCell ref="B145:C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5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309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93</v>
      </c>
      <c r="C7" s="4" t="s">
        <v>94</v>
      </c>
      <c r="D7" s="4" t="s">
        <v>95</v>
      </c>
      <c r="E7" s="5">
        <v>1206859</v>
      </c>
      <c r="F7" s="6">
        <v>27764.998154000001</v>
      </c>
      <c r="G7" s="7">
        <v>4.1409281999999999E-2</v>
      </c>
      <c r="H7" s="6"/>
    </row>
    <row r="8" spans="1:14" ht="29.1" customHeight="1" x14ac:dyDescent="0.2">
      <c r="A8" s="3">
        <v>2</v>
      </c>
      <c r="B8" s="4" t="s">
        <v>310</v>
      </c>
      <c r="C8" s="4" t="s">
        <v>311</v>
      </c>
      <c r="D8" s="4" t="s">
        <v>219</v>
      </c>
      <c r="E8" s="5">
        <v>794935</v>
      </c>
      <c r="F8" s="6">
        <v>19587.5958675</v>
      </c>
      <c r="G8" s="7">
        <v>2.9213337999999998E-2</v>
      </c>
      <c r="H8" s="6"/>
    </row>
    <row r="9" spans="1:14" ht="17.100000000000001" customHeight="1" x14ac:dyDescent="0.2">
      <c r="A9" s="3">
        <v>3</v>
      </c>
      <c r="B9" s="4" t="s">
        <v>312</v>
      </c>
      <c r="C9" s="4" t="s">
        <v>313</v>
      </c>
      <c r="D9" s="4" t="s">
        <v>254</v>
      </c>
      <c r="E9" s="5">
        <v>41292</v>
      </c>
      <c r="F9" s="6">
        <v>18661.527126000001</v>
      </c>
      <c r="G9" s="7">
        <v>2.7832180000000002E-2</v>
      </c>
      <c r="H9" s="6"/>
    </row>
    <row r="10" spans="1:14" ht="29.1" customHeight="1" x14ac:dyDescent="0.2">
      <c r="A10" s="3">
        <v>4</v>
      </c>
      <c r="B10" s="4" t="s">
        <v>83</v>
      </c>
      <c r="C10" s="4" t="s">
        <v>84</v>
      </c>
      <c r="D10" s="4" t="s">
        <v>85</v>
      </c>
      <c r="E10" s="5">
        <v>2652145</v>
      </c>
      <c r="F10" s="6">
        <v>18023.977419999999</v>
      </c>
      <c r="G10" s="7">
        <v>2.6881326000000001E-2</v>
      </c>
      <c r="H10" s="6"/>
    </row>
    <row r="11" spans="1:14" ht="17.100000000000001" customHeight="1" x14ac:dyDescent="0.2">
      <c r="A11" s="3">
        <v>5</v>
      </c>
      <c r="B11" s="4" t="s">
        <v>32</v>
      </c>
      <c r="C11" s="4" t="s">
        <v>33</v>
      </c>
      <c r="D11" s="4" t="s">
        <v>28</v>
      </c>
      <c r="E11" s="5">
        <v>1050433</v>
      </c>
      <c r="F11" s="6">
        <v>18004.946836499999</v>
      </c>
      <c r="G11" s="7">
        <v>2.6852943000000001E-2</v>
      </c>
      <c r="H11" s="6"/>
    </row>
    <row r="12" spans="1:14" ht="17.100000000000001" customHeight="1" x14ac:dyDescent="0.2">
      <c r="A12" s="3">
        <v>6</v>
      </c>
      <c r="B12" s="4" t="s">
        <v>314</v>
      </c>
      <c r="C12" s="4" t="s">
        <v>315</v>
      </c>
      <c r="D12" s="4" t="s">
        <v>19</v>
      </c>
      <c r="E12" s="5">
        <v>19328108</v>
      </c>
      <c r="F12" s="6">
        <v>17173.023958000002</v>
      </c>
      <c r="G12" s="7">
        <v>2.5612197E-2</v>
      </c>
      <c r="H12" s="6"/>
      <c r="J12" s="169" t="s">
        <v>1172</v>
      </c>
    </row>
    <row r="13" spans="1:14" ht="29.1" customHeight="1" x14ac:dyDescent="0.2">
      <c r="A13" s="3">
        <v>7</v>
      </c>
      <c r="B13" s="4" t="s">
        <v>217</v>
      </c>
      <c r="C13" s="4" t="s">
        <v>218</v>
      </c>
      <c r="D13" s="4" t="s">
        <v>219</v>
      </c>
      <c r="E13" s="5">
        <v>435033</v>
      </c>
      <c r="F13" s="6">
        <v>17072.652568500002</v>
      </c>
      <c r="G13" s="7">
        <v>2.5462500999999998E-2</v>
      </c>
      <c r="H13" s="6"/>
    </row>
    <row r="14" spans="1:14" ht="17.100000000000001" customHeight="1" x14ac:dyDescent="0.2">
      <c r="A14" s="3">
        <v>8</v>
      </c>
      <c r="B14" s="4" t="s">
        <v>316</v>
      </c>
      <c r="C14" s="4" t="s">
        <v>317</v>
      </c>
      <c r="D14" s="4" t="s">
        <v>318</v>
      </c>
      <c r="E14" s="5">
        <v>1593553</v>
      </c>
      <c r="F14" s="6">
        <v>16835.887445</v>
      </c>
      <c r="G14" s="7">
        <v>2.5109383999999998E-2</v>
      </c>
      <c r="H14" s="6"/>
    </row>
    <row r="15" spans="1:14" ht="17.100000000000001" customHeight="1" x14ac:dyDescent="0.2">
      <c r="A15" s="3">
        <v>9</v>
      </c>
      <c r="B15" s="4" t="s">
        <v>319</v>
      </c>
      <c r="C15" s="4" t="s">
        <v>320</v>
      </c>
      <c r="D15" s="4" t="s">
        <v>19</v>
      </c>
      <c r="E15" s="5">
        <v>2451728</v>
      </c>
      <c r="F15" s="6">
        <v>16799.240256000001</v>
      </c>
      <c r="G15" s="7">
        <v>2.5054727999999998E-2</v>
      </c>
      <c r="H15" s="6"/>
    </row>
    <row r="16" spans="1:14" ht="17.100000000000001" customHeight="1" x14ac:dyDescent="0.2">
      <c r="A16" s="3">
        <v>10</v>
      </c>
      <c r="B16" s="4" t="s">
        <v>321</v>
      </c>
      <c r="C16" s="4" t="s">
        <v>322</v>
      </c>
      <c r="D16" s="4" t="s">
        <v>323</v>
      </c>
      <c r="E16" s="5">
        <v>2075144</v>
      </c>
      <c r="F16" s="6">
        <v>16491.169367999999</v>
      </c>
      <c r="G16" s="7">
        <v>2.4595265000000002E-2</v>
      </c>
      <c r="H16" s="6"/>
    </row>
    <row r="17" spans="1:10" ht="17.100000000000001" customHeight="1" x14ac:dyDescent="0.2">
      <c r="A17" s="3">
        <v>11</v>
      </c>
      <c r="B17" s="4" t="s">
        <v>324</v>
      </c>
      <c r="C17" s="4" t="s">
        <v>325</v>
      </c>
      <c r="D17" s="4" t="s">
        <v>19</v>
      </c>
      <c r="E17" s="5">
        <v>15875025</v>
      </c>
      <c r="F17" s="6">
        <v>15914.712562500001</v>
      </c>
      <c r="G17" s="7">
        <v>2.3735525E-2</v>
      </c>
      <c r="H17" s="6"/>
    </row>
    <row r="18" spans="1:10" ht="29.1" customHeight="1" x14ac:dyDescent="0.2">
      <c r="A18" s="3">
        <v>12</v>
      </c>
      <c r="B18" s="4" t="s">
        <v>326</v>
      </c>
      <c r="C18" s="4" t="s">
        <v>327</v>
      </c>
      <c r="D18" s="4" t="s">
        <v>210</v>
      </c>
      <c r="E18" s="5">
        <v>6495079</v>
      </c>
      <c r="F18" s="6">
        <v>15247.197952500001</v>
      </c>
      <c r="G18" s="7">
        <v>2.2739980999999999E-2</v>
      </c>
      <c r="H18" s="6"/>
    </row>
    <row r="19" spans="1:10" ht="17.100000000000001" customHeight="1" x14ac:dyDescent="0.2">
      <c r="A19" s="3">
        <v>13</v>
      </c>
      <c r="B19" s="4" t="s">
        <v>328</v>
      </c>
      <c r="C19" s="4" t="s">
        <v>329</v>
      </c>
      <c r="D19" s="4" t="s">
        <v>302</v>
      </c>
      <c r="E19" s="5">
        <v>1353998</v>
      </c>
      <c r="F19" s="6">
        <v>15219.614519000001</v>
      </c>
      <c r="G19" s="7">
        <v>2.2698842E-2</v>
      </c>
      <c r="H19" s="6"/>
    </row>
    <row r="20" spans="1:10" ht="17.100000000000001" customHeight="1" x14ac:dyDescent="0.2">
      <c r="A20" s="3">
        <v>14</v>
      </c>
      <c r="B20" s="4" t="s">
        <v>330</v>
      </c>
      <c r="C20" s="4" t="s">
        <v>331</v>
      </c>
      <c r="D20" s="4" t="s">
        <v>994</v>
      </c>
      <c r="E20" s="5">
        <v>487643</v>
      </c>
      <c r="F20" s="6">
        <v>14861.651889500001</v>
      </c>
      <c r="G20" s="7">
        <v>2.2164969E-2</v>
      </c>
      <c r="H20" s="6"/>
    </row>
    <row r="21" spans="1:10" ht="17.100000000000001" customHeight="1" x14ac:dyDescent="0.2">
      <c r="A21" s="3">
        <v>15</v>
      </c>
      <c r="B21" s="4" t="s">
        <v>332</v>
      </c>
      <c r="C21" s="4" t="s">
        <v>333</v>
      </c>
      <c r="D21" s="4" t="s">
        <v>239</v>
      </c>
      <c r="E21" s="5">
        <v>372698</v>
      </c>
      <c r="F21" s="6">
        <v>14830.771514</v>
      </c>
      <c r="G21" s="7">
        <v>2.2118914E-2</v>
      </c>
      <c r="H21" s="6"/>
    </row>
    <row r="22" spans="1:10" ht="29.1" customHeight="1" x14ac:dyDescent="0.2">
      <c r="A22" s="3">
        <v>16</v>
      </c>
      <c r="B22" s="4" t="s">
        <v>192</v>
      </c>
      <c r="C22" s="4" t="s">
        <v>193</v>
      </c>
      <c r="D22" s="4" t="s">
        <v>80</v>
      </c>
      <c r="E22" s="5">
        <v>3961342</v>
      </c>
      <c r="F22" s="6">
        <v>14318.270659</v>
      </c>
      <c r="G22" s="7">
        <v>2.1354558999999999E-2</v>
      </c>
      <c r="H22" s="6"/>
      <c r="J22" s="169" t="s">
        <v>1167</v>
      </c>
    </row>
    <row r="23" spans="1:10" ht="17.100000000000001" customHeight="1" x14ac:dyDescent="0.2">
      <c r="A23" s="3">
        <v>17</v>
      </c>
      <c r="B23" s="4" t="s">
        <v>334</v>
      </c>
      <c r="C23" s="4" t="s">
        <v>335</v>
      </c>
      <c r="D23" s="4" t="s">
        <v>28</v>
      </c>
      <c r="E23" s="5">
        <v>1900000</v>
      </c>
      <c r="F23" s="6">
        <v>13393.1</v>
      </c>
      <c r="G23" s="7">
        <v>1.9974741000000001E-2</v>
      </c>
      <c r="H23" s="6"/>
    </row>
    <row r="24" spans="1:10" ht="17.100000000000001" customHeight="1" x14ac:dyDescent="0.2">
      <c r="A24" s="3">
        <v>18</v>
      </c>
      <c r="B24" s="4" t="s">
        <v>336</v>
      </c>
      <c r="C24" s="4" t="s">
        <v>337</v>
      </c>
      <c r="D24" s="4" t="s">
        <v>19</v>
      </c>
      <c r="E24" s="5">
        <v>1044945</v>
      </c>
      <c r="F24" s="6">
        <v>13075.9192575</v>
      </c>
      <c r="G24" s="7">
        <v>1.9501691000000002E-2</v>
      </c>
      <c r="H24" s="6"/>
    </row>
    <row r="25" spans="1:10" ht="17.100000000000001" customHeight="1" x14ac:dyDescent="0.2">
      <c r="A25" s="3">
        <v>19</v>
      </c>
      <c r="B25" s="4" t="s">
        <v>338</v>
      </c>
      <c r="C25" s="4" t="s">
        <v>339</v>
      </c>
      <c r="D25" s="4" t="s">
        <v>80</v>
      </c>
      <c r="E25" s="5">
        <v>1193317</v>
      </c>
      <c r="F25" s="6">
        <v>12148.5637185</v>
      </c>
      <c r="G25" s="7">
        <v>1.8118615000000001E-2</v>
      </c>
      <c r="H25" s="6"/>
    </row>
    <row r="26" spans="1:10" ht="17.100000000000001" customHeight="1" x14ac:dyDescent="0.2">
      <c r="A26" s="3">
        <v>20</v>
      </c>
      <c r="B26" s="4" t="s">
        <v>340</v>
      </c>
      <c r="C26" s="4" t="s">
        <v>341</v>
      </c>
      <c r="D26" s="4" t="s">
        <v>28</v>
      </c>
      <c r="E26" s="5">
        <v>1177742</v>
      </c>
      <c r="F26" s="6">
        <v>12083.044049</v>
      </c>
      <c r="G26" s="7">
        <v>1.8020897000000001E-2</v>
      </c>
      <c r="H26" s="6"/>
    </row>
    <row r="27" spans="1:10" ht="17.100000000000001" customHeight="1" x14ac:dyDescent="0.2">
      <c r="A27" s="3">
        <v>21</v>
      </c>
      <c r="B27" s="4" t="s">
        <v>342</v>
      </c>
      <c r="C27" s="4" t="s">
        <v>343</v>
      </c>
      <c r="D27" s="4" t="s">
        <v>85</v>
      </c>
      <c r="E27" s="5">
        <v>1021834</v>
      </c>
      <c r="F27" s="6">
        <v>12018.811508000001</v>
      </c>
      <c r="G27" s="7">
        <v>1.7925099E-2</v>
      </c>
      <c r="H27" s="6"/>
    </row>
    <row r="28" spans="1:10" ht="17.100000000000001" customHeight="1" x14ac:dyDescent="0.2">
      <c r="A28" s="3">
        <v>22</v>
      </c>
      <c r="B28" s="4" t="s">
        <v>17</v>
      </c>
      <c r="C28" s="4" t="s">
        <v>18</v>
      </c>
      <c r="D28" s="4" t="s">
        <v>19</v>
      </c>
      <c r="E28" s="5">
        <v>1583901</v>
      </c>
      <c r="F28" s="6">
        <v>11924.3986785</v>
      </c>
      <c r="G28" s="7">
        <v>1.7784290000000001E-2</v>
      </c>
      <c r="H28" s="6"/>
    </row>
    <row r="29" spans="1:10" ht="53.1" customHeight="1" x14ac:dyDescent="0.2">
      <c r="A29" s="3">
        <v>23</v>
      </c>
      <c r="B29" s="4" t="s">
        <v>73</v>
      </c>
      <c r="C29" s="4" t="s">
        <v>74</v>
      </c>
      <c r="D29" s="4" t="s">
        <v>75</v>
      </c>
      <c r="E29" s="5">
        <v>8464608</v>
      </c>
      <c r="F29" s="6">
        <v>11638.835999999999</v>
      </c>
      <c r="G29" s="7">
        <v>1.7358396000000002E-2</v>
      </c>
      <c r="H29" s="6"/>
    </row>
    <row r="30" spans="1:10" ht="29.1" customHeight="1" x14ac:dyDescent="0.2">
      <c r="A30" s="3">
        <v>24</v>
      </c>
      <c r="B30" s="4" t="s">
        <v>189</v>
      </c>
      <c r="C30" s="4" t="s">
        <v>190</v>
      </c>
      <c r="D30" s="4" t="s">
        <v>191</v>
      </c>
      <c r="E30" s="5">
        <v>1638755</v>
      </c>
      <c r="F30" s="6">
        <v>11537.6545775</v>
      </c>
      <c r="G30" s="7">
        <v>1.7207492000000001E-2</v>
      </c>
      <c r="H30" s="6"/>
    </row>
    <row r="31" spans="1:10" ht="17.100000000000001" customHeight="1" x14ac:dyDescent="0.2">
      <c r="A31" s="3">
        <v>25</v>
      </c>
      <c r="B31" s="4" t="s">
        <v>222</v>
      </c>
      <c r="C31" s="4" t="s">
        <v>223</v>
      </c>
      <c r="D31" s="4" t="s">
        <v>95</v>
      </c>
      <c r="E31" s="5">
        <v>718877</v>
      </c>
      <c r="F31" s="6">
        <v>11288.884969500001</v>
      </c>
      <c r="G31" s="7">
        <v>1.6836472000000002E-2</v>
      </c>
      <c r="H31" s="6"/>
    </row>
    <row r="32" spans="1:10" ht="29.1" customHeight="1" x14ac:dyDescent="0.2">
      <c r="A32" s="3">
        <v>26</v>
      </c>
      <c r="B32" s="4" t="s">
        <v>344</v>
      </c>
      <c r="C32" s="4" t="s">
        <v>345</v>
      </c>
      <c r="D32" s="4" t="s">
        <v>198</v>
      </c>
      <c r="E32" s="5">
        <v>1232552</v>
      </c>
      <c r="F32" s="6">
        <v>11125.014352</v>
      </c>
      <c r="G32" s="7">
        <v>1.6592071999999999E-2</v>
      </c>
      <c r="H32" s="6"/>
    </row>
    <row r="33" spans="1:8" ht="17.100000000000001" customHeight="1" x14ac:dyDescent="0.2">
      <c r="A33" s="3">
        <v>27</v>
      </c>
      <c r="B33" s="4" t="s">
        <v>346</v>
      </c>
      <c r="C33" s="4" t="s">
        <v>347</v>
      </c>
      <c r="D33" s="4" t="s">
        <v>106</v>
      </c>
      <c r="E33" s="5">
        <v>2900295</v>
      </c>
      <c r="F33" s="6">
        <v>10958.7646575</v>
      </c>
      <c r="G33" s="7">
        <v>1.6344124000000002E-2</v>
      </c>
      <c r="H33" s="6"/>
    </row>
    <row r="34" spans="1:8" ht="17.100000000000001" customHeight="1" x14ac:dyDescent="0.2">
      <c r="A34" s="3">
        <v>28</v>
      </c>
      <c r="B34" s="4" t="s">
        <v>348</v>
      </c>
      <c r="C34" s="4" t="s">
        <v>349</v>
      </c>
      <c r="D34" s="4" t="s">
        <v>994</v>
      </c>
      <c r="E34" s="5">
        <v>417628</v>
      </c>
      <c r="F34" s="6">
        <v>10831.390993999999</v>
      </c>
      <c r="G34" s="7">
        <v>1.6154155999999999E-2</v>
      </c>
      <c r="H34" s="6"/>
    </row>
    <row r="35" spans="1:8" ht="29.1" customHeight="1" x14ac:dyDescent="0.2">
      <c r="A35" s="3">
        <v>29</v>
      </c>
      <c r="B35" s="4" t="s">
        <v>350</v>
      </c>
      <c r="C35" s="4" t="s">
        <v>351</v>
      </c>
      <c r="D35" s="4" t="s">
        <v>198</v>
      </c>
      <c r="E35" s="5">
        <v>373463</v>
      </c>
      <c r="F35" s="6">
        <v>10684.5896985</v>
      </c>
      <c r="G35" s="7">
        <v>1.5935214E-2</v>
      </c>
      <c r="H35" s="6"/>
    </row>
    <row r="36" spans="1:8" ht="17.100000000000001" customHeight="1" x14ac:dyDescent="0.2">
      <c r="A36" s="3">
        <v>30</v>
      </c>
      <c r="B36" s="4" t="s">
        <v>111</v>
      </c>
      <c r="C36" s="4" t="s">
        <v>112</v>
      </c>
      <c r="D36" s="4" t="s">
        <v>54</v>
      </c>
      <c r="E36" s="5">
        <v>4130000</v>
      </c>
      <c r="F36" s="6">
        <v>10510.85</v>
      </c>
      <c r="G36" s="7">
        <v>1.5676095000000001E-2</v>
      </c>
      <c r="H36" s="6"/>
    </row>
    <row r="37" spans="1:8" ht="17.100000000000001" customHeight="1" x14ac:dyDescent="0.2">
      <c r="A37" s="3">
        <v>31</v>
      </c>
      <c r="B37" s="4" t="s">
        <v>45</v>
      </c>
      <c r="C37" s="4" t="s">
        <v>46</v>
      </c>
      <c r="D37" s="4" t="s">
        <v>47</v>
      </c>
      <c r="E37" s="5">
        <v>1609771</v>
      </c>
      <c r="F37" s="6">
        <v>10470.7554695</v>
      </c>
      <c r="G37" s="7">
        <v>1.5616296999999999E-2</v>
      </c>
      <c r="H37" s="6"/>
    </row>
    <row r="38" spans="1:8" ht="17.100000000000001" customHeight="1" x14ac:dyDescent="0.2">
      <c r="A38" s="3">
        <v>32</v>
      </c>
      <c r="B38" s="4" t="s">
        <v>352</v>
      </c>
      <c r="C38" s="4" t="s">
        <v>353</v>
      </c>
      <c r="D38" s="4" t="s">
        <v>85</v>
      </c>
      <c r="E38" s="5">
        <v>1549881</v>
      </c>
      <c r="F38" s="6">
        <v>9634.8352364999992</v>
      </c>
      <c r="G38" s="7">
        <v>1.4369589E-2</v>
      </c>
      <c r="H38" s="6"/>
    </row>
    <row r="39" spans="1:8" ht="29.1" customHeight="1" x14ac:dyDescent="0.2">
      <c r="A39" s="3">
        <v>33</v>
      </c>
      <c r="B39" s="4" t="s">
        <v>354</v>
      </c>
      <c r="C39" s="4" t="s">
        <v>355</v>
      </c>
      <c r="D39" s="4" t="s">
        <v>356</v>
      </c>
      <c r="E39" s="5">
        <v>1000000</v>
      </c>
      <c r="F39" s="6">
        <v>9449</v>
      </c>
      <c r="G39" s="7">
        <v>1.409243E-2</v>
      </c>
      <c r="H39" s="6"/>
    </row>
    <row r="40" spans="1:8" ht="17.100000000000001" customHeight="1" x14ac:dyDescent="0.2">
      <c r="A40" s="3">
        <v>34</v>
      </c>
      <c r="B40" s="4" t="s">
        <v>357</v>
      </c>
      <c r="C40" s="4" t="s">
        <v>358</v>
      </c>
      <c r="D40" s="4" t="s">
        <v>186</v>
      </c>
      <c r="E40" s="5">
        <v>1600000</v>
      </c>
      <c r="F40" s="6">
        <v>8815.2000000000007</v>
      </c>
      <c r="G40" s="7">
        <v>1.3147168000000001E-2</v>
      </c>
      <c r="H40" s="6"/>
    </row>
    <row r="41" spans="1:8" ht="29.1" customHeight="1" x14ac:dyDescent="0.2">
      <c r="A41" s="3">
        <v>35</v>
      </c>
      <c r="B41" s="4" t="s">
        <v>359</v>
      </c>
      <c r="C41" s="4" t="s">
        <v>360</v>
      </c>
      <c r="D41" s="4" t="s">
        <v>356</v>
      </c>
      <c r="E41" s="5">
        <v>319458</v>
      </c>
      <c r="F41" s="6">
        <v>8811.7697430000007</v>
      </c>
      <c r="G41" s="7">
        <v>1.3142052E-2</v>
      </c>
      <c r="H41" s="6"/>
    </row>
    <row r="42" spans="1:8" ht="17.100000000000001" customHeight="1" x14ac:dyDescent="0.2">
      <c r="A42" s="3">
        <v>36</v>
      </c>
      <c r="B42" s="4" t="s">
        <v>361</v>
      </c>
      <c r="C42" s="4" t="s">
        <v>362</v>
      </c>
      <c r="D42" s="4" t="s">
        <v>176</v>
      </c>
      <c r="E42" s="5">
        <v>246926</v>
      </c>
      <c r="F42" s="6">
        <v>8648.2127610000007</v>
      </c>
      <c r="G42" s="7">
        <v>1.2898120000000001E-2</v>
      </c>
      <c r="H42" s="6"/>
    </row>
    <row r="43" spans="1:8" ht="17.100000000000001" customHeight="1" x14ac:dyDescent="0.2">
      <c r="A43" s="3">
        <v>37</v>
      </c>
      <c r="B43" s="4" t="s">
        <v>113</v>
      </c>
      <c r="C43" s="4" t="s">
        <v>114</v>
      </c>
      <c r="D43" s="4" t="s">
        <v>92</v>
      </c>
      <c r="E43" s="5">
        <v>1032360</v>
      </c>
      <c r="F43" s="6">
        <v>8318.2407000000003</v>
      </c>
      <c r="G43" s="7">
        <v>1.2405993000000001E-2</v>
      </c>
      <c r="H43" s="6"/>
    </row>
    <row r="44" spans="1:8" ht="17.100000000000001" customHeight="1" x14ac:dyDescent="0.2">
      <c r="A44" s="3">
        <v>38</v>
      </c>
      <c r="B44" s="4" t="s">
        <v>363</v>
      </c>
      <c r="C44" s="4" t="s">
        <v>364</v>
      </c>
      <c r="D44" s="4" t="s">
        <v>95</v>
      </c>
      <c r="E44" s="5">
        <v>223469</v>
      </c>
      <c r="F44" s="6">
        <v>8266.3417790000003</v>
      </c>
      <c r="G44" s="7">
        <v>1.232859E-2</v>
      </c>
      <c r="H44" s="6"/>
    </row>
    <row r="45" spans="1:8" ht="29.1" customHeight="1" x14ac:dyDescent="0.2">
      <c r="A45" s="3">
        <v>39</v>
      </c>
      <c r="B45" s="4" t="s">
        <v>365</v>
      </c>
      <c r="C45" s="4" t="s">
        <v>366</v>
      </c>
      <c r="D45" s="4" t="s">
        <v>198</v>
      </c>
      <c r="E45" s="5">
        <v>1182575</v>
      </c>
      <c r="F45" s="6">
        <v>8171.0019625000004</v>
      </c>
      <c r="G45" s="7">
        <v>1.2186397999999999E-2</v>
      </c>
      <c r="H45" s="6"/>
    </row>
    <row r="46" spans="1:8" ht="17.100000000000001" customHeight="1" x14ac:dyDescent="0.2">
      <c r="A46" s="3">
        <v>40</v>
      </c>
      <c r="B46" s="4" t="s">
        <v>367</v>
      </c>
      <c r="C46" s="4" t="s">
        <v>368</v>
      </c>
      <c r="D46" s="4" t="s">
        <v>369</v>
      </c>
      <c r="E46" s="5">
        <v>1905598</v>
      </c>
      <c r="F46" s="6">
        <v>7933.957273</v>
      </c>
      <c r="G46" s="7">
        <v>1.1832865E-2</v>
      </c>
      <c r="H46" s="6"/>
    </row>
    <row r="47" spans="1:8" ht="17.100000000000001" customHeight="1" x14ac:dyDescent="0.2">
      <c r="A47" s="3">
        <v>41</v>
      </c>
      <c r="B47" s="4" t="s">
        <v>370</v>
      </c>
      <c r="C47" s="4" t="s">
        <v>371</v>
      </c>
      <c r="D47" s="4" t="s">
        <v>203</v>
      </c>
      <c r="E47" s="5">
        <v>3047771</v>
      </c>
      <c r="F47" s="6">
        <v>7706.2889734999999</v>
      </c>
      <c r="G47" s="7">
        <v>1.1493316E-2</v>
      </c>
      <c r="H47" s="6"/>
    </row>
    <row r="48" spans="1:8" ht="17.100000000000001" customHeight="1" x14ac:dyDescent="0.2">
      <c r="A48" s="3">
        <v>42</v>
      </c>
      <c r="B48" s="4" t="s">
        <v>372</v>
      </c>
      <c r="C48" s="4" t="s">
        <v>373</v>
      </c>
      <c r="D48" s="4" t="s">
        <v>80</v>
      </c>
      <c r="E48" s="5">
        <v>12728514</v>
      </c>
      <c r="F48" s="6">
        <v>7656.2011709999997</v>
      </c>
      <c r="G48" s="7">
        <v>1.1418614000000001E-2</v>
      </c>
      <c r="H48" s="6"/>
    </row>
    <row r="49" spans="1:8" ht="17.100000000000001" customHeight="1" x14ac:dyDescent="0.2">
      <c r="A49" s="3">
        <v>43</v>
      </c>
      <c r="B49" s="4" t="s">
        <v>374</v>
      </c>
      <c r="C49" s="4" t="s">
        <v>375</v>
      </c>
      <c r="D49" s="4" t="s">
        <v>19</v>
      </c>
      <c r="E49" s="5">
        <v>515718</v>
      </c>
      <c r="F49" s="6">
        <v>7163.0651610000004</v>
      </c>
      <c r="G49" s="7">
        <v>1.0683141E-2</v>
      </c>
      <c r="H49" s="6"/>
    </row>
    <row r="50" spans="1:8" ht="17.100000000000001" customHeight="1" x14ac:dyDescent="0.2">
      <c r="A50" s="3">
        <v>44</v>
      </c>
      <c r="B50" s="4" t="s">
        <v>376</v>
      </c>
      <c r="C50" s="4" t="s">
        <v>377</v>
      </c>
      <c r="D50" s="4" t="s">
        <v>85</v>
      </c>
      <c r="E50" s="5">
        <v>1848749</v>
      </c>
      <c r="F50" s="6">
        <v>6988.2712199999996</v>
      </c>
      <c r="G50" s="7">
        <v>1.042245E-2</v>
      </c>
      <c r="H50" s="6"/>
    </row>
    <row r="51" spans="1:8" ht="29.1" customHeight="1" x14ac:dyDescent="0.2">
      <c r="A51" s="3">
        <v>45</v>
      </c>
      <c r="B51" s="4" t="s">
        <v>211</v>
      </c>
      <c r="C51" s="4" t="s">
        <v>212</v>
      </c>
      <c r="D51" s="4" t="s">
        <v>198</v>
      </c>
      <c r="E51" s="5">
        <v>1230450</v>
      </c>
      <c r="F51" s="6">
        <v>6982.1885249999996</v>
      </c>
      <c r="G51" s="7">
        <v>1.0413377999999999E-2</v>
      </c>
      <c r="H51" s="6"/>
    </row>
    <row r="52" spans="1:8" ht="17.100000000000001" customHeight="1" x14ac:dyDescent="0.2">
      <c r="A52" s="3">
        <v>46</v>
      </c>
      <c r="B52" s="4" t="s">
        <v>378</v>
      </c>
      <c r="C52" s="4" t="s">
        <v>379</v>
      </c>
      <c r="D52" s="4" t="s">
        <v>181</v>
      </c>
      <c r="E52" s="5">
        <v>1388136</v>
      </c>
      <c r="F52" s="6">
        <v>6204.96792</v>
      </c>
      <c r="G52" s="7">
        <v>9.2542149999999997E-3</v>
      </c>
      <c r="H52" s="6"/>
    </row>
    <row r="53" spans="1:8" ht="17.100000000000001" customHeight="1" x14ac:dyDescent="0.2">
      <c r="A53" s="3">
        <v>47</v>
      </c>
      <c r="B53" s="4" t="s">
        <v>380</v>
      </c>
      <c r="C53" s="4" t="s">
        <v>381</v>
      </c>
      <c r="D53" s="4" t="s">
        <v>85</v>
      </c>
      <c r="E53" s="5">
        <v>47571</v>
      </c>
      <c r="F53" s="6">
        <v>6152.8331399999997</v>
      </c>
      <c r="G53" s="7">
        <v>9.1764600000000009E-3</v>
      </c>
      <c r="H53" s="6"/>
    </row>
    <row r="54" spans="1:8" ht="29.1" customHeight="1" x14ac:dyDescent="0.2">
      <c r="A54" s="3">
        <v>48</v>
      </c>
      <c r="B54" s="4" t="s">
        <v>382</v>
      </c>
      <c r="C54" s="4" t="s">
        <v>383</v>
      </c>
      <c r="D54" s="4" t="s">
        <v>233</v>
      </c>
      <c r="E54" s="5">
        <v>766755</v>
      </c>
      <c r="F54" s="6">
        <v>5825.4211125000002</v>
      </c>
      <c r="G54" s="7">
        <v>8.6881509999999999E-3</v>
      </c>
      <c r="H54" s="6"/>
    </row>
    <row r="55" spans="1:8" ht="17.100000000000001" customHeight="1" x14ac:dyDescent="0.2">
      <c r="A55" s="3">
        <v>49</v>
      </c>
      <c r="B55" s="4" t="s">
        <v>263</v>
      </c>
      <c r="C55" s="4" t="s">
        <v>264</v>
      </c>
      <c r="D55" s="4" t="s">
        <v>16</v>
      </c>
      <c r="E55" s="5">
        <v>2430815</v>
      </c>
      <c r="F55" s="6">
        <v>5537.3965699999999</v>
      </c>
      <c r="G55" s="7">
        <v>8.2585860000000001E-3</v>
      </c>
      <c r="H55" s="6"/>
    </row>
    <row r="56" spans="1:8" ht="17.100000000000001" customHeight="1" x14ac:dyDescent="0.2">
      <c r="A56" s="3">
        <v>50</v>
      </c>
      <c r="B56" s="4" t="s">
        <v>384</v>
      </c>
      <c r="C56" s="4" t="s">
        <v>385</v>
      </c>
      <c r="D56" s="4" t="s">
        <v>28</v>
      </c>
      <c r="E56" s="5">
        <v>313173</v>
      </c>
      <c r="F56" s="6">
        <v>5417.7363134999996</v>
      </c>
      <c r="G56" s="7">
        <v>8.0801220000000003E-3</v>
      </c>
      <c r="H56" s="6"/>
    </row>
    <row r="57" spans="1:8" ht="17.100000000000001" customHeight="1" x14ac:dyDescent="0.2">
      <c r="A57" s="3">
        <v>51</v>
      </c>
      <c r="B57" s="4" t="s">
        <v>386</v>
      </c>
      <c r="C57" s="4" t="s">
        <v>387</v>
      </c>
      <c r="D57" s="4" t="s">
        <v>239</v>
      </c>
      <c r="E57" s="5">
        <v>2269998</v>
      </c>
      <c r="F57" s="6">
        <v>5403.7302390000004</v>
      </c>
      <c r="G57" s="7">
        <v>8.0592330000000007E-3</v>
      </c>
      <c r="H57" s="6"/>
    </row>
    <row r="58" spans="1:8" ht="17.100000000000001" customHeight="1" x14ac:dyDescent="0.2">
      <c r="A58" s="3">
        <v>52</v>
      </c>
      <c r="B58" s="4" t="s">
        <v>388</v>
      </c>
      <c r="C58" s="4" t="s">
        <v>389</v>
      </c>
      <c r="D58" s="4" t="s">
        <v>95</v>
      </c>
      <c r="E58" s="5">
        <v>577700</v>
      </c>
      <c r="F58" s="6">
        <v>5328.1270999999997</v>
      </c>
      <c r="G58" s="7">
        <v>7.9464770000000004E-3</v>
      </c>
      <c r="H58" s="6"/>
    </row>
    <row r="59" spans="1:8" ht="17.100000000000001" customHeight="1" x14ac:dyDescent="0.2">
      <c r="A59" s="3">
        <v>53</v>
      </c>
      <c r="B59" s="4" t="s">
        <v>390</v>
      </c>
      <c r="C59" s="4" t="s">
        <v>391</v>
      </c>
      <c r="D59" s="4" t="s">
        <v>80</v>
      </c>
      <c r="E59" s="5">
        <v>881680</v>
      </c>
      <c r="F59" s="6">
        <v>5258.3395200000004</v>
      </c>
      <c r="G59" s="7">
        <v>7.8423940000000008E-3</v>
      </c>
      <c r="H59" s="6"/>
    </row>
    <row r="60" spans="1:8" ht="17.100000000000001" customHeight="1" x14ac:dyDescent="0.2">
      <c r="A60" s="3">
        <v>54</v>
      </c>
      <c r="B60" s="4" t="s">
        <v>392</v>
      </c>
      <c r="C60" s="4" t="s">
        <v>393</v>
      </c>
      <c r="D60" s="4" t="s">
        <v>80</v>
      </c>
      <c r="E60" s="5">
        <v>128611</v>
      </c>
      <c r="F60" s="6">
        <v>4962.712657</v>
      </c>
      <c r="G60" s="7">
        <v>7.4014900000000002E-3</v>
      </c>
      <c r="H60" s="6"/>
    </row>
    <row r="61" spans="1:8" ht="17.100000000000001" customHeight="1" x14ac:dyDescent="0.2">
      <c r="A61" s="3">
        <v>55</v>
      </c>
      <c r="B61" s="4" t="s">
        <v>26</v>
      </c>
      <c r="C61" s="4" t="s">
        <v>27</v>
      </c>
      <c r="D61" s="4" t="s">
        <v>28</v>
      </c>
      <c r="E61" s="5">
        <v>195331</v>
      </c>
      <c r="F61" s="6">
        <v>4769.5923579999999</v>
      </c>
      <c r="G61" s="7">
        <v>7.1134670000000001E-3</v>
      </c>
      <c r="H61" s="6"/>
    </row>
    <row r="62" spans="1:8" ht="17.100000000000001" customHeight="1" x14ac:dyDescent="0.2">
      <c r="A62" s="3">
        <v>56</v>
      </c>
      <c r="B62" s="4" t="s">
        <v>249</v>
      </c>
      <c r="C62" s="4" t="s">
        <v>250</v>
      </c>
      <c r="D62" s="4" t="s">
        <v>994</v>
      </c>
      <c r="E62" s="5">
        <v>125944</v>
      </c>
      <c r="F62" s="6">
        <v>4735.3684560000002</v>
      </c>
      <c r="G62" s="7">
        <v>7.0624249999999998E-3</v>
      </c>
      <c r="H62" s="6"/>
    </row>
    <row r="63" spans="1:8" ht="17.100000000000001" customHeight="1" x14ac:dyDescent="0.2">
      <c r="A63" s="3">
        <v>57</v>
      </c>
      <c r="B63" s="4" t="s">
        <v>109</v>
      </c>
      <c r="C63" s="4" t="s">
        <v>110</v>
      </c>
      <c r="D63" s="4" t="s">
        <v>54</v>
      </c>
      <c r="E63" s="5">
        <v>1150000</v>
      </c>
      <c r="F63" s="6">
        <v>4349.3</v>
      </c>
      <c r="G63" s="7">
        <v>6.4866339999999998E-3</v>
      </c>
      <c r="H63" s="6"/>
    </row>
    <row r="64" spans="1:8" ht="17.100000000000001" customHeight="1" x14ac:dyDescent="0.2">
      <c r="A64" s="3">
        <v>58</v>
      </c>
      <c r="B64" s="4" t="s">
        <v>38</v>
      </c>
      <c r="C64" s="4" t="s">
        <v>39</v>
      </c>
      <c r="D64" s="4" t="s">
        <v>31</v>
      </c>
      <c r="E64" s="5">
        <v>1617175</v>
      </c>
      <c r="F64" s="6">
        <v>3802.7870124999999</v>
      </c>
      <c r="G64" s="7">
        <v>5.6715539999999997E-3</v>
      </c>
      <c r="H64" s="6"/>
    </row>
    <row r="65" spans="1:8" ht="17.100000000000001" customHeight="1" x14ac:dyDescent="0.2">
      <c r="A65" s="3">
        <v>59</v>
      </c>
      <c r="B65" s="4" t="s">
        <v>394</v>
      </c>
      <c r="C65" s="4" t="s">
        <v>395</v>
      </c>
      <c r="D65" s="4" t="s">
        <v>396</v>
      </c>
      <c r="E65" s="5">
        <v>513911</v>
      </c>
      <c r="F65" s="6">
        <v>3785.2114704999999</v>
      </c>
      <c r="G65" s="7">
        <v>5.6453409999999999E-3</v>
      </c>
      <c r="H65" s="6"/>
    </row>
    <row r="66" spans="1:8" ht="17.100000000000001" customHeight="1" x14ac:dyDescent="0.2">
      <c r="A66" s="3">
        <v>60</v>
      </c>
      <c r="B66" s="4" t="s">
        <v>397</v>
      </c>
      <c r="C66" s="4" t="s">
        <v>398</v>
      </c>
      <c r="D66" s="4" t="s">
        <v>95</v>
      </c>
      <c r="E66" s="5">
        <v>149024</v>
      </c>
      <c r="F66" s="6">
        <v>3485.522336</v>
      </c>
      <c r="G66" s="7">
        <v>5.1983790000000004E-3</v>
      </c>
      <c r="H66" s="6"/>
    </row>
    <row r="67" spans="1:8" ht="29.1" customHeight="1" x14ac:dyDescent="0.2">
      <c r="A67" s="3">
        <v>61</v>
      </c>
      <c r="B67" s="4" t="s">
        <v>399</v>
      </c>
      <c r="C67" s="4" t="s">
        <v>400</v>
      </c>
      <c r="D67" s="4" t="s">
        <v>95</v>
      </c>
      <c r="E67" s="5">
        <v>41000</v>
      </c>
      <c r="F67" s="6">
        <v>3119.1774999999998</v>
      </c>
      <c r="G67" s="7">
        <v>4.6520049999999999E-3</v>
      </c>
      <c r="H67" s="6"/>
    </row>
    <row r="68" spans="1:8" ht="17.100000000000001" customHeight="1" x14ac:dyDescent="0.2">
      <c r="A68" s="3">
        <v>62</v>
      </c>
      <c r="B68" s="4" t="s">
        <v>401</v>
      </c>
      <c r="C68" s="4" t="s">
        <v>402</v>
      </c>
      <c r="D68" s="4" t="s">
        <v>80</v>
      </c>
      <c r="E68" s="5">
        <v>289639</v>
      </c>
      <c r="F68" s="6">
        <v>2991.5364115000002</v>
      </c>
      <c r="G68" s="7">
        <v>4.4616380000000004E-3</v>
      </c>
      <c r="H68" s="6"/>
    </row>
    <row r="69" spans="1:8" ht="29.1" customHeight="1" x14ac:dyDescent="0.2">
      <c r="A69" s="3">
        <v>63</v>
      </c>
      <c r="B69" s="4" t="s">
        <v>40</v>
      </c>
      <c r="C69" s="4" t="s">
        <v>41</v>
      </c>
      <c r="D69" s="4" t="s">
        <v>42</v>
      </c>
      <c r="E69" s="5">
        <v>8000</v>
      </c>
      <c r="F69" s="6">
        <v>2575.3440000000001</v>
      </c>
      <c r="G69" s="7">
        <v>3.8409199999999998E-3</v>
      </c>
      <c r="H69" s="6"/>
    </row>
    <row r="70" spans="1:8" ht="29.1" customHeight="1" x14ac:dyDescent="0.2">
      <c r="A70" s="3">
        <v>64</v>
      </c>
      <c r="B70" s="4" t="s">
        <v>403</v>
      </c>
      <c r="C70" s="4" t="s">
        <v>404</v>
      </c>
      <c r="D70" s="4" t="s">
        <v>25</v>
      </c>
      <c r="E70" s="5">
        <v>159006</v>
      </c>
      <c r="F70" s="6">
        <v>2166.4567499999998</v>
      </c>
      <c r="G70" s="7">
        <v>3.231098E-3</v>
      </c>
      <c r="H70" s="6"/>
    </row>
    <row r="71" spans="1:8" ht="14.1" customHeight="1" x14ac:dyDescent="0.2">
      <c r="A71" s="1"/>
      <c r="B71" s="1"/>
      <c r="C71" s="2" t="s">
        <v>119</v>
      </c>
      <c r="D71" s="1"/>
      <c r="E71" s="1" t="s">
        <v>120</v>
      </c>
      <c r="F71" s="9">
        <v>650913.951398</v>
      </c>
      <c r="G71" s="10">
        <v>0.97078627799999995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121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119</v>
      </c>
      <c r="D74" s="1"/>
      <c r="E74" s="1" t="s">
        <v>120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122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119</v>
      </c>
      <c r="D77" s="1"/>
      <c r="E77" s="1" t="s">
        <v>120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123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119</v>
      </c>
      <c r="D80" s="1"/>
      <c r="E80" s="1" t="s">
        <v>120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124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119</v>
      </c>
      <c r="D83" s="1"/>
      <c r="E83" s="1" t="s">
        <v>120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125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119</v>
      </c>
      <c r="D86" s="1"/>
      <c r="E86" s="1" t="s">
        <v>120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8" customHeight="1" x14ac:dyDescent="0.2">
      <c r="A88" s="1"/>
      <c r="B88" s="1"/>
      <c r="C88" s="2" t="s">
        <v>126</v>
      </c>
      <c r="D88" s="1"/>
      <c r="E88" s="1"/>
      <c r="F88" s="9">
        <v>650913.951398</v>
      </c>
      <c r="G88" s="10">
        <v>0.97078627799999995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127</v>
      </c>
      <c r="D90" s="1"/>
      <c r="E90" s="1"/>
      <c r="F90" s="12"/>
      <c r="G90" s="12"/>
      <c r="H90" s="6"/>
    </row>
    <row r="91" spans="1:8" ht="24" customHeight="1" x14ac:dyDescent="0.2">
      <c r="A91" s="1"/>
      <c r="B91" s="1"/>
      <c r="C91" s="2" t="s">
        <v>10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128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119</v>
      </c>
      <c r="D95" s="1"/>
      <c r="E95" s="1" t="s">
        <v>120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129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119</v>
      </c>
      <c r="D98" s="1"/>
      <c r="E98" s="1" t="s">
        <v>120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119</v>
      </c>
      <c r="D101" s="1"/>
      <c r="E101" s="1" t="s">
        <v>120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131</v>
      </c>
      <c r="D103" s="1"/>
      <c r="E103" s="1"/>
      <c r="F103" s="9">
        <v>0</v>
      </c>
      <c r="G103" s="10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132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133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134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 t="s">
        <v>120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135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119</v>
      </c>
      <c r="D113" s="1"/>
      <c r="E113" s="1" t="s">
        <v>120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136</v>
      </c>
      <c r="D115" s="1"/>
      <c r="E115" s="1"/>
      <c r="F115" s="12"/>
      <c r="G115" s="12"/>
      <c r="H115" s="6"/>
    </row>
    <row r="116" spans="1:8" ht="17.100000000000001" customHeight="1" x14ac:dyDescent="0.2">
      <c r="A116" s="3">
        <v>1</v>
      </c>
      <c r="B116" s="4"/>
      <c r="C116" s="4" t="s">
        <v>137</v>
      </c>
      <c r="D116" s="4"/>
      <c r="E116" s="8"/>
      <c r="F116" s="6">
        <v>11983.408706099999</v>
      </c>
      <c r="G116" s="7">
        <v>1.7872299000000001E-2</v>
      </c>
      <c r="H116" s="6">
        <v>4.1713246754849944</v>
      </c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9">
        <v>11983.408706099999</v>
      </c>
      <c r="G117" s="10">
        <v>1.7872299000000001E-2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138</v>
      </c>
      <c r="D119" s="1"/>
      <c r="E119" s="1"/>
      <c r="F119" s="9">
        <v>11983.408706099999</v>
      </c>
      <c r="G119" s="10">
        <v>1.7872299000000001E-2</v>
      </c>
      <c r="H119" s="6"/>
    </row>
    <row r="120" spans="1:8" ht="14.1" customHeight="1" x14ac:dyDescent="0.2">
      <c r="A120" s="1"/>
      <c r="B120" s="1"/>
      <c r="C120" s="12"/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139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140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141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142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24" customHeight="1" x14ac:dyDescent="0.2">
      <c r="A130" s="1"/>
      <c r="B130" s="1"/>
      <c r="C130" s="2" t="s">
        <v>143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119</v>
      </c>
      <c r="D131" s="1"/>
      <c r="E131" s="1" t="s">
        <v>120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4"/>
      <c r="C133" s="4"/>
      <c r="D133" s="2"/>
      <c r="E133" s="1"/>
      <c r="F133" s="4"/>
      <c r="G133" s="8"/>
      <c r="H133" s="6"/>
    </row>
    <row r="134" spans="1:8" ht="18" customHeight="1" x14ac:dyDescent="0.2">
      <c r="A134" s="8"/>
      <c r="B134" s="4"/>
      <c r="C134" s="4" t="s">
        <v>144</v>
      </c>
      <c r="D134" s="4"/>
      <c r="E134" s="8"/>
      <c r="F134" s="6">
        <v>7604.4438642200003</v>
      </c>
      <c r="G134" s="7">
        <v>1.1341422E-2</v>
      </c>
      <c r="H134" s="6"/>
    </row>
    <row r="135" spans="1:8" ht="14.1" customHeight="1" x14ac:dyDescent="0.2">
      <c r="A135" s="11"/>
      <c r="B135" s="11"/>
      <c r="C135" s="2" t="s">
        <v>145</v>
      </c>
      <c r="D135" s="15"/>
      <c r="E135" s="15"/>
      <c r="F135" s="9">
        <v>670501.80396832002</v>
      </c>
      <c r="G135" s="10">
        <v>0.99999999899999992</v>
      </c>
      <c r="H135" s="6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265" t="s">
        <v>147</v>
      </c>
      <c r="C137" s="266"/>
      <c r="D137" s="12" t="s">
        <v>120</v>
      </c>
      <c r="E137" s="21"/>
      <c r="F137" s="20"/>
      <c r="G137" s="20"/>
    </row>
    <row r="138" spans="1:8" ht="29.1" customHeight="1" x14ac:dyDescent="0.2">
      <c r="A138" s="18"/>
      <c r="B138" s="272" t="s">
        <v>148</v>
      </c>
      <c r="C138" s="273"/>
      <c r="D138" s="2" t="s">
        <v>149</v>
      </c>
      <c r="E138" s="21"/>
      <c r="F138" s="20"/>
      <c r="G138" s="20"/>
    </row>
    <row r="139" spans="1:8" ht="17.100000000000001" customHeight="1" x14ac:dyDescent="0.2">
      <c r="A139" s="18"/>
      <c r="B139" s="272" t="s">
        <v>150</v>
      </c>
      <c r="C139" s="273"/>
      <c r="D139" s="2" t="s">
        <v>149</v>
      </c>
      <c r="E139" s="21"/>
      <c r="F139" s="20"/>
      <c r="G139" s="20"/>
    </row>
    <row r="140" spans="1:8" ht="17.100000000000001" customHeight="1" x14ac:dyDescent="0.2">
      <c r="A140" s="18"/>
      <c r="B140" s="272" t="s">
        <v>151</v>
      </c>
      <c r="C140" s="273"/>
      <c r="D140" s="12" t="s">
        <v>120</v>
      </c>
      <c r="E140" s="21"/>
      <c r="F140" s="20"/>
      <c r="G140" s="20"/>
    </row>
    <row r="141" spans="1:8" ht="24" customHeight="1" x14ac:dyDescent="0.2">
      <c r="A141" s="22"/>
      <c r="B141" s="23" t="s">
        <v>120</v>
      </c>
      <c r="C141" s="23" t="s">
        <v>152</v>
      </c>
      <c r="D141" s="23" t="s">
        <v>153</v>
      </c>
      <c r="E141" s="22"/>
      <c r="F141" s="22"/>
      <c r="G141" s="22"/>
    </row>
    <row r="142" spans="1:8" ht="18" customHeight="1" x14ac:dyDescent="0.2">
      <c r="A142" s="22"/>
      <c r="B142" s="23" t="s">
        <v>154</v>
      </c>
      <c r="C142" s="23" t="s">
        <v>155</v>
      </c>
      <c r="D142" s="23" t="s">
        <v>156</v>
      </c>
      <c r="E142" s="22"/>
      <c r="F142" s="22"/>
      <c r="G142" s="22"/>
    </row>
    <row r="143" spans="1:8" ht="17.100000000000001" customHeight="1" x14ac:dyDescent="0.2">
      <c r="A143" s="22"/>
      <c r="B143" s="4" t="s">
        <v>157</v>
      </c>
      <c r="C143" s="24">
        <v>740.93430000000001</v>
      </c>
      <c r="D143" s="24">
        <v>698.45799999999997</v>
      </c>
      <c r="E143" s="22"/>
      <c r="F143" s="19"/>
      <c r="G143" s="25"/>
    </row>
    <row r="144" spans="1:8" ht="17.100000000000001" customHeight="1" x14ac:dyDescent="0.2">
      <c r="A144" s="22"/>
      <c r="B144" s="4" t="s">
        <v>1120</v>
      </c>
      <c r="C144" s="24">
        <v>46.485799999999998</v>
      </c>
      <c r="D144" s="24">
        <v>43.8202</v>
      </c>
      <c r="E144" s="22"/>
      <c r="F144" s="19"/>
      <c r="G144" s="25"/>
    </row>
    <row r="145" spans="1:7" ht="17.100000000000001" customHeight="1" x14ac:dyDescent="0.2">
      <c r="A145" s="22"/>
      <c r="B145" s="4" t="s">
        <v>158</v>
      </c>
      <c r="C145" s="24">
        <v>697.50530000000003</v>
      </c>
      <c r="D145" s="24">
        <v>656.97479999999996</v>
      </c>
      <c r="E145" s="22"/>
      <c r="F145" s="19"/>
      <c r="G145" s="25"/>
    </row>
    <row r="146" spans="1:7" ht="17.100000000000001" customHeight="1" x14ac:dyDescent="0.2">
      <c r="A146" s="22"/>
      <c r="B146" s="4" t="s">
        <v>1121</v>
      </c>
      <c r="C146" s="24">
        <v>43.148600000000002</v>
      </c>
      <c r="D146" s="24">
        <v>40.641399999999997</v>
      </c>
      <c r="E146" s="22"/>
      <c r="F146" s="19"/>
      <c r="G146" s="25"/>
    </row>
    <row r="147" spans="1:7" ht="14.1" customHeight="1" x14ac:dyDescent="0.2">
      <c r="A147" s="22"/>
      <c r="B147" s="22"/>
      <c r="C147" s="22"/>
      <c r="D147" s="22"/>
      <c r="E147" s="22"/>
      <c r="F147" s="22"/>
      <c r="G147" s="22"/>
    </row>
    <row r="148" spans="1:7" ht="17.100000000000001" customHeight="1" x14ac:dyDescent="0.2">
      <c r="A148" s="22"/>
      <c r="B148" s="272" t="s">
        <v>1122</v>
      </c>
      <c r="C148" s="273"/>
      <c r="D148" s="2" t="s">
        <v>149</v>
      </c>
      <c r="E148" s="22"/>
      <c r="F148" s="22"/>
      <c r="G148" s="22"/>
    </row>
    <row r="149" spans="1:7" ht="14.1" customHeight="1" x14ac:dyDescent="0.2">
      <c r="A149" s="22"/>
      <c r="B149" s="19"/>
      <c r="C149" s="19"/>
      <c r="D149" s="22"/>
      <c r="E149" s="22"/>
      <c r="F149" s="22"/>
      <c r="G149" s="22"/>
    </row>
    <row r="150" spans="1:7" ht="29.1" customHeight="1" x14ac:dyDescent="0.2">
      <c r="A150" s="22"/>
      <c r="B150" s="272" t="s">
        <v>160</v>
      </c>
      <c r="C150" s="273"/>
      <c r="D150" s="2" t="s">
        <v>149</v>
      </c>
      <c r="E150" s="22"/>
      <c r="F150" s="22"/>
      <c r="G150" s="22"/>
    </row>
    <row r="151" spans="1:7" ht="29.1" customHeight="1" x14ac:dyDescent="0.2">
      <c r="A151" s="22"/>
      <c r="B151" s="272" t="s">
        <v>161</v>
      </c>
      <c r="C151" s="273"/>
      <c r="D151" s="2" t="s">
        <v>149</v>
      </c>
      <c r="E151" s="22"/>
      <c r="F151" s="22"/>
      <c r="G151" s="22"/>
    </row>
    <row r="152" spans="1:7" ht="17.100000000000001" customHeight="1" x14ac:dyDescent="0.2">
      <c r="A152" s="22"/>
      <c r="B152" s="272" t="s">
        <v>162</v>
      </c>
      <c r="C152" s="273"/>
      <c r="D152" s="27">
        <v>0.32548977136160923</v>
      </c>
      <c r="E152" s="22"/>
      <c r="F152" s="19"/>
      <c r="G152" s="25"/>
    </row>
    <row r="153" spans="1:7" ht="17.100000000000001" customHeight="1" x14ac:dyDescent="0.2">
      <c r="A153" s="22"/>
      <c r="B153" s="272" t="s">
        <v>163</v>
      </c>
      <c r="C153" s="273"/>
      <c r="D153" s="2" t="s">
        <v>149</v>
      </c>
      <c r="E153" s="22"/>
      <c r="F153" s="22"/>
      <c r="G153" s="22"/>
    </row>
  </sheetData>
  <mergeCells count="13">
    <mergeCell ref="B152:C152"/>
    <mergeCell ref="B153:C153"/>
    <mergeCell ref="B138:C138"/>
    <mergeCell ref="B139:C139"/>
    <mergeCell ref="B140:C140"/>
    <mergeCell ref="B148:C148"/>
    <mergeCell ref="B150:C150"/>
    <mergeCell ref="B151:C151"/>
    <mergeCell ref="J2:N2"/>
    <mergeCell ref="B137:C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42"/>
  <sheetViews>
    <sheetView showGridLines="0" workbookViewId="0">
      <selection activeCell="J13" sqref="J13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405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44211</v>
      </c>
      <c r="F7" s="6">
        <v>1163.9208914999999</v>
      </c>
      <c r="G7" s="7">
        <v>8.4799434000000007E-2</v>
      </c>
      <c r="H7" s="6"/>
    </row>
    <row r="8" spans="1:14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137271</v>
      </c>
      <c r="F8" s="6">
        <v>1033.4447235</v>
      </c>
      <c r="G8" s="7">
        <v>7.5293370999999998E-2</v>
      </c>
      <c r="H8" s="6"/>
    </row>
    <row r="9" spans="1:14" ht="17.100000000000001" customHeight="1" x14ac:dyDescent="0.2">
      <c r="A9" s="3">
        <v>3</v>
      </c>
      <c r="B9" s="4" t="s">
        <v>406</v>
      </c>
      <c r="C9" s="4" t="s">
        <v>407</v>
      </c>
      <c r="D9" s="4" t="s">
        <v>994</v>
      </c>
      <c r="E9" s="5">
        <v>53410</v>
      </c>
      <c r="F9" s="6">
        <v>803.07276000000002</v>
      </c>
      <c r="G9" s="7">
        <v>5.8509230000000002E-2</v>
      </c>
      <c r="H9" s="6"/>
    </row>
    <row r="10" spans="1:14" ht="17.100000000000001" customHeight="1" x14ac:dyDescent="0.2">
      <c r="A10" s="3">
        <v>4</v>
      </c>
      <c r="B10" s="4" t="s">
        <v>374</v>
      </c>
      <c r="C10" s="4" t="s">
        <v>375</v>
      </c>
      <c r="D10" s="4" t="s">
        <v>19</v>
      </c>
      <c r="E10" s="5">
        <v>54472</v>
      </c>
      <c r="F10" s="6">
        <v>756.58884399999999</v>
      </c>
      <c r="G10" s="7">
        <v>5.5122564999999998E-2</v>
      </c>
      <c r="H10" s="6"/>
    </row>
    <row r="11" spans="1:14" ht="17.100000000000001" customHeight="1" x14ac:dyDescent="0.2">
      <c r="A11" s="3">
        <v>5</v>
      </c>
      <c r="B11" s="4" t="s">
        <v>50</v>
      </c>
      <c r="C11" s="4" t="s">
        <v>51</v>
      </c>
      <c r="D11" s="4" t="s">
        <v>19</v>
      </c>
      <c r="E11" s="5">
        <v>123316</v>
      </c>
      <c r="F11" s="6">
        <v>577.24219600000004</v>
      </c>
      <c r="G11" s="7">
        <v>4.2055961000000003E-2</v>
      </c>
      <c r="H11" s="6"/>
    </row>
    <row r="12" spans="1:14" ht="29.1" customHeight="1" x14ac:dyDescent="0.2">
      <c r="A12" s="3">
        <v>6</v>
      </c>
      <c r="B12" s="4" t="s">
        <v>408</v>
      </c>
      <c r="C12" s="4" t="s">
        <v>409</v>
      </c>
      <c r="D12" s="4" t="s">
        <v>85</v>
      </c>
      <c r="E12" s="5">
        <v>21645</v>
      </c>
      <c r="F12" s="6">
        <v>499.29603750000001</v>
      </c>
      <c r="G12" s="7">
        <v>3.6377061000000002E-2</v>
      </c>
      <c r="H12" s="6"/>
    </row>
    <row r="13" spans="1:14" ht="17.100000000000001" customHeight="1" x14ac:dyDescent="0.2">
      <c r="A13" s="3">
        <v>7</v>
      </c>
      <c r="B13" s="4" t="s">
        <v>319</v>
      </c>
      <c r="C13" s="4" t="s">
        <v>320</v>
      </c>
      <c r="D13" s="4" t="s">
        <v>19</v>
      </c>
      <c r="E13" s="5">
        <v>66020</v>
      </c>
      <c r="F13" s="6">
        <v>452.36903999999998</v>
      </c>
      <c r="G13" s="7">
        <v>3.2958115000000003E-2</v>
      </c>
      <c r="H13" s="6"/>
      <c r="J13" s="169" t="s">
        <v>1145</v>
      </c>
    </row>
    <row r="14" spans="1:14" ht="29.1" customHeight="1" x14ac:dyDescent="0.2">
      <c r="A14" s="3">
        <v>8</v>
      </c>
      <c r="B14" s="4" t="s">
        <v>217</v>
      </c>
      <c r="C14" s="4" t="s">
        <v>218</v>
      </c>
      <c r="D14" s="4" t="s">
        <v>219</v>
      </c>
      <c r="E14" s="5">
        <v>10484</v>
      </c>
      <c r="F14" s="6">
        <v>411.43933800000002</v>
      </c>
      <c r="G14" s="7">
        <v>2.9976111999999999E-2</v>
      </c>
      <c r="H14" s="6"/>
    </row>
    <row r="15" spans="1:14" ht="17.100000000000001" customHeight="1" x14ac:dyDescent="0.2">
      <c r="A15" s="3">
        <v>9</v>
      </c>
      <c r="B15" s="4" t="s">
        <v>246</v>
      </c>
      <c r="C15" s="4" t="s">
        <v>247</v>
      </c>
      <c r="D15" s="4" t="s">
        <v>248</v>
      </c>
      <c r="E15" s="5">
        <v>210663</v>
      </c>
      <c r="F15" s="6">
        <v>383.30132850000001</v>
      </c>
      <c r="G15" s="7">
        <v>2.7926069000000001E-2</v>
      </c>
      <c r="H15" s="6"/>
    </row>
    <row r="16" spans="1:14" ht="17.100000000000001" customHeight="1" x14ac:dyDescent="0.2">
      <c r="A16" s="3">
        <v>10</v>
      </c>
      <c r="B16" s="4" t="s">
        <v>11</v>
      </c>
      <c r="C16" s="4" t="s">
        <v>12</v>
      </c>
      <c r="D16" s="4" t="s">
        <v>13</v>
      </c>
      <c r="E16" s="5">
        <v>23069</v>
      </c>
      <c r="F16" s="6">
        <v>381.676605</v>
      </c>
      <c r="G16" s="7">
        <v>2.7807696999999999E-2</v>
      </c>
      <c r="H16" s="6"/>
    </row>
    <row r="17" spans="1:8" ht="17.100000000000001" customHeight="1" x14ac:dyDescent="0.2">
      <c r="A17" s="3">
        <v>11</v>
      </c>
      <c r="B17" s="4" t="s">
        <v>316</v>
      </c>
      <c r="C17" s="4" t="s">
        <v>317</v>
      </c>
      <c r="D17" s="4" t="s">
        <v>318</v>
      </c>
      <c r="E17" s="5">
        <v>32534</v>
      </c>
      <c r="F17" s="6">
        <v>343.72170999999997</v>
      </c>
      <c r="G17" s="7">
        <v>2.5042429000000001E-2</v>
      </c>
      <c r="H17" s="6"/>
    </row>
    <row r="18" spans="1:8" ht="17.100000000000001" customHeight="1" x14ac:dyDescent="0.2">
      <c r="A18" s="3">
        <v>12</v>
      </c>
      <c r="B18" s="4" t="s">
        <v>20</v>
      </c>
      <c r="C18" s="4" t="s">
        <v>21</v>
      </c>
      <c r="D18" s="4" t="s">
        <v>22</v>
      </c>
      <c r="E18" s="5">
        <v>45416</v>
      </c>
      <c r="F18" s="6">
        <v>318.00283200000001</v>
      </c>
      <c r="G18" s="7">
        <v>2.3168635999999999E-2</v>
      </c>
      <c r="H18" s="6"/>
    </row>
    <row r="19" spans="1:8" ht="17.100000000000001" customHeight="1" x14ac:dyDescent="0.2">
      <c r="A19" s="3">
        <v>13</v>
      </c>
      <c r="B19" s="4" t="s">
        <v>410</v>
      </c>
      <c r="C19" s="4" t="s">
        <v>411</v>
      </c>
      <c r="D19" s="4" t="s">
        <v>994</v>
      </c>
      <c r="E19" s="5">
        <v>8814</v>
      </c>
      <c r="F19" s="6">
        <v>296.53380900000002</v>
      </c>
      <c r="G19" s="7">
        <v>2.1604473999999999E-2</v>
      </c>
      <c r="H19" s="6"/>
    </row>
    <row r="20" spans="1:8" ht="17.100000000000001" customHeight="1" x14ac:dyDescent="0.2">
      <c r="A20" s="3">
        <v>14</v>
      </c>
      <c r="B20" s="4" t="s">
        <v>412</v>
      </c>
      <c r="C20" s="4" t="s">
        <v>413</v>
      </c>
      <c r="D20" s="4" t="s">
        <v>323</v>
      </c>
      <c r="E20" s="5">
        <v>24719</v>
      </c>
      <c r="F20" s="6">
        <v>290.23813849999999</v>
      </c>
      <c r="G20" s="7">
        <v>2.1145793E-2</v>
      </c>
      <c r="H20" s="6"/>
    </row>
    <row r="21" spans="1:8" ht="29.1" customHeight="1" x14ac:dyDescent="0.2">
      <c r="A21" s="3">
        <v>15</v>
      </c>
      <c r="B21" s="4" t="s">
        <v>192</v>
      </c>
      <c r="C21" s="4" t="s">
        <v>193</v>
      </c>
      <c r="D21" s="4" t="s">
        <v>80</v>
      </c>
      <c r="E21" s="5">
        <v>74307</v>
      </c>
      <c r="F21" s="6">
        <v>268.5826515</v>
      </c>
      <c r="G21" s="7">
        <v>1.9568044999999999E-2</v>
      </c>
      <c r="H21" s="6"/>
    </row>
    <row r="22" spans="1:8" ht="17.100000000000001" customHeight="1" x14ac:dyDescent="0.2">
      <c r="A22" s="3">
        <v>16</v>
      </c>
      <c r="B22" s="4" t="s">
        <v>201</v>
      </c>
      <c r="C22" s="4" t="s">
        <v>202</v>
      </c>
      <c r="D22" s="4" t="s">
        <v>203</v>
      </c>
      <c r="E22" s="5">
        <v>53148</v>
      </c>
      <c r="F22" s="6">
        <v>267.60018000000002</v>
      </c>
      <c r="G22" s="7">
        <v>1.9496466E-2</v>
      </c>
      <c r="H22" s="6"/>
    </row>
    <row r="23" spans="1:8" ht="17.100000000000001" customHeight="1" x14ac:dyDescent="0.2">
      <c r="A23" s="3">
        <v>17</v>
      </c>
      <c r="B23" s="4" t="s">
        <v>32</v>
      </c>
      <c r="C23" s="4" t="s">
        <v>33</v>
      </c>
      <c r="D23" s="4" t="s">
        <v>28</v>
      </c>
      <c r="E23" s="5">
        <v>15186</v>
      </c>
      <c r="F23" s="6">
        <v>260.29563300000001</v>
      </c>
      <c r="G23" s="7">
        <v>1.896428E-2</v>
      </c>
      <c r="H23" s="6"/>
    </row>
    <row r="24" spans="1:8" ht="29.1" customHeight="1" x14ac:dyDescent="0.2">
      <c r="A24" s="3">
        <v>18</v>
      </c>
      <c r="B24" s="4" t="s">
        <v>414</v>
      </c>
      <c r="C24" s="4" t="s">
        <v>415</v>
      </c>
      <c r="D24" s="4" t="s">
        <v>198</v>
      </c>
      <c r="E24" s="5">
        <v>28492</v>
      </c>
      <c r="F24" s="6">
        <v>245.20215200000001</v>
      </c>
      <c r="G24" s="7">
        <v>1.7864619000000002E-2</v>
      </c>
      <c r="H24" s="6"/>
    </row>
    <row r="25" spans="1:8" ht="29.1" customHeight="1" x14ac:dyDescent="0.2">
      <c r="A25" s="3">
        <v>19</v>
      </c>
      <c r="B25" s="4" t="s">
        <v>189</v>
      </c>
      <c r="C25" s="4" t="s">
        <v>190</v>
      </c>
      <c r="D25" s="4" t="s">
        <v>191</v>
      </c>
      <c r="E25" s="5">
        <v>32477</v>
      </c>
      <c r="F25" s="6">
        <v>228.65431849999999</v>
      </c>
      <c r="G25" s="7">
        <v>1.6658999000000001E-2</v>
      </c>
      <c r="H25" s="6"/>
    </row>
    <row r="26" spans="1:8" ht="17.100000000000001" customHeight="1" x14ac:dyDescent="0.2">
      <c r="A26" s="3">
        <v>20</v>
      </c>
      <c r="B26" s="4" t="s">
        <v>179</v>
      </c>
      <c r="C26" s="4" t="s">
        <v>180</v>
      </c>
      <c r="D26" s="4" t="s">
        <v>181</v>
      </c>
      <c r="E26" s="5">
        <v>15441</v>
      </c>
      <c r="F26" s="6">
        <v>227.83195499999999</v>
      </c>
      <c r="G26" s="7">
        <v>1.6599084E-2</v>
      </c>
      <c r="H26" s="6"/>
    </row>
    <row r="27" spans="1:8" ht="17.100000000000001" customHeight="1" x14ac:dyDescent="0.2">
      <c r="A27" s="3">
        <v>21</v>
      </c>
      <c r="B27" s="4" t="s">
        <v>357</v>
      </c>
      <c r="C27" s="4" t="s">
        <v>358</v>
      </c>
      <c r="D27" s="4" t="s">
        <v>186</v>
      </c>
      <c r="E27" s="5">
        <v>40695</v>
      </c>
      <c r="F27" s="6">
        <v>224.2091025</v>
      </c>
      <c r="G27" s="7">
        <v>1.6335135000000001E-2</v>
      </c>
      <c r="H27" s="6"/>
    </row>
    <row r="28" spans="1:8" ht="17.100000000000001" customHeight="1" x14ac:dyDescent="0.2">
      <c r="A28" s="3">
        <v>22</v>
      </c>
      <c r="B28" s="4" t="s">
        <v>416</v>
      </c>
      <c r="C28" s="4" t="s">
        <v>417</v>
      </c>
      <c r="D28" s="4" t="s">
        <v>418</v>
      </c>
      <c r="E28" s="5">
        <v>9430</v>
      </c>
      <c r="F28" s="6">
        <v>221.911475</v>
      </c>
      <c r="G28" s="7">
        <v>1.6167737000000001E-2</v>
      </c>
      <c r="H28" s="6"/>
    </row>
    <row r="29" spans="1:8" ht="29.1" customHeight="1" x14ac:dyDescent="0.2">
      <c r="A29" s="3">
        <v>23</v>
      </c>
      <c r="B29" s="4" t="s">
        <v>23</v>
      </c>
      <c r="C29" s="4" t="s">
        <v>24</v>
      </c>
      <c r="D29" s="4" t="s">
        <v>25</v>
      </c>
      <c r="E29" s="5">
        <v>3567</v>
      </c>
      <c r="F29" s="6">
        <v>216.966342</v>
      </c>
      <c r="G29" s="7">
        <v>1.5807451E-2</v>
      </c>
      <c r="H29" s="6"/>
    </row>
    <row r="30" spans="1:8" ht="17.100000000000001" customHeight="1" x14ac:dyDescent="0.2">
      <c r="A30" s="3">
        <v>24</v>
      </c>
      <c r="B30" s="4" t="s">
        <v>312</v>
      </c>
      <c r="C30" s="4" t="s">
        <v>313</v>
      </c>
      <c r="D30" s="4" t="s">
        <v>254</v>
      </c>
      <c r="E30" s="5">
        <v>443</v>
      </c>
      <c r="F30" s="6">
        <v>200.2096415</v>
      </c>
      <c r="G30" s="7">
        <v>1.4586613999999999E-2</v>
      </c>
      <c r="H30" s="6"/>
    </row>
    <row r="31" spans="1:8" ht="17.100000000000001" customHeight="1" x14ac:dyDescent="0.2">
      <c r="A31" s="3">
        <v>25</v>
      </c>
      <c r="B31" s="4" t="s">
        <v>419</v>
      </c>
      <c r="C31" s="4" t="s">
        <v>420</v>
      </c>
      <c r="D31" s="4" t="s">
        <v>994</v>
      </c>
      <c r="E31" s="5">
        <v>18271</v>
      </c>
      <c r="F31" s="6">
        <v>190.15543249999999</v>
      </c>
      <c r="G31" s="7">
        <v>1.3854096999999999E-2</v>
      </c>
      <c r="H31" s="6"/>
    </row>
    <row r="32" spans="1:8" ht="17.100000000000001" customHeight="1" x14ac:dyDescent="0.2">
      <c r="A32" s="3">
        <v>26</v>
      </c>
      <c r="B32" s="4" t="s">
        <v>93</v>
      </c>
      <c r="C32" s="4" t="s">
        <v>94</v>
      </c>
      <c r="D32" s="4" t="s">
        <v>95</v>
      </c>
      <c r="E32" s="5">
        <v>8130</v>
      </c>
      <c r="F32" s="6">
        <v>187.03878</v>
      </c>
      <c r="G32" s="7">
        <v>1.3627027999999999E-2</v>
      </c>
      <c r="H32" s="6"/>
    </row>
    <row r="33" spans="1:8" ht="17.100000000000001" customHeight="1" x14ac:dyDescent="0.2">
      <c r="A33" s="3">
        <v>27</v>
      </c>
      <c r="B33" s="4" t="s">
        <v>421</v>
      </c>
      <c r="C33" s="4" t="s">
        <v>422</v>
      </c>
      <c r="D33" s="4" t="s">
        <v>994</v>
      </c>
      <c r="E33" s="5">
        <v>39000</v>
      </c>
      <c r="F33" s="6">
        <v>186.43950000000001</v>
      </c>
      <c r="G33" s="7">
        <v>1.3583365999999999E-2</v>
      </c>
      <c r="H33" s="6"/>
    </row>
    <row r="34" spans="1:8" ht="17.100000000000001" customHeight="1" x14ac:dyDescent="0.2">
      <c r="A34" s="3">
        <v>28</v>
      </c>
      <c r="B34" s="4" t="s">
        <v>423</v>
      </c>
      <c r="C34" s="4" t="s">
        <v>424</v>
      </c>
      <c r="D34" s="4" t="s">
        <v>396</v>
      </c>
      <c r="E34" s="5">
        <v>17387</v>
      </c>
      <c r="F34" s="6">
        <v>179.8424345</v>
      </c>
      <c r="G34" s="7">
        <v>1.3102726E-2</v>
      </c>
      <c r="H34" s="6"/>
    </row>
    <row r="35" spans="1:8" ht="29.1" customHeight="1" x14ac:dyDescent="0.2">
      <c r="A35" s="3">
        <v>29</v>
      </c>
      <c r="B35" s="4" t="s">
        <v>305</v>
      </c>
      <c r="C35" s="4" t="s">
        <v>306</v>
      </c>
      <c r="D35" s="4" t="s">
        <v>219</v>
      </c>
      <c r="E35" s="5">
        <v>34955</v>
      </c>
      <c r="F35" s="6">
        <v>168.587965</v>
      </c>
      <c r="G35" s="7">
        <v>1.2282763E-2</v>
      </c>
      <c r="H35" s="6"/>
    </row>
    <row r="36" spans="1:8" ht="17.100000000000001" customHeight="1" x14ac:dyDescent="0.2">
      <c r="A36" s="3">
        <v>30</v>
      </c>
      <c r="B36" s="4" t="s">
        <v>324</v>
      </c>
      <c r="C36" s="4" t="s">
        <v>325</v>
      </c>
      <c r="D36" s="4" t="s">
        <v>19</v>
      </c>
      <c r="E36" s="5">
        <v>160000</v>
      </c>
      <c r="F36" s="6">
        <v>160.4</v>
      </c>
      <c r="G36" s="7">
        <v>1.1686214E-2</v>
      </c>
      <c r="H36" s="6"/>
    </row>
    <row r="37" spans="1:8" ht="17.100000000000001" customHeight="1" x14ac:dyDescent="0.2">
      <c r="A37" s="3">
        <v>31</v>
      </c>
      <c r="B37" s="4" t="s">
        <v>45</v>
      </c>
      <c r="C37" s="4" t="s">
        <v>46</v>
      </c>
      <c r="D37" s="4" t="s">
        <v>47</v>
      </c>
      <c r="E37" s="5">
        <v>24502</v>
      </c>
      <c r="F37" s="6">
        <v>159.37325899999999</v>
      </c>
      <c r="G37" s="7">
        <v>1.1611409E-2</v>
      </c>
      <c r="H37" s="6"/>
    </row>
    <row r="38" spans="1:8" ht="29.1" customHeight="1" x14ac:dyDescent="0.2">
      <c r="A38" s="3">
        <v>32</v>
      </c>
      <c r="B38" s="4" t="s">
        <v>211</v>
      </c>
      <c r="C38" s="4" t="s">
        <v>212</v>
      </c>
      <c r="D38" s="4" t="s">
        <v>198</v>
      </c>
      <c r="E38" s="5">
        <v>27249</v>
      </c>
      <c r="F38" s="6">
        <v>154.62445049999999</v>
      </c>
      <c r="G38" s="7">
        <v>1.1265427E-2</v>
      </c>
      <c r="H38" s="6"/>
    </row>
    <row r="39" spans="1:8" ht="17.100000000000001" customHeight="1" x14ac:dyDescent="0.2">
      <c r="A39" s="3">
        <v>33</v>
      </c>
      <c r="B39" s="4" t="s">
        <v>328</v>
      </c>
      <c r="C39" s="4" t="s">
        <v>329</v>
      </c>
      <c r="D39" s="4" t="s">
        <v>302</v>
      </c>
      <c r="E39" s="5">
        <v>13636</v>
      </c>
      <c r="F39" s="6">
        <v>153.27545799999999</v>
      </c>
      <c r="G39" s="7">
        <v>1.1167144E-2</v>
      </c>
      <c r="H39" s="6"/>
    </row>
    <row r="40" spans="1:8" ht="29.1" customHeight="1" x14ac:dyDescent="0.2">
      <c r="A40" s="3">
        <v>34</v>
      </c>
      <c r="B40" s="4" t="s">
        <v>354</v>
      </c>
      <c r="C40" s="4" t="s">
        <v>355</v>
      </c>
      <c r="D40" s="4" t="s">
        <v>356</v>
      </c>
      <c r="E40" s="5">
        <v>16000</v>
      </c>
      <c r="F40" s="6">
        <v>151.184</v>
      </c>
      <c r="G40" s="7">
        <v>1.1014767E-2</v>
      </c>
      <c r="H40" s="6"/>
    </row>
    <row r="41" spans="1:8" ht="17.100000000000001" customHeight="1" x14ac:dyDescent="0.2">
      <c r="A41" s="3">
        <v>35</v>
      </c>
      <c r="B41" s="4" t="s">
        <v>425</v>
      </c>
      <c r="C41" s="4" t="s">
        <v>426</v>
      </c>
      <c r="D41" s="4" t="s">
        <v>418</v>
      </c>
      <c r="E41" s="5">
        <v>53592</v>
      </c>
      <c r="F41" s="6">
        <v>145.04674800000001</v>
      </c>
      <c r="G41" s="7">
        <v>1.0567627E-2</v>
      </c>
      <c r="H41" s="6"/>
    </row>
    <row r="42" spans="1:8" ht="17.100000000000001" customHeight="1" x14ac:dyDescent="0.2">
      <c r="A42" s="3">
        <v>36</v>
      </c>
      <c r="B42" s="4" t="s">
        <v>427</v>
      </c>
      <c r="C42" s="4" t="s">
        <v>428</v>
      </c>
      <c r="D42" s="4" t="s">
        <v>994</v>
      </c>
      <c r="E42" s="5">
        <v>11437</v>
      </c>
      <c r="F42" s="6">
        <v>134.98519250000001</v>
      </c>
      <c r="G42" s="7">
        <v>9.8345749999999999E-3</v>
      </c>
      <c r="H42" s="6"/>
    </row>
    <row r="43" spans="1:8" ht="17.100000000000001" customHeight="1" x14ac:dyDescent="0.2">
      <c r="A43" s="3">
        <v>37</v>
      </c>
      <c r="B43" s="4" t="s">
        <v>346</v>
      </c>
      <c r="C43" s="4" t="s">
        <v>347</v>
      </c>
      <c r="D43" s="4" t="s">
        <v>106</v>
      </c>
      <c r="E43" s="5">
        <v>35316</v>
      </c>
      <c r="F43" s="6">
        <v>133.441506</v>
      </c>
      <c r="G43" s="7">
        <v>9.7221080000000001E-3</v>
      </c>
      <c r="H43" s="6"/>
    </row>
    <row r="44" spans="1:8" ht="17.100000000000001" customHeight="1" x14ac:dyDescent="0.2">
      <c r="A44" s="3">
        <v>38</v>
      </c>
      <c r="B44" s="4" t="s">
        <v>429</v>
      </c>
      <c r="C44" s="4" t="s">
        <v>430</v>
      </c>
      <c r="D44" s="4" t="s">
        <v>19</v>
      </c>
      <c r="E44" s="5">
        <v>14036</v>
      </c>
      <c r="F44" s="6">
        <v>130.65410600000001</v>
      </c>
      <c r="G44" s="7">
        <v>9.5190269999999993E-3</v>
      </c>
      <c r="H44" s="6"/>
    </row>
    <row r="45" spans="1:8" ht="17.100000000000001" customHeight="1" x14ac:dyDescent="0.2">
      <c r="A45" s="3">
        <v>39</v>
      </c>
      <c r="B45" s="4" t="s">
        <v>58</v>
      </c>
      <c r="C45" s="4" t="s">
        <v>59</v>
      </c>
      <c r="D45" s="4" t="s">
        <v>16</v>
      </c>
      <c r="E45" s="5">
        <v>37123</v>
      </c>
      <c r="F45" s="6">
        <v>121.095226</v>
      </c>
      <c r="G45" s="7">
        <v>8.8225979999999992E-3</v>
      </c>
      <c r="H45" s="6"/>
    </row>
    <row r="46" spans="1:8" ht="29.1" customHeight="1" x14ac:dyDescent="0.2">
      <c r="A46" s="3">
        <v>40</v>
      </c>
      <c r="B46" s="4" t="s">
        <v>350</v>
      </c>
      <c r="C46" s="4" t="s">
        <v>351</v>
      </c>
      <c r="D46" s="4" t="s">
        <v>198</v>
      </c>
      <c r="E46" s="5">
        <v>4108</v>
      </c>
      <c r="F46" s="6">
        <v>117.527826</v>
      </c>
      <c r="G46" s="7">
        <v>8.5626890000000001E-3</v>
      </c>
      <c r="H46" s="6"/>
    </row>
    <row r="47" spans="1:8" ht="17.100000000000001" customHeight="1" x14ac:dyDescent="0.2">
      <c r="A47" s="3">
        <v>41</v>
      </c>
      <c r="B47" s="4" t="s">
        <v>184</v>
      </c>
      <c r="C47" s="4" t="s">
        <v>185</v>
      </c>
      <c r="D47" s="4" t="s">
        <v>186</v>
      </c>
      <c r="E47" s="5">
        <v>10923</v>
      </c>
      <c r="F47" s="6">
        <v>116.0841825</v>
      </c>
      <c r="G47" s="7">
        <v>8.4575099999999997E-3</v>
      </c>
      <c r="H47" s="6"/>
    </row>
    <row r="48" spans="1:8" ht="17.100000000000001" customHeight="1" x14ac:dyDescent="0.2">
      <c r="A48" s="3">
        <v>42</v>
      </c>
      <c r="B48" s="4" t="s">
        <v>378</v>
      </c>
      <c r="C48" s="4" t="s">
        <v>379</v>
      </c>
      <c r="D48" s="4" t="s">
        <v>181</v>
      </c>
      <c r="E48" s="5">
        <v>25439</v>
      </c>
      <c r="F48" s="6">
        <v>113.71232999999999</v>
      </c>
      <c r="G48" s="7">
        <v>8.2847049999999998E-3</v>
      </c>
      <c r="H48" s="6"/>
    </row>
    <row r="49" spans="1:8" ht="17.100000000000001" customHeight="1" x14ac:dyDescent="0.2">
      <c r="A49" s="3">
        <v>43</v>
      </c>
      <c r="B49" s="4" t="s">
        <v>431</v>
      </c>
      <c r="C49" s="4" t="s">
        <v>432</v>
      </c>
      <c r="D49" s="4" t="s">
        <v>19</v>
      </c>
      <c r="E49" s="5">
        <v>4709</v>
      </c>
      <c r="F49" s="6">
        <v>86.968166499999995</v>
      </c>
      <c r="G49" s="7">
        <v>6.3362130000000003E-3</v>
      </c>
      <c r="H49" s="6"/>
    </row>
    <row r="50" spans="1:8" ht="17.100000000000001" customHeight="1" x14ac:dyDescent="0.2">
      <c r="A50" s="3">
        <v>44</v>
      </c>
      <c r="B50" s="4" t="s">
        <v>342</v>
      </c>
      <c r="C50" s="4" t="s">
        <v>343</v>
      </c>
      <c r="D50" s="4" t="s">
        <v>85</v>
      </c>
      <c r="E50" s="5">
        <v>7100</v>
      </c>
      <c r="F50" s="6">
        <v>83.510199999999998</v>
      </c>
      <c r="G50" s="7">
        <v>6.0842769999999999E-3</v>
      </c>
      <c r="H50" s="6"/>
    </row>
    <row r="51" spans="1:8" ht="17.100000000000001" customHeight="1" x14ac:dyDescent="0.2">
      <c r="A51" s="3">
        <v>45</v>
      </c>
      <c r="B51" s="4" t="s">
        <v>433</v>
      </c>
      <c r="C51" s="4" t="s">
        <v>434</v>
      </c>
      <c r="D51" s="4" t="s">
        <v>106</v>
      </c>
      <c r="E51" s="5">
        <v>7773</v>
      </c>
      <c r="F51" s="6">
        <v>82.055674499999995</v>
      </c>
      <c r="G51" s="7">
        <v>5.9783060000000001E-3</v>
      </c>
      <c r="H51" s="6"/>
    </row>
    <row r="52" spans="1:8" ht="17.100000000000001" customHeight="1" x14ac:dyDescent="0.2">
      <c r="A52" s="3">
        <v>46</v>
      </c>
      <c r="B52" s="4" t="s">
        <v>115</v>
      </c>
      <c r="C52" s="4" t="s">
        <v>116</v>
      </c>
      <c r="D52" s="4" t="s">
        <v>92</v>
      </c>
      <c r="E52" s="5">
        <v>111123</v>
      </c>
      <c r="F52" s="6">
        <v>80.897543999999996</v>
      </c>
      <c r="G52" s="7">
        <v>5.8939279999999997E-3</v>
      </c>
      <c r="H52" s="6"/>
    </row>
    <row r="53" spans="1:8" ht="17.100000000000001" customHeight="1" x14ac:dyDescent="0.2">
      <c r="A53" s="3">
        <v>47</v>
      </c>
      <c r="B53" s="4" t="s">
        <v>435</v>
      </c>
      <c r="C53" s="4" t="s">
        <v>436</v>
      </c>
      <c r="D53" s="4" t="s">
        <v>437</v>
      </c>
      <c r="E53" s="5">
        <v>19132</v>
      </c>
      <c r="F53" s="6">
        <v>80.842265999999995</v>
      </c>
      <c r="G53" s="7">
        <v>5.8899010000000003E-3</v>
      </c>
      <c r="H53" s="6"/>
    </row>
    <row r="54" spans="1:8" ht="17.100000000000001" customHeight="1" x14ac:dyDescent="0.2">
      <c r="A54" s="3">
        <v>48</v>
      </c>
      <c r="B54" s="4" t="s">
        <v>321</v>
      </c>
      <c r="C54" s="4" t="s">
        <v>322</v>
      </c>
      <c r="D54" s="4" t="s">
        <v>323</v>
      </c>
      <c r="E54" s="5">
        <v>10058</v>
      </c>
      <c r="F54" s="6">
        <v>79.930925999999999</v>
      </c>
      <c r="G54" s="7">
        <v>5.8235029999999998E-3</v>
      </c>
      <c r="H54" s="6"/>
    </row>
    <row r="55" spans="1:8" ht="17.100000000000001" customHeight="1" x14ac:dyDescent="0.2">
      <c r="A55" s="3">
        <v>49</v>
      </c>
      <c r="B55" s="4" t="s">
        <v>263</v>
      </c>
      <c r="C55" s="4" t="s">
        <v>264</v>
      </c>
      <c r="D55" s="4" t="s">
        <v>16</v>
      </c>
      <c r="E55" s="5">
        <v>35000</v>
      </c>
      <c r="F55" s="6">
        <v>79.73</v>
      </c>
      <c r="G55" s="7">
        <v>5.8088649999999999E-3</v>
      </c>
      <c r="H55" s="6"/>
    </row>
    <row r="56" spans="1:8" ht="53.1" customHeight="1" x14ac:dyDescent="0.2">
      <c r="A56" s="3">
        <v>50</v>
      </c>
      <c r="B56" s="4" t="s">
        <v>251</v>
      </c>
      <c r="C56" s="4" t="s">
        <v>1141</v>
      </c>
      <c r="D56" s="4" t="s">
        <v>75</v>
      </c>
      <c r="E56" s="5">
        <v>36162</v>
      </c>
      <c r="F56" s="6">
        <v>71.781570000000002</v>
      </c>
      <c r="G56" s="7">
        <v>5.2297680000000001E-3</v>
      </c>
      <c r="H56" s="6"/>
    </row>
    <row r="57" spans="1:8" ht="17.100000000000001" customHeight="1" x14ac:dyDescent="0.2">
      <c r="A57" s="3">
        <v>51</v>
      </c>
      <c r="B57" s="4" t="s">
        <v>222</v>
      </c>
      <c r="C57" s="4" t="s">
        <v>223</v>
      </c>
      <c r="D57" s="4" t="s">
        <v>95</v>
      </c>
      <c r="E57" s="5">
        <v>4226</v>
      </c>
      <c r="F57" s="6">
        <v>66.362990999999994</v>
      </c>
      <c r="G57" s="7">
        <v>4.8349880000000001E-3</v>
      </c>
      <c r="H57" s="6"/>
    </row>
    <row r="58" spans="1:8" ht="17.100000000000001" customHeight="1" x14ac:dyDescent="0.2">
      <c r="A58" s="3">
        <v>52</v>
      </c>
      <c r="B58" s="4" t="s">
        <v>372</v>
      </c>
      <c r="C58" s="4" t="s">
        <v>373</v>
      </c>
      <c r="D58" s="4" t="s">
        <v>80</v>
      </c>
      <c r="E58" s="5">
        <v>100655</v>
      </c>
      <c r="F58" s="6">
        <v>60.543982499999998</v>
      </c>
      <c r="G58" s="7">
        <v>4.4110349999999998E-3</v>
      </c>
      <c r="H58" s="6"/>
    </row>
    <row r="59" spans="1:8" ht="17.100000000000001" customHeight="1" x14ac:dyDescent="0.2">
      <c r="A59" s="3">
        <v>53</v>
      </c>
      <c r="B59" s="4" t="s">
        <v>438</v>
      </c>
      <c r="C59" s="4" t="s">
        <v>1057</v>
      </c>
      <c r="D59" s="4" t="s">
        <v>22</v>
      </c>
      <c r="E59" s="5">
        <v>3244</v>
      </c>
      <c r="F59" s="6">
        <v>10.765214</v>
      </c>
      <c r="G59" s="7">
        <v>7.8431799999999999E-4</v>
      </c>
      <c r="H59" s="6"/>
    </row>
    <row r="60" spans="1:8" ht="14.1" customHeight="1" x14ac:dyDescent="0.2">
      <c r="A60" s="1"/>
      <c r="B60" s="1"/>
      <c r="C60" s="2" t="s">
        <v>119</v>
      </c>
      <c r="D60" s="1"/>
      <c r="E60" s="1" t="s">
        <v>120</v>
      </c>
      <c r="F60" s="9">
        <v>13559.168635499997</v>
      </c>
      <c r="G60" s="10">
        <v>0.98787625899999965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121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119</v>
      </c>
      <c r="D63" s="1"/>
      <c r="E63" s="1" t="s">
        <v>120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122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119</v>
      </c>
      <c r="D66" s="1"/>
      <c r="E66" s="1" t="s">
        <v>120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123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119</v>
      </c>
      <c r="D69" s="1"/>
      <c r="E69" s="1" t="s">
        <v>120</v>
      </c>
      <c r="F69" s="9">
        <v>0</v>
      </c>
      <c r="G69" s="10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124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119</v>
      </c>
      <c r="D72" s="1"/>
      <c r="E72" s="1" t="s">
        <v>120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125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119</v>
      </c>
      <c r="D75" s="1"/>
      <c r="E75" s="1" t="s">
        <v>120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8" customHeight="1" x14ac:dyDescent="0.2">
      <c r="A77" s="1"/>
      <c r="B77" s="1"/>
      <c r="C77" s="2" t="s">
        <v>126</v>
      </c>
      <c r="D77" s="1"/>
      <c r="E77" s="1"/>
      <c r="F77" s="9">
        <v>13559.1686355</v>
      </c>
      <c r="G77" s="10">
        <v>0.98787625899999998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127</v>
      </c>
      <c r="D79" s="1"/>
      <c r="E79" s="1"/>
      <c r="F79" s="12"/>
      <c r="G79" s="12"/>
      <c r="H79" s="6"/>
    </row>
    <row r="80" spans="1:8" ht="24" customHeight="1" x14ac:dyDescent="0.2">
      <c r="A80" s="1"/>
      <c r="B80" s="1"/>
      <c r="C80" s="2" t="s">
        <v>10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128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129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130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131</v>
      </c>
      <c r="D92" s="1"/>
      <c r="E92" s="1"/>
      <c r="F92" s="9">
        <v>0</v>
      </c>
      <c r="G92" s="10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132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133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134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119</v>
      </c>
      <c r="D99" s="1"/>
      <c r="E99" s="1" t="s">
        <v>120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135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136</v>
      </c>
      <c r="D104" s="1"/>
      <c r="E104" s="1"/>
      <c r="F104" s="12"/>
      <c r="G104" s="12"/>
      <c r="H104" s="6"/>
    </row>
    <row r="105" spans="1:8" ht="17.100000000000001" customHeight="1" x14ac:dyDescent="0.2">
      <c r="A105" s="3">
        <v>1</v>
      </c>
      <c r="B105" s="4"/>
      <c r="C105" s="4" t="s">
        <v>137</v>
      </c>
      <c r="D105" s="4"/>
      <c r="E105" s="8"/>
      <c r="F105" s="6">
        <v>146.35477449999999</v>
      </c>
      <c r="G105" s="7">
        <v>1.0662926E-2</v>
      </c>
      <c r="H105" s="6">
        <v>4.1713246754849944</v>
      </c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9">
        <v>146.35477449999999</v>
      </c>
      <c r="G106" s="10">
        <v>1.0662926E-2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138</v>
      </c>
      <c r="D108" s="1"/>
      <c r="E108" s="1"/>
      <c r="F108" s="9">
        <v>146.35477449999999</v>
      </c>
      <c r="G108" s="10">
        <v>1.0662926E-2</v>
      </c>
      <c r="H108" s="6"/>
    </row>
    <row r="109" spans="1:8" ht="14.1" customHeight="1" x14ac:dyDescent="0.2">
      <c r="A109" s="1"/>
      <c r="B109" s="1"/>
      <c r="C109" s="12"/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139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140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119</v>
      </c>
      <c r="D112" s="1"/>
      <c r="E112" s="1" t="s">
        <v>120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141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142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119</v>
      </c>
      <c r="D116" s="1"/>
      <c r="E116" s="1" t="s">
        <v>120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24" customHeight="1" x14ac:dyDescent="0.2">
      <c r="A119" s="1"/>
      <c r="B119" s="1"/>
      <c r="C119" s="2" t="s">
        <v>143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4"/>
      <c r="C122" s="4"/>
      <c r="D122" s="2"/>
      <c r="E122" s="1"/>
      <c r="F122" s="4"/>
      <c r="G122" s="8"/>
      <c r="H122" s="6"/>
    </row>
    <row r="123" spans="1:8" ht="18" customHeight="1" x14ac:dyDescent="0.2">
      <c r="A123" s="8"/>
      <c r="B123" s="4"/>
      <c r="C123" s="4" t="s">
        <v>144</v>
      </c>
      <c r="D123" s="4"/>
      <c r="E123" s="8"/>
      <c r="F123" s="6">
        <v>20.050482599999999</v>
      </c>
      <c r="G123" s="7">
        <v>1.4608119999999999E-3</v>
      </c>
      <c r="H123" s="6"/>
    </row>
    <row r="124" spans="1:8" ht="14.1" customHeight="1" x14ac:dyDescent="0.2">
      <c r="A124" s="11"/>
      <c r="B124" s="11"/>
      <c r="C124" s="2" t="s">
        <v>145</v>
      </c>
      <c r="D124" s="15"/>
      <c r="E124" s="15"/>
      <c r="F124" s="9">
        <v>13725.573892599999</v>
      </c>
      <c r="G124" s="10">
        <v>0.99999999699999997</v>
      </c>
      <c r="H124" s="6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265" t="s">
        <v>147</v>
      </c>
      <c r="C126" s="266"/>
      <c r="D126" s="12" t="s">
        <v>120</v>
      </c>
      <c r="E126" s="21"/>
      <c r="F126" s="20"/>
      <c r="G126" s="20"/>
    </row>
    <row r="127" spans="1:8" ht="29.1" customHeight="1" x14ac:dyDescent="0.2">
      <c r="A127" s="18"/>
      <c r="B127" s="272" t="s">
        <v>148</v>
      </c>
      <c r="C127" s="273"/>
      <c r="D127" s="2" t="s">
        <v>149</v>
      </c>
      <c r="E127" s="21"/>
      <c r="F127" s="20"/>
      <c r="G127" s="20"/>
    </row>
    <row r="128" spans="1:8" ht="17.100000000000001" customHeight="1" x14ac:dyDescent="0.2">
      <c r="A128" s="18"/>
      <c r="B128" s="272" t="s">
        <v>150</v>
      </c>
      <c r="C128" s="273"/>
      <c r="D128" s="2" t="s">
        <v>149</v>
      </c>
      <c r="E128" s="21"/>
      <c r="F128" s="20"/>
      <c r="G128" s="20"/>
    </row>
    <row r="129" spans="1:15" ht="17.100000000000001" customHeight="1" x14ac:dyDescent="0.2">
      <c r="A129" s="18"/>
      <c r="B129" s="272" t="s">
        <v>151</v>
      </c>
      <c r="C129" s="273"/>
      <c r="D129" s="12" t="s">
        <v>120</v>
      </c>
      <c r="E129" s="21"/>
      <c r="F129" s="20"/>
      <c r="G129" s="20"/>
    </row>
    <row r="130" spans="1:15" ht="24" customHeight="1" x14ac:dyDescent="0.2">
      <c r="A130" s="22"/>
      <c r="B130" s="23" t="s">
        <v>120</v>
      </c>
      <c r="C130" s="23" t="s">
        <v>152</v>
      </c>
      <c r="D130" s="23" t="s">
        <v>153</v>
      </c>
      <c r="E130" s="22"/>
      <c r="F130" s="22"/>
      <c r="G130" s="22"/>
    </row>
    <row r="131" spans="1:15" ht="18" customHeight="1" x14ac:dyDescent="0.2">
      <c r="A131" s="22"/>
      <c r="B131" s="23" t="s">
        <v>154</v>
      </c>
      <c r="C131" s="23" t="s">
        <v>155</v>
      </c>
      <c r="D131" s="23" t="s">
        <v>156</v>
      </c>
      <c r="E131" s="22"/>
      <c r="F131" s="22"/>
      <c r="G131" s="22"/>
    </row>
    <row r="132" spans="1:15" ht="17.100000000000001" customHeight="1" x14ac:dyDescent="0.2">
      <c r="A132" s="22"/>
      <c r="B132" s="4" t="s">
        <v>157</v>
      </c>
      <c r="C132" s="24">
        <v>17.195699999999999</v>
      </c>
      <c r="D132" s="24">
        <v>16.554400000000001</v>
      </c>
      <c r="E132" s="22"/>
      <c r="F132" s="19"/>
      <c r="G132" s="25"/>
    </row>
    <row r="133" spans="1:15" ht="17.100000000000001" customHeight="1" x14ac:dyDescent="0.2">
      <c r="A133" s="22"/>
      <c r="B133" s="4" t="s">
        <v>1120</v>
      </c>
      <c r="C133" s="24">
        <v>16.355599999999999</v>
      </c>
      <c r="D133" s="24">
        <v>15.7456</v>
      </c>
      <c r="E133" s="22"/>
      <c r="F133" s="19"/>
      <c r="G133" s="25"/>
    </row>
    <row r="134" spans="1:15" ht="17.100000000000001" customHeight="1" x14ac:dyDescent="0.2">
      <c r="A134" s="22"/>
      <c r="B134" s="4" t="s">
        <v>158</v>
      </c>
      <c r="C134" s="24">
        <v>16.8184</v>
      </c>
      <c r="D134" s="24">
        <v>16.183399999999999</v>
      </c>
      <c r="E134" s="22"/>
      <c r="F134" s="19"/>
      <c r="G134" s="25"/>
    </row>
    <row r="135" spans="1:15" ht="17.100000000000001" customHeight="1" x14ac:dyDescent="0.2">
      <c r="A135" s="22"/>
      <c r="B135" s="4" t="s">
        <v>1121</v>
      </c>
      <c r="C135" s="24">
        <v>16.180299999999999</v>
      </c>
      <c r="D135" s="24">
        <v>15.5694</v>
      </c>
      <c r="E135" s="22"/>
      <c r="F135" s="19"/>
      <c r="G135" s="25"/>
    </row>
    <row r="136" spans="1:15" ht="14.1" customHeight="1" x14ac:dyDescent="0.2">
      <c r="A136" s="22"/>
      <c r="B136" s="22"/>
      <c r="C136" s="22"/>
      <c r="D136" s="22"/>
      <c r="E136" s="22"/>
      <c r="F136" s="22"/>
      <c r="G136" s="22"/>
    </row>
    <row r="137" spans="1:15" ht="17.100000000000001" customHeight="1" x14ac:dyDescent="0.2">
      <c r="A137" s="22"/>
      <c r="B137" s="272" t="s">
        <v>1122</v>
      </c>
      <c r="C137" s="273"/>
      <c r="D137" s="2" t="s">
        <v>149</v>
      </c>
      <c r="E137" s="22"/>
      <c r="F137" s="22"/>
      <c r="G137" s="22"/>
    </row>
    <row r="138" spans="1:15" ht="14.1" customHeight="1" x14ac:dyDescent="0.2">
      <c r="A138" s="22"/>
      <c r="B138" s="19"/>
      <c r="C138" s="19"/>
      <c r="D138" s="22"/>
      <c r="E138" s="22"/>
      <c r="F138" s="22"/>
      <c r="G138" s="22"/>
    </row>
    <row r="139" spans="1:15" ht="29.1" customHeight="1" x14ac:dyDescent="0.2">
      <c r="A139" s="22"/>
      <c r="B139" s="272" t="s">
        <v>160</v>
      </c>
      <c r="C139" s="273"/>
      <c r="D139" s="2" t="s">
        <v>149</v>
      </c>
      <c r="E139" s="22"/>
      <c r="F139" s="22"/>
      <c r="G139" s="22"/>
    </row>
    <row r="140" spans="1:15" ht="29.1" customHeight="1" x14ac:dyDescent="0.2">
      <c r="A140" s="22"/>
      <c r="B140" s="272" t="s">
        <v>161</v>
      </c>
      <c r="C140" s="273"/>
      <c r="D140" s="2" t="s">
        <v>149</v>
      </c>
      <c r="E140" s="22"/>
      <c r="F140" s="22"/>
      <c r="G140" s="22"/>
      <c r="J140" s="170"/>
      <c r="K140" s="170"/>
      <c r="L140" s="170"/>
      <c r="M140" s="170"/>
      <c r="N140" s="170"/>
      <c r="O140" s="170"/>
    </row>
    <row r="141" spans="1:15" ht="17.100000000000001" customHeight="1" x14ac:dyDescent="0.2">
      <c r="A141" s="22"/>
      <c r="B141" s="272" t="s">
        <v>162</v>
      </c>
      <c r="C141" s="273"/>
      <c r="D141" s="27">
        <v>0.305085</v>
      </c>
      <c r="E141" s="22"/>
      <c r="F141" s="19"/>
      <c r="G141" s="25"/>
    </row>
    <row r="142" spans="1:15" ht="17.100000000000001" customHeight="1" x14ac:dyDescent="0.2">
      <c r="A142" s="22"/>
      <c r="B142" s="272" t="s">
        <v>163</v>
      </c>
      <c r="C142" s="273"/>
      <c r="D142" s="2" t="s">
        <v>149</v>
      </c>
      <c r="E142" s="22"/>
      <c r="F142" s="22"/>
      <c r="G142" s="22"/>
    </row>
  </sheetData>
  <mergeCells count="13">
    <mergeCell ref="B141:C141"/>
    <mergeCell ref="B142:C142"/>
    <mergeCell ref="B127:C127"/>
    <mergeCell ref="B128:C128"/>
    <mergeCell ref="B129:C129"/>
    <mergeCell ref="B137:C137"/>
    <mergeCell ref="B139:C139"/>
    <mergeCell ref="B140:C140"/>
    <mergeCell ref="J2:N2"/>
    <mergeCell ref="B126:C12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4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439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14</v>
      </c>
      <c r="C7" s="4" t="s">
        <v>15</v>
      </c>
      <c r="D7" s="4" t="s">
        <v>16</v>
      </c>
      <c r="E7" s="5">
        <v>26043</v>
      </c>
      <c r="F7" s="6">
        <v>685.62103950000005</v>
      </c>
      <c r="G7" s="7">
        <v>8.4929429000000001E-2</v>
      </c>
      <c r="H7" s="6"/>
    </row>
    <row r="8" spans="1:14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80632</v>
      </c>
      <c r="F8" s="6">
        <v>607.03801199999998</v>
      </c>
      <c r="G8" s="7">
        <v>7.5195171000000005E-2</v>
      </c>
      <c r="H8" s="6"/>
    </row>
    <row r="9" spans="1:14" ht="17.100000000000001" customHeight="1" x14ac:dyDescent="0.2">
      <c r="A9" s="3">
        <v>3</v>
      </c>
      <c r="B9" s="4" t="s">
        <v>406</v>
      </c>
      <c r="C9" s="4" t="s">
        <v>407</v>
      </c>
      <c r="D9" s="4" t="s">
        <v>994</v>
      </c>
      <c r="E9" s="5">
        <v>31453</v>
      </c>
      <c r="F9" s="6">
        <v>472.92730799999998</v>
      </c>
      <c r="G9" s="7">
        <v>5.8582574999999998E-2</v>
      </c>
      <c r="H9" s="6"/>
    </row>
    <row r="10" spans="1:14" ht="17.100000000000001" customHeight="1" x14ac:dyDescent="0.2">
      <c r="A10" s="3">
        <v>4</v>
      </c>
      <c r="B10" s="4" t="s">
        <v>374</v>
      </c>
      <c r="C10" s="4" t="s">
        <v>375</v>
      </c>
      <c r="D10" s="4" t="s">
        <v>19</v>
      </c>
      <c r="E10" s="5">
        <v>32012</v>
      </c>
      <c r="F10" s="6">
        <v>444.630674</v>
      </c>
      <c r="G10" s="7">
        <v>5.5077407000000002E-2</v>
      </c>
      <c r="H10" s="6"/>
    </row>
    <row r="11" spans="1:14" ht="17.100000000000001" customHeight="1" x14ac:dyDescent="0.2">
      <c r="A11" s="3">
        <v>5</v>
      </c>
      <c r="B11" s="4" t="s">
        <v>50</v>
      </c>
      <c r="C11" s="4" t="s">
        <v>51</v>
      </c>
      <c r="D11" s="4" t="s">
        <v>19</v>
      </c>
      <c r="E11" s="5">
        <v>73332</v>
      </c>
      <c r="F11" s="6">
        <v>343.26709199999999</v>
      </c>
      <c r="G11" s="7">
        <v>4.2521270999999999E-2</v>
      </c>
      <c r="H11" s="6"/>
    </row>
    <row r="12" spans="1:14" ht="29.1" customHeight="1" x14ac:dyDescent="0.2">
      <c r="A12" s="3">
        <v>6</v>
      </c>
      <c r="B12" s="4" t="s">
        <v>408</v>
      </c>
      <c r="C12" s="4" t="s">
        <v>409</v>
      </c>
      <c r="D12" s="4" t="s">
        <v>85</v>
      </c>
      <c r="E12" s="5">
        <v>12776</v>
      </c>
      <c r="F12" s="6">
        <v>294.71037999999999</v>
      </c>
      <c r="G12" s="7">
        <v>3.6506441000000001E-2</v>
      </c>
      <c r="H12" s="6"/>
    </row>
    <row r="13" spans="1:14" ht="17.100000000000001" customHeight="1" x14ac:dyDescent="0.2">
      <c r="A13" s="3">
        <v>7</v>
      </c>
      <c r="B13" s="4" t="s">
        <v>319</v>
      </c>
      <c r="C13" s="4" t="s">
        <v>320</v>
      </c>
      <c r="D13" s="4" t="s">
        <v>19</v>
      </c>
      <c r="E13" s="5">
        <v>38735</v>
      </c>
      <c r="F13" s="6">
        <v>265.41221999999999</v>
      </c>
      <c r="G13" s="7">
        <v>3.2877212000000003E-2</v>
      </c>
      <c r="H13" s="6"/>
      <c r="J13" s="169" t="s">
        <v>1145</v>
      </c>
    </row>
    <row r="14" spans="1:14" ht="29.1" customHeight="1" x14ac:dyDescent="0.2">
      <c r="A14" s="3">
        <v>8</v>
      </c>
      <c r="B14" s="4" t="s">
        <v>217</v>
      </c>
      <c r="C14" s="4" t="s">
        <v>218</v>
      </c>
      <c r="D14" s="4" t="s">
        <v>219</v>
      </c>
      <c r="E14" s="5">
        <v>6166</v>
      </c>
      <c r="F14" s="6">
        <v>241.98158699999999</v>
      </c>
      <c r="G14" s="7">
        <v>2.9974806E-2</v>
      </c>
      <c r="H14" s="6"/>
    </row>
    <row r="15" spans="1:14" ht="17.100000000000001" customHeight="1" x14ac:dyDescent="0.2">
      <c r="A15" s="3">
        <v>9</v>
      </c>
      <c r="B15" s="4" t="s">
        <v>246</v>
      </c>
      <c r="C15" s="4" t="s">
        <v>247</v>
      </c>
      <c r="D15" s="4" t="s">
        <v>248</v>
      </c>
      <c r="E15" s="5">
        <v>123907</v>
      </c>
      <c r="F15" s="6">
        <v>225.44878650000001</v>
      </c>
      <c r="G15" s="7">
        <v>2.7926850999999999E-2</v>
      </c>
      <c r="H15" s="6"/>
    </row>
    <row r="16" spans="1:14" ht="17.100000000000001" customHeight="1" x14ac:dyDescent="0.2">
      <c r="A16" s="3">
        <v>10</v>
      </c>
      <c r="B16" s="4" t="s">
        <v>11</v>
      </c>
      <c r="C16" s="4" t="s">
        <v>12</v>
      </c>
      <c r="D16" s="4" t="s">
        <v>13</v>
      </c>
      <c r="E16" s="5">
        <v>13567</v>
      </c>
      <c r="F16" s="6">
        <v>224.466015</v>
      </c>
      <c r="G16" s="7">
        <v>2.7805112999999999E-2</v>
      </c>
      <c r="H16" s="6"/>
    </row>
    <row r="17" spans="1:8" ht="17.100000000000001" customHeight="1" x14ac:dyDescent="0.2">
      <c r="A17" s="3">
        <v>11</v>
      </c>
      <c r="B17" s="4" t="s">
        <v>316</v>
      </c>
      <c r="C17" s="4" t="s">
        <v>317</v>
      </c>
      <c r="D17" s="4" t="s">
        <v>318</v>
      </c>
      <c r="E17" s="5">
        <v>18916</v>
      </c>
      <c r="F17" s="6">
        <v>199.84754000000001</v>
      </c>
      <c r="G17" s="7">
        <v>2.4755566999999999E-2</v>
      </c>
      <c r="H17" s="6"/>
    </row>
    <row r="18" spans="1:8" ht="17.100000000000001" customHeight="1" x14ac:dyDescent="0.2">
      <c r="A18" s="3">
        <v>12</v>
      </c>
      <c r="B18" s="4" t="s">
        <v>20</v>
      </c>
      <c r="C18" s="4" t="s">
        <v>21</v>
      </c>
      <c r="D18" s="4" t="s">
        <v>22</v>
      </c>
      <c r="E18" s="5">
        <v>26720</v>
      </c>
      <c r="F18" s="6">
        <v>187.09343999999999</v>
      </c>
      <c r="G18" s="7">
        <v>2.3175688E-2</v>
      </c>
      <c r="H18" s="6"/>
    </row>
    <row r="19" spans="1:8" ht="17.100000000000001" customHeight="1" x14ac:dyDescent="0.2">
      <c r="A19" s="3">
        <v>13</v>
      </c>
      <c r="B19" s="4" t="s">
        <v>410</v>
      </c>
      <c r="C19" s="4" t="s">
        <v>411</v>
      </c>
      <c r="D19" s="4" t="s">
        <v>994</v>
      </c>
      <c r="E19" s="5">
        <v>5191</v>
      </c>
      <c r="F19" s="6">
        <v>174.64340849999999</v>
      </c>
      <c r="G19" s="7">
        <v>2.1633474E-2</v>
      </c>
      <c r="H19" s="6"/>
    </row>
    <row r="20" spans="1:8" ht="17.100000000000001" customHeight="1" x14ac:dyDescent="0.2">
      <c r="A20" s="3">
        <v>14</v>
      </c>
      <c r="B20" s="4" t="s">
        <v>412</v>
      </c>
      <c r="C20" s="4" t="s">
        <v>413</v>
      </c>
      <c r="D20" s="4" t="s">
        <v>323</v>
      </c>
      <c r="E20" s="5">
        <v>14560</v>
      </c>
      <c r="F20" s="6">
        <v>170.95624000000001</v>
      </c>
      <c r="G20" s="7">
        <v>2.1176736000000002E-2</v>
      </c>
      <c r="H20" s="6"/>
    </row>
    <row r="21" spans="1:8" ht="29.1" customHeight="1" x14ac:dyDescent="0.2">
      <c r="A21" s="3">
        <v>15</v>
      </c>
      <c r="B21" s="4" t="s">
        <v>192</v>
      </c>
      <c r="C21" s="4" t="s">
        <v>193</v>
      </c>
      <c r="D21" s="4" t="s">
        <v>80</v>
      </c>
      <c r="E21" s="5">
        <v>43729</v>
      </c>
      <c r="F21" s="6">
        <v>158.0584705</v>
      </c>
      <c r="G21" s="7">
        <v>1.9579059999999999E-2</v>
      </c>
      <c r="H21" s="6"/>
    </row>
    <row r="22" spans="1:8" ht="17.100000000000001" customHeight="1" x14ac:dyDescent="0.2">
      <c r="A22" s="3">
        <v>16</v>
      </c>
      <c r="B22" s="4" t="s">
        <v>201</v>
      </c>
      <c r="C22" s="4" t="s">
        <v>202</v>
      </c>
      <c r="D22" s="4" t="s">
        <v>203</v>
      </c>
      <c r="E22" s="5">
        <v>31260</v>
      </c>
      <c r="F22" s="6">
        <v>157.39410000000001</v>
      </c>
      <c r="G22" s="7">
        <v>1.9496763E-2</v>
      </c>
      <c r="H22" s="6"/>
    </row>
    <row r="23" spans="1:8" ht="17.100000000000001" customHeight="1" x14ac:dyDescent="0.2">
      <c r="A23" s="3">
        <v>17</v>
      </c>
      <c r="B23" s="4" t="s">
        <v>32</v>
      </c>
      <c r="C23" s="4" t="s">
        <v>33</v>
      </c>
      <c r="D23" s="4" t="s">
        <v>28</v>
      </c>
      <c r="E23" s="5">
        <v>8928</v>
      </c>
      <c r="F23" s="6">
        <v>153.030384</v>
      </c>
      <c r="G23" s="7">
        <v>1.8956219999999999E-2</v>
      </c>
      <c r="H23" s="6"/>
    </row>
    <row r="24" spans="1:8" ht="29.1" customHeight="1" x14ac:dyDescent="0.2">
      <c r="A24" s="3">
        <v>18</v>
      </c>
      <c r="B24" s="4" t="s">
        <v>414</v>
      </c>
      <c r="C24" s="4" t="s">
        <v>415</v>
      </c>
      <c r="D24" s="4" t="s">
        <v>198</v>
      </c>
      <c r="E24" s="5">
        <v>16801</v>
      </c>
      <c r="F24" s="6">
        <v>144.589406</v>
      </c>
      <c r="G24" s="7">
        <v>1.7910617E-2</v>
      </c>
      <c r="H24" s="6"/>
    </row>
    <row r="25" spans="1:8" ht="29.1" customHeight="1" x14ac:dyDescent="0.2">
      <c r="A25" s="3">
        <v>19</v>
      </c>
      <c r="B25" s="4" t="s">
        <v>189</v>
      </c>
      <c r="C25" s="4" t="s">
        <v>190</v>
      </c>
      <c r="D25" s="4" t="s">
        <v>191</v>
      </c>
      <c r="E25" s="5">
        <v>19626</v>
      </c>
      <c r="F25" s="6">
        <v>138.17685299999999</v>
      </c>
      <c r="G25" s="7">
        <v>1.7116279000000002E-2</v>
      </c>
      <c r="H25" s="6"/>
    </row>
    <row r="26" spans="1:8" ht="17.100000000000001" customHeight="1" x14ac:dyDescent="0.2">
      <c r="A26" s="3">
        <v>20</v>
      </c>
      <c r="B26" s="4" t="s">
        <v>179</v>
      </c>
      <c r="C26" s="4" t="s">
        <v>180</v>
      </c>
      <c r="D26" s="4" t="s">
        <v>181</v>
      </c>
      <c r="E26" s="5">
        <v>9081</v>
      </c>
      <c r="F26" s="6">
        <v>133.99015499999999</v>
      </c>
      <c r="G26" s="7">
        <v>1.6597664000000002E-2</v>
      </c>
      <c r="H26" s="6"/>
    </row>
    <row r="27" spans="1:8" ht="17.100000000000001" customHeight="1" x14ac:dyDescent="0.2">
      <c r="A27" s="3">
        <v>21</v>
      </c>
      <c r="B27" s="4" t="s">
        <v>357</v>
      </c>
      <c r="C27" s="4" t="s">
        <v>358</v>
      </c>
      <c r="D27" s="4" t="s">
        <v>186</v>
      </c>
      <c r="E27" s="5">
        <v>23930</v>
      </c>
      <c r="F27" s="6">
        <v>131.84233499999999</v>
      </c>
      <c r="G27" s="7">
        <v>1.6331608000000001E-2</v>
      </c>
      <c r="H27" s="6"/>
    </row>
    <row r="28" spans="1:8" ht="17.100000000000001" customHeight="1" x14ac:dyDescent="0.2">
      <c r="A28" s="3">
        <v>22</v>
      </c>
      <c r="B28" s="4" t="s">
        <v>416</v>
      </c>
      <c r="C28" s="4" t="s">
        <v>417</v>
      </c>
      <c r="D28" s="4" t="s">
        <v>418</v>
      </c>
      <c r="E28" s="5">
        <v>5513</v>
      </c>
      <c r="F28" s="6">
        <v>129.73467249999999</v>
      </c>
      <c r="G28" s="7">
        <v>1.6070527000000001E-2</v>
      </c>
      <c r="H28" s="6"/>
    </row>
    <row r="29" spans="1:8" ht="29.1" customHeight="1" x14ac:dyDescent="0.2">
      <c r="A29" s="3">
        <v>23</v>
      </c>
      <c r="B29" s="4" t="s">
        <v>23</v>
      </c>
      <c r="C29" s="4" t="s">
        <v>24</v>
      </c>
      <c r="D29" s="4" t="s">
        <v>25</v>
      </c>
      <c r="E29" s="5">
        <v>2097</v>
      </c>
      <c r="F29" s="6">
        <v>127.552122</v>
      </c>
      <c r="G29" s="7">
        <v>1.5800169999999999E-2</v>
      </c>
      <c r="H29" s="6"/>
    </row>
    <row r="30" spans="1:8" ht="17.100000000000001" customHeight="1" x14ac:dyDescent="0.2">
      <c r="A30" s="3">
        <v>24</v>
      </c>
      <c r="B30" s="4" t="s">
        <v>312</v>
      </c>
      <c r="C30" s="4" t="s">
        <v>313</v>
      </c>
      <c r="D30" s="4" t="s">
        <v>254</v>
      </c>
      <c r="E30" s="5">
        <v>260</v>
      </c>
      <c r="F30" s="6">
        <v>117.50453</v>
      </c>
      <c r="G30" s="7">
        <v>1.4555551999999999E-2</v>
      </c>
      <c r="H30" s="6"/>
    </row>
    <row r="31" spans="1:8" ht="17.100000000000001" customHeight="1" x14ac:dyDescent="0.2">
      <c r="A31" s="3">
        <v>25</v>
      </c>
      <c r="B31" s="4" t="s">
        <v>419</v>
      </c>
      <c r="C31" s="4" t="s">
        <v>420</v>
      </c>
      <c r="D31" s="4" t="s">
        <v>994</v>
      </c>
      <c r="E31" s="5">
        <v>10771</v>
      </c>
      <c r="F31" s="6">
        <v>112.0991825</v>
      </c>
      <c r="G31" s="7">
        <v>1.3885979E-2</v>
      </c>
      <c r="H31" s="6"/>
    </row>
    <row r="32" spans="1:8" ht="17.100000000000001" customHeight="1" x14ac:dyDescent="0.2">
      <c r="A32" s="3">
        <v>26</v>
      </c>
      <c r="B32" s="4" t="s">
        <v>93</v>
      </c>
      <c r="C32" s="4" t="s">
        <v>94</v>
      </c>
      <c r="D32" s="4" t="s">
        <v>95</v>
      </c>
      <c r="E32" s="5">
        <v>4780</v>
      </c>
      <c r="F32" s="6">
        <v>109.96868000000001</v>
      </c>
      <c r="G32" s="7">
        <v>1.3622069000000001E-2</v>
      </c>
      <c r="H32" s="6"/>
    </row>
    <row r="33" spans="1:8" ht="17.100000000000001" customHeight="1" x14ac:dyDescent="0.2">
      <c r="A33" s="3">
        <v>27</v>
      </c>
      <c r="B33" s="4" t="s">
        <v>421</v>
      </c>
      <c r="C33" s="4" t="s">
        <v>422</v>
      </c>
      <c r="D33" s="4" t="s">
        <v>994</v>
      </c>
      <c r="E33" s="5">
        <v>23000</v>
      </c>
      <c r="F33" s="6">
        <v>109.9515</v>
      </c>
      <c r="G33" s="7">
        <v>1.3619941E-2</v>
      </c>
      <c r="H33" s="6"/>
    </row>
    <row r="34" spans="1:8" ht="17.100000000000001" customHeight="1" x14ac:dyDescent="0.2">
      <c r="A34" s="3">
        <v>28</v>
      </c>
      <c r="B34" s="4" t="s">
        <v>423</v>
      </c>
      <c r="C34" s="4" t="s">
        <v>424</v>
      </c>
      <c r="D34" s="4" t="s">
        <v>396</v>
      </c>
      <c r="E34" s="5">
        <v>10176</v>
      </c>
      <c r="F34" s="6">
        <v>105.255456</v>
      </c>
      <c r="G34" s="7">
        <v>1.3038231000000001E-2</v>
      </c>
      <c r="H34" s="6"/>
    </row>
    <row r="35" spans="1:8" ht="29.1" customHeight="1" x14ac:dyDescent="0.2">
      <c r="A35" s="3">
        <v>29</v>
      </c>
      <c r="B35" s="4" t="s">
        <v>305</v>
      </c>
      <c r="C35" s="4" t="s">
        <v>306</v>
      </c>
      <c r="D35" s="4" t="s">
        <v>219</v>
      </c>
      <c r="E35" s="5">
        <v>20479</v>
      </c>
      <c r="F35" s="6">
        <v>98.770217000000002</v>
      </c>
      <c r="G35" s="7">
        <v>1.223489E-2</v>
      </c>
      <c r="H35" s="6"/>
    </row>
    <row r="36" spans="1:8" ht="17.100000000000001" customHeight="1" x14ac:dyDescent="0.2">
      <c r="A36" s="3">
        <v>30</v>
      </c>
      <c r="B36" s="4" t="s">
        <v>324</v>
      </c>
      <c r="C36" s="4" t="s">
        <v>325</v>
      </c>
      <c r="D36" s="4" t="s">
        <v>19</v>
      </c>
      <c r="E36" s="5">
        <v>96000</v>
      </c>
      <c r="F36" s="6">
        <v>96.24</v>
      </c>
      <c r="G36" s="7">
        <v>1.1921466E-2</v>
      </c>
      <c r="H36" s="6"/>
    </row>
    <row r="37" spans="1:8" ht="17.100000000000001" customHeight="1" x14ac:dyDescent="0.2">
      <c r="A37" s="3">
        <v>31</v>
      </c>
      <c r="B37" s="4" t="s">
        <v>45</v>
      </c>
      <c r="C37" s="4" t="s">
        <v>46</v>
      </c>
      <c r="D37" s="4" t="s">
        <v>47</v>
      </c>
      <c r="E37" s="5">
        <v>14383</v>
      </c>
      <c r="F37" s="6">
        <v>93.554223500000006</v>
      </c>
      <c r="G37" s="7">
        <v>1.1588773E-2</v>
      </c>
      <c r="H37" s="6"/>
    </row>
    <row r="38" spans="1:8" ht="29.1" customHeight="1" x14ac:dyDescent="0.2">
      <c r="A38" s="3">
        <v>32</v>
      </c>
      <c r="B38" s="4" t="s">
        <v>211</v>
      </c>
      <c r="C38" s="4" t="s">
        <v>212</v>
      </c>
      <c r="D38" s="4" t="s">
        <v>198</v>
      </c>
      <c r="E38" s="5">
        <v>16028</v>
      </c>
      <c r="F38" s="6">
        <v>90.950885999999997</v>
      </c>
      <c r="G38" s="7">
        <v>1.1266292000000001E-2</v>
      </c>
      <c r="H38" s="6"/>
    </row>
    <row r="39" spans="1:8" ht="17.100000000000001" customHeight="1" x14ac:dyDescent="0.2">
      <c r="A39" s="3">
        <v>33</v>
      </c>
      <c r="B39" s="4" t="s">
        <v>328</v>
      </c>
      <c r="C39" s="4" t="s">
        <v>329</v>
      </c>
      <c r="D39" s="4" t="s">
        <v>302</v>
      </c>
      <c r="E39" s="5">
        <v>8029</v>
      </c>
      <c r="F39" s="6">
        <v>90.249974499999993</v>
      </c>
      <c r="G39" s="7">
        <v>1.1179468E-2</v>
      </c>
      <c r="H39" s="6"/>
    </row>
    <row r="40" spans="1:8" ht="29.1" customHeight="1" x14ac:dyDescent="0.2">
      <c r="A40" s="3">
        <v>34</v>
      </c>
      <c r="B40" s="4" t="s">
        <v>354</v>
      </c>
      <c r="C40" s="4" t="s">
        <v>355</v>
      </c>
      <c r="D40" s="4" t="s">
        <v>356</v>
      </c>
      <c r="E40" s="5">
        <v>9400</v>
      </c>
      <c r="F40" s="6">
        <v>88.820599999999999</v>
      </c>
      <c r="G40" s="7">
        <v>1.1002408999999999E-2</v>
      </c>
      <c r="H40" s="6"/>
    </row>
    <row r="41" spans="1:8" ht="17.100000000000001" customHeight="1" x14ac:dyDescent="0.2">
      <c r="A41" s="3">
        <v>35</v>
      </c>
      <c r="B41" s="4" t="s">
        <v>425</v>
      </c>
      <c r="C41" s="4" t="s">
        <v>426</v>
      </c>
      <c r="D41" s="4" t="s">
        <v>418</v>
      </c>
      <c r="E41" s="5">
        <v>31300</v>
      </c>
      <c r="F41" s="6">
        <v>84.713449999999995</v>
      </c>
      <c r="G41" s="7">
        <v>1.0493647E-2</v>
      </c>
      <c r="H41" s="6"/>
    </row>
    <row r="42" spans="1:8" ht="17.100000000000001" customHeight="1" x14ac:dyDescent="0.2">
      <c r="A42" s="3">
        <v>36</v>
      </c>
      <c r="B42" s="4" t="s">
        <v>427</v>
      </c>
      <c r="C42" s="4" t="s">
        <v>428</v>
      </c>
      <c r="D42" s="4" t="s">
        <v>994</v>
      </c>
      <c r="E42" s="5">
        <v>6698</v>
      </c>
      <c r="F42" s="6">
        <v>79.053145000000001</v>
      </c>
      <c r="G42" s="7">
        <v>9.7924919999999999E-3</v>
      </c>
      <c r="H42" s="6"/>
    </row>
    <row r="43" spans="1:8" ht="17.100000000000001" customHeight="1" x14ac:dyDescent="0.2">
      <c r="A43" s="3">
        <v>37</v>
      </c>
      <c r="B43" s="4" t="s">
        <v>346</v>
      </c>
      <c r="C43" s="4" t="s">
        <v>347</v>
      </c>
      <c r="D43" s="4" t="s">
        <v>106</v>
      </c>
      <c r="E43" s="5">
        <v>20478</v>
      </c>
      <c r="F43" s="6">
        <v>77.376123000000007</v>
      </c>
      <c r="G43" s="7">
        <v>9.5847550000000004E-3</v>
      </c>
      <c r="H43" s="6"/>
    </row>
    <row r="44" spans="1:8" ht="17.100000000000001" customHeight="1" x14ac:dyDescent="0.2">
      <c r="A44" s="3">
        <v>38</v>
      </c>
      <c r="B44" s="4" t="s">
        <v>429</v>
      </c>
      <c r="C44" s="4" t="s">
        <v>430</v>
      </c>
      <c r="D44" s="4" t="s">
        <v>19</v>
      </c>
      <c r="E44" s="5">
        <v>8256</v>
      </c>
      <c r="F44" s="6">
        <v>76.850976000000003</v>
      </c>
      <c r="G44" s="7">
        <v>9.5197040000000004E-3</v>
      </c>
      <c r="H44" s="6"/>
    </row>
    <row r="45" spans="1:8" ht="17.100000000000001" customHeight="1" x14ac:dyDescent="0.2">
      <c r="A45" s="3">
        <v>39</v>
      </c>
      <c r="B45" s="4" t="s">
        <v>58</v>
      </c>
      <c r="C45" s="4" t="s">
        <v>59</v>
      </c>
      <c r="D45" s="4" t="s">
        <v>16</v>
      </c>
      <c r="E45" s="5">
        <v>21882</v>
      </c>
      <c r="F45" s="6">
        <v>71.379084000000006</v>
      </c>
      <c r="G45" s="7">
        <v>8.8418890000000003E-3</v>
      </c>
      <c r="H45" s="6"/>
    </row>
    <row r="46" spans="1:8" ht="29.1" customHeight="1" x14ac:dyDescent="0.2">
      <c r="A46" s="3">
        <v>40</v>
      </c>
      <c r="B46" s="4" t="s">
        <v>350</v>
      </c>
      <c r="C46" s="4" t="s">
        <v>351</v>
      </c>
      <c r="D46" s="4" t="s">
        <v>198</v>
      </c>
      <c r="E46" s="5">
        <v>2422</v>
      </c>
      <c r="F46" s="6">
        <v>69.292209</v>
      </c>
      <c r="G46" s="7">
        <v>8.583383E-3</v>
      </c>
      <c r="H46" s="6"/>
    </row>
    <row r="47" spans="1:8" ht="17.100000000000001" customHeight="1" x14ac:dyDescent="0.2">
      <c r="A47" s="3">
        <v>41</v>
      </c>
      <c r="B47" s="4" t="s">
        <v>378</v>
      </c>
      <c r="C47" s="4" t="s">
        <v>379</v>
      </c>
      <c r="D47" s="4" t="s">
        <v>181</v>
      </c>
      <c r="E47" s="5">
        <v>15345</v>
      </c>
      <c r="F47" s="6">
        <v>68.592150000000004</v>
      </c>
      <c r="G47" s="7">
        <v>8.4966650000000005E-3</v>
      </c>
      <c r="H47" s="6"/>
    </row>
    <row r="48" spans="1:8" ht="17.100000000000001" customHeight="1" x14ac:dyDescent="0.2">
      <c r="A48" s="3">
        <v>42</v>
      </c>
      <c r="B48" s="4" t="s">
        <v>184</v>
      </c>
      <c r="C48" s="4" t="s">
        <v>185</v>
      </c>
      <c r="D48" s="4" t="s">
        <v>186</v>
      </c>
      <c r="E48" s="5">
        <v>6424</v>
      </c>
      <c r="F48" s="6">
        <v>68.271060000000006</v>
      </c>
      <c r="G48" s="7">
        <v>8.4568909999999994E-3</v>
      </c>
      <c r="H48" s="6"/>
    </row>
    <row r="49" spans="1:8" ht="17.100000000000001" customHeight="1" x14ac:dyDescent="0.2">
      <c r="A49" s="3">
        <v>43</v>
      </c>
      <c r="B49" s="4" t="s">
        <v>431</v>
      </c>
      <c r="C49" s="4" t="s">
        <v>432</v>
      </c>
      <c r="D49" s="4" t="s">
        <v>19</v>
      </c>
      <c r="E49" s="5">
        <v>2804</v>
      </c>
      <c r="F49" s="6">
        <v>51.785674</v>
      </c>
      <c r="G49" s="7">
        <v>6.4148089999999996E-3</v>
      </c>
      <c r="H49" s="6"/>
    </row>
    <row r="50" spans="1:8" ht="17.100000000000001" customHeight="1" x14ac:dyDescent="0.2">
      <c r="A50" s="3">
        <v>44</v>
      </c>
      <c r="B50" s="4" t="s">
        <v>435</v>
      </c>
      <c r="C50" s="4" t="s">
        <v>436</v>
      </c>
      <c r="D50" s="4" t="s">
        <v>437</v>
      </c>
      <c r="E50" s="5">
        <v>11575</v>
      </c>
      <c r="F50" s="6">
        <v>48.910162499999998</v>
      </c>
      <c r="G50" s="7">
        <v>6.0586119999999997E-3</v>
      </c>
      <c r="H50" s="6"/>
    </row>
    <row r="51" spans="1:8" ht="17.100000000000001" customHeight="1" x14ac:dyDescent="0.2">
      <c r="A51" s="3">
        <v>45</v>
      </c>
      <c r="B51" s="4" t="s">
        <v>342</v>
      </c>
      <c r="C51" s="4" t="s">
        <v>343</v>
      </c>
      <c r="D51" s="4" t="s">
        <v>85</v>
      </c>
      <c r="E51" s="5">
        <v>4150</v>
      </c>
      <c r="F51" s="6">
        <v>48.8123</v>
      </c>
      <c r="G51" s="7">
        <v>6.0464899999999999E-3</v>
      </c>
      <c r="H51" s="6"/>
    </row>
    <row r="52" spans="1:8" ht="17.100000000000001" customHeight="1" x14ac:dyDescent="0.2">
      <c r="A52" s="3">
        <v>46</v>
      </c>
      <c r="B52" s="4" t="s">
        <v>433</v>
      </c>
      <c r="C52" s="4" t="s">
        <v>434</v>
      </c>
      <c r="D52" s="4" t="s">
        <v>106</v>
      </c>
      <c r="E52" s="5">
        <v>4575</v>
      </c>
      <c r="F52" s="6">
        <v>48.295987500000003</v>
      </c>
      <c r="G52" s="7">
        <v>5.9825329999999999E-3</v>
      </c>
      <c r="H52" s="6"/>
    </row>
    <row r="53" spans="1:8" ht="17.100000000000001" customHeight="1" x14ac:dyDescent="0.2">
      <c r="A53" s="3">
        <v>47</v>
      </c>
      <c r="B53" s="4" t="s">
        <v>263</v>
      </c>
      <c r="C53" s="4" t="s">
        <v>264</v>
      </c>
      <c r="D53" s="4" t="s">
        <v>16</v>
      </c>
      <c r="E53" s="5">
        <v>21000</v>
      </c>
      <c r="F53" s="6">
        <v>47.838000000000001</v>
      </c>
      <c r="G53" s="7">
        <v>5.9258009999999996E-3</v>
      </c>
      <c r="H53" s="6"/>
    </row>
    <row r="54" spans="1:8" ht="17.100000000000001" customHeight="1" x14ac:dyDescent="0.2">
      <c r="A54" s="3">
        <v>48</v>
      </c>
      <c r="B54" s="4" t="s">
        <v>321</v>
      </c>
      <c r="C54" s="4" t="s">
        <v>322</v>
      </c>
      <c r="D54" s="4" t="s">
        <v>323</v>
      </c>
      <c r="E54" s="5">
        <v>5927</v>
      </c>
      <c r="F54" s="6">
        <v>47.101869000000001</v>
      </c>
      <c r="G54" s="7">
        <v>5.8346149999999996E-3</v>
      </c>
      <c r="H54" s="6"/>
    </row>
    <row r="55" spans="1:8" ht="53.1" customHeight="1" x14ac:dyDescent="0.2">
      <c r="A55" s="3">
        <v>49</v>
      </c>
      <c r="B55" s="4" t="s">
        <v>251</v>
      </c>
      <c r="C55" s="4" t="s">
        <v>1141</v>
      </c>
      <c r="D55" s="4" t="s">
        <v>75</v>
      </c>
      <c r="E55" s="5">
        <v>21287</v>
      </c>
      <c r="F55" s="6">
        <v>42.254694999999998</v>
      </c>
      <c r="G55" s="7">
        <v>5.2341849999999997E-3</v>
      </c>
      <c r="H55" s="6"/>
    </row>
    <row r="56" spans="1:8" ht="17.100000000000001" customHeight="1" x14ac:dyDescent="0.2">
      <c r="A56" s="3">
        <v>50</v>
      </c>
      <c r="B56" s="4" t="s">
        <v>222</v>
      </c>
      <c r="C56" s="4" t="s">
        <v>223</v>
      </c>
      <c r="D56" s="4" t="s">
        <v>95</v>
      </c>
      <c r="E56" s="5">
        <v>2575</v>
      </c>
      <c r="F56" s="6">
        <v>40.436512499999999</v>
      </c>
      <c r="G56" s="7">
        <v>5.0089619999999996E-3</v>
      </c>
      <c r="H56" s="6"/>
    </row>
    <row r="57" spans="1:8" ht="17.100000000000001" customHeight="1" x14ac:dyDescent="0.2">
      <c r="A57" s="3">
        <v>51</v>
      </c>
      <c r="B57" s="4" t="s">
        <v>115</v>
      </c>
      <c r="C57" s="4" t="s">
        <v>116</v>
      </c>
      <c r="D57" s="4" t="s">
        <v>92</v>
      </c>
      <c r="E57" s="5">
        <v>55523</v>
      </c>
      <c r="F57" s="6">
        <v>40.420743999999999</v>
      </c>
      <c r="G57" s="7">
        <v>5.0070089999999998E-3</v>
      </c>
      <c r="H57" s="6"/>
    </row>
    <row r="58" spans="1:8" ht="17.100000000000001" customHeight="1" x14ac:dyDescent="0.2">
      <c r="A58" s="3">
        <v>52</v>
      </c>
      <c r="B58" s="4" t="s">
        <v>372</v>
      </c>
      <c r="C58" s="4" t="s">
        <v>373</v>
      </c>
      <c r="D58" s="4" t="s">
        <v>80</v>
      </c>
      <c r="E58" s="5">
        <v>59307</v>
      </c>
      <c r="F58" s="6">
        <v>35.673160500000002</v>
      </c>
      <c r="G58" s="7">
        <v>4.4189149999999998E-3</v>
      </c>
      <c r="H58" s="6"/>
    </row>
    <row r="59" spans="1:8" ht="17.100000000000001" customHeight="1" x14ac:dyDescent="0.2">
      <c r="A59" s="3">
        <v>53</v>
      </c>
      <c r="B59" s="4" t="s">
        <v>438</v>
      </c>
      <c r="C59" s="4" t="s">
        <v>1057</v>
      </c>
      <c r="D59" s="4" t="s">
        <v>22</v>
      </c>
      <c r="E59" s="5">
        <v>1908</v>
      </c>
      <c r="F59" s="6">
        <v>6.3316980000000003</v>
      </c>
      <c r="G59" s="7">
        <v>7.8432199999999995E-4</v>
      </c>
      <c r="H59" s="6"/>
    </row>
    <row r="60" spans="1:8" ht="14.1" customHeight="1" x14ac:dyDescent="0.2">
      <c r="A60" s="1"/>
      <c r="B60" s="1"/>
      <c r="C60" s="2" t="s">
        <v>119</v>
      </c>
      <c r="D60" s="1"/>
      <c r="E60" s="1" t="s">
        <v>120</v>
      </c>
      <c r="F60" s="9">
        <v>7979.1664900000014</v>
      </c>
      <c r="G60" s="10">
        <v>0.98839739799999993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121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119</v>
      </c>
      <c r="D63" s="1"/>
      <c r="E63" s="1" t="s">
        <v>120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122</v>
      </c>
      <c r="D65" s="1"/>
      <c r="E65" s="1"/>
      <c r="F65" s="1"/>
      <c r="G65" s="1"/>
      <c r="H65" s="6"/>
    </row>
    <row r="66" spans="1:8" ht="14.1" customHeight="1" x14ac:dyDescent="0.2">
      <c r="A66" s="1"/>
      <c r="B66" s="1"/>
      <c r="C66" s="2" t="s">
        <v>119</v>
      </c>
      <c r="D66" s="1"/>
      <c r="E66" s="1" t="s">
        <v>120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123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119</v>
      </c>
      <c r="D69" s="1"/>
      <c r="E69" s="1" t="s">
        <v>120</v>
      </c>
      <c r="F69" s="9">
        <v>0</v>
      </c>
      <c r="G69" s="10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124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119</v>
      </c>
      <c r="D72" s="1"/>
      <c r="E72" s="1" t="s">
        <v>120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125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119</v>
      </c>
      <c r="D75" s="1"/>
      <c r="E75" s="1" t="s">
        <v>120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8" customHeight="1" x14ac:dyDescent="0.2">
      <c r="A77" s="1"/>
      <c r="B77" s="1"/>
      <c r="C77" s="2" t="s">
        <v>126</v>
      </c>
      <c r="D77" s="1"/>
      <c r="E77" s="1"/>
      <c r="F77" s="9">
        <v>7979.1664899999996</v>
      </c>
      <c r="G77" s="10">
        <v>0.98839739800000004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127</v>
      </c>
      <c r="D79" s="1"/>
      <c r="E79" s="1"/>
      <c r="F79" s="12"/>
      <c r="G79" s="12"/>
      <c r="H79" s="6"/>
    </row>
    <row r="80" spans="1:8" ht="24" customHeight="1" x14ac:dyDescent="0.2">
      <c r="A80" s="1"/>
      <c r="B80" s="1"/>
      <c r="C80" s="2" t="s">
        <v>10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128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129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130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131</v>
      </c>
      <c r="D92" s="1"/>
      <c r="E92" s="1"/>
      <c r="F92" s="9">
        <v>0</v>
      </c>
      <c r="G92" s="10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132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133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134</v>
      </c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119</v>
      </c>
      <c r="D99" s="1"/>
      <c r="E99" s="1" t="s">
        <v>120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135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136</v>
      </c>
      <c r="D104" s="1"/>
      <c r="E104" s="1"/>
      <c r="F104" s="12"/>
      <c r="G104" s="12"/>
      <c r="H104" s="6"/>
    </row>
    <row r="105" spans="1:8" ht="17.100000000000001" customHeight="1" x14ac:dyDescent="0.2">
      <c r="A105" s="3">
        <v>1</v>
      </c>
      <c r="B105" s="4"/>
      <c r="C105" s="4" t="s">
        <v>137</v>
      </c>
      <c r="D105" s="4"/>
      <c r="E105" s="8"/>
      <c r="F105" s="6">
        <v>80.881956900000006</v>
      </c>
      <c r="G105" s="7">
        <v>1.0019030999999999E-2</v>
      </c>
      <c r="H105" s="6">
        <v>4.1713246754849944</v>
      </c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9">
        <v>80.881956900000006</v>
      </c>
      <c r="G106" s="10">
        <v>1.0019030999999999E-2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138</v>
      </c>
      <c r="D108" s="1"/>
      <c r="E108" s="1"/>
      <c r="F108" s="9">
        <v>80.881956900000006</v>
      </c>
      <c r="G108" s="10">
        <v>1.0019030999999999E-2</v>
      </c>
      <c r="H108" s="6"/>
    </row>
    <row r="109" spans="1:8" ht="14.1" customHeight="1" x14ac:dyDescent="0.2">
      <c r="A109" s="1"/>
      <c r="B109" s="1"/>
      <c r="C109" s="12"/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139</v>
      </c>
      <c r="D110" s="1"/>
      <c r="E110" s="1"/>
      <c r="F110" s="1"/>
      <c r="G110" s="1"/>
      <c r="H110" s="6"/>
    </row>
    <row r="111" spans="1:8" ht="14.1" customHeight="1" x14ac:dyDescent="0.2">
      <c r="A111" s="1"/>
      <c r="B111" s="1"/>
      <c r="C111" s="2" t="s">
        <v>140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119</v>
      </c>
      <c r="D112" s="1"/>
      <c r="E112" s="1" t="s">
        <v>120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141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142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119</v>
      </c>
      <c r="D116" s="1"/>
      <c r="E116" s="1" t="s">
        <v>120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24" customHeight="1" x14ac:dyDescent="0.2">
      <c r="A119" s="1"/>
      <c r="B119" s="1"/>
      <c r="C119" s="2" t="s">
        <v>143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4"/>
      <c r="C122" s="4"/>
      <c r="D122" s="2"/>
      <c r="E122" s="1"/>
      <c r="F122" s="4"/>
      <c r="G122" s="8"/>
      <c r="H122" s="6"/>
    </row>
    <row r="123" spans="1:8" ht="18" customHeight="1" x14ac:dyDescent="0.2">
      <c r="A123" s="8"/>
      <c r="B123" s="4"/>
      <c r="C123" s="4" t="s">
        <v>144</v>
      </c>
      <c r="D123" s="4"/>
      <c r="E123" s="8"/>
      <c r="F123" s="6">
        <v>12.783901699999999</v>
      </c>
      <c r="G123" s="7">
        <v>1.583571E-3</v>
      </c>
      <c r="H123" s="6"/>
    </row>
    <row r="124" spans="1:8" ht="14.1" customHeight="1" x14ac:dyDescent="0.2">
      <c r="A124" s="11"/>
      <c r="B124" s="11"/>
      <c r="C124" s="2" t="s">
        <v>145</v>
      </c>
      <c r="D124" s="15"/>
      <c r="E124" s="15"/>
      <c r="F124" s="9">
        <v>8072.8323485999999</v>
      </c>
      <c r="G124" s="10">
        <v>1</v>
      </c>
      <c r="H124" s="6"/>
    </row>
    <row r="125" spans="1:8" ht="14.1" customHeight="1" x14ac:dyDescent="0.2">
      <c r="A125" s="18"/>
      <c r="B125" s="18"/>
      <c r="C125" s="18"/>
      <c r="D125" s="20"/>
      <c r="E125" s="20"/>
      <c r="F125" s="20"/>
      <c r="G125" s="20"/>
    </row>
    <row r="126" spans="1:8" ht="14.1" customHeight="1" x14ac:dyDescent="0.2">
      <c r="A126" s="18"/>
      <c r="B126" s="265" t="s">
        <v>147</v>
      </c>
      <c r="C126" s="266"/>
      <c r="D126" s="12" t="s">
        <v>120</v>
      </c>
      <c r="E126" s="21"/>
      <c r="F126" s="20"/>
      <c r="G126" s="20"/>
    </row>
    <row r="127" spans="1:8" ht="29.1" customHeight="1" x14ac:dyDescent="0.2">
      <c r="A127" s="18"/>
      <c r="B127" s="272" t="s">
        <v>148</v>
      </c>
      <c r="C127" s="273"/>
      <c r="D127" s="2" t="s">
        <v>149</v>
      </c>
      <c r="E127" s="21"/>
      <c r="F127" s="20"/>
      <c r="G127" s="20"/>
    </row>
    <row r="128" spans="1:8" ht="17.100000000000001" customHeight="1" x14ac:dyDescent="0.2">
      <c r="A128" s="18"/>
      <c r="B128" s="272" t="s">
        <v>150</v>
      </c>
      <c r="C128" s="273"/>
      <c r="D128" s="2" t="s">
        <v>149</v>
      </c>
      <c r="E128" s="21"/>
      <c r="F128" s="20"/>
      <c r="G128" s="20"/>
    </row>
    <row r="129" spans="1:15" ht="17.100000000000001" customHeight="1" x14ac:dyDescent="0.2">
      <c r="A129" s="18"/>
      <c r="B129" s="272" t="s">
        <v>151</v>
      </c>
      <c r="C129" s="273"/>
      <c r="D129" s="12" t="s">
        <v>120</v>
      </c>
      <c r="E129" s="21"/>
      <c r="F129" s="20"/>
      <c r="G129" s="20"/>
    </row>
    <row r="130" spans="1:15" ht="24" customHeight="1" x14ac:dyDescent="0.2">
      <c r="A130" s="22"/>
      <c r="B130" s="23" t="s">
        <v>120</v>
      </c>
      <c r="C130" s="23" t="s">
        <v>152</v>
      </c>
      <c r="D130" s="23" t="s">
        <v>153</v>
      </c>
      <c r="E130" s="22"/>
      <c r="F130" s="22"/>
      <c r="G130" s="22"/>
    </row>
    <row r="131" spans="1:15" ht="18" customHeight="1" x14ac:dyDescent="0.2">
      <c r="A131" s="22"/>
      <c r="B131" s="23" t="s">
        <v>154</v>
      </c>
      <c r="C131" s="23" t="s">
        <v>155</v>
      </c>
      <c r="D131" s="23" t="s">
        <v>156</v>
      </c>
      <c r="E131" s="22"/>
      <c r="F131" s="22"/>
      <c r="G131" s="22"/>
    </row>
    <row r="132" spans="1:15" ht="17.100000000000001" customHeight="1" x14ac:dyDescent="0.2">
      <c r="A132" s="22"/>
      <c r="B132" s="4" t="s">
        <v>157</v>
      </c>
      <c r="C132" s="24">
        <v>17.195</v>
      </c>
      <c r="D132" s="24">
        <v>16.552800000000001</v>
      </c>
      <c r="E132" s="22"/>
      <c r="F132" s="19"/>
      <c r="G132" s="25"/>
    </row>
    <row r="133" spans="1:15" ht="17.100000000000001" customHeight="1" x14ac:dyDescent="0.2">
      <c r="A133" s="22"/>
      <c r="B133" s="4" t="s">
        <v>1120</v>
      </c>
      <c r="C133" s="24">
        <v>16.365200000000002</v>
      </c>
      <c r="D133" s="24">
        <v>15.754</v>
      </c>
      <c r="E133" s="22"/>
      <c r="F133" s="19"/>
      <c r="G133" s="25"/>
    </row>
    <row r="134" spans="1:15" ht="17.100000000000001" customHeight="1" x14ac:dyDescent="0.2">
      <c r="A134" s="22"/>
      <c r="B134" s="4" t="s">
        <v>158</v>
      </c>
      <c r="C134" s="24">
        <v>16.8065</v>
      </c>
      <c r="D134" s="24">
        <v>16.171199999999999</v>
      </c>
      <c r="E134" s="22"/>
      <c r="F134" s="19"/>
      <c r="G134" s="25"/>
    </row>
    <row r="135" spans="1:15" ht="17.100000000000001" customHeight="1" x14ac:dyDescent="0.2">
      <c r="A135" s="22"/>
      <c r="B135" s="4" t="s">
        <v>1121</v>
      </c>
      <c r="C135" s="24">
        <v>16.178899999999999</v>
      </c>
      <c r="D135" s="24">
        <v>15.5672</v>
      </c>
      <c r="E135" s="22"/>
      <c r="F135" s="19"/>
      <c r="G135" s="25"/>
    </row>
    <row r="136" spans="1:15" ht="14.1" customHeight="1" x14ac:dyDescent="0.2">
      <c r="A136" s="22"/>
      <c r="B136" s="22"/>
      <c r="C136" s="22"/>
      <c r="D136" s="22"/>
      <c r="E136" s="22"/>
      <c r="F136" s="22"/>
      <c r="G136" s="22"/>
    </row>
    <row r="137" spans="1:15" ht="17.100000000000001" customHeight="1" x14ac:dyDescent="0.2">
      <c r="A137" s="22"/>
      <c r="B137" s="272" t="s">
        <v>1122</v>
      </c>
      <c r="C137" s="273"/>
      <c r="D137" s="2" t="s">
        <v>149</v>
      </c>
      <c r="E137" s="22"/>
      <c r="F137" s="22"/>
      <c r="G137" s="22"/>
    </row>
    <row r="138" spans="1:15" ht="14.1" customHeight="1" x14ac:dyDescent="0.2">
      <c r="A138" s="22"/>
      <c r="B138" s="19"/>
      <c r="C138" s="19"/>
      <c r="D138" s="22"/>
      <c r="E138" s="22"/>
      <c r="F138" s="22"/>
      <c r="G138" s="22"/>
    </row>
    <row r="139" spans="1:15" ht="29.1" customHeight="1" x14ac:dyDescent="0.2">
      <c r="A139" s="22"/>
      <c r="B139" s="272" t="s">
        <v>160</v>
      </c>
      <c r="C139" s="273"/>
      <c r="D139" s="2" t="s">
        <v>149</v>
      </c>
      <c r="E139" s="22"/>
      <c r="F139" s="22"/>
      <c r="G139" s="22"/>
    </row>
    <row r="140" spans="1:15" ht="29.1" customHeight="1" x14ac:dyDescent="0.2">
      <c r="A140" s="22"/>
      <c r="B140" s="272" t="s">
        <v>161</v>
      </c>
      <c r="C140" s="273"/>
      <c r="D140" s="2" t="s">
        <v>149</v>
      </c>
      <c r="E140" s="22"/>
      <c r="F140" s="22"/>
      <c r="G140" s="22"/>
      <c r="J140" s="170"/>
      <c r="K140" s="170"/>
      <c r="L140" s="170"/>
      <c r="M140" s="170"/>
      <c r="N140" s="170"/>
      <c r="O140" s="170"/>
    </row>
    <row r="141" spans="1:15" ht="17.100000000000001" customHeight="1" x14ac:dyDescent="0.2">
      <c r="A141" s="22"/>
      <c r="B141" s="272" t="s">
        <v>162</v>
      </c>
      <c r="C141" s="273"/>
      <c r="D141" s="27">
        <v>0.30577599999999999</v>
      </c>
      <c r="E141" s="22"/>
      <c r="F141" s="19"/>
      <c r="G141" s="25"/>
    </row>
    <row r="142" spans="1:15" ht="17.100000000000001" customHeight="1" x14ac:dyDescent="0.2">
      <c r="A142" s="22"/>
      <c r="B142" s="272" t="s">
        <v>163</v>
      </c>
      <c r="C142" s="273"/>
      <c r="D142" s="2" t="s">
        <v>149</v>
      </c>
      <c r="E142" s="22"/>
      <c r="F142" s="22"/>
      <c r="G142" s="22"/>
    </row>
  </sheetData>
  <mergeCells count="13">
    <mergeCell ref="B141:C141"/>
    <mergeCell ref="B142:C142"/>
    <mergeCell ref="B127:C127"/>
    <mergeCell ref="B128:C128"/>
    <mergeCell ref="B129:C129"/>
    <mergeCell ref="B137:C137"/>
    <mergeCell ref="B139:C139"/>
    <mergeCell ref="B140:C140"/>
    <mergeCell ref="J2:N2"/>
    <mergeCell ref="B126:C12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62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440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4495006</v>
      </c>
      <c r="F7" s="6">
        <v>33840.652671000003</v>
      </c>
      <c r="G7" s="7">
        <v>7.1606679000000006E-2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785217</v>
      </c>
      <c r="F8" s="6">
        <v>20672.015350500002</v>
      </c>
      <c r="G8" s="7">
        <v>4.3741897000000002E-2</v>
      </c>
      <c r="H8" s="6"/>
    </row>
    <row r="9" spans="1:14" ht="17.100000000000001" customHeight="1" x14ac:dyDescent="0.2">
      <c r="A9" s="3">
        <v>3</v>
      </c>
      <c r="B9" s="4" t="s">
        <v>406</v>
      </c>
      <c r="C9" s="4" t="s">
        <v>407</v>
      </c>
      <c r="D9" s="4" t="s">
        <v>994</v>
      </c>
      <c r="E9" s="5">
        <v>1279690</v>
      </c>
      <c r="F9" s="6">
        <v>19241.418839999998</v>
      </c>
      <c r="G9" s="7">
        <v>4.0714761000000002E-2</v>
      </c>
      <c r="H9" s="6"/>
    </row>
    <row r="10" spans="1:14" ht="17.100000000000001" customHeight="1" x14ac:dyDescent="0.2">
      <c r="A10" s="3">
        <v>4</v>
      </c>
      <c r="B10" s="4" t="s">
        <v>374</v>
      </c>
      <c r="C10" s="4" t="s">
        <v>375</v>
      </c>
      <c r="D10" s="4" t="s">
        <v>19</v>
      </c>
      <c r="E10" s="5">
        <v>1323852</v>
      </c>
      <c r="F10" s="6">
        <v>18387.642354</v>
      </c>
      <c r="G10" s="7">
        <v>3.8908173999999997E-2</v>
      </c>
      <c r="H10" s="6"/>
    </row>
    <row r="11" spans="1:14" ht="17.100000000000001" customHeight="1" x14ac:dyDescent="0.2">
      <c r="A11" s="3">
        <v>5</v>
      </c>
      <c r="B11" s="4" t="s">
        <v>11</v>
      </c>
      <c r="C11" s="4" t="s">
        <v>12</v>
      </c>
      <c r="D11" s="4" t="s">
        <v>13</v>
      </c>
      <c r="E11" s="5">
        <v>746883</v>
      </c>
      <c r="F11" s="6">
        <v>12357.179235</v>
      </c>
      <c r="G11" s="7">
        <v>2.6147739E-2</v>
      </c>
      <c r="H11" s="6"/>
    </row>
    <row r="12" spans="1:14" ht="17.100000000000001" customHeight="1" x14ac:dyDescent="0.2">
      <c r="A12" s="3">
        <v>6</v>
      </c>
      <c r="B12" s="4" t="s">
        <v>380</v>
      </c>
      <c r="C12" s="4" t="s">
        <v>381</v>
      </c>
      <c r="D12" s="4" t="s">
        <v>85</v>
      </c>
      <c r="E12" s="5">
        <v>82672</v>
      </c>
      <c r="F12" s="6">
        <v>10692.796480000001</v>
      </c>
      <c r="G12" s="7">
        <v>2.2625912000000001E-2</v>
      </c>
      <c r="H12" s="6"/>
    </row>
    <row r="13" spans="1:14" ht="17.100000000000001" customHeight="1" x14ac:dyDescent="0.2">
      <c r="A13" s="3">
        <v>7</v>
      </c>
      <c r="B13" s="4" t="s">
        <v>50</v>
      </c>
      <c r="C13" s="4" t="s">
        <v>51</v>
      </c>
      <c r="D13" s="4" t="s">
        <v>19</v>
      </c>
      <c r="E13" s="5">
        <v>2191327</v>
      </c>
      <c r="F13" s="6">
        <v>10257.601687</v>
      </c>
      <c r="G13" s="7">
        <v>2.1705042000000001E-2</v>
      </c>
      <c r="H13" s="6"/>
      <c r="J13" s="169" t="s">
        <v>1146</v>
      </c>
    </row>
    <row r="14" spans="1:14" ht="17.100000000000001" customHeight="1" x14ac:dyDescent="0.2">
      <c r="A14" s="3">
        <v>8</v>
      </c>
      <c r="B14" s="4" t="s">
        <v>316</v>
      </c>
      <c r="C14" s="4" t="s">
        <v>317</v>
      </c>
      <c r="D14" s="4" t="s">
        <v>318</v>
      </c>
      <c r="E14" s="5">
        <v>900646</v>
      </c>
      <c r="F14" s="6">
        <v>9515.3249899999992</v>
      </c>
      <c r="G14" s="7">
        <v>2.0134388E-2</v>
      </c>
      <c r="H14" s="6"/>
    </row>
    <row r="15" spans="1:14" ht="17.100000000000001" customHeight="1" x14ac:dyDescent="0.2">
      <c r="A15" s="3">
        <v>9</v>
      </c>
      <c r="B15" s="4" t="s">
        <v>319</v>
      </c>
      <c r="C15" s="4" t="s">
        <v>320</v>
      </c>
      <c r="D15" s="4" t="s">
        <v>19</v>
      </c>
      <c r="E15" s="5">
        <v>1371950</v>
      </c>
      <c r="F15" s="6">
        <v>9400.6013999999996</v>
      </c>
      <c r="G15" s="7">
        <v>1.9891632999999999E-2</v>
      </c>
      <c r="H15" s="6"/>
    </row>
    <row r="16" spans="1:14" ht="17.100000000000001" customHeight="1" x14ac:dyDescent="0.2">
      <c r="A16" s="3">
        <v>10</v>
      </c>
      <c r="B16" s="4" t="s">
        <v>441</v>
      </c>
      <c r="C16" s="4" t="s">
        <v>442</v>
      </c>
      <c r="D16" s="4" t="s">
        <v>95</v>
      </c>
      <c r="E16" s="5">
        <v>1685076</v>
      </c>
      <c r="F16" s="6">
        <v>9392.6136239999996</v>
      </c>
      <c r="G16" s="7">
        <v>1.9874731E-2</v>
      </c>
      <c r="H16" s="6"/>
    </row>
    <row r="17" spans="1:10" ht="29.1" customHeight="1" x14ac:dyDescent="0.2">
      <c r="A17" s="3">
        <v>11</v>
      </c>
      <c r="B17" s="4" t="s">
        <v>408</v>
      </c>
      <c r="C17" s="4" t="s">
        <v>409</v>
      </c>
      <c r="D17" s="4" t="s">
        <v>85</v>
      </c>
      <c r="E17" s="5">
        <v>384006</v>
      </c>
      <c r="F17" s="6">
        <v>8858.0584049999998</v>
      </c>
      <c r="G17" s="7">
        <v>1.8743613999999999E-2</v>
      </c>
      <c r="H17" s="6"/>
    </row>
    <row r="18" spans="1:10" ht="51" x14ac:dyDescent="0.2">
      <c r="A18" s="3">
        <v>12</v>
      </c>
      <c r="B18" s="4" t="s">
        <v>73</v>
      </c>
      <c r="C18" s="4" t="s">
        <v>74</v>
      </c>
      <c r="D18" s="4" t="s">
        <v>75</v>
      </c>
      <c r="E18" s="5">
        <v>6352636</v>
      </c>
      <c r="F18" s="6">
        <v>8734.8744999999999</v>
      </c>
      <c r="G18" s="7">
        <v>1.8482958000000001E-2</v>
      </c>
      <c r="H18" s="6"/>
    </row>
    <row r="19" spans="1:10" ht="17.100000000000001" customHeight="1" x14ac:dyDescent="0.2">
      <c r="A19" s="3">
        <v>13</v>
      </c>
      <c r="B19" s="4" t="s">
        <v>93</v>
      </c>
      <c r="C19" s="4" t="s">
        <v>94</v>
      </c>
      <c r="D19" s="4" t="s">
        <v>95</v>
      </c>
      <c r="E19" s="5">
        <v>357500</v>
      </c>
      <c r="F19" s="6">
        <v>8224.6450000000004</v>
      </c>
      <c r="G19" s="7">
        <v>1.7403314E-2</v>
      </c>
      <c r="H19" s="6"/>
    </row>
    <row r="20" spans="1:10" ht="17.100000000000001" customHeight="1" x14ac:dyDescent="0.2">
      <c r="A20" s="3">
        <v>14</v>
      </c>
      <c r="B20" s="4" t="s">
        <v>443</v>
      </c>
      <c r="C20" s="4" t="s">
        <v>444</v>
      </c>
      <c r="D20" s="4" t="s">
        <v>19</v>
      </c>
      <c r="E20" s="5">
        <v>3875118</v>
      </c>
      <c r="F20" s="6">
        <v>7943.9919</v>
      </c>
      <c r="G20" s="7">
        <v>1.6809452999999999E-2</v>
      </c>
      <c r="H20" s="6"/>
    </row>
    <row r="21" spans="1:10" ht="17.100000000000001" customHeight="1" x14ac:dyDescent="0.2">
      <c r="A21" s="3">
        <v>15</v>
      </c>
      <c r="B21" s="4" t="s">
        <v>321</v>
      </c>
      <c r="C21" s="4" t="s">
        <v>322</v>
      </c>
      <c r="D21" s="4" t="s">
        <v>323</v>
      </c>
      <c r="E21" s="5">
        <v>997049</v>
      </c>
      <c r="F21" s="6">
        <v>7923.5484029999998</v>
      </c>
      <c r="G21" s="7">
        <v>1.6766195000000001E-2</v>
      </c>
      <c r="H21" s="6"/>
    </row>
    <row r="22" spans="1:10" ht="17.100000000000001" customHeight="1" x14ac:dyDescent="0.2">
      <c r="A22" s="3">
        <v>16</v>
      </c>
      <c r="B22" s="4" t="s">
        <v>445</v>
      </c>
      <c r="C22" s="4" t="s">
        <v>446</v>
      </c>
      <c r="D22" s="4" t="s">
        <v>248</v>
      </c>
      <c r="E22" s="5">
        <v>321054</v>
      </c>
      <c r="F22" s="6">
        <v>7792.7832150000004</v>
      </c>
      <c r="G22" s="7">
        <v>1.6489495999999999E-2</v>
      </c>
      <c r="H22" s="6"/>
      <c r="J22" s="169" t="s">
        <v>1147</v>
      </c>
    </row>
    <row r="23" spans="1:10" ht="17.100000000000001" customHeight="1" x14ac:dyDescent="0.2">
      <c r="A23" s="3">
        <v>17</v>
      </c>
      <c r="B23" s="4" t="s">
        <v>388</v>
      </c>
      <c r="C23" s="4" t="s">
        <v>389</v>
      </c>
      <c r="D23" s="4" t="s">
        <v>95</v>
      </c>
      <c r="E23" s="5">
        <v>805172</v>
      </c>
      <c r="F23" s="6">
        <v>7426.1013560000001</v>
      </c>
      <c r="G23" s="7">
        <v>1.5713599000000002E-2</v>
      </c>
      <c r="H23" s="6"/>
    </row>
    <row r="24" spans="1:10" ht="17.100000000000001" customHeight="1" x14ac:dyDescent="0.2">
      <c r="A24" s="3">
        <v>18</v>
      </c>
      <c r="B24" s="4" t="s">
        <v>392</v>
      </c>
      <c r="C24" s="4" t="s">
        <v>393</v>
      </c>
      <c r="D24" s="4" t="s">
        <v>80</v>
      </c>
      <c r="E24" s="5">
        <v>184208</v>
      </c>
      <c r="F24" s="6">
        <v>7108.0340960000003</v>
      </c>
      <c r="G24" s="7">
        <v>1.504057E-2</v>
      </c>
      <c r="H24" s="6"/>
    </row>
    <row r="25" spans="1:10" ht="17.100000000000001" customHeight="1" x14ac:dyDescent="0.2">
      <c r="A25" s="3">
        <v>19</v>
      </c>
      <c r="B25" s="4" t="s">
        <v>20</v>
      </c>
      <c r="C25" s="4" t="s">
        <v>21</v>
      </c>
      <c r="D25" s="4" t="s">
        <v>22</v>
      </c>
      <c r="E25" s="5">
        <v>1002403</v>
      </c>
      <c r="F25" s="6">
        <v>7018.8258059999998</v>
      </c>
      <c r="G25" s="7">
        <v>1.4851806E-2</v>
      </c>
      <c r="H25" s="6"/>
    </row>
    <row r="26" spans="1:10" ht="17.100000000000001" customHeight="1" x14ac:dyDescent="0.2">
      <c r="A26" s="3">
        <v>20</v>
      </c>
      <c r="B26" s="4" t="s">
        <v>435</v>
      </c>
      <c r="C26" s="4" t="s">
        <v>436</v>
      </c>
      <c r="D26" s="4" t="s">
        <v>437</v>
      </c>
      <c r="E26" s="5">
        <v>1649310</v>
      </c>
      <c r="F26" s="6">
        <v>6969.1594050000003</v>
      </c>
      <c r="G26" s="7">
        <v>1.4746712E-2</v>
      </c>
      <c r="H26" s="6"/>
    </row>
    <row r="27" spans="1:10" ht="17.100000000000001" customHeight="1" x14ac:dyDescent="0.2">
      <c r="A27" s="3">
        <v>21</v>
      </c>
      <c r="B27" s="4" t="s">
        <v>447</v>
      </c>
      <c r="C27" s="4" t="s">
        <v>448</v>
      </c>
      <c r="D27" s="4" t="s">
        <v>85</v>
      </c>
      <c r="E27" s="5">
        <v>113013</v>
      </c>
      <c r="F27" s="6">
        <v>6873.6201794999997</v>
      </c>
      <c r="G27" s="7">
        <v>1.4544550999999999E-2</v>
      </c>
      <c r="H27" s="6"/>
    </row>
    <row r="28" spans="1:10" ht="17.100000000000001" customHeight="1" x14ac:dyDescent="0.2">
      <c r="A28" s="3">
        <v>22</v>
      </c>
      <c r="B28" s="4" t="s">
        <v>348</v>
      </c>
      <c r="C28" s="4" t="s">
        <v>349</v>
      </c>
      <c r="D28" s="4" t="s">
        <v>994</v>
      </c>
      <c r="E28" s="5">
        <v>260964</v>
      </c>
      <c r="F28" s="6">
        <v>6768.2318219999997</v>
      </c>
      <c r="G28" s="7">
        <v>1.4321550000000001E-2</v>
      </c>
      <c r="H28" s="6"/>
    </row>
    <row r="29" spans="1:10" ht="29.1" customHeight="1" x14ac:dyDescent="0.2">
      <c r="A29" s="3">
        <v>23</v>
      </c>
      <c r="B29" s="4" t="s">
        <v>449</v>
      </c>
      <c r="C29" s="4" t="s">
        <v>450</v>
      </c>
      <c r="D29" s="4" t="s">
        <v>198</v>
      </c>
      <c r="E29" s="5">
        <v>187233</v>
      </c>
      <c r="F29" s="6">
        <v>6724.0987290000003</v>
      </c>
      <c r="G29" s="7">
        <v>1.4228164999999999E-2</v>
      </c>
      <c r="H29" s="6"/>
    </row>
    <row r="30" spans="1:10" ht="17.100000000000001" customHeight="1" x14ac:dyDescent="0.2">
      <c r="A30" s="3">
        <v>24</v>
      </c>
      <c r="B30" s="4" t="s">
        <v>384</v>
      </c>
      <c r="C30" s="4" t="s">
        <v>385</v>
      </c>
      <c r="D30" s="4" t="s">
        <v>28</v>
      </c>
      <c r="E30" s="5">
        <v>374960</v>
      </c>
      <c r="F30" s="6">
        <v>6486.6205200000004</v>
      </c>
      <c r="G30" s="7">
        <v>1.3725662E-2</v>
      </c>
      <c r="H30" s="6"/>
    </row>
    <row r="31" spans="1:10" ht="17.100000000000001" customHeight="1" x14ac:dyDescent="0.2">
      <c r="A31" s="3">
        <v>25</v>
      </c>
      <c r="B31" s="4" t="s">
        <v>26</v>
      </c>
      <c r="C31" s="4" t="s">
        <v>27</v>
      </c>
      <c r="D31" s="4" t="s">
        <v>28</v>
      </c>
      <c r="E31" s="5">
        <v>265225</v>
      </c>
      <c r="F31" s="6">
        <v>6476.2640499999998</v>
      </c>
      <c r="G31" s="7">
        <v>1.3703747E-2</v>
      </c>
      <c r="H31" s="6"/>
    </row>
    <row r="32" spans="1:10" ht="17.100000000000001" customHeight="1" x14ac:dyDescent="0.2">
      <c r="A32" s="3">
        <v>26</v>
      </c>
      <c r="B32" s="4" t="s">
        <v>410</v>
      </c>
      <c r="C32" s="4" t="s">
        <v>411</v>
      </c>
      <c r="D32" s="4" t="s">
        <v>994</v>
      </c>
      <c r="E32" s="5">
        <v>191953</v>
      </c>
      <c r="F32" s="6">
        <v>6457.9707555000005</v>
      </c>
      <c r="G32" s="7">
        <v>1.3665039E-2</v>
      </c>
      <c r="H32" s="6"/>
    </row>
    <row r="33" spans="1:8" ht="17.100000000000001" customHeight="1" x14ac:dyDescent="0.2">
      <c r="A33" s="3">
        <v>27</v>
      </c>
      <c r="B33" s="4" t="s">
        <v>451</v>
      </c>
      <c r="C33" s="4" t="s">
        <v>452</v>
      </c>
      <c r="D33" s="4" t="s">
        <v>28</v>
      </c>
      <c r="E33" s="5">
        <v>856506</v>
      </c>
      <c r="F33" s="6">
        <v>6136.8654900000001</v>
      </c>
      <c r="G33" s="7">
        <v>1.2985582000000001E-2</v>
      </c>
      <c r="H33" s="6"/>
    </row>
    <row r="34" spans="1:8" ht="17.100000000000001" customHeight="1" x14ac:dyDescent="0.2">
      <c r="A34" s="3">
        <v>28</v>
      </c>
      <c r="B34" s="4" t="s">
        <v>113</v>
      </c>
      <c r="C34" s="4" t="s">
        <v>114</v>
      </c>
      <c r="D34" s="4" t="s">
        <v>92</v>
      </c>
      <c r="E34" s="5">
        <v>749225</v>
      </c>
      <c r="F34" s="6">
        <v>6036.8804375</v>
      </c>
      <c r="G34" s="7">
        <v>1.2774014E-2</v>
      </c>
      <c r="H34" s="6"/>
    </row>
    <row r="35" spans="1:8" ht="17.100000000000001" customHeight="1" x14ac:dyDescent="0.2">
      <c r="A35" s="3">
        <v>29</v>
      </c>
      <c r="B35" s="4" t="s">
        <v>453</v>
      </c>
      <c r="C35" s="4" t="s">
        <v>454</v>
      </c>
      <c r="D35" s="4" t="s">
        <v>396</v>
      </c>
      <c r="E35" s="5">
        <v>1355977</v>
      </c>
      <c r="F35" s="6">
        <v>6014.4359834999996</v>
      </c>
      <c r="G35" s="7">
        <v>1.2726520999999999E-2</v>
      </c>
      <c r="H35" s="6"/>
    </row>
    <row r="36" spans="1:8" ht="29.1" customHeight="1" x14ac:dyDescent="0.2">
      <c r="A36" s="3">
        <v>30</v>
      </c>
      <c r="B36" s="4" t="s">
        <v>23</v>
      </c>
      <c r="C36" s="4" t="s">
        <v>24</v>
      </c>
      <c r="D36" s="4" t="s">
        <v>25</v>
      </c>
      <c r="E36" s="5">
        <v>97004</v>
      </c>
      <c r="F36" s="6">
        <v>5900.3653039999999</v>
      </c>
      <c r="G36" s="7">
        <v>1.2485148E-2</v>
      </c>
      <c r="H36" s="6"/>
    </row>
    <row r="37" spans="1:8" ht="29.1" customHeight="1" x14ac:dyDescent="0.2">
      <c r="A37" s="3">
        <v>31</v>
      </c>
      <c r="B37" s="4" t="s">
        <v>217</v>
      </c>
      <c r="C37" s="4" t="s">
        <v>218</v>
      </c>
      <c r="D37" s="4" t="s">
        <v>219</v>
      </c>
      <c r="E37" s="5">
        <v>140588</v>
      </c>
      <c r="F37" s="6">
        <v>5517.3057660000004</v>
      </c>
      <c r="G37" s="7">
        <v>1.1674596000000001E-2</v>
      </c>
      <c r="H37" s="6"/>
    </row>
    <row r="38" spans="1:8" ht="17.100000000000001" customHeight="1" x14ac:dyDescent="0.2">
      <c r="A38" s="3">
        <v>32</v>
      </c>
      <c r="B38" s="4" t="s">
        <v>416</v>
      </c>
      <c r="C38" s="4" t="s">
        <v>417</v>
      </c>
      <c r="D38" s="4" t="s">
        <v>418</v>
      </c>
      <c r="E38" s="5">
        <v>229669</v>
      </c>
      <c r="F38" s="6">
        <v>5404.6857424999998</v>
      </c>
      <c r="G38" s="7">
        <v>1.1436292000000001E-2</v>
      </c>
      <c r="H38" s="6"/>
    </row>
    <row r="39" spans="1:8" ht="29.1" customHeight="1" x14ac:dyDescent="0.2">
      <c r="A39" s="3">
        <v>33</v>
      </c>
      <c r="B39" s="4" t="s">
        <v>414</v>
      </c>
      <c r="C39" s="4" t="s">
        <v>415</v>
      </c>
      <c r="D39" s="4" t="s">
        <v>198</v>
      </c>
      <c r="E39" s="5">
        <v>622280</v>
      </c>
      <c r="F39" s="6">
        <v>5355.3416800000005</v>
      </c>
      <c r="G39" s="7">
        <v>1.1331880000000001E-2</v>
      </c>
      <c r="H39" s="6"/>
    </row>
    <row r="40" spans="1:8" ht="17.100000000000001" customHeight="1" x14ac:dyDescent="0.2">
      <c r="A40" s="3">
        <v>34</v>
      </c>
      <c r="B40" s="4" t="s">
        <v>455</v>
      </c>
      <c r="C40" s="4" t="s">
        <v>456</v>
      </c>
      <c r="D40" s="4" t="s">
        <v>302</v>
      </c>
      <c r="E40" s="5">
        <v>133556</v>
      </c>
      <c r="F40" s="6">
        <v>5305.9127680000001</v>
      </c>
      <c r="G40" s="7">
        <v>1.1227289E-2</v>
      </c>
      <c r="H40" s="6"/>
    </row>
    <row r="41" spans="1:8" ht="17.100000000000001" customHeight="1" x14ac:dyDescent="0.2">
      <c r="A41" s="3">
        <v>35</v>
      </c>
      <c r="B41" s="4" t="s">
        <v>38</v>
      </c>
      <c r="C41" s="4" t="s">
        <v>39</v>
      </c>
      <c r="D41" s="4" t="s">
        <v>31</v>
      </c>
      <c r="E41" s="5">
        <v>2249244</v>
      </c>
      <c r="F41" s="6">
        <v>5289.0972659999998</v>
      </c>
      <c r="G41" s="7">
        <v>1.1191708E-2</v>
      </c>
      <c r="H41" s="6"/>
    </row>
    <row r="42" spans="1:8" ht="17.100000000000001" customHeight="1" x14ac:dyDescent="0.2">
      <c r="A42" s="3">
        <v>36</v>
      </c>
      <c r="B42" s="4" t="s">
        <v>100</v>
      </c>
      <c r="C42" s="4" t="s">
        <v>101</v>
      </c>
      <c r="D42" s="4" t="s">
        <v>54</v>
      </c>
      <c r="E42" s="5">
        <v>914378</v>
      </c>
      <c r="F42" s="6">
        <v>5114.1161540000003</v>
      </c>
      <c r="G42" s="7">
        <v>1.0821447999999999E-2</v>
      </c>
      <c r="H42" s="6"/>
    </row>
    <row r="43" spans="1:8" ht="51" x14ac:dyDescent="0.2">
      <c r="A43" s="3">
        <v>37</v>
      </c>
      <c r="B43" s="4" t="s">
        <v>86</v>
      </c>
      <c r="C43" s="4" t="s">
        <v>87</v>
      </c>
      <c r="D43" s="4" t="s">
        <v>75</v>
      </c>
      <c r="E43" s="5">
        <v>360100</v>
      </c>
      <c r="F43" s="6">
        <v>5101.3566499999997</v>
      </c>
      <c r="G43" s="7">
        <v>1.0794448999999999E-2</v>
      </c>
      <c r="H43" s="6"/>
    </row>
    <row r="44" spans="1:8" ht="29.1" customHeight="1" x14ac:dyDescent="0.2">
      <c r="A44" s="3">
        <v>38</v>
      </c>
      <c r="B44" s="4" t="s">
        <v>83</v>
      </c>
      <c r="C44" s="4" t="s">
        <v>84</v>
      </c>
      <c r="D44" s="4" t="s">
        <v>85</v>
      </c>
      <c r="E44" s="5">
        <v>737755</v>
      </c>
      <c r="F44" s="6">
        <v>5013.78298</v>
      </c>
      <c r="G44" s="7">
        <v>1.0609143999999999E-2</v>
      </c>
      <c r="H44" s="6"/>
    </row>
    <row r="45" spans="1:8" ht="17.100000000000001" customHeight="1" x14ac:dyDescent="0.2">
      <c r="A45" s="3">
        <v>39</v>
      </c>
      <c r="B45" s="4" t="s">
        <v>457</v>
      </c>
      <c r="C45" s="4" t="s">
        <v>458</v>
      </c>
      <c r="D45" s="4" t="s">
        <v>47</v>
      </c>
      <c r="E45" s="5">
        <v>302944</v>
      </c>
      <c r="F45" s="6">
        <v>4903.4515840000004</v>
      </c>
      <c r="G45" s="7">
        <v>1.0375683E-2</v>
      </c>
      <c r="H45" s="6"/>
    </row>
    <row r="46" spans="1:8" ht="17.100000000000001" customHeight="1" x14ac:dyDescent="0.2">
      <c r="A46" s="3">
        <v>40</v>
      </c>
      <c r="B46" s="4" t="s">
        <v>109</v>
      </c>
      <c r="C46" s="4" t="s">
        <v>110</v>
      </c>
      <c r="D46" s="4" t="s">
        <v>54</v>
      </c>
      <c r="E46" s="5">
        <v>1283717</v>
      </c>
      <c r="F46" s="6">
        <v>4855.0176940000001</v>
      </c>
      <c r="G46" s="7">
        <v>1.0273197E-2</v>
      </c>
      <c r="H46" s="6"/>
    </row>
    <row r="47" spans="1:8" ht="29.1" customHeight="1" x14ac:dyDescent="0.2">
      <c r="A47" s="3">
        <v>41</v>
      </c>
      <c r="B47" s="4" t="s">
        <v>350</v>
      </c>
      <c r="C47" s="4" t="s">
        <v>351</v>
      </c>
      <c r="D47" s="4" t="s">
        <v>198</v>
      </c>
      <c r="E47" s="5">
        <v>166575</v>
      </c>
      <c r="F47" s="6">
        <v>4765.6274624999996</v>
      </c>
      <c r="G47" s="7">
        <v>1.0084048E-2</v>
      </c>
      <c r="H47" s="6"/>
    </row>
    <row r="48" spans="1:8" ht="29.1" customHeight="1" x14ac:dyDescent="0.2">
      <c r="A48" s="3">
        <v>42</v>
      </c>
      <c r="B48" s="4" t="s">
        <v>359</v>
      </c>
      <c r="C48" s="4" t="s">
        <v>360</v>
      </c>
      <c r="D48" s="4" t="s">
        <v>356</v>
      </c>
      <c r="E48" s="5">
        <v>167631</v>
      </c>
      <c r="F48" s="6">
        <v>4623.8496885000004</v>
      </c>
      <c r="G48" s="7">
        <v>9.7840459999999994E-3</v>
      </c>
      <c r="H48" s="6"/>
    </row>
    <row r="49" spans="1:8" ht="17.100000000000001" customHeight="1" x14ac:dyDescent="0.2">
      <c r="A49" s="3">
        <v>43</v>
      </c>
      <c r="B49" s="4" t="s">
        <v>330</v>
      </c>
      <c r="C49" s="4" t="s">
        <v>331</v>
      </c>
      <c r="D49" s="4" t="s">
        <v>994</v>
      </c>
      <c r="E49" s="5">
        <v>147748</v>
      </c>
      <c r="F49" s="6">
        <v>4502.8419219999996</v>
      </c>
      <c r="G49" s="7">
        <v>9.5279949999999992E-3</v>
      </c>
      <c r="H49" s="6"/>
    </row>
    <row r="50" spans="1:8" ht="17.100000000000001" customHeight="1" x14ac:dyDescent="0.2">
      <c r="A50" s="3">
        <v>44</v>
      </c>
      <c r="B50" s="4" t="s">
        <v>324</v>
      </c>
      <c r="C50" s="4" t="s">
        <v>325</v>
      </c>
      <c r="D50" s="4" t="s">
        <v>19</v>
      </c>
      <c r="E50" s="5">
        <v>4445537</v>
      </c>
      <c r="F50" s="6">
        <v>4456.6508425000002</v>
      </c>
      <c r="G50" s="7">
        <v>9.4302540000000008E-3</v>
      </c>
      <c r="H50" s="6"/>
    </row>
    <row r="51" spans="1:8" ht="29.1" customHeight="1" x14ac:dyDescent="0.2">
      <c r="A51" s="3">
        <v>45</v>
      </c>
      <c r="B51" s="4" t="s">
        <v>192</v>
      </c>
      <c r="C51" s="4" t="s">
        <v>193</v>
      </c>
      <c r="D51" s="4" t="s">
        <v>80</v>
      </c>
      <c r="E51" s="5">
        <v>1227129</v>
      </c>
      <c r="F51" s="6">
        <v>4435.4577705000002</v>
      </c>
      <c r="G51" s="7">
        <v>9.3854100000000003E-3</v>
      </c>
      <c r="H51" s="6"/>
    </row>
    <row r="52" spans="1:8" ht="29.1" customHeight="1" x14ac:dyDescent="0.2">
      <c r="A52" s="3">
        <v>46</v>
      </c>
      <c r="B52" s="4" t="s">
        <v>459</v>
      </c>
      <c r="C52" s="4" t="s">
        <v>460</v>
      </c>
      <c r="D52" s="4" t="s">
        <v>219</v>
      </c>
      <c r="E52" s="5">
        <v>51087</v>
      </c>
      <c r="F52" s="6">
        <v>4161.1383239999996</v>
      </c>
      <c r="G52" s="7">
        <v>8.8049510000000001E-3</v>
      </c>
      <c r="H52" s="6"/>
    </row>
    <row r="53" spans="1:8" ht="17.100000000000001" customHeight="1" x14ac:dyDescent="0.2">
      <c r="A53" s="3">
        <v>47</v>
      </c>
      <c r="B53" s="4" t="s">
        <v>386</v>
      </c>
      <c r="C53" s="4" t="s">
        <v>387</v>
      </c>
      <c r="D53" s="4" t="s">
        <v>239</v>
      </c>
      <c r="E53" s="5">
        <v>1743213</v>
      </c>
      <c r="F53" s="6">
        <v>4149.7185465000002</v>
      </c>
      <c r="G53" s="7">
        <v>8.780787E-3</v>
      </c>
      <c r="H53" s="6"/>
    </row>
    <row r="54" spans="1:8" ht="17.100000000000001" customHeight="1" x14ac:dyDescent="0.2">
      <c r="A54" s="3">
        <v>48</v>
      </c>
      <c r="B54" s="4" t="s">
        <v>45</v>
      </c>
      <c r="C54" s="4" t="s">
        <v>46</v>
      </c>
      <c r="D54" s="4" t="s">
        <v>47</v>
      </c>
      <c r="E54" s="5">
        <v>636555</v>
      </c>
      <c r="F54" s="6">
        <v>4140.4719974999998</v>
      </c>
      <c r="G54" s="7">
        <v>8.7612209999999996E-3</v>
      </c>
      <c r="H54" s="6"/>
    </row>
    <row r="55" spans="1:8" ht="17.100000000000001" customHeight="1" x14ac:dyDescent="0.2">
      <c r="A55" s="3">
        <v>49</v>
      </c>
      <c r="B55" s="4" t="s">
        <v>249</v>
      </c>
      <c r="C55" s="4" t="s">
        <v>250</v>
      </c>
      <c r="D55" s="4" t="s">
        <v>994</v>
      </c>
      <c r="E55" s="5">
        <v>107723</v>
      </c>
      <c r="F55" s="6">
        <v>4050.2770770000002</v>
      </c>
      <c r="G55" s="7">
        <v>8.5703689999999996E-3</v>
      </c>
      <c r="H55" s="6"/>
    </row>
    <row r="56" spans="1:8" ht="29.1" customHeight="1" x14ac:dyDescent="0.2">
      <c r="A56" s="3">
        <v>50</v>
      </c>
      <c r="B56" s="4" t="s">
        <v>382</v>
      </c>
      <c r="C56" s="4" t="s">
        <v>383</v>
      </c>
      <c r="D56" s="4" t="s">
        <v>233</v>
      </c>
      <c r="E56" s="5">
        <v>524486</v>
      </c>
      <c r="F56" s="6">
        <v>3984.782385</v>
      </c>
      <c r="G56" s="7">
        <v>8.431783E-3</v>
      </c>
      <c r="H56" s="6"/>
    </row>
    <row r="57" spans="1:8" ht="17.100000000000001" customHeight="1" x14ac:dyDescent="0.2">
      <c r="A57" s="3">
        <v>51</v>
      </c>
      <c r="B57" s="4" t="s">
        <v>461</v>
      </c>
      <c r="C57" s="4" t="s">
        <v>462</v>
      </c>
      <c r="D57" s="4" t="s">
        <v>396</v>
      </c>
      <c r="E57" s="5">
        <v>49246</v>
      </c>
      <c r="F57" s="6">
        <v>3923.1087210000001</v>
      </c>
      <c r="G57" s="7">
        <v>8.3012820000000001E-3</v>
      </c>
      <c r="H57" s="6"/>
    </row>
    <row r="58" spans="1:8" ht="29.1" customHeight="1" x14ac:dyDescent="0.2">
      <c r="A58" s="3">
        <v>52</v>
      </c>
      <c r="B58" s="4" t="s">
        <v>310</v>
      </c>
      <c r="C58" s="4" t="s">
        <v>311</v>
      </c>
      <c r="D58" s="4" t="s">
        <v>219</v>
      </c>
      <c r="E58" s="5">
        <v>150285</v>
      </c>
      <c r="F58" s="6">
        <v>3703.0975425000001</v>
      </c>
      <c r="G58" s="7">
        <v>7.8357389999999996E-3</v>
      </c>
      <c r="H58" s="6"/>
    </row>
    <row r="59" spans="1:8" ht="17.100000000000001" customHeight="1" x14ac:dyDescent="0.2">
      <c r="A59" s="3">
        <v>53</v>
      </c>
      <c r="B59" s="4" t="s">
        <v>463</v>
      </c>
      <c r="C59" s="4" t="s">
        <v>464</v>
      </c>
      <c r="D59" s="4" t="s">
        <v>80</v>
      </c>
      <c r="E59" s="5">
        <v>348399</v>
      </c>
      <c r="F59" s="6">
        <v>3453.1566885000002</v>
      </c>
      <c r="G59" s="7">
        <v>7.3068650000000001E-3</v>
      </c>
      <c r="H59" s="6"/>
    </row>
    <row r="60" spans="1:8" ht="17.100000000000001" customHeight="1" x14ac:dyDescent="0.2">
      <c r="A60" s="3">
        <v>54</v>
      </c>
      <c r="B60" s="4" t="s">
        <v>312</v>
      </c>
      <c r="C60" s="4" t="s">
        <v>313</v>
      </c>
      <c r="D60" s="4" t="s">
        <v>254</v>
      </c>
      <c r="E60" s="5">
        <v>7610</v>
      </c>
      <c r="F60" s="6">
        <v>3439.2672050000001</v>
      </c>
      <c r="G60" s="7">
        <v>7.2774750000000003E-3</v>
      </c>
      <c r="H60" s="6"/>
    </row>
    <row r="61" spans="1:8" ht="29.1" customHeight="1" x14ac:dyDescent="0.2">
      <c r="A61" s="3">
        <v>55</v>
      </c>
      <c r="B61" s="4" t="s">
        <v>465</v>
      </c>
      <c r="C61" s="4" t="s">
        <v>466</v>
      </c>
      <c r="D61" s="4" t="s">
        <v>25</v>
      </c>
      <c r="E61" s="5">
        <v>14764</v>
      </c>
      <c r="F61" s="6">
        <v>3265.250532</v>
      </c>
      <c r="G61" s="7">
        <v>6.9092559999999999E-3</v>
      </c>
      <c r="H61" s="6"/>
    </row>
    <row r="62" spans="1:8" ht="17.100000000000001" customHeight="1" x14ac:dyDescent="0.2">
      <c r="A62" s="3">
        <v>56</v>
      </c>
      <c r="B62" s="4" t="s">
        <v>433</v>
      </c>
      <c r="C62" s="4" t="s">
        <v>434</v>
      </c>
      <c r="D62" s="4" t="s">
        <v>106</v>
      </c>
      <c r="E62" s="5">
        <v>307717</v>
      </c>
      <c r="F62" s="6">
        <v>3248.4145104999998</v>
      </c>
      <c r="G62" s="7">
        <v>6.8736309999999998E-3</v>
      </c>
      <c r="H62" s="6"/>
    </row>
    <row r="63" spans="1:8" ht="17.100000000000001" customHeight="1" x14ac:dyDescent="0.2">
      <c r="A63" s="3">
        <v>57</v>
      </c>
      <c r="B63" s="4" t="s">
        <v>357</v>
      </c>
      <c r="C63" s="4" t="s">
        <v>358</v>
      </c>
      <c r="D63" s="4" t="s">
        <v>186</v>
      </c>
      <c r="E63" s="5">
        <v>556826</v>
      </c>
      <c r="F63" s="6">
        <v>3067.8328470000001</v>
      </c>
      <c r="G63" s="7">
        <v>6.4915210000000001E-3</v>
      </c>
      <c r="H63" s="6"/>
    </row>
    <row r="64" spans="1:8" ht="17.100000000000001" customHeight="1" x14ac:dyDescent="0.2">
      <c r="A64" s="3">
        <v>58</v>
      </c>
      <c r="B64" s="4" t="s">
        <v>352</v>
      </c>
      <c r="C64" s="4" t="s">
        <v>353</v>
      </c>
      <c r="D64" s="4" t="s">
        <v>85</v>
      </c>
      <c r="E64" s="5">
        <v>492415</v>
      </c>
      <c r="F64" s="6">
        <v>3061.0978475000002</v>
      </c>
      <c r="G64" s="7">
        <v>6.4772700000000002E-3</v>
      </c>
      <c r="H64" s="6"/>
    </row>
    <row r="65" spans="1:8" ht="17.100000000000001" customHeight="1" x14ac:dyDescent="0.2">
      <c r="A65" s="3">
        <v>59</v>
      </c>
      <c r="B65" s="4" t="s">
        <v>390</v>
      </c>
      <c r="C65" s="4" t="s">
        <v>391</v>
      </c>
      <c r="D65" s="4" t="s">
        <v>80</v>
      </c>
      <c r="E65" s="5">
        <v>509693</v>
      </c>
      <c r="F65" s="6">
        <v>3039.8090520000001</v>
      </c>
      <c r="G65" s="7">
        <v>6.4322229999999999E-3</v>
      </c>
      <c r="H65" s="6"/>
    </row>
    <row r="66" spans="1:8" ht="17.100000000000001" customHeight="1" x14ac:dyDescent="0.2">
      <c r="A66" s="3">
        <v>60</v>
      </c>
      <c r="B66" s="4" t="s">
        <v>222</v>
      </c>
      <c r="C66" s="4" t="s">
        <v>223</v>
      </c>
      <c r="D66" s="4" t="s">
        <v>95</v>
      </c>
      <c r="E66" s="5">
        <v>190000</v>
      </c>
      <c r="F66" s="6">
        <v>2983.665</v>
      </c>
      <c r="G66" s="7">
        <v>6.3134230000000003E-3</v>
      </c>
      <c r="H66" s="6"/>
    </row>
    <row r="67" spans="1:8" ht="17.100000000000001" customHeight="1" x14ac:dyDescent="0.2">
      <c r="A67" s="3">
        <v>61</v>
      </c>
      <c r="B67" s="4" t="s">
        <v>340</v>
      </c>
      <c r="C67" s="4" t="s">
        <v>341</v>
      </c>
      <c r="D67" s="4" t="s">
        <v>28</v>
      </c>
      <c r="E67" s="5">
        <v>286278</v>
      </c>
      <c r="F67" s="6">
        <v>2937.0691409999999</v>
      </c>
      <c r="G67" s="7">
        <v>6.2148259999999997E-3</v>
      </c>
      <c r="H67" s="6"/>
    </row>
    <row r="68" spans="1:8" ht="29.1" customHeight="1" x14ac:dyDescent="0.2">
      <c r="A68" s="3">
        <v>62</v>
      </c>
      <c r="B68" s="4" t="s">
        <v>365</v>
      </c>
      <c r="C68" s="4" t="s">
        <v>366</v>
      </c>
      <c r="D68" s="4" t="s">
        <v>198</v>
      </c>
      <c r="E68" s="5">
        <v>403490</v>
      </c>
      <c r="F68" s="6">
        <v>2787.9141549999999</v>
      </c>
      <c r="G68" s="7">
        <v>5.8992150000000002E-3</v>
      </c>
      <c r="H68" s="6"/>
    </row>
    <row r="69" spans="1:8" ht="17.100000000000001" customHeight="1" x14ac:dyDescent="0.2">
      <c r="A69" s="3">
        <v>63</v>
      </c>
      <c r="B69" s="4" t="s">
        <v>467</v>
      </c>
      <c r="C69" s="4" t="s">
        <v>468</v>
      </c>
      <c r="D69" s="4" t="s">
        <v>302</v>
      </c>
      <c r="E69" s="5">
        <v>185641</v>
      </c>
      <c r="F69" s="6">
        <v>2774.4975654999998</v>
      </c>
      <c r="G69" s="7">
        <v>5.8708249999999997E-3</v>
      </c>
      <c r="H69" s="6"/>
    </row>
    <row r="70" spans="1:8" ht="17.100000000000001" customHeight="1" x14ac:dyDescent="0.2">
      <c r="A70" s="3">
        <v>64</v>
      </c>
      <c r="B70" s="4" t="s">
        <v>469</v>
      </c>
      <c r="C70" s="4" t="s">
        <v>470</v>
      </c>
      <c r="D70" s="4" t="s">
        <v>95</v>
      </c>
      <c r="E70" s="5">
        <v>2081348</v>
      </c>
      <c r="F70" s="6">
        <v>2720.3218360000001</v>
      </c>
      <c r="G70" s="7">
        <v>5.7561899999999996E-3</v>
      </c>
      <c r="H70" s="6"/>
    </row>
    <row r="71" spans="1:8" ht="29.1" customHeight="1" x14ac:dyDescent="0.2">
      <c r="A71" s="3">
        <v>65</v>
      </c>
      <c r="B71" s="4" t="s">
        <v>344</v>
      </c>
      <c r="C71" s="4" t="s">
        <v>345</v>
      </c>
      <c r="D71" s="4" t="s">
        <v>198</v>
      </c>
      <c r="E71" s="5">
        <v>286464</v>
      </c>
      <c r="F71" s="6">
        <v>2585.6240640000001</v>
      </c>
      <c r="G71" s="7">
        <v>5.47117E-3</v>
      </c>
      <c r="H71" s="6"/>
    </row>
    <row r="72" spans="1:8" ht="17.100000000000001" customHeight="1" x14ac:dyDescent="0.2">
      <c r="A72" s="3">
        <v>66</v>
      </c>
      <c r="B72" s="4" t="s">
        <v>471</v>
      </c>
      <c r="C72" s="4" t="s">
        <v>472</v>
      </c>
      <c r="D72" s="4" t="s">
        <v>95</v>
      </c>
      <c r="E72" s="5">
        <v>328185</v>
      </c>
      <c r="F72" s="6">
        <v>2560.1711850000002</v>
      </c>
      <c r="G72" s="7">
        <v>5.4173110000000002E-3</v>
      </c>
      <c r="H72" s="6"/>
    </row>
    <row r="73" spans="1:8" ht="17.100000000000001" customHeight="1" x14ac:dyDescent="0.2">
      <c r="A73" s="3">
        <v>67</v>
      </c>
      <c r="B73" s="4" t="s">
        <v>421</v>
      </c>
      <c r="C73" s="4" t="s">
        <v>422</v>
      </c>
      <c r="D73" s="4" t="s">
        <v>994</v>
      </c>
      <c r="E73" s="5">
        <v>485987</v>
      </c>
      <c r="F73" s="6">
        <v>2323.2608534999999</v>
      </c>
      <c r="G73" s="7">
        <v>4.9160100000000002E-3</v>
      </c>
      <c r="H73" s="6"/>
    </row>
    <row r="74" spans="1:8" ht="17.100000000000001" customHeight="1" x14ac:dyDescent="0.2">
      <c r="A74" s="3">
        <v>68</v>
      </c>
      <c r="B74" s="4" t="s">
        <v>401</v>
      </c>
      <c r="C74" s="4" t="s">
        <v>402</v>
      </c>
      <c r="D74" s="4" t="s">
        <v>80</v>
      </c>
      <c r="E74" s="5">
        <v>198211</v>
      </c>
      <c r="F74" s="6">
        <v>2047.2223134999999</v>
      </c>
      <c r="G74" s="7">
        <v>4.3319140000000001E-3</v>
      </c>
      <c r="H74" s="6"/>
    </row>
    <row r="75" spans="1:8" ht="17.100000000000001" customHeight="1" x14ac:dyDescent="0.2">
      <c r="A75" s="3">
        <v>69</v>
      </c>
      <c r="B75" s="4" t="s">
        <v>473</v>
      </c>
      <c r="C75" s="4" t="s">
        <v>474</v>
      </c>
      <c r="D75" s="4" t="s">
        <v>80</v>
      </c>
      <c r="E75" s="5">
        <v>80959</v>
      </c>
      <c r="F75" s="6">
        <v>1794.05144</v>
      </c>
      <c r="G75" s="7">
        <v>3.796205E-3</v>
      </c>
      <c r="H75" s="6"/>
    </row>
    <row r="76" spans="1:8" ht="17.100000000000001" customHeight="1" x14ac:dyDescent="0.2">
      <c r="A76" s="3">
        <v>70</v>
      </c>
      <c r="B76" s="4" t="s">
        <v>475</v>
      </c>
      <c r="C76" s="4" t="s">
        <v>476</v>
      </c>
      <c r="D76" s="4" t="s">
        <v>323</v>
      </c>
      <c r="E76" s="5">
        <v>219180</v>
      </c>
      <c r="F76" s="6">
        <v>1778.2073399999999</v>
      </c>
      <c r="G76" s="7">
        <v>3.7626790000000001E-3</v>
      </c>
      <c r="H76" s="6"/>
    </row>
    <row r="77" spans="1:8" ht="29.1" customHeight="1" x14ac:dyDescent="0.2">
      <c r="A77" s="3">
        <v>71</v>
      </c>
      <c r="B77" s="4" t="s">
        <v>403</v>
      </c>
      <c r="C77" s="4" t="s">
        <v>404</v>
      </c>
      <c r="D77" s="4" t="s">
        <v>25</v>
      </c>
      <c r="E77" s="5">
        <v>126915</v>
      </c>
      <c r="F77" s="6">
        <v>1729.2168750000001</v>
      </c>
      <c r="G77" s="7">
        <v>3.6590160000000002E-3</v>
      </c>
      <c r="H77" s="6"/>
    </row>
    <row r="78" spans="1:8" ht="17.100000000000001" customHeight="1" x14ac:dyDescent="0.2">
      <c r="A78" s="3">
        <v>72</v>
      </c>
      <c r="B78" s="4" t="s">
        <v>332</v>
      </c>
      <c r="C78" s="4" t="s">
        <v>333</v>
      </c>
      <c r="D78" s="4" t="s">
        <v>239</v>
      </c>
      <c r="E78" s="5">
        <v>42261</v>
      </c>
      <c r="F78" s="6">
        <v>1681.691973</v>
      </c>
      <c r="G78" s="7">
        <v>3.5584530000000001E-3</v>
      </c>
      <c r="H78" s="6"/>
    </row>
    <row r="79" spans="1:8" ht="17.100000000000001" customHeight="1" x14ac:dyDescent="0.2">
      <c r="A79" s="3">
        <v>73</v>
      </c>
      <c r="B79" s="4" t="s">
        <v>438</v>
      </c>
      <c r="C79" s="4" t="s">
        <v>1057</v>
      </c>
      <c r="D79" s="4" t="s">
        <v>22</v>
      </c>
      <c r="E79" s="5">
        <v>71599</v>
      </c>
      <c r="F79" s="6">
        <v>237.6012815</v>
      </c>
      <c r="G79" s="7">
        <v>5.0276300000000004E-4</v>
      </c>
      <c r="H79" s="6"/>
    </row>
    <row r="80" spans="1:8" ht="14.1" customHeight="1" x14ac:dyDescent="0.2">
      <c r="A80" s="1"/>
      <c r="B80" s="1"/>
      <c r="C80" s="2" t="s">
        <v>119</v>
      </c>
      <c r="D80" s="1"/>
      <c r="E80" s="1" t="s">
        <v>120</v>
      </c>
      <c r="F80" s="9">
        <v>451905.65625799989</v>
      </c>
      <c r="G80" s="10">
        <v>0.95623046400000022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121</v>
      </c>
      <c r="D82" s="1"/>
      <c r="E82" s="1"/>
      <c r="F82" s="1"/>
      <c r="G82" s="1"/>
      <c r="H82" s="6"/>
    </row>
    <row r="83" spans="1:8" ht="14.1" customHeight="1" x14ac:dyDescent="0.2">
      <c r="A83" s="1"/>
      <c r="B83" s="1"/>
      <c r="C83" s="2" t="s">
        <v>119</v>
      </c>
      <c r="D83" s="1"/>
      <c r="E83" s="1" t="s">
        <v>120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122</v>
      </c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119</v>
      </c>
      <c r="D86" s="1"/>
      <c r="E86" s="1" t="s">
        <v>120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123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119</v>
      </c>
      <c r="D89" s="1"/>
      <c r="E89" s="1" t="s">
        <v>120</v>
      </c>
      <c r="F89" s="9">
        <v>0</v>
      </c>
      <c r="G89" s="10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124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125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 t="s">
        <v>120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8" customHeight="1" x14ac:dyDescent="0.2">
      <c r="A97" s="1"/>
      <c r="B97" s="1"/>
      <c r="C97" s="2" t="s">
        <v>126</v>
      </c>
      <c r="D97" s="1"/>
      <c r="E97" s="1"/>
      <c r="F97" s="9">
        <v>451905.656258</v>
      </c>
      <c r="G97" s="10">
        <v>0.956230464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127</v>
      </c>
      <c r="D99" s="1"/>
      <c r="E99" s="1"/>
      <c r="F99" s="12"/>
      <c r="G99" s="12"/>
      <c r="H99" s="6"/>
    </row>
    <row r="100" spans="1:8" ht="24" customHeight="1" x14ac:dyDescent="0.2">
      <c r="A100" s="1"/>
      <c r="B100" s="1"/>
      <c r="C100" s="2" t="s">
        <v>10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119</v>
      </c>
      <c r="D101" s="1"/>
      <c r="E101" s="1" t="s">
        <v>120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128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119</v>
      </c>
      <c r="D104" s="1"/>
      <c r="E104" s="1" t="s">
        <v>120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129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130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 t="s">
        <v>120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131</v>
      </c>
      <c r="D112" s="1"/>
      <c r="E112" s="1"/>
      <c r="F112" s="9">
        <v>0</v>
      </c>
      <c r="G112" s="10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132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133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119</v>
      </c>
      <c r="D116" s="1"/>
      <c r="E116" s="1" t="s">
        <v>120</v>
      </c>
      <c r="F116" s="13">
        <v>0</v>
      </c>
      <c r="G116" s="14">
        <v>0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134</v>
      </c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119</v>
      </c>
      <c r="D119" s="1"/>
      <c r="E119" s="1" t="s">
        <v>120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135</v>
      </c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119</v>
      </c>
      <c r="D122" s="1"/>
      <c r="E122" s="1" t="s">
        <v>120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136</v>
      </c>
      <c r="D124" s="1"/>
      <c r="E124" s="1"/>
      <c r="F124" s="12"/>
      <c r="G124" s="12"/>
      <c r="H124" s="6"/>
    </row>
    <row r="125" spans="1:8" ht="17.100000000000001" customHeight="1" x14ac:dyDescent="0.2">
      <c r="A125" s="3">
        <v>1</v>
      </c>
      <c r="B125" s="4"/>
      <c r="C125" s="4" t="s">
        <v>137</v>
      </c>
      <c r="D125" s="4"/>
      <c r="E125" s="8"/>
      <c r="F125" s="6">
        <v>19198.733420799999</v>
      </c>
      <c r="G125" s="7">
        <v>4.0624438999999998E-2</v>
      </c>
      <c r="H125" s="6">
        <v>4.1713246754849944</v>
      </c>
    </row>
    <row r="126" spans="1:8" ht="14.1" customHeight="1" x14ac:dyDescent="0.2">
      <c r="A126" s="1"/>
      <c r="B126" s="1"/>
      <c r="C126" s="2" t="s">
        <v>119</v>
      </c>
      <c r="D126" s="1"/>
      <c r="E126" s="1" t="s">
        <v>120</v>
      </c>
      <c r="F126" s="9">
        <v>19198.733420799999</v>
      </c>
      <c r="G126" s="10">
        <v>4.0624438999999998E-2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138</v>
      </c>
      <c r="D128" s="1"/>
      <c r="E128" s="1"/>
      <c r="F128" s="9">
        <v>19198.733420799999</v>
      </c>
      <c r="G128" s="10">
        <v>4.0624438999999998E-2</v>
      </c>
      <c r="H128" s="6"/>
    </row>
    <row r="129" spans="1:15" ht="14.1" customHeight="1" x14ac:dyDescent="0.2">
      <c r="A129" s="1"/>
      <c r="B129" s="1"/>
      <c r="C129" s="12"/>
      <c r="D129" s="1"/>
      <c r="E129" s="1"/>
      <c r="F129" s="1"/>
      <c r="G129" s="1"/>
      <c r="H129" s="6"/>
    </row>
    <row r="130" spans="1:15" ht="14.1" customHeight="1" x14ac:dyDescent="0.2">
      <c r="A130" s="1"/>
      <c r="B130" s="1"/>
      <c r="C130" s="2" t="s">
        <v>139</v>
      </c>
      <c r="D130" s="1"/>
      <c r="E130" s="1"/>
      <c r="F130" s="1"/>
      <c r="G130" s="1"/>
      <c r="H130" s="6"/>
    </row>
    <row r="131" spans="1:15" ht="14.1" customHeight="1" x14ac:dyDescent="0.2">
      <c r="A131" s="1"/>
      <c r="B131" s="1"/>
      <c r="C131" s="2" t="s">
        <v>140</v>
      </c>
      <c r="D131" s="1"/>
      <c r="E131" s="1"/>
      <c r="F131" s="1"/>
      <c r="G131" s="1"/>
      <c r="H131" s="6"/>
    </row>
    <row r="132" spans="1:15" ht="14.1" customHeight="1" x14ac:dyDescent="0.2">
      <c r="A132" s="1"/>
      <c r="B132" s="1"/>
      <c r="C132" s="2" t="s">
        <v>119</v>
      </c>
      <c r="D132" s="1"/>
      <c r="E132" s="1" t="s">
        <v>120</v>
      </c>
      <c r="F132" s="13">
        <v>0</v>
      </c>
      <c r="G132" s="14">
        <v>0</v>
      </c>
      <c r="H132" s="6"/>
    </row>
    <row r="133" spans="1:15" ht="14.1" customHeight="1" x14ac:dyDescent="0.2">
      <c r="A133" s="1"/>
      <c r="B133" s="1"/>
      <c r="C133" s="11"/>
      <c r="D133" s="1"/>
      <c r="E133" s="1"/>
      <c r="F133" s="12"/>
      <c r="G133" s="12"/>
      <c r="H133" s="6"/>
    </row>
    <row r="134" spans="1:15" ht="14.1" customHeight="1" x14ac:dyDescent="0.2">
      <c r="A134" s="1"/>
      <c r="B134" s="1"/>
      <c r="C134" s="2" t="s">
        <v>141</v>
      </c>
      <c r="D134" s="1"/>
      <c r="E134" s="1"/>
      <c r="F134" s="1"/>
      <c r="G134" s="1"/>
      <c r="H134" s="6"/>
    </row>
    <row r="135" spans="1:15" ht="14.1" customHeight="1" x14ac:dyDescent="0.2">
      <c r="A135" s="1"/>
      <c r="B135" s="1"/>
      <c r="C135" s="2" t="s">
        <v>142</v>
      </c>
      <c r="D135" s="1"/>
      <c r="E135" s="1"/>
      <c r="F135" s="1"/>
      <c r="G135" s="1"/>
      <c r="H135" s="6"/>
    </row>
    <row r="136" spans="1:15" ht="14.1" customHeight="1" x14ac:dyDescent="0.2">
      <c r="A136" s="1"/>
      <c r="B136" s="1"/>
      <c r="C136" s="2" t="s">
        <v>119</v>
      </c>
      <c r="D136" s="1"/>
      <c r="E136" s="1" t="s">
        <v>120</v>
      </c>
      <c r="F136" s="13">
        <v>0</v>
      </c>
      <c r="G136" s="14">
        <v>0</v>
      </c>
      <c r="H136" s="6"/>
    </row>
    <row r="137" spans="1:15" ht="14.1" customHeight="1" x14ac:dyDescent="0.2">
      <c r="A137" s="1"/>
      <c r="B137" s="1"/>
      <c r="C137" s="11"/>
      <c r="D137" s="1"/>
      <c r="E137" s="1"/>
      <c r="F137" s="12"/>
      <c r="G137" s="12"/>
      <c r="H137" s="6"/>
      <c r="J137" s="170"/>
      <c r="K137" s="170"/>
      <c r="L137" s="170"/>
      <c r="M137" s="170"/>
      <c r="N137" s="170"/>
      <c r="O137" s="170"/>
    </row>
    <row r="138" spans="1:15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15" ht="24" customHeight="1" x14ac:dyDescent="0.2">
      <c r="A139" s="1"/>
      <c r="B139" s="1"/>
      <c r="C139" s="2" t="s">
        <v>143</v>
      </c>
      <c r="D139" s="1"/>
      <c r="E139" s="1"/>
      <c r="F139" s="12"/>
      <c r="G139" s="12"/>
      <c r="H139" s="6"/>
    </row>
    <row r="140" spans="1:15" ht="14.1" customHeight="1" x14ac:dyDescent="0.2">
      <c r="A140" s="1"/>
      <c r="B140" s="1"/>
      <c r="C140" s="2" t="s">
        <v>119</v>
      </c>
      <c r="D140" s="1"/>
      <c r="E140" s="1" t="s">
        <v>120</v>
      </c>
      <c r="F140" s="13">
        <v>0</v>
      </c>
      <c r="G140" s="14">
        <v>0</v>
      </c>
      <c r="H140" s="6"/>
    </row>
    <row r="141" spans="1:15" ht="14.1" customHeight="1" x14ac:dyDescent="0.2">
      <c r="A141" s="1"/>
      <c r="B141" s="1"/>
      <c r="C141" s="11"/>
      <c r="D141" s="1"/>
      <c r="E141" s="1"/>
      <c r="F141" s="12"/>
      <c r="G141" s="12"/>
      <c r="H141" s="6"/>
    </row>
    <row r="142" spans="1:15" ht="14.1" customHeight="1" x14ac:dyDescent="0.2">
      <c r="A142" s="1"/>
      <c r="B142" s="4"/>
      <c r="C142" s="4"/>
      <c r="D142" s="2"/>
      <c r="E142" s="1"/>
      <c r="F142" s="4"/>
      <c r="G142" s="8"/>
      <c r="H142" s="6"/>
    </row>
    <row r="143" spans="1:15" ht="18" customHeight="1" x14ac:dyDescent="0.2">
      <c r="A143" s="8"/>
      <c r="B143" s="4"/>
      <c r="C143" s="4" t="s">
        <v>144</v>
      </c>
      <c r="D143" s="4"/>
      <c r="E143" s="8"/>
      <c r="F143" s="6">
        <v>1486.3423293999999</v>
      </c>
      <c r="G143" s="7">
        <v>3.1450940000000002E-3</v>
      </c>
      <c r="H143" s="6"/>
    </row>
    <row r="144" spans="1:15" ht="14.1" customHeight="1" x14ac:dyDescent="0.2">
      <c r="A144" s="11"/>
      <c r="B144" s="11"/>
      <c r="C144" s="2" t="s">
        <v>145</v>
      </c>
      <c r="D144" s="15"/>
      <c r="E144" s="15"/>
      <c r="F144" s="9">
        <f>+F143+F128+F97</f>
        <v>472590.73200820002</v>
      </c>
      <c r="G144" s="10">
        <v>0.99999999699999997</v>
      </c>
      <c r="H144" s="6"/>
    </row>
    <row r="145" spans="1:7" ht="14.1" customHeight="1" x14ac:dyDescent="0.2">
      <c r="A145" s="18"/>
      <c r="B145" s="18"/>
      <c r="C145" s="18"/>
      <c r="D145" s="20"/>
      <c r="E145" s="20"/>
      <c r="F145" s="20"/>
      <c r="G145" s="20"/>
    </row>
    <row r="146" spans="1:7" ht="14.1" customHeight="1" x14ac:dyDescent="0.2">
      <c r="A146" s="18"/>
      <c r="B146" s="265" t="s">
        <v>147</v>
      </c>
      <c r="C146" s="266"/>
      <c r="D146" s="12" t="s">
        <v>120</v>
      </c>
      <c r="E146" s="21"/>
      <c r="F146" s="20"/>
      <c r="G146" s="20"/>
    </row>
    <row r="147" spans="1:7" ht="29.1" customHeight="1" x14ac:dyDescent="0.2">
      <c r="A147" s="18"/>
      <c r="B147" s="272" t="s">
        <v>148</v>
      </c>
      <c r="C147" s="273"/>
      <c r="D147" s="2" t="s">
        <v>149</v>
      </c>
      <c r="E147" s="21"/>
      <c r="F147" s="20"/>
      <c r="G147" s="20"/>
    </row>
    <row r="148" spans="1:7" ht="17.100000000000001" customHeight="1" x14ac:dyDescent="0.2">
      <c r="A148" s="18"/>
      <c r="B148" s="272" t="s">
        <v>150</v>
      </c>
      <c r="C148" s="273"/>
      <c r="D148" s="2" t="s">
        <v>149</v>
      </c>
      <c r="E148" s="21"/>
      <c r="F148" s="20"/>
      <c r="G148" s="20"/>
    </row>
    <row r="149" spans="1:7" ht="17.100000000000001" customHeight="1" x14ac:dyDescent="0.2">
      <c r="A149" s="18"/>
      <c r="B149" s="272" t="s">
        <v>151</v>
      </c>
      <c r="C149" s="273"/>
      <c r="D149" s="12" t="s">
        <v>120</v>
      </c>
      <c r="E149" s="21"/>
      <c r="F149" s="20"/>
      <c r="G149" s="20"/>
    </row>
    <row r="150" spans="1:7" ht="24" customHeight="1" x14ac:dyDescent="0.2">
      <c r="A150" s="22"/>
      <c r="B150" s="23" t="s">
        <v>120</v>
      </c>
      <c r="C150" s="23" t="s">
        <v>152</v>
      </c>
      <c r="D150" s="23" t="s">
        <v>153</v>
      </c>
      <c r="E150" s="22"/>
      <c r="F150" s="22"/>
      <c r="G150" s="22"/>
    </row>
    <row r="151" spans="1:7" ht="18" customHeight="1" x14ac:dyDescent="0.2">
      <c r="A151" s="22"/>
      <c r="B151" s="23" t="s">
        <v>154</v>
      </c>
      <c r="C151" s="23" t="s">
        <v>155</v>
      </c>
      <c r="D151" s="23" t="s">
        <v>156</v>
      </c>
      <c r="E151" s="22"/>
      <c r="F151" s="22"/>
      <c r="G151" s="22"/>
    </row>
    <row r="152" spans="1:7" ht="17.100000000000001" customHeight="1" x14ac:dyDescent="0.2">
      <c r="A152" s="22"/>
      <c r="B152" s="4" t="s">
        <v>157</v>
      </c>
      <c r="C152" s="24">
        <v>57.798499999999997</v>
      </c>
      <c r="D152" s="24">
        <v>54.982199999999999</v>
      </c>
      <c r="E152" s="22"/>
      <c r="F152" s="19"/>
      <c r="G152" s="25"/>
    </row>
    <row r="153" spans="1:7" ht="17.100000000000001" customHeight="1" x14ac:dyDescent="0.2">
      <c r="A153" s="22"/>
      <c r="B153" s="4" t="s">
        <v>1120</v>
      </c>
      <c r="C153" s="24">
        <v>26.7529</v>
      </c>
      <c r="D153" s="24">
        <v>25.449400000000001</v>
      </c>
      <c r="E153" s="22"/>
      <c r="F153" s="19"/>
      <c r="G153" s="25"/>
    </row>
    <row r="154" spans="1:7" ht="17.100000000000001" customHeight="1" x14ac:dyDescent="0.2">
      <c r="A154" s="22"/>
      <c r="B154" s="4" t="s">
        <v>158</v>
      </c>
      <c r="C154" s="24">
        <v>53.235500000000002</v>
      </c>
      <c r="D154" s="24">
        <v>50.589300000000001</v>
      </c>
      <c r="E154" s="22"/>
      <c r="F154" s="19"/>
      <c r="G154" s="25"/>
    </row>
    <row r="155" spans="1:7" ht="17.100000000000001" customHeight="1" x14ac:dyDescent="0.2">
      <c r="A155" s="22"/>
      <c r="B155" s="4" t="s">
        <v>1121</v>
      </c>
      <c r="C155" s="24">
        <v>24.122499999999999</v>
      </c>
      <c r="D155" s="24">
        <v>22.923500000000001</v>
      </c>
      <c r="E155" s="22"/>
      <c r="F155" s="19"/>
      <c r="G155" s="25"/>
    </row>
    <row r="156" spans="1:7" ht="14.1" customHeight="1" x14ac:dyDescent="0.2">
      <c r="A156" s="22"/>
      <c r="B156" s="22"/>
      <c r="C156" s="22"/>
      <c r="D156" s="22"/>
      <c r="E156" s="22"/>
      <c r="F156" s="22"/>
      <c r="G156" s="22"/>
    </row>
    <row r="157" spans="1:7" ht="17.100000000000001" customHeight="1" x14ac:dyDescent="0.2">
      <c r="A157" s="22"/>
      <c r="B157" s="272" t="s">
        <v>1122</v>
      </c>
      <c r="C157" s="273"/>
      <c r="D157" s="2" t="s">
        <v>149</v>
      </c>
      <c r="E157" s="22"/>
      <c r="F157" s="22"/>
      <c r="G157" s="22"/>
    </row>
    <row r="158" spans="1:7" ht="14.1" customHeight="1" x14ac:dyDescent="0.2">
      <c r="A158" s="22"/>
      <c r="B158" s="19"/>
      <c r="C158" s="19"/>
      <c r="D158" s="22"/>
      <c r="E158" s="22"/>
      <c r="F158" s="22"/>
      <c r="G158" s="22"/>
    </row>
    <row r="159" spans="1:7" ht="29.1" customHeight="1" x14ac:dyDescent="0.2">
      <c r="A159" s="22"/>
      <c r="B159" s="272" t="s">
        <v>160</v>
      </c>
      <c r="C159" s="273"/>
      <c r="D159" s="2" t="s">
        <v>149</v>
      </c>
      <c r="E159" s="22"/>
      <c r="F159" s="22"/>
      <c r="G159" s="22"/>
    </row>
    <row r="160" spans="1:7" ht="29.1" customHeight="1" x14ac:dyDescent="0.2">
      <c r="A160" s="22"/>
      <c r="B160" s="272" t="s">
        <v>161</v>
      </c>
      <c r="C160" s="273"/>
      <c r="D160" s="2" t="s">
        <v>149</v>
      </c>
      <c r="E160" s="22"/>
      <c r="F160" s="22"/>
      <c r="G160" s="22"/>
    </row>
    <row r="161" spans="1:7" ht="17.100000000000001" customHeight="1" x14ac:dyDescent="0.2">
      <c r="A161" s="22"/>
      <c r="B161" s="272" t="s">
        <v>162</v>
      </c>
      <c r="C161" s="273"/>
      <c r="D161" s="27">
        <v>0.35743203136407076</v>
      </c>
      <c r="E161" s="22"/>
      <c r="F161" s="19"/>
      <c r="G161" s="25"/>
    </row>
    <row r="162" spans="1:7" ht="17.100000000000001" customHeight="1" x14ac:dyDescent="0.2">
      <c r="A162" s="22"/>
      <c r="B162" s="272" t="s">
        <v>163</v>
      </c>
      <c r="C162" s="273"/>
      <c r="D162" s="2" t="s">
        <v>149</v>
      </c>
      <c r="E162" s="22"/>
      <c r="F162" s="22"/>
      <c r="G162" s="22"/>
    </row>
  </sheetData>
  <mergeCells count="13">
    <mergeCell ref="B161:C161"/>
    <mergeCell ref="B162:C162"/>
    <mergeCell ref="B147:C147"/>
    <mergeCell ref="B148:C148"/>
    <mergeCell ref="B149:C149"/>
    <mergeCell ref="B157:C157"/>
    <mergeCell ref="B159:C159"/>
    <mergeCell ref="B160:C160"/>
    <mergeCell ref="J2:N2"/>
    <mergeCell ref="B146:C14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477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246</v>
      </c>
      <c r="C7" s="4" t="s">
        <v>247</v>
      </c>
      <c r="D7" s="4" t="s">
        <v>248</v>
      </c>
      <c r="E7" s="5">
        <v>538544</v>
      </c>
      <c r="F7" s="6">
        <v>979.880808</v>
      </c>
      <c r="G7" s="7">
        <v>3.5347073E-2</v>
      </c>
      <c r="H7" s="6"/>
    </row>
    <row r="8" spans="1:14" ht="17.100000000000001" customHeight="1" x14ac:dyDescent="0.2">
      <c r="A8" s="3">
        <v>2</v>
      </c>
      <c r="B8" s="4" t="s">
        <v>170</v>
      </c>
      <c r="C8" s="4" t="s">
        <v>171</v>
      </c>
      <c r="D8" s="4" t="s">
        <v>28</v>
      </c>
      <c r="E8" s="5">
        <v>76859</v>
      </c>
      <c r="F8" s="6">
        <v>950.20781699999998</v>
      </c>
      <c r="G8" s="7">
        <v>3.4276685000000001E-2</v>
      </c>
      <c r="H8" s="6"/>
    </row>
    <row r="9" spans="1:14" ht="29.1" customHeight="1" x14ac:dyDescent="0.2">
      <c r="A9" s="3">
        <v>3</v>
      </c>
      <c r="B9" s="4" t="s">
        <v>217</v>
      </c>
      <c r="C9" s="4" t="s">
        <v>218</v>
      </c>
      <c r="D9" s="4" t="s">
        <v>219</v>
      </c>
      <c r="E9" s="5">
        <v>20969</v>
      </c>
      <c r="F9" s="6">
        <v>822.91792050000004</v>
      </c>
      <c r="G9" s="7">
        <v>2.9684978000000001E-2</v>
      </c>
      <c r="H9" s="6"/>
    </row>
    <row r="10" spans="1:14" ht="17.100000000000001" customHeight="1" x14ac:dyDescent="0.2">
      <c r="A10" s="3">
        <v>4</v>
      </c>
      <c r="B10" s="4" t="s">
        <v>78</v>
      </c>
      <c r="C10" s="4" t="s">
        <v>79</v>
      </c>
      <c r="D10" s="4" t="s">
        <v>80</v>
      </c>
      <c r="E10" s="5">
        <v>167184</v>
      </c>
      <c r="F10" s="6">
        <v>817.27898400000004</v>
      </c>
      <c r="G10" s="7">
        <v>2.9481565000000001E-2</v>
      </c>
      <c r="H10" s="6"/>
    </row>
    <row r="11" spans="1:14" ht="17.100000000000001" customHeight="1" x14ac:dyDescent="0.2">
      <c r="A11" s="3">
        <v>5</v>
      </c>
      <c r="B11" s="4" t="s">
        <v>32</v>
      </c>
      <c r="C11" s="4" t="s">
        <v>33</v>
      </c>
      <c r="D11" s="4" t="s">
        <v>28</v>
      </c>
      <c r="E11" s="5">
        <v>40694</v>
      </c>
      <c r="F11" s="6">
        <v>697.51550699999996</v>
      </c>
      <c r="G11" s="7">
        <v>2.5161358000000002E-2</v>
      </c>
      <c r="H11" s="6"/>
    </row>
    <row r="12" spans="1:14" ht="17.100000000000001" customHeight="1" x14ac:dyDescent="0.2">
      <c r="A12" s="3">
        <v>6</v>
      </c>
      <c r="B12" s="4" t="s">
        <v>34</v>
      </c>
      <c r="C12" s="4" t="s">
        <v>35</v>
      </c>
      <c r="D12" s="4" t="s">
        <v>28</v>
      </c>
      <c r="E12" s="5">
        <v>51448</v>
      </c>
      <c r="F12" s="6">
        <v>697.17184799999995</v>
      </c>
      <c r="G12" s="7">
        <v>2.5148961000000001E-2</v>
      </c>
      <c r="H12" s="6"/>
    </row>
    <row r="13" spans="1:14" ht="17.100000000000001" customHeight="1" x14ac:dyDescent="0.2">
      <c r="A13" s="3">
        <v>7</v>
      </c>
      <c r="B13" s="4" t="s">
        <v>201</v>
      </c>
      <c r="C13" s="4" t="s">
        <v>202</v>
      </c>
      <c r="D13" s="4" t="s">
        <v>203</v>
      </c>
      <c r="E13" s="5">
        <v>134532</v>
      </c>
      <c r="F13" s="6">
        <v>677.36861999999996</v>
      </c>
      <c r="G13" s="7">
        <v>2.4434602999999999E-2</v>
      </c>
      <c r="H13" s="6"/>
      <c r="J13" s="169" t="s">
        <v>1144</v>
      </c>
    </row>
    <row r="14" spans="1:14" ht="17.100000000000001" customHeight="1" x14ac:dyDescent="0.2">
      <c r="A14" s="3">
        <v>8</v>
      </c>
      <c r="B14" s="4" t="s">
        <v>182</v>
      </c>
      <c r="C14" s="4" t="s">
        <v>183</v>
      </c>
      <c r="D14" s="4" t="s">
        <v>80</v>
      </c>
      <c r="E14" s="5">
        <v>114509</v>
      </c>
      <c r="F14" s="6">
        <v>657.22440549999999</v>
      </c>
      <c r="G14" s="7">
        <v>2.3707944000000002E-2</v>
      </c>
      <c r="H14" s="6"/>
    </row>
    <row r="15" spans="1:14" ht="29.1" customHeight="1" x14ac:dyDescent="0.2">
      <c r="A15" s="3">
        <v>9</v>
      </c>
      <c r="B15" s="4" t="s">
        <v>192</v>
      </c>
      <c r="C15" s="4" t="s">
        <v>193</v>
      </c>
      <c r="D15" s="4" t="s">
        <v>80</v>
      </c>
      <c r="E15" s="5">
        <v>181004</v>
      </c>
      <c r="F15" s="6">
        <v>654.23895800000003</v>
      </c>
      <c r="G15" s="7">
        <v>2.360025E-2</v>
      </c>
      <c r="H15" s="6"/>
    </row>
    <row r="16" spans="1:14" ht="17.100000000000001" customHeight="1" x14ac:dyDescent="0.2">
      <c r="A16" s="3">
        <v>10</v>
      </c>
      <c r="B16" s="4" t="s">
        <v>172</v>
      </c>
      <c r="C16" s="4" t="s">
        <v>173</v>
      </c>
      <c r="D16" s="4" t="s">
        <v>994</v>
      </c>
      <c r="E16" s="5">
        <v>121156</v>
      </c>
      <c r="F16" s="6">
        <v>642.49026800000001</v>
      </c>
      <c r="G16" s="7">
        <v>2.3176441999999998E-2</v>
      </c>
      <c r="H16" s="6"/>
    </row>
    <row r="17" spans="1:8" ht="17.100000000000001" customHeight="1" x14ac:dyDescent="0.2">
      <c r="A17" s="3">
        <v>11</v>
      </c>
      <c r="B17" s="4" t="s">
        <v>272</v>
      </c>
      <c r="C17" s="4" t="s">
        <v>273</v>
      </c>
      <c r="D17" s="4" t="s">
        <v>28</v>
      </c>
      <c r="E17" s="5">
        <v>78752</v>
      </c>
      <c r="F17" s="6">
        <v>633.55984000000001</v>
      </c>
      <c r="G17" s="7">
        <v>2.2854296E-2</v>
      </c>
      <c r="H17" s="6"/>
    </row>
    <row r="18" spans="1:8" ht="17.100000000000001" customHeight="1" x14ac:dyDescent="0.2">
      <c r="A18" s="3">
        <v>12</v>
      </c>
      <c r="B18" s="4" t="s">
        <v>177</v>
      </c>
      <c r="C18" s="4" t="s">
        <v>178</v>
      </c>
      <c r="D18" s="4" t="s">
        <v>85</v>
      </c>
      <c r="E18" s="5">
        <v>651089</v>
      </c>
      <c r="F18" s="6">
        <v>607.46603700000003</v>
      </c>
      <c r="G18" s="7">
        <v>2.1913018999999999E-2</v>
      </c>
      <c r="H18" s="6"/>
    </row>
    <row r="19" spans="1:8" ht="17.100000000000001" customHeight="1" x14ac:dyDescent="0.2">
      <c r="A19" s="3">
        <v>13</v>
      </c>
      <c r="B19" s="4" t="s">
        <v>279</v>
      </c>
      <c r="C19" s="4" t="s">
        <v>280</v>
      </c>
      <c r="D19" s="4" t="s">
        <v>28</v>
      </c>
      <c r="E19" s="5">
        <v>89666</v>
      </c>
      <c r="F19" s="6">
        <v>603.09351600000002</v>
      </c>
      <c r="G19" s="7">
        <v>2.175529E-2</v>
      </c>
      <c r="H19" s="6"/>
    </row>
    <row r="20" spans="1:8" ht="17.100000000000001" customHeight="1" x14ac:dyDescent="0.2">
      <c r="A20" s="3">
        <v>14</v>
      </c>
      <c r="B20" s="4" t="s">
        <v>179</v>
      </c>
      <c r="C20" s="4" t="s">
        <v>180</v>
      </c>
      <c r="D20" s="4" t="s">
        <v>181</v>
      </c>
      <c r="E20" s="5">
        <v>39741</v>
      </c>
      <c r="F20" s="6">
        <v>586.37845500000003</v>
      </c>
      <c r="G20" s="7">
        <v>2.115233E-2</v>
      </c>
      <c r="H20" s="6"/>
    </row>
    <row r="21" spans="1:8" ht="17.100000000000001" customHeight="1" x14ac:dyDescent="0.2">
      <c r="A21" s="3">
        <v>15</v>
      </c>
      <c r="B21" s="4" t="s">
        <v>174</v>
      </c>
      <c r="C21" s="4" t="s">
        <v>175</v>
      </c>
      <c r="D21" s="4" t="s">
        <v>176</v>
      </c>
      <c r="E21" s="5">
        <v>52435</v>
      </c>
      <c r="F21" s="6">
        <v>551.64241749999997</v>
      </c>
      <c r="G21" s="7">
        <v>1.9899303E-2</v>
      </c>
      <c r="H21" s="6"/>
    </row>
    <row r="22" spans="1:8" ht="17.100000000000001" customHeight="1" x14ac:dyDescent="0.2">
      <c r="A22" s="3">
        <v>16</v>
      </c>
      <c r="B22" s="4" t="s">
        <v>249</v>
      </c>
      <c r="C22" s="4" t="s">
        <v>250</v>
      </c>
      <c r="D22" s="4" t="s">
        <v>994</v>
      </c>
      <c r="E22" s="5">
        <v>14600</v>
      </c>
      <c r="F22" s="6">
        <v>548.94539999999995</v>
      </c>
      <c r="G22" s="7">
        <v>1.9802014E-2</v>
      </c>
      <c r="H22" s="6"/>
    </row>
    <row r="23" spans="1:8" ht="17.100000000000001" customHeight="1" x14ac:dyDescent="0.2">
      <c r="A23" s="3">
        <v>17</v>
      </c>
      <c r="B23" s="4" t="s">
        <v>90</v>
      </c>
      <c r="C23" s="4" t="s">
        <v>91</v>
      </c>
      <c r="D23" s="4" t="s">
        <v>92</v>
      </c>
      <c r="E23" s="5">
        <v>108670</v>
      </c>
      <c r="F23" s="6">
        <v>504.93515500000001</v>
      </c>
      <c r="G23" s="7">
        <v>1.8214439999999998E-2</v>
      </c>
      <c r="H23" s="6"/>
    </row>
    <row r="24" spans="1:8" ht="17.100000000000001" customHeight="1" x14ac:dyDescent="0.2">
      <c r="A24" s="3">
        <v>18</v>
      </c>
      <c r="B24" s="4" t="s">
        <v>204</v>
      </c>
      <c r="C24" s="4" t="s">
        <v>205</v>
      </c>
      <c r="D24" s="4" t="s">
        <v>85</v>
      </c>
      <c r="E24" s="5">
        <v>64874</v>
      </c>
      <c r="F24" s="6">
        <v>504.71972</v>
      </c>
      <c r="G24" s="7">
        <v>1.8206667999999999E-2</v>
      </c>
      <c r="H24" s="6"/>
    </row>
    <row r="25" spans="1:8" ht="17.100000000000001" customHeight="1" x14ac:dyDescent="0.2">
      <c r="A25" s="3">
        <v>19</v>
      </c>
      <c r="B25" s="4" t="s">
        <v>237</v>
      </c>
      <c r="C25" s="4" t="s">
        <v>238</v>
      </c>
      <c r="D25" s="4" t="s">
        <v>239</v>
      </c>
      <c r="E25" s="5">
        <v>178406</v>
      </c>
      <c r="F25" s="6">
        <v>501.05325099999999</v>
      </c>
      <c r="G25" s="7">
        <v>1.8074408E-2</v>
      </c>
      <c r="H25" s="6"/>
    </row>
    <row r="26" spans="1:8" ht="17.100000000000001" customHeight="1" x14ac:dyDescent="0.2">
      <c r="A26" s="3">
        <v>20</v>
      </c>
      <c r="B26" s="4" t="s">
        <v>184</v>
      </c>
      <c r="C26" s="4" t="s">
        <v>185</v>
      </c>
      <c r="D26" s="4" t="s">
        <v>186</v>
      </c>
      <c r="E26" s="5">
        <v>42900</v>
      </c>
      <c r="F26" s="6">
        <v>455.91975000000002</v>
      </c>
      <c r="G26" s="7">
        <v>1.6446315E-2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32420</v>
      </c>
      <c r="F27" s="6">
        <v>444.68893000000003</v>
      </c>
      <c r="G27" s="7">
        <v>1.6041188000000001E-2</v>
      </c>
      <c r="H27" s="6"/>
    </row>
    <row r="28" spans="1:8" ht="29.1" customHeight="1" x14ac:dyDescent="0.2">
      <c r="A28" s="3">
        <v>22</v>
      </c>
      <c r="B28" s="4" t="s">
        <v>189</v>
      </c>
      <c r="C28" s="4" t="s">
        <v>190</v>
      </c>
      <c r="D28" s="4" t="s">
        <v>191</v>
      </c>
      <c r="E28" s="5">
        <v>62196</v>
      </c>
      <c r="F28" s="6">
        <v>437.89093800000001</v>
      </c>
      <c r="G28" s="7">
        <v>1.5795964999999999E-2</v>
      </c>
      <c r="H28" s="6"/>
    </row>
    <row r="29" spans="1:8" ht="17.100000000000001" customHeight="1" x14ac:dyDescent="0.2">
      <c r="A29" s="3">
        <v>23</v>
      </c>
      <c r="B29" s="4" t="s">
        <v>277</v>
      </c>
      <c r="C29" s="4" t="s">
        <v>278</v>
      </c>
      <c r="D29" s="4" t="s">
        <v>92</v>
      </c>
      <c r="E29" s="5">
        <v>37395</v>
      </c>
      <c r="F29" s="6">
        <v>436.362255</v>
      </c>
      <c r="G29" s="7">
        <v>1.5740820999999999E-2</v>
      </c>
      <c r="H29" s="6"/>
    </row>
    <row r="30" spans="1:8" ht="17.100000000000001" customHeight="1" x14ac:dyDescent="0.2">
      <c r="A30" s="3">
        <v>24</v>
      </c>
      <c r="B30" s="4" t="s">
        <v>194</v>
      </c>
      <c r="C30" s="4" t="s">
        <v>195</v>
      </c>
      <c r="D30" s="4" t="s">
        <v>85</v>
      </c>
      <c r="E30" s="5">
        <v>84586</v>
      </c>
      <c r="F30" s="6">
        <v>409.14248199999997</v>
      </c>
      <c r="G30" s="7">
        <v>1.4758927E-2</v>
      </c>
      <c r="H30" s="6"/>
    </row>
    <row r="31" spans="1:8" ht="29.1" customHeight="1" x14ac:dyDescent="0.2">
      <c r="A31" s="3">
        <v>25</v>
      </c>
      <c r="B31" s="4" t="s">
        <v>478</v>
      </c>
      <c r="C31" s="4" t="s">
        <v>479</v>
      </c>
      <c r="D31" s="4" t="s">
        <v>42</v>
      </c>
      <c r="E31" s="5">
        <v>22331</v>
      </c>
      <c r="F31" s="6">
        <v>408.80245150000002</v>
      </c>
      <c r="G31" s="7">
        <v>1.4746660999999999E-2</v>
      </c>
      <c r="H31" s="6"/>
    </row>
    <row r="32" spans="1:8" ht="17.100000000000001" customHeight="1" x14ac:dyDescent="0.2">
      <c r="A32" s="3">
        <v>26</v>
      </c>
      <c r="B32" s="4" t="s">
        <v>281</v>
      </c>
      <c r="C32" s="4" t="s">
        <v>282</v>
      </c>
      <c r="D32" s="4" t="s">
        <v>28</v>
      </c>
      <c r="E32" s="5">
        <v>17215</v>
      </c>
      <c r="F32" s="6">
        <v>392.52782250000001</v>
      </c>
      <c r="G32" s="7">
        <v>1.4159589E-2</v>
      </c>
      <c r="H32" s="6"/>
    </row>
    <row r="33" spans="1:8" ht="29.1" customHeight="1" x14ac:dyDescent="0.2">
      <c r="A33" s="3">
        <v>27</v>
      </c>
      <c r="B33" s="4" t="s">
        <v>43</v>
      </c>
      <c r="C33" s="4" t="s">
        <v>44</v>
      </c>
      <c r="D33" s="4" t="s">
        <v>25</v>
      </c>
      <c r="E33" s="5">
        <v>15321</v>
      </c>
      <c r="F33" s="6">
        <v>364.98452250000003</v>
      </c>
      <c r="G33" s="7">
        <v>1.3166024E-2</v>
      </c>
      <c r="H33" s="6"/>
    </row>
    <row r="34" spans="1:8" ht="17.100000000000001" customHeight="1" x14ac:dyDescent="0.2">
      <c r="A34" s="3">
        <v>28</v>
      </c>
      <c r="B34" s="4" t="s">
        <v>480</v>
      </c>
      <c r="C34" s="4" t="s">
        <v>481</v>
      </c>
      <c r="D34" s="4" t="s">
        <v>80</v>
      </c>
      <c r="E34" s="5">
        <v>39266</v>
      </c>
      <c r="F34" s="6">
        <v>360.06921999999997</v>
      </c>
      <c r="G34" s="7">
        <v>1.2988716000000001E-2</v>
      </c>
      <c r="H34" s="6"/>
    </row>
    <row r="35" spans="1:8" ht="29.1" customHeight="1" x14ac:dyDescent="0.2">
      <c r="A35" s="3">
        <v>29</v>
      </c>
      <c r="B35" s="4" t="s">
        <v>196</v>
      </c>
      <c r="C35" s="4" t="s">
        <v>197</v>
      </c>
      <c r="D35" s="4" t="s">
        <v>198</v>
      </c>
      <c r="E35" s="5">
        <v>100993</v>
      </c>
      <c r="F35" s="6">
        <v>356.65677950000003</v>
      </c>
      <c r="G35" s="7">
        <v>1.2865619E-2</v>
      </c>
      <c r="H35" s="6"/>
    </row>
    <row r="36" spans="1:8" ht="17.100000000000001" customHeight="1" x14ac:dyDescent="0.2">
      <c r="A36" s="3">
        <v>30</v>
      </c>
      <c r="B36" s="4" t="s">
        <v>482</v>
      </c>
      <c r="C36" s="4" t="s">
        <v>483</v>
      </c>
      <c r="D36" s="4" t="s">
        <v>47</v>
      </c>
      <c r="E36" s="5">
        <v>47169</v>
      </c>
      <c r="F36" s="6">
        <v>347.84779049999997</v>
      </c>
      <c r="G36" s="7">
        <v>1.2547854000000001E-2</v>
      </c>
      <c r="H36" s="6"/>
    </row>
    <row r="37" spans="1:8" ht="17.100000000000001" customHeight="1" x14ac:dyDescent="0.2">
      <c r="A37" s="3">
        <v>31</v>
      </c>
      <c r="B37" s="4" t="s">
        <v>283</v>
      </c>
      <c r="C37" s="4" t="s">
        <v>284</v>
      </c>
      <c r="D37" s="4" t="s">
        <v>176</v>
      </c>
      <c r="E37" s="5">
        <v>43772</v>
      </c>
      <c r="F37" s="6">
        <v>342.90984800000001</v>
      </c>
      <c r="G37" s="7">
        <v>1.2369728E-2</v>
      </c>
      <c r="H37" s="6"/>
    </row>
    <row r="38" spans="1:8" ht="29.1" customHeight="1" x14ac:dyDescent="0.2">
      <c r="A38" s="3">
        <v>32</v>
      </c>
      <c r="B38" s="4" t="s">
        <v>208</v>
      </c>
      <c r="C38" s="4" t="s">
        <v>209</v>
      </c>
      <c r="D38" s="4" t="s">
        <v>210</v>
      </c>
      <c r="E38" s="5">
        <v>23586</v>
      </c>
      <c r="F38" s="6">
        <v>336.501462</v>
      </c>
      <c r="G38" s="7">
        <v>1.213856E-2</v>
      </c>
      <c r="H38" s="6"/>
    </row>
    <row r="39" spans="1:8" ht="29.1" customHeight="1" x14ac:dyDescent="0.2">
      <c r="A39" s="3">
        <v>33</v>
      </c>
      <c r="B39" s="4" t="s">
        <v>285</v>
      </c>
      <c r="C39" s="4" t="s">
        <v>286</v>
      </c>
      <c r="D39" s="4" t="s">
        <v>233</v>
      </c>
      <c r="E39" s="5">
        <v>60329</v>
      </c>
      <c r="F39" s="6">
        <v>335.21808850000002</v>
      </c>
      <c r="G39" s="7">
        <v>1.2092265E-2</v>
      </c>
      <c r="H39" s="6"/>
    </row>
    <row r="40" spans="1:8" ht="29.1" customHeight="1" x14ac:dyDescent="0.2">
      <c r="A40" s="3">
        <v>34</v>
      </c>
      <c r="B40" s="4" t="s">
        <v>206</v>
      </c>
      <c r="C40" s="4" t="s">
        <v>207</v>
      </c>
      <c r="D40" s="4" t="s">
        <v>191</v>
      </c>
      <c r="E40" s="5">
        <v>65640</v>
      </c>
      <c r="F40" s="6">
        <v>308.14697999999999</v>
      </c>
      <c r="G40" s="7">
        <v>1.1115732999999999E-2</v>
      </c>
      <c r="H40" s="6"/>
    </row>
    <row r="41" spans="1:8" ht="29.1" customHeight="1" x14ac:dyDescent="0.2">
      <c r="A41" s="3">
        <v>35</v>
      </c>
      <c r="B41" s="4" t="s">
        <v>211</v>
      </c>
      <c r="C41" s="4" t="s">
        <v>212</v>
      </c>
      <c r="D41" s="4" t="s">
        <v>198</v>
      </c>
      <c r="E41" s="5">
        <v>53835</v>
      </c>
      <c r="F41" s="6">
        <v>305.48670750000002</v>
      </c>
      <c r="G41" s="7">
        <v>1.101977E-2</v>
      </c>
      <c r="H41" s="6"/>
    </row>
    <row r="42" spans="1:8" ht="17.100000000000001" customHeight="1" x14ac:dyDescent="0.2">
      <c r="A42" s="3">
        <v>36</v>
      </c>
      <c r="B42" s="4" t="s">
        <v>363</v>
      </c>
      <c r="C42" s="4" t="s">
        <v>364</v>
      </c>
      <c r="D42" s="4" t="s">
        <v>95</v>
      </c>
      <c r="E42" s="5">
        <v>7944</v>
      </c>
      <c r="F42" s="6">
        <v>293.85650399999997</v>
      </c>
      <c r="G42" s="7">
        <v>1.0600236000000001E-2</v>
      </c>
      <c r="H42" s="6"/>
    </row>
    <row r="43" spans="1:8" ht="17.100000000000001" customHeight="1" x14ac:dyDescent="0.2">
      <c r="A43" s="3">
        <v>37</v>
      </c>
      <c r="B43" s="4" t="s">
        <v>88</v>
      </c>
      <c r="C43" s="4" t="s">
        <v>89</v>
      </c>
      <c r="D43" s="4" t="s">
        <v>13</v>
      </c>
      <c r="E43" s="5">
        <v>20392</v>
      </c>
      <c r="F43" s="6">
        <v>289.10757999999998</v>
      </c>
      <c r="G43" s="7">
        <v>1.0428928000000001E-2</v>
      </c>
      <c r="H43" s="6"/>
    </row>
    <row r="44" spans="1:8" ht="17.100000000000001" customHeight="1" x14ac:dyDescent="0.2">
      <c r="A44" s="3">
        <v>38</v>
      </c>
      <c r="B44" s="4" t="s">
        <v>215</v>
      </c>
      <c r="C44" s="4" t="s">
        <v>216</v>
      </c>
      <c r="D44" s="4" t="s">
        <v>186</v>
      </c>
      <c r="E44" s="5">
        <v>63091</v>
      </c>
      <c r="F44" s="6">
        <v>287.19023199999998</v>
      </c>
      <c r="G44" s="7">
        <v>1.0359764E-2</v>
      </c>
      <c r="H44" s="6"/>
    </row>
    <row r="45" spans="1:8" ht="17.100000000000001" customHeight="1" x14ac:dyDescent="0.2">
      <c r="A45" s="3">
        <v>39</v>
      </c>
      <c r="B45" s="4" t="s">
        <v>213</v>
      </c>
      <c r="C45" s="4" t="s">
        <v>214</v>
      </c>
      <c r="D45" s="4" t="s">
        <v>13</v>
      </c>
      <c r="E45" s="5">
        <v>343241</v>
      </c>
      <c r="F45" s="6">
        <v>281.97248150000001</v>
      </c>
      <c r="G45" s="7">
        <v>1.0171545000000001E-2</v>
      </c>
      <c r="H45" s="6"/>
    </row>
    <row r="46" spans="1:8" ht="17.100000000000001" customHeight="1" x14ac:dyDescent="0.2">
      <c r="A46" s="3">
        <v>40</v>
      </c>
      <c r="B46" s="4" t="s">
        <v>199</v>
      </c>
      <c r="C46" s="4" t="s">
        <v>200</v>
      </c>
      <c r="D46" s="4" t="s">
        <v>13</v>
      </c>
      <c r="E46" s="5">
        <v>76646</v>
      </c>
      <c r="F46" s="6">
        <v>276.34715299999999</v>
      </c>
      <c r="G46" s="7">
        <v>9.9686240000000006E-3</v>
      </c>
      <c r="H46" s="6"/>
    </row>
    <row r="47" spans="1:8" ht="17.100000000000001" customHeight="1" x14ac:dyDescent="0.2">
      <c r="A47" s="3">
        <v>41</v>
      </c>
      <c r="B47" s="4" t="s">
        <v>36</v>
      </c>
      <c r="C47" s="4" t="s">
        <v>37</v>
      </c>
      <c r="D47" s="4" t="s">
        <v>28</v>
      </c>
      <c r="E47" s="5">
        <v>8617</v>
      </c>
      <c r="F47" s="6">
        <v>274.15847200000002</v>
      </c>
      <c r="G47" s="7">
        <v>9.8896720000000004E-3</v>
      </c>
      <c r="H47" s="6"/>
    </row>
    <row r="48" spans="1:8" ht="17.100000000000001" customHeight="1" x14ac:dyDescent="0.2">
      <c r="A48" s="3">
        <v>42</v>
      </c>
      <c r="B48" s="4" t="s">
        <v>484</v>
      </c>
      <c r="C48" s="4" t="s">
        <v>485</v>
      </c>
      <c r="D48" s="4" t="s">
        <v>85</v>
      </c>
      <c r="E48" s="5">
        <v>25528</v>
      </c>
      <c r="F48" s="6">
        <v>273.53251999999998</v>
      </c>
      <c r="G48" s="7">
        <v>9.8670919999999992E-3</v>
      </c>
      <c r="H48" s="6"/>
    </row>
    <row r="49" spans="1:8" ht="17.100000000000001" customHeight="1" x14ac:dyDescent="0.2">
      <c r="A49" s="3">
        <v>43</v>
      </c>
      <c r="B49" s="4" t="s">
        <v>486</v>
      </c>
      <c r="C49" s="4" t="s">
        <v>487</v>
      </c>
      <c r="D49" s="4" t="s">
        <v>28</v>
      </c>
      <c r="E49" s="5">
        <v>37025</v>
      </c>
      <c r="F49" s="6">
        <v>266.76512500000001</v>
      </c>
      <c r="G49" s="7">
        <v>9.6229729999999999E-3</v>
      </c>
      <c r="H49" s="6"/>
    </row>
    <row r="50" spans="1:8" ht="17.100000000000001" customHeight="1" x14ac:dyDescent="0.2">
      <c r="A50" s="3">
        <v>44</v>
      </c>
      <c r="B50" s="4" t="s">
        <v>488</v>
      </c>
      <c r="C50" s="4" t="s">
        <v>489</v>
      </c>
      <c r="D50" s="4" t="s">
        <v>80</v>
      </c>
      <c r="E50" s="5">
        <v>25665</v>
      </c>
      <c r="F50" s="6">
        <v>262.91226</v>
      </c>
      <c r="G50" s="7">
        <v>9.483989E-3</v>
      </c>
      <c r="H50" s="6"/>
    </row>
    <row r="51" spans="1:8" ht="17.100000000000001" customHeight="1" x14ac:dyDescent="0.2">
      <c r="A51" s="3">
        <v>45</v>
      </c>
      <c r="B51" s="4" t="s">
        <v>222</v>
      </c>
      <c r="C51" s="4" t="s">
        <v>223</v>
      </c>
      <c r="D51" s="4" t="s">
        <v>95</v>
      </c>
      <c r="E51" s="5">
        <v>16085</v>
      </c>
      <c r="F51" s="6">
        <v>252.59079750000001</v>
      </c>
      <c r="G51" s="7">
        <v>9.1116649999999997E-3</v>
      </c>
      <c r="H51" s="6"/>
    </row>
    <row r="52" spans="1:8" ht="29.1" customHeight="1" x14ac:dyDescent="0.2">
      <c r="A52" s="3">
        <v>46</v>
      </c>
      <c r="B52" s="4" t="s">
        <v>293</v>
      </c>
      <c r="C52" s="4" t="s">
        <v>294</v>
      </c>
      <c r="D52" s="4" t="s">
        <v>295</v>
      </c>
      <c r="E52" s="5">
        <v>75410</v>
      </c>
      <c r="F52" s="6">
        <v>246.28906000000001</v>
      </c>
      <c r="G52" s="7">
        <v>8.8843429999999994E-3</v>
      </c>
      <c r="H52" s="6"/>
    </row>
    <row r="53" spans="1:8" ht="29.1" customHeight="1" x14ac:dyDescent="0.2">
      <c r="A53" s="3">
        <v>47</v>
      </c>
      <c r="B53" s="4" t="s">
        <v>224</v>
      </c>
      <c r="C53" s="4" t="s">
        <v>225</v>
      </c>
      <c r="D53" s="4" t="s">
        <v>198</v>
      </c>
      <c r="E53" s="5">
        <v>15127</v>
      </c>
      <c r="F53" s="6">
        <v>245.91207549999999</v>
      </c>
      <c r="G53" s="7">
        <v>8.8707439999999999E-3</v>
      </c>
      <c r="H53" s="6"/>
    </row>
    <row r="54" spans="1:8" ht="17.100000000000001" customHeight="1" x14ac:dyDescent="0.2">
      <c r="A54" s="3">
        <v>48</v>
      </c>
      <c r="B54" s="4" t="s">
        <v>228</v>
      </c>
      <c r="C54" s="4" t="s">
        <v>229</v>
      </c>
      <c r="D54" s="4" t="s">
        <v>230</v>
      </c>
      <c r="E54" s="5">
        <v>79781</v>
      </c>
      <c r="F54" s="6">
        <v>235.75285500000001</v>
      </c>
      <c r="G54" s="7">
        <v>8.5042729999999997E-3</v>
      </c>
      <c r="H54" s="6"/>
    </row>
    <row r="55" spans="1:8" ht="17.100000000000001" customHeight="1" x14ac:dyDescent="0.2">
      <c r="A55" s="3">
        <v>49</v>
      </c>
      <c r="B55" s="4" t="s">
        <v>287</v>
      </c>
      <c r="C55" s="4" t="s">
        <v>288</v>
      </c>
      <c r="D55" s="4" t="s">
        <v>85</v>
      </c>
      <c r="E55" s="5">
        <v>471010</v>
      </c>
      <c r="F55" s="6">
        <v>232.914445</v>
      </c>
      <c r="G55" s="7">
        <v>8.4018830000000006E-3</v>
      </c>
      <c r="H55" s="6"/>
    </row>
    <row r="56" spans="1:8" ht="29.1" customHeight="1" x14ac:dyDescent="0.2">
      <c r="A56" s="3">
        <v>50</v>
      </c>
      <c r="B56" s="4" t="s">
        <v>234</v>
      </c>
      <c r="C56" s="4" t="s">
        <v>235</v>
      </c>
      <c r="D56" s="4" t="s">
        <v>236</v>
      </c>
      <c r="E56" s="5">
        <v>253152</v>
      </c>
      <c r="F56" s="6">
        <v>230.49489600000001</v>
      </c>
      <c r="G56" s="7">
        <v>8.3146030000000003E-3</v>
      </c>
      <c r="H56" s="6"/>
    </row>
    <row r="57" spans="1:8" ht="17.100000000000001" customHeight="1" x14ac:dyDescent="0.2">
      <c r="A57" s="3">
        <v>51</v>
      </c>
      <c r="B57" s="4" t="s">
        <v>490</v>
      </c>
      <c r="C57" s="4" t="s">
        <v>491</v>
      </c>
      <c r="D57" s="4" t="s">
        <v>28</v>
      </c>
      <c r="E57" s="5">
        <v>42726</v>
      </c>
      <c r="F57" s="6">
        <v>229.28907899999999</v>
      </c>
      <c r="G57" s="7">
        <v>8.2711060000000003E-3</v>
      </c>
      <c r="H57" s="6"/>
    </row>
    <row r="58" spans="1:8" ht="29.1" customHeight="1" x14ac:dyDescent="0.2">
      <c r="A58" s="3">
        <v>52</v>
      </c>
      <c r="B58" s="4" t="s">
        <v>231</v>
      </c>
      <c r="C58" s="4" t="s">
        <v>232</v>
      </c>
      <c r="D58" s="4" t="s">
        <v>233</v>
      </c>
      <c r="E58" s="5">
        <v>63174</v>
      </c>
      <c r="F58" s="6">
        <v>223.69913399999999</v>
      </c>
      <c r="G58" s="7">
        <v>8.069461E-3</v>
      </c>
      <c r="H58" s="6"/>
    </row>
    <row r="59" spans="1:8" ht="29.1" customHeight="1" x14ac:dyDescent="0.2">
      <c r="A59" s="3">
        <v>53</v>
      </c>
      <c r="B59" s="4" t="s">
        <v>298</v>
      </c>
      <c r="C59" s="4" t="s">
        <v>299</v>
      </c>
      <c r="D59" s="4" t="s">
        <v>25</v>
      </c>
      <c r="E59" s="5">
        <v>121775</v>
      </c>
      <c r="F59" s="6">
        <v>223.2744625</v>
      </c>
      <c r="G59" s="7">
        <v>8.0541420000000002E-3</v>
      </c>
      <c r="H59" s="6"/>
    </row>
    <row r="60" spans="1:8" ht="17.100000000000001" customHeight="1" x14ac:dyDescent="0.2">
      <c r="A60" s="3">
        <v>54</v>
      </c>
      <c r="B60" s="4" t="s">
        <v>270</v>
      </c>
      <c r="C60" s="4" t="s">
        <v>271</v>
      </c>
      <c r="D60" s="4" t="s">
        <v>28</v>
      </c>
      <c r="E60" s="5">
        <v>21784</v>
      </c>
      <c r="F60" s="6">
        <v>222.90477999999999</v>
      </c>
      <c r="G60" s="7">
        <v>8.0408059999999993E-3</v>
      </c>
      <c r="H60" s="6"/>
    </row>
    <row r="61" spans="1:8" ht="17.100000000000001" customHeight="1" x14ac:dyDescent="0.2">
      <c r="A61" s="3">
        <v>55</v>
      </c>
      <c r="B61" s="4" t="s">
        <v>492</v>
      </c>
      <c r="C61" s="4" t="s">
        <v>493</v>
      </c>
      <c r="D61" s="4"/>
      <c r="E61" s="5">
        <v>26884</v>
      </c>
      <c r="F61" s="6">
        <v>218.40561600000001</v>
      </c>
      <c r="G61" s="7">
        <v>7.8785090000000006E-3</v>
      </c>
      <c r="H61" s="6"/>
    </row>
    <row r="62" spans="1:8" ht="29.1" customHeight="1" x14ac:dyDescent="0.2">
      <c r="A62" s="3">
        <v>56</v>
      </c>
      <c r="B62" s="4" t="s">
        <v>226</v>
      </c>
      <c r="C62" s="4" t="s">
        <v>227</v>
      </c>
      <c r="D62" s="4" t="s">
        <v>80</v>
      </c>
      <c r="E62" s="5">
        <v>12284</v>
      </c>
      <c r="F62" s="6">
        <v>217.13198399999999</v>
      </c>
      <c r="G62" s="7">
        <v>7.8325649999999997E-3</v>
      </c>
      <c r="H62" s="6"/>
    </row>
    <row r="63" spans="1:8" ht="53.1" customHeight="1" x14ac:dyDescent="0.2">
      <c r="A63" s="3">
        <v>57</v>
      </c>
      <c r="B63" s="4" t="s">
        <v>251</v>
      </c>
      <c r="C63" s="4" t="s">
        <v>1141</v>
      </c>
      <c r="D63" s="4" t="s">
        <v>75</v>
      </c>
      <c r="E63" s="5">
        <v>108094</v>
      </c>
      <c r="F63" s="6">
        <v>214.56658999999999</v>
      </c>
      <c r="G63" s="7">
        <v>7.7400239999999999E-3</v>
      </c>
      <c r="H63" s="6"/>
    </row>
    <row r="64" spans="1:8" ht="41.1" customHeight="1" x14ac:dyDescent="0.2">
      <c r="A64" s="3">
        <v>58</v>
      </c>
      <c r="B64" s="4" t="s">
        <v>267</v>
      </c>
      <c r="C64" s="4" t="s">
        <v>268</v>
      </c>
      <c r="D64" s="4" t="s">
        <v>269</v>
      </c>
      <c r="E64" s="5">
        <v>28337</v>
      </c>
      <c r="F64" s="6">
        <v>205.57076649999999</v>
      </c>
      <c r="G64" s="7">
        <v>7.4155189999999998E-3</v>
      </c>
      <c r="H64" s="6"/>
    </row>
    <row r="65" spans="1:8" ht="29.1" customHeight="1" x14ac:dyDescent="0.2">
      <c r="A65" s="3">
        <v>59</v>
      </c>
      <c r="B65" s="4" t="s">
        <v>220</v>
      </c>
      <c r="C65" s="4" t="s">
        <v>221</v>
      </c>
      <c r="D65" s="4" t="s">
        <v>219</v>
      </c>
      <c r="E65" s="5">
        <v>23134</v>
      </c>
      <c r="F65" s="6">
        <v>201.878851</v>
      </c>
      <c r="G65" s="7">
        <v>7.2823410000000003E-3</v>
      </c>
      <c r="H65" s="6"/>
    </row>
    <row r="66" spans="1:8" ht="17.100000000000001" customHeight="1" x14ac:dyDescent="0.2">
      <c r="A66" s="3">
        <v>60</v>
      </c>
      <c r="B66" s="4" t="s">
        <v>494</v>
      </c>
      <c r="C66" s="4" t="s">
        <v>495</v>
      </c>
      <c r="D66" s="4" t="s">
        <v>186</v>
      </c>
      <c r="E66" s="5">
        <v>342887</v>
      </c>
      <c r="F66" s="6">
        <v>199.3887905</v>
      </c>
      <c r="G66" s="7">
        <v>7.1925180000000002E-3</v>
      </c>
      <c r="H66" s="6"/>
    </row>
    <row r="67" spans="1:8" ht="17.100000000000001" customHeight="1" x14ac:dyDescent="0.2">
      <c r="A67" s="3">
        <v>61</v>
      </c>
      <c r="B67" s="4" t="s">
        <v>291</v>
      </c>
      <c r="C67" s="4" t="s">
        <v>292</v>
      </c>
      <c r="D67" s="4" t="s">
        <v>95</v>
      </c>
      <c r="E67" s="5">
        <v>31011</v>
      </c>
      <c r="F67" s="6">
        <v>195.81895950000001</v>
      </c>
      <c r="G67" s="7">
        <v>7.0637440000000003E-3</v>
      </c>
      <c r="H67" s="6"/>
    </row>
    <row r="68" spans="1:8" ht="17.100000000000001" customHeight="1" x14ac:dyDescent="0.2">
      <c r="A68" s="3">
        <v>62</v>
      </c>
      <c r="B68" s="4" t="s">
        <v>263</v>
      </c>
      <c r="C68" s="4" t="s">
        <v>264</v>
      </c>
      <c r="D68" s="4" t="s">
        <v>16</v>
      </c>
      <c r="E68" s="5">
        <v>85308</v>
      </c>
      <c r="F68" s="6">
        <v>194.33162400000001</v>
      </c>
      <c r="G68" s="7">
        <v>7.0100919999999999E-3</v>
      </c>
      <c r="H68" s="6"/>
    </row>
    <row r="69" spans="1:8" ht="17.100000000000001" customHeight="1" x14ac:dyDescent="0.2">
      <c r="A69" s="3">
        <v>63</v>
      </c>
      <c r="B69" s="4" t="s">
        <v>244</v>
      </c>
      <c r="C69" s="4" t="s">
        <v>245</v>
      </c>
      <c r="D69" s="4" t="s">
        <v>95</v>
      </c>
      <c r="E69" s="5">
        <v>34339</v>
      </c>
      <c r="F69" s="6">
        <v>180.36559750000001</v>
      </c>
      <c r="G69" s="7">
        <v>6.5062970000000003E-3</v>
      </c>
      <c r="H69" s="6"/>
    </row>
    <row r="70" spans="1:8" ht="17.100000000000001" customHeight="1" x14ac:dyDescent="0.2">
      <c r="A70" s="3">
        <v>64</v>
      </c>
      <c r="B70" s="4" t="s">
        <v>257</v>
      </c>
      <c r="C70" s="4" t="s">
        <v>258</v>
      </c>
      <c r="D70" s="4" t="s">
        <v>186</v>
      </c>
      <c r="E70" s="5">
        <v>172845</v>
      </c>
      <c r="F70" s="6">
        <v>168.00533999999999</v>
      </c>
      <c r="G70" s="7">
        <v>6.0604279999999996E-3</v>
      </c>
      <c r="H70" s="6"/>
    </row>
    <row r="71" spans="1:8" ht="17.100000000000001" customHeight="1" x14ac:dyDescent="0.2">
      <c r="A71" s="3">
        <v>65</v>
      </c>
      <c r="B71" s="4" t="s">
        <v>252</v>
      </c>
      <c r="C71" s="4" t="s">
        <v>253</v>
      </c>
      <c r="D71" s="4" t="s">
        <v>254</v>
      </c>
      <c r="E71" s="5">
        <v>129053</v>
      </c>
      <c r="F71" s="6">
        <v>153.1213845</v>
      </c>
      <c r="G71" s="7">
        <v>5.5235220000000003E-3</v>
      </c>
      <c r="H71" s="6"/>
    </row>
    <row r="72" spans="1:8" ht="17.100000000000001" customHeight="1" x14ac:dyDescent="0.2">
      <c r="A72" s="3">
        <v>66</v>
      </c>
      <c r="B72" s="4" t="s">
        <v>261</v>
      </c>
      <c r="C72" s="4" t="s">
        <v>262</v>
      </c>
      <c r="D72" s="4" t="s">
        <v>106</v>
      </c>
      <c r="E72" s="5">
        <v>20203</v>
      </c>
      <c r="F72" s="6">
        <v>146.512156</v>
      </c>
      <c r="G72" s="7">
        <v>5.2851080000000002E-3</v>
      </c>
      <c r="H72" s="6"/>
    </row>
    <row r="73" spans="1:8" ht="17.100000000000001" customHeight="1" x14ac:dyDescent="0.2">
      <c r="A73" s="3">
        <v>67</v>
      </c>
      <c r="B73" s="4" t="s">
        <v>242</v>
      </c>
      <c r="C73" s="4" t="s">
        <v>243</v>
      </c>
      <c r="D73" s="4" t="s">
        <v>80</v>
      </c>
      <c r="E73" s="5">
        <v>66104</v>
      </c>
      <c r="F73" s="6">
        <v>140.83457200000001</v>
      </c>
      <c r="G73" s="7">
        <v>5.0803009999999997E-3</v>
      </c>
      <c r="H73" s="6"/>
    </row>
    <row r="74" spans="1:8" ht="17.100000000000001" customHeight="1" x14ac:dyDescent="0.2">
      <c r="A74" s="3">
        <v>68</v>
      </c>
      <c r="B74" s="4" t="s">
        <v>240</v>
      </c>
      <c r="C74" s="4" t="s">
        <v>241</v>
      </c>
      <c r="D74" s="4" t="s">
        <v>80</v>
      </c>
      <c r="E74" s="5">
        <v>25180</v>
      </c>
      <c r="F74" s="6">
        <v>135.95940999999999</v>
      </c>
      <c r="G74" s="7">
        <v>4.9044409999999998E-3</v>
      </c>
      <c r="H74" s="6"/>
    </row>
    <row r="75" spans="1:8" ht="29.1" customHeight="1" x14ac:dyDescent="0.2">
      <c r="A75" s="3">
        <v>69</v>
      </c>
      <c r="B75" s="4" t="s">
        <v>265</v>
      </c>
      <c r="C75" s="4" t="s">
        <v>266</v>
      </c>
      <c r="D75" s="4" t="s">
        <v>198</v>
      </c>
      <c r="E75" s="5">
        <v>3032</v>
      </c>
      <c r="F75" s="6">
        <v>129.416372</v>
      </c>
      <c r="G75" s="7">
        <v>4.6684150000000004E-3</v>
      </c>
      <c r="H75" s="6"/>
    </row>
    <row r="76" spans="1:8" ht="17.100000000000001" customHeight="1" x14ac:dyDescent="0.2">
      <c r="A76" s="3">
        <v>70</v>
      </c>
      <c r="B76" s="4" t="s">
        <v>303</v>
      </c>
      <c r="C76" s="4" t="s">
        <v>304</v>
      </c>
      <c r="D76" s="4" t="s">
        <v>19</v>
      </c>
      <c r="E76" s="5">
        <v>64744</v>
      </c>
      <c r="F76" s="6">
        <v>122.333788</v>
      </c>
      <c r="G76" s="7">
        <v>4.4129260000000002E-3</v>
      </c>
      <c r="H76" s="6"/>
    </row>
    <row r="77" spans="1:8" ht="17.100000000000001" customHeight="1" x14ac:dyDescent="0.2">
      <c r="A77" s="3">
        <v>71</v>
      </c>
      <c r="B77" s="4" t="s">
        <v>115</v>
      </c>
      <c r="C77" s="4" t="s">
        <v>116</v>
      </c>
      <c r="D77" s="4" t="s">
        <v>92</v>
      </c>
      <c r="E77" s="5">
        <v>161000</v>
      </c>
      <c r="F77" s="6">
        <v>117.208</v>
      </c>
      <c r="G77" s="7">
        <v>4.2280240000000004E-3</v>
      </c>
      <c r="H77" s="6"/>
    </row>
    <row r="78" spans="1:8" ht="29.1" customHeight="1" x14ac:dyDescent="0.2">
      <c r="A78" s="3">
        <v>72</v>
      </c>
      <c r="B78" s="4" t="s">
        <v>305</v>
      </c>
      <c r="C78" s="4" t="s">
        <v>306</v>
      </c>
      <c r="D78" s="4" t="s">
        <v>219</v>
      </c>
      <c r="E78" s="5">
        <v>23384</v>
      </c>
      <c r="F78" s="6">
        <v>112.781032</v>
      </c>
      <c r="G78" s="7">
        <v>4.0683309999999997E-3</v>
      </c>
      <c r="H78" s="6"/>
    </row>
    <row r="79" spans="1:8" ht="29.1" customHeight="1" x14ac:dyDescent="0.2">
      <c r="A79" s="3">
        <v>73</v>
      </c>
      <c r="B79" s="4" t="s">
        <v>307</v>
      </c>
      <c r="C79" s="4" t="s">
        <v>308</v>
      </c>
      <c r="D79" s="4" t="s">
        <v>198</v>
      </c>
      <c r="E79" s="5">
        <v>49569</v>
      </c>
      <c r="F79" s="6">
        <v>112.670337</v>
      </c>
      <c r="G79" s="7">
        <v>4.0643379999999998E-3</v>
      </c>
      <c r="H79" s="6"/>
    </row>
    <row r="80" spans="1:8" ht="17.100000000000001" customHeight="1" x14ac:dyDescent="0.2">
      <c r="A80" s="3">
        <v>74</v>
      </c>
      <c r="B80" s="4" t="s">
        <v>300</v>
      </c>
      <c r="C80" s="4" t="s">
        <v>301</v>
      </c>
      <c r="D80" s="4" t="s">
        <v>302</v>
      </c>
      <c r="E80" s="5">
        <v>13773</v>
      </c>
      <c r="F80" s="6">
        <v>85.771357499999993</v>
      </c>
      <c r="G80" s="7">
        <v>3.0940160000000002E-3</v>
      </c>
      <c r="H80" s="6"/>
    </row>
    <row r="81" spans="1:8" ht="29.1" customHeight="1" x14ac:dyDescent="0.2">
      <c r="A81" s="3">
        <v>75</v>
      </c>
      <c r="B81" s="4" t="s">
        <v>274</v>
      </c>
      <c r="C81" s="4" t="s">
        <v>275</v>
      </c>
      <c r="D81" s="4" t="s">
        <v>219</v>
      </c>
      <c r="E81" s="5">
        <v>9154</v>
      </c>
      <c r="F81" s="6">
        <v>61.894770999999999</v>
      </c>
      <c r="G81" s="7">
        <v>2.2327200000000001E-3</v>
      </c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9">
        <v>26844.176166000001</v>
      </c>
      <c r="G82" s="10">
        <v>0.96834538999999997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121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119</v>
      </c>
      <c r="D85" s="1"/>
      <c r="E85" s="1" t="s">
        <v>120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122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123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124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125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8" customHeight="1" x14ac:dyDescent="0.2">
      <c r="A99" s="1"/>
      <c r="B99" s="1"/>
      <c r="C99" s="2" t="s">
        <v>126</v>
      </c>
      <c r="D99" s="1"/>
      <c r="E99" s="1"/>
      <c r="F99" s="9">
        <v>26844.176166000001</v>
      </c>
      <c r="G99" s="10">
        <v>0.96834538999999997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127</v>
      </c>
      <c r="D101" s="1"/>
      <c r="E101" s="1"/>
      <c r="F101" s="12"/>
      <c r="G101" s="12"/>
      <c r="H101" s="6"/>
    </row>
    <row r="102" spans="1:8" ht="24" customHeight="1" x14ac:dyDescent="0.2">
      <c r="A102" s="1"/>
      <c r="B102" s="1"/>
      <c r="C102" s="2" t="s">
        <v>10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128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129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130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119</v>
      </c>
      <c r="D112" s="1"/>
      <c r="E112" s="1" t="s">
        <v>120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131</v>
      </c>
      <c r="D114" s="1"/>
      <c r="E114" s="1"/>
      <c r="F114" s="9">
        <v>0</v>
      </c>
      <c r="G114" s="10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132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133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119</v>
      </c>
      <c r="D118" s="1"/>
      <c r="E118" s="1" t="s">
        <v>120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134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119</v>
      </c>
      <c r="D121" s="1"/>
      <c r="E121" s="1" t="s">
        <v>120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135</v>
      </c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119</v>
      </c>
      <c r="D124" s="1"/>
      <c r="E124" s="1" t="s">
        <v>120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136</v>
      </c>
      <c r="D126" s="1"/>
      <c r="E126" s="1"/>
      <c r="F126" s="12"/>
      <c r="G126" s="12"/>
      <c r="H126" s="6"/>
    </row>
    <row r="127" spans="1:8" ht="17.100000000000001" customHeight="1" x14ac:dyDescent="0.2">
      <c r="A127" s="3">
        <v>1</v>
      </c>
      <c r="B127" s="4"/>
      <c r="C127" s="4" t="s">
        <v>137</v>
      </c>
      <c r="D127" s="4"/>
      <c r="E127" s="8"/>
      <c r="F127" s="6">
        <v>897.14617190000001</v>
      </c>
      <c r="G127" s="7">
        <v>3.2362600999999998E-2</v>
      </c>
      <c r="H127" s="6">
        <v>4.1713246754849944</v>
      </c>
    </row>
    <row r="128" spans="1:8" ht="14.1" customHeight="1" x14ac:dyDescent="0.2">
      <c r="A128" s="1"/>
      <c r="B128" s="1"/>
      <c r="C128" s="2" t="s">
        <v>119</v>
      </c>
      <c r="D128" s="1"/>
      <c r="E128" s="1" t="s">
        <v>120</v>
      </c>
      <c r="F128" s="9">
        <v>897.14617190000001</v>
      </c>
      <c r="G128" s="10">
        <v>3.2362600999999998E-2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138</v>
      </c>
      <c r="D130" s="1"/>
      <c r="E130" s="1"/>
      <c r="F130" s="9">
        <v>897.14617190000001</v>
      </c>
      <c r="G130" s="10">
        <v>3.2362600999999998E-2</v>
      </c>
      <c r="H130" s="6"/>
    </row>
    <row r="131" spans="1:8" ht="14.1" customHeight="1" x14ac:dyDescent="0.2">
      <c r="A131" s="1"/>
      <c r="B131" s="1"/>
      <c r="C131" s="12"/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139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140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119</v>
      </c>
      <c r="D134" s="1"/>
      <c r="E134" s="1" t="s">
        <v>120</v>
      </c>
      <c r="F134" s="13">
        <v>0</v>
      </c>
      <c r="G134" s="14">
        <v>0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141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142</v>
      </c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119</v>
      </c>
      <c r="D138" s="1"/>
      <c r="E138" s="1" t="s">
        <v>120</v>
      </c>
      <c r="F138" s="13">
        <v>0</v>
      </c>
      <c r="G138" s="14">
        <v>0</v>
      </c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24" customHeight="1" x14ac:dyDescent="0.2">
      <c r="A141" s="1"/>
      <c r="B141" s="1"/>
      <c r="C141" s="2" t="s">
        <v>143</v>
      </c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119</v>
      </c>
      <c r="D142" s="1"/>
      <c r="E142" s="1" t="s">
        <v>120</v>
      </c>
      <c r="F142" s="13">
        <v>0</v>
      </c>
      <c r="G142" s="14">
        <v>0</v>
      </c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14.1" customHeight="1" x14ac:dyDescent="0.2">
      <c r="A144" s="1"/>
      <c r="B144" s="4"/>
      <c r="C144" s="4"/>
      <c r="D144" s="2"/>
      <c r="E144" s="1"/>
      <c r="F144" s="4"/>
      <c r="G144" s="8"/>
      <c r="H144" s="6"/>
    </row>
    <row r="145" spans="1:8" ht="18" customHeight="1" x14ac:dyDescent="0.2">
      <c r="A145" s="8"/>
      <c r="B145" s="4"/>
      <c r="C145" s="4" t="s">
        <v>144</v>
      </c>
      <c r="D145" s="4"/>
      <c r="E145" s="8"/>
      <c r="F145" s="6">
        <v>-19.626648899999999</v>
      </c>
      <c r="G145" s="7">
        <v>-7.0798900000000001E-4</v>
      </c>
      <c r="H145" s="6"/>
    </row>
    <row r="146" spans="1:8" ht="14.1" customHeight="1" x14ac:dyDescent="0.2">
      <c r="A146" s="11"/>
      <c r="B146" s="11"/>
      <c r="C146" s="2" t="s">
        <v>145</v>
      </c>
      <c r="D146" s="15"/>
      <c r="E146" s="15"/>
      <c r="F146" s="9">
        <v>27721.695689</v>
      </c>
      <c r="G146" s="10">
        <v>1.0000000019999999</v>
      </c>
      <c r="H146" s="6"/>
    </row>
    <row r="147" spans="1:8" ht="14.1" customHeight="1" x14ac:dyDescent="0.2">
      <c r="A147" s="18"/>
      <c r="B147" s="18"/>
      <c r="C147" s="18"/>
      <c r="D147" s="20"/>
      <c r="E147" s="20"/>
      <c r="F147" s="20"/>
      <c r="G147" s="20"/>
    </row>
    <row r="148" spans="1:8" ht="14.1" customHeight="1" x14ac:dyDescent="0.2">
      <c r="A148" s="18"/>
      <c r="B148" s="265" t="s">
        <v>147</v>
      </c>
      <c r="C148" s="266"/>
      <c r="D148" s="12" t="s">
        <v>120</v>
      </c>
      <c r="E148" s="21"/>
      <c r="F148" s="20"/>
      <c r="G148" s="20"/>
    </row>
    <row r="149" spans="1:8" ht="29.1" customHeight="1" x14ac:dyDescent="0.2">
      <c r="A149" s="18"/>
      <c r="B149" s="272" t="s">
        <v>148</v>
      </c>
      <c r="C149" s="273"/>
      <c r="D149" s="2" t="s">
        <v>149</v>
      </c>
      <c r="E149" s="21"/>
      <c r="F149" s="20"/>
      <c r="G149" s="20"/>
    </row>
    <row r="150" spans="1:8" ht="17.100000000000001" customHeight="1" x14ac:dyDescent="0.2">
      <c r="A150" s="18"/>
      <c r="B150" s="272" t="s">
        <v>150</v>
      </c>
      <c r="C150" s="273"/>
      <c r="D150" s="2" t="s">
        <v>149</v>
      </c>
      <c r="E150" s="21"/>
      <c r="F150" s="20"/>
      <c r="G150" s="20"/>
    </row>
    <row r="151" spans="1:8" ht="17.100000000000001" customHeight="1" x14ac:dyDescent="0.2">
      <c r="A151" s="18"/>
      <c r="B151" s="272" t="s">
        <v>151</v>
      </c>
      <c r="C151" s="273"/>
      <c r="D151" s="12" t="s">
        <v>120</v>
      </c>
      <c r="E151" s="21"/>
      <c r="F151" s="20"/>
      <c r="G151" s="20"/>
    </row>
    <row r="152" spans="1:8" ht="24" customHeight="1" x14ac:dyDescent="0.2">
      <c r="A152" s="22"/>
      <c r="B152" s="23" t="s">
        <v>120</v>
      </c>
      <c r="C152" s="23" t="s">
        <v>152</v>
      </c>
      <c r="D152" s="23" t="s">
        <v>153</v>
      </c>
      <c r="E152" s="22"/>
      <c r="F152" s="22"/>
      <c r="G152" s="22"/>
    </row>
    <row r="153" spans="1:8" ht="18" customHeight="1" x14ac:dyDescent="0.2">
      <c r="A153" s="22"/>
      <c r="B153" s="23" t="s">
        <v>154</v>
      </c>
      <c r="C153" s="23" t="s">
        <v>155</v>
      </c>
      <c r="D153" s="23" t="s">
        <v>156</v>
      </c>
      <c r="E153" s="22"/>
      <c r="F153" s="22"/>
      <c r="G153" s="22"/>
    </row>
    <row r="154" spans="1:8" ht="17.100000000000001" customHeight="1" x14ac:dyDescent="0.2">
      <c r="A154" s="22"/>
      <c r="B154" s="4" t="s">
        <v>157</v>
      </c>
      <c r="C154" s="24">
        <v>16.332000000000001</v>
      </c>
      <c r="D154" s="24">
        <v>15.365399999999999</v>
      </c>
      <c r="E154" s="22"/>
      <c r="F154" s="19"/>
      <c r="G154" s="25"/>
    </row>
    <row r="155" spans="1:8" ht="17.100000000000001" customHeight="1" x14ac:dyDescent="0.2">
      <c r="A155" s="22"/>
      <c r="B155" s="4" t="s">
        <v>1120</v>
      </c>
      <c r="C155" s="24">
        <v>16.332000000000001</v>
      </c>
      <c r="D155" s="24">
        <v>15.365399999999999</v>
      </c>
      <c r="E155" s="22"/>
      <c r="F155" s="19"/>
      <c r="G155" s="25"/>
    </row>
    <row r="156" spans="1:8" ht="17.100000000000001" customHeight="1" x14ac:dyDescent="0.2">
      <c r="A156" s="22"/>
      <c r="B156" s="4" t="s">
        <v>158</v>
      </c>
      <c r="C156" s="24">
        <v>15.8819</v>
      </c>
      <c r="D156" s="24">
        <v>14.936299999999999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1121</v>
      </c>
      <c r="C157" s="24">
        <v>15.8819</v>
      </c>
      <c r="D157" s="24">
        <v>14.936299999999999</v>
      </c>
      <c r="E157" s="22"/>
      <c r="F157" s="19"/>
      <c r="G157" s="25"/>
    </row>
    <row r="158" spans="1:8" ht="14.1" customHeight="1" x14ac:dyDescent="0.2">
      <c r="A158" s="22"/>
      <c r="B158" s="22"/>
      <c r="C158" s="22"/>
      <c r="D158" s="22"/>
      <c r="E158" s="22"/>
      <c r="F158" s="22"/>
      <c r="G158" s="22"/>
    </row>
    <row r="159" spans="1:8" ht="17.100000000000001" customHeight="1" x14ac:dyDescent="0.2">
      <c r="A159" s="22"/>
      <c r="B159" s="272" t="s">
        <v>1122</v>
      </c>
      <c r="C159" s="273"/>
      <c r="D159" s="2" t="s">
        <v>149</v>
      </c>
      <c r="E159" s="22"/>
      <c r="F159" s="22"/>
      <c r="G159" s="22"/>
    </row>
    <row r="160" spans="1:8" ht="14.1" customHeight="1" x14ac:dyDescent="0.2">
      <c r="A160" s="22"/>
      <c r="B160" s="19"/>
      <c r="C160" s="19"/>
      <c r="D160" s="22"/>
      <c r="E160" s="22"/>
      <c r="F160" s="22"/>
      <c r="G160" s="22"/>
    </row>
    <row r="161" spans="1:15" ht="29.1" customHeight="1" x14ac:dyDescent="0.2">
      <c r="A161" s="22"/>
      <c r="B161" s="272" t="s">
        <v>160</v>
      </c>
      <c r="C161" s="273"/>
      <c r="D161" s="2" t="s">
        <v>149</v>
      </c>
      <c r="E161" s="22"/>
      <c r="F161" s="22"/>
      <c r="G161" s="22"/>
    </row>
    <row r="162" spans="1:15" ht="29.1" customHeight="1" x14ac:dyDescent="0.2">
      <c r="A162" s="22"/>
      <c r="B162" s="272" t="s">
        <v>161</v>
      </c>
      <c r="C162" s="273"/>
      <c r="D162" s="2" t="s">
        <v>149</v>
      </c>
      <c r="E162" s="22"/>
      <c r="F162" s="22"/>
      <c r="G162" s="22"/>
    </row>
    <row r="163" spans="1:15" ht="17.100000000000001" customHeight="1" x14ac:dyDescent="0.2">
      <c r="A163" s="22"/>
      <c r="B163" s="272" t="s">
        <v>162</v>
      </c>
      <c r="C163" s="273"/>
      <c r="D163" s="27">
        <v>0.34683000000000003</v>
      </c>
      <c r="E163" s="22"/>
      <c r="F163" s="19"/>
      <c r="G163" s="25"/>
    </row>
    <row r="164" spans="1:15" ht="17.100000000000001" customHeight="1" x14ac:dyDescent="0.2">
      <c r="A164" s="22"/>
      <c r="B164" s="272" t="s">
        <v>163</v>
      </c>
      <c r="C164" s="273"/>
      <c r="D164" s="2" t="s">
        <v>149</v>
      </c>
      <c r="E164" s="22"/>
      <c r="F164" s="22"/>
      <c r="G164" s="22"/>
    </row>
    <row r="165" spans="1:15" x14ac:dyDescent="0.2">
      <c r="J165" s="170"/>
      <c r="K165" s="170"/>
      <c r="L165" s="170"/>
      <c r="M165" s="170"/>
      <c r="N165" s="170"/>
      <c r="O165" s="170"/>
    </row>
  </sheetData>
  <mergeCells count="13">
    <mergeCell ref="B163:C163"/>
    <mergeCell ref="B164:C164"/>
    <mergeCell ref="B149:C149"/>
    <mergeCell ref="B150:C150"/>
    <mergeCell ref="B151:C151"/>
    <mergeCell ref="B159:C159"/>
    <mergeCell ref="B161:C161"/>
    <mergeCell ref="B162:C162"/>
    <mergeCell ref="J2:N2"/>
    <mergeCell ref="B148:C148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496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246</v>
      </c>
      <c r="C7" s="4" t="s">
        <v>247</v>
      </c>
      <c r="D7" s="4" t="s">
        <v>248</v>
      </c>
      <c r="E7" s="5">
        <v>577717</v>
      </c>
      <c r="F7" s="6">
        <v>1051.1560815</v>
      </c>
      <c r="G7" s="7">
        <v>3.5456123999999999E-2</v>
      </c>
      <c r="H7" s="6"/>
    </row>
    <row r="8" spans="1:14" ht="17.100000000000001" customHeight="1" x14ac:dyDescent="0.2">
      <c r="A8" s="3">
        <v>2</v>
      </c>
      <c r="B8" s="4" t="s">
        <v>170</v>
      </c>
      <c r="C8" s="4" t="s">
        <v>171</v>
      </c>
      <c r="D8" s="4" t="s">
        <v>28</v>
      </c>
      <c r="E8" s="5">
        <v>84041</v>
      </c>
      <c r="F8" s="6">
        <v>1038.998883</v>
      </c>
      <c r="G8" s="7">
        <v>3.5046054E-2</v>
      </c>
      <c r="H8" s="6"/>
    </row>
    <row r="9" spans="1:14" ht="29.1" customHeight="1" x14ac:dyDescent="0.2">
      <c r="A9" s="3">
        <v>3</v>
      </c>
      <c r="B9" s="4" t="s">
        <v>217</v>
      </c>
      <c r="C9" s="4" t="s">
        <v>218</v>
      </c>
      <c r="D9" s="4" t="s">
        <v>219</v>
      </c>
      <c r="E9" s="5">
        <v>22704</v>
      </c>
      <c r="F9" s="6">
        <v>891.00712799999997</v>
      </c>
      <c r="G9" s="7">
        <v>3.0054204000000001E-2</v>
      </c>
      <c r="H9" s="6"/>
    </row>
    <row r="10" spans="1:14" ht="17.100000000000001" customHeight="1" x14ac:dyDescent="0.2">
      <c r="A10" s="3">
        <v>4</v>
      </c>
      <c r="B10" s="4" t="s">
        <v>78</v>
      </c>
      <c r="C10" s="4" t="s">
        <v>79</v>
      </c>
      <c r="D10" s="4" t="s">
        <v>80</v>
      </c>
      <c r="E10" s="5">
        <v>178568</v>
      </c>
      <c r="F10" s="6">
        <v>872.92966799999999</v>
      </c>
      <c r="G10" s="7">
        <v>2.9444439999999999E-2</v>
      </c>
      <c r="H10" s="6"/>
    </row>
    <row r="11" spans="1:14" ht="17.100000000000001" customHeight="1" x14ac:dyDescent="0.2">
      <c r="A11" s="3">
        <v>5</v>
      </c>
      <c r="B11" s="4" t="s">
        <v>182</v>
      </c>
      <c r="C11" s="4" t="s">
        <v>183</v>
      </c>
      <c r="D11" s="4" t="s">
        <v>80</v>
      </c>
      <c r="E11" s="5">
        <v>135633</v>
      </c>
      <c r="F11" s="6">
        <v>778.46560350000004</v>
      </c>
      <c r="G11" s="7">
        <v>2.6258111000000001E-2</v>
      </c>
      <c r="H11" s="6"/>
    </row>
    <row r="12" spans="1:14" ht="17.100000000000001" customHeight="1" x14ac:dyDescent="0.2">
      <c r="A12" s="3">
        <v>6</v>
      </c>
      <c r="B12" s="4" t="s">
        <v>32</v>
      </c>
      <c r="C12" s="4" t="s">
        <v>33</v>
      </c>
      <c r="D12" s="4" t="s">
        <v>28</v>
      </c>
      <c r="E12" s="5">
        <v>43750</v>
      </c>
      <c r="F12" s="6">
        <v>749.89687500000002</v>
      </c>
      <c r="G12" s="7">
        <v>2.5294469999999999E-2</v>
      </c>
      <c r="H12" s="6"/>
    </row>
    <row r="13" spans="1:14" ht="17.100000000000001" customHeight="1" x14ac:dyDescent="0.2">
      <c r="A13" s="3">
        <v>7</v>
      </c>
      <c r="B13" s="4" t="s">
        <v>34</v>
      </c>
      <c r="C13" s="4" t="s">
        <v>35</v>
      </c>
      <c r="D13" s="4" t="s">
        <v>28</v>
      </c>
      <c r="E13" s="5">
        <v>55216</v>
      </c>
      <c r="F13" s="6">
        <v>748.23201600000004</v>
      </c>
      <c r="G13" s="7">
        <v>2.5238314000000001E-2</v>
      </c>
      <c r="H13" s="6"/>
      <c r="J13" s="169" t="s">
        <v>1148</v>
      </c>
    </row>
    <row r="14" spans="1:14" ht="17.100000000000001" customHeight="1" x14ac:dyDescent="0.2">
      <c r="A14" s="3">
        <v>8</v>
      </c>
      <c r="B14" s="4" t="s">
        <v>272</v>
      </c>
      <c r="C14" s="4" t="s">
        <v>273</v>
      </c>
      <c r="D14" s="4" t="s">
        <v>28</v>
      </c>
      <c r="E14" s="5">
        <v>90886</v>
      </c>
      <c r="F14" s="6">
        <v>731.17786999999998</v>
      </c>
      <c r="G14" s="7">
        <v>2.4663067E-2</v>
      </c>
      <c r="H14" s="6"/>
    </row>
    <row r="15" spans="1:14" ht="17.100000000000001" customHeight="1" x14ac:dyDescent="0.2">
      <c r="A15" s="3">
        <v>9</v>
      </c>
      <c r="B15" s="4" t="s">
        <v>201</v>
      </c>
      <c r="C15" s="4" t="s">
        <v>202</v>
      </c>
      <c r="D15" s="4" t="s">
        <v>203</v>
      </c>
      <c r="E15" s="5">
        <v>143859</v>
      </c>
      <c r="F15" s="6">
        <v>724.33006499999999</v>
      </c>
      <c r="G15" s="7">
        <v>2.4432085999999999E-2</v>
      </c>
      <c r="H15" s="6"/>
    </row>
    <row r="16" spans="1:14" ht="29.1" customHeight="1" x14ac:dyDescent="0.2">
      <c r="A16" s="3">
        <v>10</v>
      </c>
      <c r="B16" s="4" t="s">
        <v>192</v>
      </c>
      <c r="C16" s="4" t="s">
        <v>193</v>
      </c>
      <c r="D16" s="4" t="s">
        <v>80</v>
      </c>
      <c r="E16" s="5">
        <v>193172</v>
      </c>
      <c r="F16" s="6">
        <v>698.22019399999999</v>
      </c>
      <c r="G16" s="7">
        <v>2.3551385000000001E-2</v>
      </c>
      <c r="H16" s="6"/>
    </row>
    <row r="17" spans="1:8" ht="17.100000000000001" customHeight="1" x14ac:dyDescent="0.2">
      <c r="A17" s="3">
        <v>11</v>
      </c>
      <c r="B17" s="4" t="s">
        <v>172</v>
      </c>
      <c r="C17" s="4" t="s">
        <v>173</v>
      </c>
      <c r="D17" s="4" t="s">
        <v>994</v>
      </c>
      <c r="E17" s="5">
        <v>129586</v>
      </c>
      <c r="F17" s="6">
        <v>687.19455800000003</v>
      </c>
      <c r="G17" s="7">
        <v>2.3179484E-2</v>
      </c>
      <c r="H17" s="6"/>
    </row>
    <row r="18" spans="1:8" ht="17.100000000000001" customHeight="1" x14ac:dyDescent="0.2">
      <c r="A18" s="3">
        <v>12</v>
      </c>
      <c r="B18" s="4" t="s">
        <v>279</v>
      </c>
      <c r="C18" s="4" t="s">
        <v>280</v>
      </c>
      <c r="D18" s="4" t="s">
        <v>28</v>
      </c>
      <c r="E18" s="5">
        <v>98456</v>
      </c>
      <c r="F18" s="6">
        <v>662.215056</v>
      </c>
      <c r="G18" s="7">
        <v>2.2336910000000001E-2</v>
      </c>
      <c r="H18" s="6"/>
    </row>
    <row r="19" spans="1:8" ht="17.100000000000001" customHeight="1" x14ac:dyDescent="0.2">
      <c r="A19" s="3">
        <v>13</v>
      </c>
      <c r="B19" s="4" t="s">
        <v>177</v>
      </c>
      <c r="C19" s="4" t="s">
        <v>178</v>
      </c>
      <c r="D19" s="4" t="s">
        <v>85</v>
      </c>
      <c r="E19" s="5">
        <v>698761</v>
      </c>
      <c r="F19" s="6">
        <v>651.94401300000004</v>
      </c>
      <c r="G19" s="7">
        <v>2.1990461999999999E-2</v>
      </c>
      <c r="H19" s="6"/>
    </row>
    <row r="20" spans="1:8" ht="17.100000000000001" customHeight="1" x14ac:dyDescent="0.2">
      <c r="A20" s="3">
        <v>14</v>
      </c>
      <c r="B20" s="4" t="s">
        <v>179</v>
      </c>
      <c r="C20" s="4" t="s">
        <v>180</v>
      </c>
      <c r="D20" s="4" t="s">
        <v>181</v>
      </c>
      <c r="E20" s="5">
        <v>42481</v>
      </c>
      <c r="F20" s="6">
        <v>626.80715499999997</v>
      </c>
      <c r="G20" s="7">
        <v>2.1142580000000001E-2</v>
      </c>
      <c r="H20" s="6"/>
    </row>
    <row r="21" spans="1:8" ht="17.100000000000001" customHeight="1" x14ac:dyDescent="0.2">
      <c r="A21" s="3">
        <v>15</v>
      </c>
      <c r="B21" s="4" t="s">
        <v>249</v>
      </c>
      <c r="C21" s="4" t="s">
        <v>250</v>
      </c>
      <c r="D21" s="4" t="s">
        <v>994</v>
      </c>
      <c r="E21" s="5">
        <v>15854</v>
      </c>
      <c r="F21" s="6">
        <v>596.09454600000004</v>
      </c>
      <c r="G21" s="7">
        <v>2.0106625999999999E-2</v>
      </c>
      <c r="H21" s="6"/>
    </row>
    <row r="22" spans="1:8" ht="17.100000000000001" customHeight="1" x14ac:dyDescent="0.2">
      <c r="A22" s="3">
        <v>16</v>
      </c>
      <c r="B22" s="4" t="s">
        <v>174</v>
      </c>
      <c r="C22" s="4" t="s">
        <v>175</v>
      </c>
      <c r="D22" s="4" t="s">
        <v>176</v>
      </c>
      <c r="E22" s="5">
        <v>56083</v>
      </c>
      <c r="F22" s="6">
        <v>590.02120149999996</v>
      </c>
      <c r="G22" s="7">
        <v>1.9901768E-2</v>
      </c>
      <c r="H22" s="6"/>
    </row>
    <row r="23" spans="1:8" ht="17.100000000000001" customHeight="1" x14ac:dyDescent="0.2">
      <c r="A23" s="3">
        <v>17</v>
      </c>
      <c r="B23" s="4" t="s">
        <v>237</v>
      </c>
      <c r="C23" s="4" t="s">
        <v>238</v>
      </c>
      <c r="D23" s="4" t="s">
        <v>239</v>
      </c>
      <c r="E23" s="5">
        <v>194334</v>
      </c>
      <c r="F23" s="6">
        <v>545.78703900000005</v>
      </c>
      <c r="G23" s="7">
        <v>1.8409722999999999E-2</v>
      </c>
      <c r="H23" s="6"/>
    </row>
    <row r="24" spans="1:8" ht="17.100000000000001" customHeight="1" x14ac:dyDescent="0.2">
      <c r="A24" s="3">
        <v>18</v>
      </c>
      <c r="B24" s="4" t="s">
        <v>204</v>
      </c>
      <c r="C24" s="4" t="s">
        <v>205</v>
      </c>
      <c r="D24" s="4" t="s">
        <v>85</v>
      </c>
      <c r="E24" s="5">
        <v>69806</v>
      </c>
      <c r="F24" s="6">
        <v>543.09068000000002</v>
      </c>
      <c r="G24" s="7">
        <v>1.8318773999999999E-2</v>
      </c>
      <c r="H24" s="6"/>
    </row>
    <row r="25" spans="1:8" ht="17.100000000000001" customHeight="1" x14ac:dyDescent="0.2">
      <c r="A25" s="3">
        <v>19</v>
      </c>
      <c r="B25" s="4" t="s">
        <v>90</v>
      </c>
      <c r="C25" s="4" t="s">
        <v>91</v>
      </c>
      <c r="D25" s="4" t="s">
        <v>92</v>
      </c>
      <c r="E25" s="5">
        <v>114200</v>
      </c>
      <c r="F25" s="6">
        <v>530.63030000000003</v>
      </c>
      <c r="G25" s="7">
        <v>1.7898476999999999E-2</v>
      </c>
      <c r="H25" s="6"/>
    </row>
    <row r="26" spans="1:8" ht="17.100000000000001" customHeight="1" x14ac:dyDescent="0.2">
      <c r="A26" s="3">
        <v>20</v>
      </c>
      <c r="B26" s="4" t="s">
        <v>184</v>
      </c>
      <c r="C26" s="4" t="s">
        <v>185</v>
      </c>
      <c r="D26" s="4" t="s">
        <v>186</v>
      </c>
      <c r="E26" s="5">
        <v>46040</v>
      </c>
      <c r="F26" s="6">
        <v>489.2901</v>
      </c>
      <c r="G26" s="7">
        <v>1.6504048E-2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34737</v>
      </c>
      <c r="F27" s="6">
        <v>476.47006049999999</v>
      </c>
      <c r="G27" s="7">
        <v>1.6071619999999998E-2</v>
      </c>
      <c r="H27" s="6"/>
    </row>
    <row r="28" spans="1:8" ht="17.100000000000001" customHeight="1" x14ac:dyDescent="0.2">
      <c r="A28" s="3">
        <v>22</v>
      </c>
      <c r="B28" s="4" t="s">
        <v>277</v>
      </c>
      <c r="C28" s="4" t="s">
        <v>278</v>
      </c>
      <c r="D28" s="4" t="s">
        <v>92</v>
      </c>
      <c r="E28" s="5">
        <v>40454</v>
      </c>
      <c r="F28" s="6">
        <v>472.057726</v>
      </c>
      <c r="G28" s="7">
        <v>1.5922789999999999E-2</v>
      </c>
      <c r="H28" s="6"/>
    </row>
    <row r="29" spans="1:8" ht="29.1" customHeight="1" x14ac:dyDescent="0.2">
      <c r="A29" s="3">
        <v>23</v>
      </c>
      <c r="B29" s="4" t="s">
        <v>189</v>
      </c>
      <c r="C29" s="4" t="s">
        <v>190</v>
      </c>
      <c r="D29" s="4" t="s">
        <v>191</v>
      </c>
      <c r="E29" s="5">
        <v>66434</v>
      </c>
      <c r="F29" s="6">
        <v>467.72857699999997</v>
      </c>
      <c r="G29" s="7">
        <v>1.5776765000000002E-2</v>
      </c>
      <c r="H29" s="6"/>
    </row>
    <row r="30" spans="1:8" ht="17.100000000000001" customHeight="1" x14ac:dyDescent="0.2">
      <c r="A30" s="3">
        <v>24</v>
      </c>
      <c r="B30" s="4" t="s">
        <v>194</v>
      </c>
      <c r="C30" s="4" t="s">
        <v>195</v>
      </c>
      <c r="D30" s="4" t="s">
        <v>85</v>
      </c>
      <c r="E30" s="5">
        <v>90471</v>
      </c>
      <c r="F30" s="6">
        <v>437.608227</v>
      </c>
      <c r="G30" s="7">
        <v>1.4760786999999999E-2</v>
      </c>
      <c r="H30" s="6"/>
    </row>
    <row r="31" spans="1:8" ht="29.1" customHeight="1" x14ac:dyDescent="0.2">
      <c r="A31" s="3">
        <v>25</v>
      </c>
      <c r="B31" s="4" t="s">
        <v>478</v>
      </c>
      <c r="C31" s="4" t="s">
        <v>479</v>
      </c>
      <c r="D31" s="4" t="s">
        <v>42</v>
      </c>
      <c r="E31" s="5">
        <v>23625</v>
      </c>
      <c r="F31" s="6">
        <v>432.4910625</v>
      </c>
      <c r="G31" s="7">
        <v>1.4588182E-2</v>
      </c>
      <c r="H31" s="6"/>
    </row>
    <row r="32" spans="1:8" ht="17.100000000000001" customHeight="1" x14ac:dyDescent="0.2">
      <c r="A32" s="3">
        <v>26</v>
      </c>
      <c r="B32" s="4" t="s">
        <v>281</v>
      </c>
      <c r="C32" s="4" t="s">
        <v>282</v>
      </c>
      <c r="D32" s="4" t="s">
        <v>28</v>
      </c>
      <c r="E32" s="5">
        <v>18641</v>
      </c>
      <c r="F32" s="6">
        <v>425.04276149999998</v>
      </c>
      <c r="G32" s="7">
        <v>1.4336946999999999E-2</v>
      </c>
      <c r="H32" s="6"/>
    </row>
    <row r="33" spans="1:8" ht="29.1" customHeight="1" x14ac:dyDescent="0.2">
      <c r="A33" s="3">
        <v>27</v>
      </c>
      <c r="B33" s="4" t="s">
        <v>43</v>
      </c>
      <c r="C33" s="4" t="s">
        <v>44</v>
      </c>
      <c r="D33" s="4" t="s">
        <v>25</v>
      </c>
      <c r="E33" s="5">
        <v>16781</v>
      </c>
      <c r="F33" s="6">
        <v>399.76537250000001</v>
      </c>
      <c r="G33" s="7">
        <v>1.3484325E-2</v>
      </c>
      <c r="H33" s="6"/>
    </row>
    <row r="34" spans="1:8" ht="17.100000000000001" customHeight="1" x14ac:dyDescent="0.2">
      <c r="A34" s="3">
        <v>28</v>
      </c>
      <c r="B34" s="4" t="s">
        <v>480</v>
      </c>
      <c r="C34" s="4" t="s">
        <v>481</v>
      </c>
      <c r="D34" s="4" t="s">
        <v>80</v>
      </c>
      <c r="E34" s="5">
        <v>42388</v>
      </c>
      <c r="F34" s="6">
        <v>388.69796000000002</v>
      </c>
      <c r="G34" s="7">
        <v>1.3111015E-2</v>
      </c>
      <c r="H34" s="6"/>
    </row>
    <row r="35" spans="1:8" ht="29.1" customHeight="1" x14ac:dyDescent="0.2">
      <c r="A35" s="3">
        <v>29</v>
      </c>
      <c r="B35" s="4" t="s">
        <v>196</v>
      </c>
      <c r="C35" s="4" t="s">
        <v>197</v>
      </c>
      <c r="D35" s="4" t="s">
        <v>198</v>
      </c>
      <c r="E35" s="5">
        <v>105982</v>
      </c>
      <c r="F35" s="6">
        <v>374.27543300000002</v>
      </c>
      <c r="G35" s="7">
        <v>1.2624534E-2</v>
      </c>
      <c r="H35" s="6"/>
    </row>
    <row r="36" spans="1:8" ht="17.100000000000001" customHeight="1" x14ac:dyDescent="0.2">
      <c r="A36" s="3">
        <v>30</v>
      </c>
      <c r="B36" s="4" t="s">
        <v>482</v>
      </c>
      <c r="C36" s="4" t="s">
        <v>483</v>
      </c>
      <c r="D36" s="4" t="s">
        <v>47</v>
      </c>
      <c r="E36" s="5">
        <v>50312</v>
      </c>
      <c r="F36" s="6">
        <v>371.02584400000001</v>
      </c>
      <c r="G36" s="7">
        <v>1.2514924E-2</v>
      </c>
      <c r="H36" s="6"/>
    </row>
    <row r="37" spans="1:8" ht="17.100000000000001" customHeight="1" x14ac:dyDescent="0.2">
      <c r="A37" s="3">
        <v>31</v>
      </c>
      <c r="B37" s="4" t="s">
        <v>283</v>
      </c>
      <c r="C37" s="4" t="s">
        <v>284</v>
      </c>
      <c r="D37" s="4" t="s">
        <v>176</v>
      </c>
      <c r="E37" s="5">
        <v>46872</v>
      </c>
      <c r="F37" s="6">
        <v>367.19524799999999</v>
      </c>
      <c r="G37" s="7">
        <v>1.2385715E-2</v>
      </c>
      <c r="H37" s="6"/>
    </row>
    <row r="38" spans="1:8" ht="29.1" customHeight="1" x14ac:dyDescent="0.2">
      <c r="A38" s="3">
        <v>32</v>
      </c>
      <c r="B38" s="4" t="s">
        <v>285</v>
      </c>
      <c r="C38" s="4" t="s">
        <v>286</v>
      </c>
      <c r="D38" s="4" t="s">
        <v>233</v>
      </c>
      <c r="E38" s="5">
        <v>65469</v>
      </c>
      <c r="F38" s="6">
        <v>363.77849850000001</v>
      </c>
      <c r="G38" s="7">
        <v>1.2270466000000001E-2</v>
      </c>
      <c r="H38" s="6"/>
    </row>
    <row r="39" spans="1:8" ht="29.1" customHeight="1" x14ac:dyDescent="0.2">
      <c r="A39" s="3">
        <v>33</v>
      </c>
      <c r="B39" s="4" t="s">
        <v>208</v>
      </c>
      <c r="C39" s="4" t="s">
        <v>209</v>
      </c>
      <c r="D39" s="4" t="s">
        <v>210</v>
      </c>
      <c r="E39" s="5">
        <v>25223</v>
      </c>
      <c r="F39" s="6">
        <v>359.85654099999999</v>
      </c>
      <c r="G39" s="7">
        <v>1.2138176000000001E-2</v>
      </c>
      <c r="H39" s="6"/>
    </row>
    <row r="40" spans="1:8" ht="29.1" customHeight="1" x14ac:dyDescent="0.2">
      <c r="A40" s="3">
        <v>34</v>
      </c>
      <c r="B40" s="4" t="s">
        <v>206</v>
      </c>
      <c r="C40" s="4" t="s">
        <v>207</v>
      </c>
      <c r="D40" s="4" t="s">
        <v>191</v>
      </c>
      <c r="E40" s="5">
        <v>70561</v>
      </c>
      <c r="F40" s="6">
        <v>331.24861449999997</v>
      </c>
      <c r="G40" s="7">
        <v>1.1173214000000001E-2</v>
      </c>
      <c r="H40" s="6"/>
    </row>
    <row r="41" spans="1:8" ht="29.1" customHeight="1" x14ac:dyDescent="0.2">
      <c r="A41" s="3">
        <v>35</v>
      </c>
      <c r="B41" s="4" t="s">
        <v>211</v>
      </c>
      <c r="C41" s="4" t="s">
        <v>212</v>
      </c>
      <c r="D41" s="4" t="s">
        <v>198</v>
      </c>
      <c r="E41" s="5">
        <v>58282</v>
      </c>
      <c r="F41" s="6">
        <v>330.72120899999999</v>
      </c>
      <c r="G41" s="7">
        <v>1.1155424000000001E-2</v>
      </c>
      <c r="H41" s="6"/>
    </row>
    <row r="42" spans="1:8" ht="17.100000000000001" customHeight="1" x14ac:dyDescent="0.2">
      <c r="A42" s="3">
        <v>36</v>
      </c>
      <c r="B42" s="4" t="s">
        <v>484</v>
      </c>
      <c r="C42" s="4" t="s">
        <v>485</v>
      </c>
      <c r="D42" s="4" t="s">
        <v>85</v>
      </c>
      <c r="E42" s="5">
        <v>30109</v>
      </c>
      <c r="F42" s="6">
        <v>322.61793499999999</v>
      </c>
      <c r="G42" s="7">
        <v>1.0882096000000001E-2</v>
      </c>
      <c r="H42" s="6"/>
    </row>
    <row r="43" spans="1:8" ht="17.100000000000001" customHeight="1" x14ac:dyDescent="0.2">
      <c r="A43" s="3">
        <v>37</v>
      </c>
      <c r="B43" s="4" t="s">
        <v>363</v>
      </c>
      <c r="C43" s="4" t="s">
        <v>364</v>
      </c>
      <c r="D43" s="4" t="s">
        <v>95</v>
      </c>
      <c r="E43" s="5">
        <v>8487</v>
      </c>
      <c r="F43" s="6">
        <v>313.94261699999998</v>
      </c>
      <c r="G43" s="7">
        <v>1.0589472000000001E-2</v>
      </c>
      <c r="H43" s="6"/>
    </row>
    <row r="44" spans="1:8" ht="17.100000000000001" customHeight="1" x14ac:dyDescent="0.2">
      <c r="A44" s="3">
        <v>38</v>
      </c>
      <c r="B44" s="4" t="s">
        <v>215</v>
      </c>
      <c r="C44" s="4" t="s">
        <v>216</v>
      </c>
      <c r="D44" s="4" t="s">
        <v>186</v>
      </c>
      <c r="E44" s="5">
        <v>67450</v>
      </c>
      <c r="F44" s="6">
        <v>307.0324</v>
      </c>
      <c r="G44" s="7">
        <v>1.0356387E-2</v>
      </c>
      <c r="H44" s="6"/>
    </row>
    <row r="45" spans="1:8" ht="17.100000000000001" customHeight="1" x14ac:dyDescent="0.2">
      <c r="A45" s="3">
        <v>39</v>
      </c>
      <c r="B45" s="4" t="s">
        <v>213</v>
      </c>
      <c r="C45" s="4" t="s">
        <v>214</v>
      </c>
      <c r="D45" s="4" t="s">
        <v>13</v>
      </c>
      <c r="E45" s="5">
        <v>369322</v>
      </c>
      <c r="F45" s="6">
        <v>303.39802300000002</v>
      </c>
      <c r="G45" s="7">
        <v>1.0233796999999999E-2</v>
      </c>
      <c r="H45" s="6"/>
    </row>
    <row r="46" spans="1:8" ht="17.100000000000001" customHeight="1" x14ac:dyDescent="0.2">
      <c r="A46" s="3">
        <v>40</v>
      </c>
      <c r="B46" s="4" t="s">
        <v>199</v>
      </c>
      <c r="C46" s="4" t="s">
        <v>200</v>
      </c>
      <c r="D46" s="4" t="s">
        <v>13</v>
      </c>
      <c r="E46" s="5">
        <v>81720</v>
      </c>
      <c r="F46" s="6">
        <v>294.64146</v>
      </c>
      <c r="G46" s="7">
        <v>9.938433E-3</v>
      </c>
      <c r="H46" s="6"/>
    </row>
    <row r="47" spans="1:8" ht="17.100000000000001" customHeight="1" x14ac:dyDescent="0.2">
      <c r="A47" s="3">
        <v>41</v>
      </c>
      <c r="B47" s="4" t="s">
        <v>36</v>
      </c>
      <c r="C47" s="4" t="s">
        <v>37</v>
      </c>
      <c r="D47" s="4" t="s">
        <v>28</v>
      </c>
      <c r="E47" s="5">
        <v>9208</v>
      </c>
      <c r="F47" s="6">
        <v>292.96172799999999</v>
      </c>
      <c r="G47" s="7">
        <v>9.8817739999999994E-3</v>
      </c>
      <c r="H47" s="6"/>
    </row>
    <row r="48" spans="1:8" ht="17.100000000000001" customHeight="1" x14ac:dyDescent="0.2">
      <c r="A48" s="3">
        <v>42</v>
      </c>
      <c r="B48" s="4" t="s">
        <v>486</v>
      </c>
      <c r="C48" s="4" t="s">
        <v>487</v>
      </c>
      <c r="D48" s="4" t="s">
        <v>28</v>
      </c>
      <c r="E48" s="5">
        <v>40294</v>
      </c>
      <c r="F48" s="6">
        <v>290.31826999999998</v>
      </c>
      <c r="G48" s="7">
        <v>9.7926090000000007E-3</v>
      </c>
      <c r="H48" s="6"/>
    </row>
    <row r="49" spans="1:8" ht="17.100000000000001" customHeight="1" x14ac:dyDescent="0.2">
      <c r="A49" s="3">
        <v>43</v>
      </c>
      <c r="B49" s="4" t="s">
        <v>488</v>
      </c>
      <c r="C49" s="4" t="s">
        <v>489</v>
      </c>
      <c r="D49" s="4" t="s">
        <v>80</v>
      </c>
      <c r="E49" s="5">
        <v>27439</v>
      </c>
      <c r="F49" s="6">
        <v>281.08511600000003</v>
      </c>
      <c r="G49" s="7">
        <v>9.4811689999999994E-3</v>
      </c>
      <c r="H49" s="6"/>
    </row>
    <row r="50" spans="1:8" ht="17.100000000000001" customHeight="1" x14ac:dyDescent="0.2">
      <c r="A50" s="3">
        <v>44</v>
      </c>
      <c r="B50" s="4" t="s">
        <v>222</v>
      </c>
      <c r="C50" s="4" t="s">
        <v>223</v>
      </c>
      <c r="D50" s="4" t="s">
        <v>95</v>
      </c>
      <c r="E50" s="5">
        <v>17190</v>
      </c>
      <c r="F50" s="6">
        <v>269.94316500000002</v>
      </c>
      <c r="G50" s="7">
        <v>9.1053439999999996E-3</v>
      </c>
      <c r="H50" s="6"/>
    </row>
    <row r="51" spans="1:8" ht="29.1" customHeight="1" x14ac:dyDescent="0.2">
      <c r="A51" s="3">
        <v>45</v>
      </c>
      <c r="B51" s="4" t="s">
        <v>293</v>
      </c>
      <c r="C51" s="4" t="s">
        <v>294</v>
      </c>
      <c r="D51" s="4" t="s">
        <v>295</v>
      </c>
      <c r="E51" s="5">
        <v>81931</v>
      </c>
      <c r="F51" s="6">
        <v>267.58664599999997</v>
      </c>
      <c r="G51" s="7">
        <v>9.0258579999999995E-3</v>
      </c>
      <c r="H51" s="6"/>
    </row>
    <row r="52" spans="1:8" ht="29.1" customHeight="1" x14ac:dyDescent="0.2">
      <c r="A52" s="3">
        <v>46</v>
      </c>
      <c r="B52" s="4" t="s">
        <v>224</v>
      </c>
      <c r="C52" s="4" t="s">
        <v>225</v>
      </c>
      <c r="D52" s="4" t="s">
        <v>198</v>
      </c>
      <c r="E52" s="5">
        <v>16433</v>
      </c>
      <c r="F52" s="6">
        <v>267.14306449999998</v>
      </c>
      <c r="G52" s="7">
        <v>9.0108949999999997E-3</v>
      </c>
      <c r="H52" s="6"/>
    </row>
    <row r="53" spans="1:8" ht="17.100000000000001" customHeight="1" x14ac:dyDescent="0.2">
      <c r="A53" s="3">
        <v>47</v>
      </c>
      <c r="B53" s="4" t="s">
        <v>228</v>
      </c>
      <c r="C53" s="4" t="s">
        <v>229</v>
      </c>
      <c r="D53" s="4" t="s">
        <v>230</v>
      </c>
      <c r="E53" s="5">
        <v>86680</v>
      </c>
      <c r="F53" s="6">
        <v>256.13940000000002</v>
      </c>
      <c r="G53" s="7">
        <v>8.6397350000000008E-3</v>
      </c>
      <c r="H53" s="6"/>
    </row>
    <row r="54" spans="1:8" ht="17.100000000000001" customHeight="1" x14ac:dyDescent="0.2">
      <c r="A54" s="3">
        <v>48</v>
      </c>
      <c r="B54" s="4" t="s">
        <v>492</v>
      </c>
      <c r="C54" s="4" t="s">
        <v>493</v>
      </c>
      <c r="D54" s="4"/>
      <c r="E54" s="5">
        <v>31437</v>
      </c>
      <c r="F54" s="6">
        <v>255.39418800000001</v>
      </c>
      <c r="G54" s="7">
        <v>8.6145990000000006E-3</v>
      </c>
      <c r="H54" s="6"/>
    </row>
    <row r="55" spans="1:8" ht="29.1" customHeight="1" x14ac:dyDescent="0.2">
      <c r="A55" s="3">
        <v>49</v>
      </c>
      <c r="B55" s="4" t="s">
        <v>298</v>
      </c>
      <c r="C55" s="4" t="s">
        <v>299</v>
      </c>
      <c r="D55" s="4" t="s">
        <v>25</v>
      </c>
      <c r="E55" s="5">
        <v>138104</v>
      </c>
      <c r="F55" s="6">
        <v>253.213684</v>
      </c>
      <c r="G55" s="7">
        <v>8.5410490000000002E-3</v>
      </c>
      <c r="H55" s="6"/>
    </row>
    <row r="56" spans="1:8" ht="29.1" customHeight="1" x14ac:dyDescent="0.2">
      <c r="A56" s="3">
        <v>50</v>
      </c>
      <c r="B56" s="4" t="s">
        <v>234</v>
      </c>
      <c r="C56" s="4" t="s">
        <v>235</v>
      </c>
      <c r="D56" s="4" t="s">
        <v>236</v>
      </c>
      <c r="E56" s="5">
        <v>274546</v>
      </c>
      <c r="F56" s="6">
        <v>249.97413299999999</v>
      </c>
      <c r="G56" s="7">
        <v>8.4317769999999997E-3</v>
      </c>
      <c r="H56" s="6"/>
    </row>
    <row r="57" spans="1:8" ht="17.100000000000001" customHeight="1" x14ac:dyDescent="0.2">
      <c r="A57" s="3">
        <v>51</v>
      </c>
      <c r="B57" s="4" t="s">
        <v>287</v>
      </c>
      <c r="C57" s="4" t="s">
        <v>288</v>
      </c>
      <c r="D57" s="4" t="s">
        <v>85</v>
      </c>
      <c r="E57" s="5">
        <v>503774</v>
      </c>
      <c r="F57" s="6">
        <v>249.116243</v>
      </c>
      <c r="G57" s="7">
        <v>8.40284E-3</v>
      </c>
      <c r="H57" s="6"/>
    </row>
    <row r="58" spans="1:8" ht="17.100000000000001" customHeight="1" x14ac:dyDescent="0.2">
      <c r="A58" s="3">
        <v>52</v>
      </c>
      <c r="B58" s="4" t="s">
        <v>490</v>
      </c>
      <c r="C58" s="4" t="s">
        <v>491</v>
      </c>
      <c r="D58" s="4" t="s">
        <v>28</v>
      </c>
      <c r="E58" s="5">
        <v>45673</v>
      </c>
      <c r="F58" s="6">
        <v>245.10415449999999</v>
      </c>
      <c r="G58" s="7">
        <v>8.2675100000000005E-3</v>
      </c>
      <c r="H58" s="6"/>
    </row>
    <row r="59" spans="1:8" ht="17.100000000000001" customHeight="1" x14ac:dyDescent="0.2">
      <c r="A59" s="3">
        <v>53</v>
      </c>
      <c r="B59" s="4" t="s">
        <v>270</v>
      </c>
      <c r="C59" s="4" t="s">
        <v>271</v>
      </c>
      <c r="D59" s="4" t="s">
        <v>28</v>
      </c>
      <c r="E59" s="5">
        <v>23852</v>
      </c>
      <c r="F59" s="6">
        <v>244.06558999999999</v>
      </c>
      <c r="G59" s="7">
        <v>8.2324779999999997E-3</v>
      </c>
      <c r="H59" s="6"/>
    </row>
    <row r="60" spans="1:8" ht="29.1" customHeight="1" x14ac:dyDescent="0.2">
      <c r="A60" s="3">
        <v>54</v>
      </c>
      <c r="B60" s="4" t="s">
        <v>231</v>
      </c>
      <c r="C60" s="4" t="s">
        <v>232</v>
      </c>
      <c r="D60" s="4" t="s">
        <v>233</v>
      </c>
      <c r="E60" s="5">
        <v>68454</v>
      </c>
      <c r="F60" s="6">
        <v>242.39561399999999</v>
      </c>
      <c r="G60" s="7">
        <v>8.1761490000000006E-3</v>
      </c>
      <c r="H60" s="6"/>
    </row>
    <row r="61" spans="1:8" ht="53.1" customHeight="1" x14ac:dyDescent="0.2">
      <c r="A61" s="3">
        <v>55</v>
      </c>
      <c r="B61" s="4" t="s">
        <v>251</v>
      </c>
      <c r="C61" s="4" t="s">
        <v>1141</v>
      </c>
      <c r="D61" s="4" t="s">
        <v>75</v>
      </c>
      <c r="E61" s="5">
        <v>116365</v>
      </c>
      <c r="F61" s="6">
        <v>230.98452499999999</v>
      </c>
      <c r="G61" s="7">
        <v>7.7912459999999999E-3</v>
      </c>
      <c r="H61" s="6"/>
    </row>
    <row r="62" spans="1:8" ht="41.1" customHeight="1" x14ac:dyDescent="0.2">
      <c r="A62" s="3">
        <v>56</v>
      </c>
      <c r="B62" s="4" t="s">
        <v>267</v>
      </c>
      <c r="C62" s="4" t="s">
        <v>268</v>
      </c>
      <c r="D62" s="4" t="s">
        <v>269</v>
      </c>
      <c r="E62" s="5">
        <v>30413</v>
      </c>
      <c r="F62" s="6">
        <v>220.63110850000001</v>
      </c>
      <c r="G62" s="7">
        <v>7.4420190000000002E-3</v>
      </c>
      <c r="H62" s="6"/>
    </row>
    <row r="63" spans="1:8" ht="29.1" customHeight="1" x14ac:dyDescent="0.2">
      <c r="A63" s="3">
        <v>57</v>
      </c>
      <c r="B63" s="4" t="s">
        <v>220</v>
      </c>
      <c r="C63" s="4" t="s">
        <v>221</v>
      </c>
      <c r="D63" s="4" t="s">
        <v>219</v>
      </c>
      <c r="E63" s="5">
        <v>24941</v>
      </c>
      <c r="F63" s="6">
        <v>217.6476365</v>
      </c>
      <c r="G63" s="7">
        <v>7.3413849999999998E-3</v>
      </c>
      <c r="H63" s="6"/>
    </row>
    <row r="64" spans="1:8" ht="17.100000000000001" customHeight="1" x14ac:dyDescent="0.2">
      <c r="A64" s="3">
        <v>58</v>
      </c>
      <c r="B64" s="4" t="s">
        <v>291</v>
      </c>
      <c r="C64" s="4" t="s">
        <v>292</v>
      </c>
      <c r="D64" s="4" t="s">
        <v>95</v>
      </c>
      <c r="E64" s="5">
        <v>33763</v>
      </c>
      <c r="F64" s="6">
        <v>213.19646349999999</v>
      </c>
      <c r="G64" s="7">
        <v>7.1912440000000003E-3</v>
      </c>
      <c r="H64" s="6"/>
    </row>
    <row r="65" spans="1:8" ht="17.100000000000001" customHeight="1" x14ac:dyDescent="0.2">
      <c r="A65" s="3">
        <v>59</v>
      </c>
      <c r="B65" s="4" t="s">
        <v>494</v>
      </c>
      <c r="C65" s="4" t="s">
        <v>495</v>
      </c>
      <c r="D65" s="4" t="s">
        <v>186</v>
      </c>
      <c r="E65" s="5">
        <v>363090</v>
      </c>
      <c r="F65" s="6">
        <v>211.13683499999999</v>
      </c>
      <c r="G65" s="7">
        <v>7.1217720000000002E-3</v>
      </c>
      <c r="H65" s="6"/>
    </row>
    <row r="66" spans="1:8" ht="17.100000000000001" customHeight="1" x14ac:dyDescent="0.2">
      <c r="A66" s="3">
        <v>60</v>
      </c>
      <c r="B66" s="4" t="s">
        <v>263</v>
      </c>
      <c r="C66" s="4" t="s">
        <v>264</v>
      </c>
      <c r="D66" s="4" t="s">
        <v>16</v>
      </c>
      <c r="E66" s="5">
        <v>91543</v>
      </c>
      <c r="F66" s="6">
        <v>208.534954</v>
      </c>
      <c r="G66" s="7">
        <v>7.0340089999999999E-3</v>
      </c>
      <c r="H66" s="6"/>
    </row>
    <row r="67" spans="1:8" ht="17.100000000000001" customHeight="1" x14ac:dyDescent="0.2">
      <c r="A67" s="3">
        <v>61</v>
      </c>
      <c r="B67" s="4" t="s">
        <v>242</v>
      </c>
      <c r="C67" s="4" t="s">
        <v>243</v>
      </c>
      <c r="D67" s="4" t="s">
        <v>80</v>
      </c>
      <c r="E67" s="5">
        <v>92539</v>
      </c>
      <c r="F67" s="6">
        <v>197.15433949999999</v>
      </c>
      <c r="G67" s="7">
        <v>6.6501340000000003E-3</v>
      </c>
      <c r="H67" s="6"/>
    </row>
    <row r="68" spans="1:8" ht="17.100000000000001" customHeight="1" x14ac:dyDescent="0.2">
      <c r="A68" s="3">
        <v>62</v>
      </c>
      <c r="B68" s="4" t="s">
        <v>244</v>
      </c>
      <c r="C68" s="4" t="s">
        <v>245</v>
      </c>
      <c r="D68" s="4" t="s">
        <v>95</v>
      </c>
      <c r="E68" s="5">
        <v>36696</v>
      </c>
      <c r="F68" s="6">
        <v>192.74574000000001</v>
      </c>
      <c r="G68" s="7">
        <v>6.5014290000000004E-3</v>
      </c>
      <c r="H68" s="6"/>
    </row>
    <row r="69" spans="1:8" ht="29.1" customHeight="1" x14ac:dyDescent="0.2">
      <c r="A69" s="3">
        <v>63</v>
      </c>
      <c r="B69" s="4" t="s">
        <v>226</v>
      </c>
      <c r="C69" s="4" t="s">
        <v>227</v>
      </c>
      <c r="D69" s="4" t="s">
        <v>80</v>
      </c>
      <c r="E69" s="5">
        <v>9707</v>
      </c>
      <c r="F69" s="6">
        <v>171.58093199999999</v>
      </c>
      <c r="G69" s="7">
        <v>5.7875269999999998E-3</v>
      </c>
      <c r="H69" s="6"/>
    </row>
    <row r="70" spans="1:8" ht="17.100000000000001" customHeight="1" x14ac:dyDescent="0.2">
      <c r="A70" s="3">
        <v>64</v>
      </c>
      <c r="B70" s="4" t="s">
        <v>252</v>
      </c>
      <c r="C70" s="4" t="s">
        <v>253</v>
      </c>
      <c r="D70" s="4" t="s">
        <v>254</v>
      </c>
      <c r="E70" s="5">
        <v>140250</v>
      </c>
      <c r="F70" s="6">
        <v>166.40662499999999</v>
      </c>
      <c r="G70" s="7">
        <v>5.612995E-3</v>
      </c>
      <c r="H70" s="6"/>
    </row>
    <row r="71" spans="1:8" ht="17.100000000000001" customHeight="1" x14ac:dyDescent="0.2">
      <c r="A71" s="3">
        <v>65</v>
      </c>
      <c r="B71" s="4" t="s">
        <v>261</v>
      </c>
      <c r="C71" s="4" t="s">
        <v>262</v>
      </c>
      <c r="D71" s="4" t="s">
        <v>106</v>
      </c>
      <c r="E71" s="5">
        <v>22179</v>
      </c>
      <c r="F71" s="6">
        <v>160.842108</v>
      </c>
      <c r="G71" s="7">
        <v>5.4253010000000004E-3</v>
      </c>
      <c r="H71" s="6"/>
    </row>
    <row r="72" spans="1:8" ht="17.100000000000001" customHeight="1" x14ac:dyDescent="0.2">
      <c r="A72" s="3">
        <v>66</v>
      </c>
      <c r="B72" s="4" t="s">
        <v>257</v>
      </c>
      <c r="C72" s="4" t="s">
        <v>258</v>
      </c>
      <c r="D72" s="4" t="s">
        <v>186</v>
      </c>
      <c r="E72" s="5">
        <v>154615</v>
      </c>
      <c r="F72" s="6">
        <v>150.28577999999999</v>
      </c>
      <c r="G72" s="7">
        <v>5.0692289999999997E-3</v>
      </c>
      <c r="H72" s="6"/>
    </row>
    <row r="73" spans="1:8" ht="17.100000000000001" customHeight="1" x14ac:dyDescent="0.2">
      <c r="A73" s="3">
        <v>67</v>
      </c>
      <c r="B73" s="4" t="s">
        <v>240</v>
      </c>
      <c r="C73" s="4" t="s">
        <v>241</v>
      </c>
      <c r="D73" s="4" t="s">
        <v>80</v>
      </c>
      <c r="E73" s="5">
        <v>27062</v>
      </c>
      <c r="F73" s="6">
        <v>146.12126900000001</v>
      </c>
      <c r="G73" s="7">
        <v>4.9287580000000001E-3</v>
      </c>
      <c r="H73" s="6"/>
    </row>
    <row r="74" spans="1:8" ht="29.1" customHeight="1" x14ac:dyDescent="0.2">
      <c r="A74" s="3">
        <v>68</v>
      </c>
      <c r="B74" s="4" t="s">
        <v>265</v>
      </c>
      <c r="C74" s="4" t="s">
        <v>266</v>
      </c>
      <c r="D74" s="4" t="s">
        <v>198</v>
      </c>
      <c r="E74" s="5">
        <v>3290</v>
      </c>
      <c r="F74" s="6">
        <v>140.42871500000001</v>
      </c>
      <c r="G74" s="7">
        <v>4.7367449999999997E-3</v>
      </c>
      <c r="H74" s="6"/>
    </row>
    <row r="75" spans="1:8" ht="17.100000000000001" customHeight="1" x14ac:dyDescent="0.2">
      <c r="A75" s="3">
        <v>69</v>
      </c>
      <c r="B75" s="4" t="s">
        <v>303</v>
      </c>
      <c r="C75" s="4" t="s">
        <v>304</v>
      </c>
      <c r="D75" s="4" t="s">
        <v>19</v>
      </c>
      <c r="E75" s="5">
        <v>69201</v>
      </c>
      <c r="F75" s="6">
        <v>130.7552895</v>
      </c>
      <c r="G75" s="7">
        <v>4.4104540000000003E-3</v>
      </c>
      <c r="H75" s="6"/>
    </row>
    <row r="76" spans="1:8" ht="17.100000000000001" customHeight="1" x14ac:dyDescent="0.2">
      <c r="A76" s="3">
        <v>70</v>
      </c>
      <c r="B76" s="4" t="s">
        <v>115</v>
      </c>
      <c r="C76" s="4" t="s">
        <v>116</v>
      </c>
      <c r="D76" s="4" t="s">
        <v>92</v>
      </c>
      <c r="E76" s="5">
        <v>172875</v>
      </c>
      <c r="F76" s="6">
        <v>125.85299999999999</v>
      </c>
      <c r="G76" s="7">
        <v>4.2450969999999998E-3</v>
      </c>
      <c r="H76" s="6"/>
    </row>
    <row r="77" spans="1:8" ht="29.1" customHeight="1" x14ac:dyDescent="0.2">
      <c r="A77" s="3">
        <v>71</v>
      </c>
      <c r="B77" s="4" t="s">
        <v>307</v>
      </c>
      <c r="C77" s="4" t="s">
        <v>308</v>
      </c>
      <c r="D77" s="4" t="s">
        <v>198</v>
      </c>
      <c r="E77" s="5">
        <v>53264</v>
      </c>
      <c r="F77" s="6">
        <v>121.06907200000001</v>
      </c>
      <c r="G77" s="7">
        <v>4.0837319999999996E-3</v>
      </c>
      <c r="H77" s="6"/>
    </row>
    <row r="78" spans="1:8" ht="29.1" customHeight="1" x14ac:dyDescent="0.2">
      <c r="A78" s="3">
        <v>72</v>
      </c>
      <c r="B78" s="4" t="s">
        <v>305</v>
      </c>
      <c r="C78" s="4" t="s">
        <v>306</v>
      </c>
      <c r="D78" s="4" t="s">
        <v>219</v>
      </c>
      <c r="E78" s="5">
        <v>25075</v>
      </c>
      <c r="F78" s="6">
        <v>120.936725</v>
      </c>
      <c r="G78" s="7">
        <v>4.0792679999999996E-3</v>
      </c>
      <c r="H78" s="6"/>
    </row>
    <row r="79" spans="1:8" ht="17.100000000000001" customHeight="1" x14ac:dyDescent="0.2">
      <c r="A79" s="3">
        <v>73</v>
      </c>
      <c r="B79" s="4" t="s">
        <v>300</v>
      </c>
      <c r="C79" s="4" t="s">
        <v>301</v>
      </c>
      <c r="D79" s="4" t="s">
        <v>302</v>
      </c>
      <c r="E79" s="5">
        <v>15493</v>
      </c>
      <c r="F79" s="6">
        <v>96.482657500000002</v>
      </c>
      <c r="G79" s="7">
        <v>3.2544179999999998E-3</v>
      </c>
      <c r="H79" s="6"/>
    </row>
    <row r="80" spans="1:8" ht="29.1" customHeight="1" x14ac:dyDescent="0.2">
      <c r="A80" s="3">
        <v>74</v>
      </c>
      <c r="B80" s="4" t="s">
        <v>274</v>
      </c>
      <c r="C80" s="4" t="s">
        <v>275</v>
      </c>
      <c r="D80" s="4" t="s">
        <v>219</v>
      </c>
      <c r="E80" s="5">
        <v>9638</v>
      </c>
      <c r="F80" s="6">
        <v>65.167337000000003</v>
      </c>
      <c r="G80" s="7">
        <v>2.1981330000000001E-3</v>
      </c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9">
        <v>28699.486710500001</v>
      </c>
      <c r="G81" s="10">
        <v>0.96805085700000004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121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122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123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124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125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126</v>
      </c>
      <c r="D98" s="1"/>
      <c r="E98" s="1"/>
      <c r="F98" s="9">
        <v>28699.486710500001</v>
      </c>
      <c r="G98" s="10">
        <v>0.96805085700000004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127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119</v>
      </c>
      <c r="D108" s="1"/>
      <c r="E108" s="1" t="s">
        <v>120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119</v>
      </c>
      <c r="D111" s="1"/>
      <c r="E111" s="1" t="s">
        <v>120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131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134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136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137</v>
      </c>
      <c r="D126" s="4"/>
      <c r="E126" s="8"/>
      <c r="F126" s="6">
        <v>976.34852060000003</v>
      </c>
      <c r="G126" s="7">
        <v>3.2932820000000002E-2</v>
      </c>
      <c r="H126" s="6">
        <v>4.1713246754849944</v>
      </c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9">
        <v>976.34852060000003</v>
      </c>
      <c r="G127" s="10">
        <v>3.2932820000000002E-2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138</v>
      </c>
      <c r="D129" s="1"/>
      <c r="E129" s="1"/>
      <c r="F129" s="9">
        <v>976.34852060000003</v>
      </c>
      <c r="G129" s="10">
        <v>3.2932820000000002E-2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139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140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119</v>
      </c>
      <c r="D133" s="1"/>
      <c r="E133" s="1" t="s">
        <v>120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141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142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119</v>
      </c>
      <c r="D137" s="1"/>
      <c r="E137" s="1" t="s">
        <v>120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143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119</v>
      </c>
      <c r="D141" s="1"/>
      <c r="E141" s="1" t="s">
        <v>120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144</v>
      </c>
      <c r="D144" s="4"/>
      <c r="E144" s="8"/>
      <c r="F144" s="6">
        <v>-29.162750209999999</v>
      </c>
      <c r="G144" s="7">
        <v>-9.8367700000000008E-4</v>
      </c>
      <c r="H144" s="6"/>
    </row>
    <row r="145" spans="1:8" ht="14.1" customHeight="1" x14ac:dyDescent="0.2">
      <c r="A145" s="11"/>
      <c r="B145" s="11"/>
      <c r="C145" s="2" t="s">
        <v>145</v>
      </c>
      <c r="D145" s="15"/>
      <c r="E145" s="15"/>
      <c r="F145" s="9">
        <v>29646.67248089</v>
      </c>
      <c r="G145" s="10">
        <v>1</v>
      </c>
      <c r="H145" s="6"/>
    </row>
    <row r="146" spans="1:8" ht="14.1" customHeight="1" x14ac:dyDescent="0.2">
      <c r="A146" s="18"/>
      <c r="B146" s="18"/>
      <c r="C146" s="18"/>
      <c r="D146" s="20"/>
      <c r="E146" s="20"/>
      <c r="F146" s="20"/>
      <c r="G146" s="20"/>
    </row>
    <row r="147" spans="1:8" ht="14.1" customHeight="1" x14ac:dyDescent="0.2">
      <c r="A147" s="18"/>
      <c r="B147" s="265" t="s">
        <v>147</v>
      </c>
      <c r="C147" s="266"/>
      <c r="D147" s="12" t="s">
        <v>120</v>
      </c>
      <c r="E147" s="21"/>
      <c r="F147" s="20"/>
      <c r="G147" s="20"/>
    </row>
    <row r="148" spans="1:8" ht="29.1" customHeight="1" x14ac:dyDescent="0.2">
      <c r="A148" s="18"/>
      <c r="B148" s="272" t="s">
        <v>148</v>
      </c>
      <c r="C148" s="273"/>
      <c r="D148" s="2" t="s">
        <v>149</v>
      </c>
      <c r="E148" s="21"/>
      <c r="F148" s="20"/>
      <c r="G148" s="20"/>
    </row>
    <row r="149" spans="1:8" ht="17.100000000000001" customHeight="1" x14ac:dyDescent="0.2">
      <c r="A149" s="18"/>
      <c r="B149" s="272" t="s">
        <v>150</v>
      </c>
      <c r="C149" s="273"/>
      <c r="D149" s="2" t="s">
        <v>149</v>
      </c>
      <c r="E149" s="21"/>
      <c r="F149" s="20"/>
      <c r="G149" s="20"/>
    </row>
    <row r="150" spans="1:8" ht="17.100000000000001" customHeight="1" x14ac:dyDescent="0.2">
      <c r="A150" s="18"/>
      <c r="B150" s="272" t="s">
        <v>151</v>
      </c>
      <c r="C150" s="273"/>
      <c r="D150" s="12" t="s">
        <v>120</v>
      </c>
      <c r="E150" s="21"/>
      <c r="F150" s="20"/>
      <c r="G150" s="20"/>
    </row>
    <row r="151" spans="1:8" ht="24" customHeight="1" x14ac:dyDescent="0.2">
      <c r="A151" s="22"/>
      <c r="B151" s="23" t="s">
        <v>120</v>
      </c>
      <c r="C151" s="23" t="s">
        <v>152</v>
      </c>
      <c r="D151" s="23" t="s">
        <v>153</v>
      </c>
      <c r="E151" s="22"/>
      <c r="F151" s="22"/>
      <c r="G151" s="22"/>
    </row>
    <row r="152" spans="1:8" ht="18" customHeight="1" x14ac:dyDescent="0.2">
      <c r="A152" s="22"/>
      <c r="B152" s="23" t="s">
        <v>154</v>
      </c>
      <c r="C152" s="23" t="s">
        <v>155</v>
      </c>
      <c r="D152" s="23" t="s">
        <v>156</v>
      </c>
      <c r="E152" s="22"/>
      <c r="F152" s="22"/>
      <c r="G152" s="22"/>
    </row>
    <row r="153" spans="1:8" ht="17.100000000000001" customHeight="1" x14ac:dyDescent="0.2">
      <c r="A153" s="22"/>
      <c r="B153" s="4" t="s">
        <v>157</v>
      </c>
      <c r="C153" s="24">
        <v>16.7303</v>
      </c>
      <c r="D153" s="24">
        <v>15.7501</v>
      </c>
      <c r="E153" s="22"/>
      <c r="F153" s="19"/>
      <c r="G153" s="25"/>
    </row>
    <row r="154" spans="1:8" ht="17.100000000000001" customHeight="1" x14ac:dyDescent="0.2">
      <c r="A154" s="22"/>
      <c r="B154" s="4" t="s">
        <v>1120</v>
      </c>
      <c r="C154" s="24">
        <v>16.7303</v>
      </c>
      <c r="D154" s="24">
        <v>15.75</v>
      </c>
      <c r="E154" s="22"/>
      <c r="F154" s="19"/>
      <c r="G154" s="25"/>
    </row>
    <row r="155" spans="1:8" ht="17.100000000000001" customHeight="1" x14ac:dyDescent="0.2">
      <c r="A155" s="22"/>
      <c r="B155" s="4" t="s">
        <v>158</v>
      </c>
      <c r="C155" s="24">
        <v>16.079899999999999</v>
      </c>
      <c r="D155" s="24">
        <v>15.127800000000001</v>
      </c>
      <c r="E155" s="22"/>
      <c r="F155" s="19"/>
      <c r="G155" s="25"/>
    </row>
    <row r="156" spans="1:8" ht="17.100000000000001" customHeight="1" x14ac:dyDescent="0.2">
      <c r="A156" s="22"/>
      <c r="B156" s="4" t="s">
        <v>1121</v>
      </c>
      <c r="C156" s="24">
        <v>16.079899999999999</v>
      </c>
      <c r="D156" s="24">
        <v>15.127800000000001</v>
      </c>
      <c r="E156" s="22"/>
      <c r="F156" s="19"/>
      <c r="G156" s="25"/>
    </row>
    <row r="157" spans="1:8" ht="14.1" customHeight="1" x14ac:dyDescent="0.2">
      <c r="A157" s="22"/>
      <c r="B157" s="22"/>
      <c r="C157" s="22"/>
      <c r="D157" s="22"/>
      <c r="E157" s="22"/>
      <c r="F157" s="22"/>
      <c r="G157" s="22"/>
    </row>
    <row r="158" spans="1:8" ht="17.100000000000001" customHeight="1" x14ac:dyDescent="0.2">
      <c r="A158" s="22"/>
      <c r="B158" s="272" t="s">
        <v>1122</v>
      </c>
      <c r="C158" s="273"/>
      <c r="D158" s="2" t="s">
        <v>149</v>
      </c>
      <c r="E158" s="22"/>
      <c r="F158" s="22"/>
      <c r="G158" s="22"/>
    </row>
    <row r="159" spans="1:8" ht="14.1" customHeight="1" x14ac:dyDescent="0.2">
      <c r="A159" s="22"/>
      <c r="B159" s="19"/>
      <c r="C159" s="19"/>
      <c r="D159" s="22"/>
      <c r="E159" s="22"/>
      <c r="F159" s="22"/>
      <c r="G159" s="22"/>
    </row>
    <row r="160" spans="1:8" ht="29.1" customHeight="1" x14ac:dyDescent="0.2">
      <c r="A160" s="22"/>
      <c r="B160" s="272" t="s">
        <v>160</v>
      </c>
      <c r="C160" s="273"/>
      <c r="D160" s="2" t="s">
        <v>149</v>
      </c>
      <c r="E160" s="22"/>
      <c r="F160" s="22"/>
      <c r="G160" s="22"/>
    </row>
    <row r="161" spans="1:15" ht="29.1" customHeight="1" x14ac:dyDescent="0.2">
      <c r="A161" s="22"/>
      <c r="B161" s="272" t="s">
        <v>161</v>
      </c>
      <c r="C161" s="273"/>
      <c r="D161" s="2" t="s">
        <v>149</v>
      </c>
      <c r="E161" s="22"/>
      <c r="F161" s="22"/>
      <c r="G161" s="22"/>
    </row>
    <row r="162" spans="1:15" ht="17.100000000000001" customHeight="1" x14ac:dyDescent="0.2">
      <c r="A162" s="22"/>
      <c r="B162" s="272" t="s">
        <v>162</v>
      </c>
      <c r="C162" s="273"/>
      <c r="D162" s="27">
        <v>0.31393100000000002</v>
      </c>
      <c r="E162" s="22"/>
      <c r="F162" s="19"/>
      <c r="G162" s="25"/>
    </row>
    <row r="163" spans="1:15" ht="17.100000000000001" customHeight="1" x14ac:dyDescent="0.2">
      <c r="A163" s="22"/>
      <c r="B163" s="272" t="s">
        <v>163</v>
      </c>
      <c r="C163" s="273"/>
      <c r="D163" s="2" t="s">
        <v>149</v>
      </c>
      <c r="E163" s="22"/>
      <c r="F163" s="22"/>
      <c r="G163" s="22"/>
    </row>
    <row r="165" spans="1:15" x14ac:dyDescent="0.2">
      <c r="J165" s="170"/>
      <c r="K165" s="170"/>
      <c r="L165" s="170"/>
      <c r="M165" s="170"/>
      <c r="N165" s="170"/>
      <c r="O165" s="170"/>
    </row>
  </sheetData>
  <mergeCells count="13">
    <mergeCell ref="B162:C162"/>
    <mergeCell ref="B163:C163"/>
    <mergeCell ref="B148:C148"/>
    <mergeCell ref="B149:C149"/>
    <mergeCell ref="B150:C150"/>
    <mergeCell ref="B158:C158"/>
    <mergeCell ref="B160:C160"/>
    <mergeCell ref="B161:C161"/>
    <mergeCell ref="J2:N2"/>
    <mergeCell ref="B147:C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497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246</v>
      </c>
      <c r="C7" s="4" t="s">
        <v>247</v>
      </c>
      <c r="D7" s="4" t="s">
        <v>248</v>
      </c>
      <c r="E7" s="5">
        <v>515119</v>
      </c>
      <c r="F7" s="6">
        <v>937.25902050000002</v>
      </c>
      <c r="G7" s="7">
        <v>3.5330275000000001E-2</v>
      </c>
      <c r="H7" s="6"/>
    </row>
    <row r="8" spans="1:14" ht="17.100000000000001" customHeight="1" x14ac:dyDescent="0.2">
      <c r="A8" s="3">
        <v>2</v>
      </c>
      <c r="B8" s="4" t="s">
        <v>170</v>
      </c>
      <c r="C8" s="4" t="s">
        <v>171</v>
      </c>
      <c r="D8" s="4" t="s">
        <v>28</v>
      </c>
      <c r="E8" s="5">
        <v>73643</v>
      </c>
      <c r="F8" s="6">
        <v>910.44840899999997</v>
      </c>
      <c r="G8" s="7">
        <v>3.4319640999999998E-2</v>
      </c>
      <c r="H8" s="6"/>
    </row>
    <row r="9" spans="1:14" ht="29.1" customHeight="1" x14ac:dyDescent="0.2">
      <c r="A9" s="3">
        <v>3</v>
      </c>
      <c r="B9" s="4" t="s">
        <v>217</v>
      </c>
      <c r="C9" s="4" t="s">
        <v>218</v>
      </c>
      <c r="D9" s="4" t="s">
        <v>219</v>
      </c>
      <c r="E9" s="5">
        <v>20245</v>
      </c>
      <c r="F9" s="6">
        <v>794.50490249999996</v>
      </c>
      <c r="G9" s="7">
        <v>2.9949113999999999E-2</v>
      </c>
      <c r="H9" s="6"/>
    </row>
    <row r="10" spans="1:14" ht="17.100000000000001" customHeight="1" x14ac:dyDescent="0.2">
      <c r="A10" s="3">
        <v>4</v>
      </c>
      <c r="B10" s="4" t="s">
        <v>78</v>
      </c>
      <c r="C10" s="4" t="s">
        <v>79</v>
      </c>
      <c r="D10" s="4" t="s">
        <v>80</v>
      </c>
      <c r="E10" s="5">
        <v>159683</v>
      </c>
      <c r="F10" s="6">
        <v>780.61034549999999</v>
      </c>
      <c r="G10" s="7">
        <v>2.9425354000000001E-2</v>
      </c>
      <c r="H10" s="6"/>
    </row>
    <row r="11" spans="1:14" ht="17.100000000000001" customHeight="1" x14ac:dyDescent="0.2">
      <c r="A11" s="3">
        <v>5</v>
      </c>
      <c r="B11" s="4" t="s">
        <v>182</v>
      </c>
      <c r="C11" s="4" t="s">
        <v>183</v>
      </c>
      <c r="D11" s="4" t="s">
        <v>80</v>
      </c>
      <c r="E11" s="5">
        <v>119696</v>
      </c>
      <c r="F11" s="6">
        <v>686.99519199999997</v>
      </c>
      <c r="G11" s="7">
        <v>2.5896500999999999E-2</v>
      </c>
      <c r="H11" s="6"/>
    </row>
    <row r="12" spans="1:14" ht="17.100000000000001" customHeight="1" x14ac:dyDescent="0.2">
      <c r="A12" s="3">
        <v>6</v>
      </c>
      <c r="B12" s="4" t="s">
        <v>32</v>
      </c>
      <c r="C12" s="4" t="s">
        <v>33</v>
      </c>
      <c r="D12" s="4" t="s">
        <v>28</v>
      </c>
      <c r="E12" s="5">
        <v>39496</v>
      </c>
      <c r="F12" s="6">
        <v>676.98118799999997</v>
      </c>
      <c r="G12" s="7">
        <v>2.551902E-2</v>
      </c>
      <c r="H12" s="6"/>
    </row>
    <row r="13" spans="1:14" ht="17.100000000000001" customHeight="1" x14ac:dyDescent="0.2">
      <c r="A13" s="3">
        <v>7</v>
      </c>
      <c r="B13" s="4" t="s">
        <v>34</v>
      </c>
      <c r="C13" s="4" t="s">
        <v>35</v>
      </c>
      <c r="D13" s="4" t="s">
        <v>28</v>
      </c>
      <c r="E13" s="5">
        <v>48732</v>
      </c>
      <c r="F13" s="6">
        <v>660.36733200000003</v>
      </c>
      <c r="G13" s="7">
        <v>2.4892754999999999E-2</v>
      </c>
      <c r="H13" s="6"/>
      <c r="J13" s="169" t="s">
        <v>1148</v>
      </c>
    </row>
    <row r="14" spans="1:14" ht="17.100000000000001" customHeight="1" x14ac:dyDescent="0.2">
      <c r="A14" s="3">
        <v>8</v>
      </c>
      <c r="B14" s="4" t="s">
        <v>201</v>
      </c>
      <c r="C14" s="4" t="s">
        <v>202</v>
      </c>
      <c r="D14" s="4" t="s">
        <v>203</v>
      </c>
      <c r="E14" s="5">
        <v>128698</v>
      </c>
      <c r="F14" s="6">
        <v>647.99442999999997</v>
      </c>
      <c r="G14" s="7">
        <v>2.4426355E-2</v>
      </c>
      <c r="H14" s="6"/>
    </row>
    <row r="15" spans="1:14" ht="29.1" customHeight="1" x14ac:dyDescent="0.2">
      <c r="A15" s="3">
        <v>9</v>
      </c>
      <c r="B15" s="4" t="s">
        <v>192</v>
      </c>
      <c r="C15" s="4" t="s">
        <v>193</v>
      </c>
      <c r="D15" s="4" t="s">
        <v>80</v>
      </c>
      <c r="E15" s="5">
        <v>175030</v>
      </c>
      <c r="F15" s="6">
        <v>632.64593500000001</v>
      </c>
      <c r="G15" s="7">
        <v>2.3847789000000001E-2</v>
      </c>
      <c r="H15" s="6"/>
    </row>
    <row r="16" spans="1:14" ht="17.100000000000001" customHeight="1" x14ac:dyDescent="0.2">
      <c r="A16" s="3">
        <v>10</v>
      </c>
      <c r="B16" s="4" t="s">
        <v>172</v>
      </c>
      <c r="C16" s="4" t="s">
        <v>173</v>
      </c>
      <c r="D16" s="4" t="s">
        <v>994</v>
      </c>
      <c r="E16" s="5">
        <v>115911</v>
      </c>
      <c r="F16" s="6">
        <v>614.67603299999996</v>
      </c>
      <c r="G16" s="7">
        <v>2.3170407000000001E-2</v>
      </c>
      <c r="H16" s="6"/>
    </row>
    <row r="17" spans="1:8" ht="17.100000000000001" customHeight="1" x14ac:dyDescent="0.2">
      <c r="A17" s="3">
        <v>11</v>
      </c>
      <c r="B17" s="4" t="s">
        <v>272</v>
      </c>
      <c r="C17" s="4" t="s">
        <v>273</v>
      </c>
      <c r="D17" s="4" t="s">
        <v>28</v>
      </c>
      <c r="E17" s="5">
        <v>75787</v>
      </c>
      <c r="F17" s="6">
        <v>609.70641499999999</v>
      </c>
      <c r="G17" s="7">
        <v>2.2983076000000002E-2</v>
      </c>
      <c r="H17" s="6"/>
    </row>
    <row r="18" spans="1:8" ht="17.100000000000001" customHeight="1" x14ac:dyDescent="0.2">
      <c r="A18" s="3">
        <v>12</v>
      </c>
      <c r="B18" s="4" t="s">
        <v>279</v>
      </c>
      <c r="C18" s="4" t="s">
        <v>280</v>
      </c>
      <c r="D18" s="4" t="s">
        <v>28</v>
      </c>
      <c r="E18" s="5">
        <v>87229</v>
      </c>
      <c r="F18" s="6">
        <v>586.70225400000004</v>
      </c>
      <c r="G18" s="7">
        <v>2.2115927000000001E-2</v>
      </c>
      <c r="H18" s="6"/>
    </row>
    <row r="19" spans="1:8" ht="17.100000000000001" customHeight="1" x14ac:dyDescent="0.2">
      <c r="A19" s="3">
        <v>13</v>
      </c>
      <c r="B19" s="4" t="s">
        <v>177</v>
      </c>
      <c r="C19" s="4" t="s">
        <v>178</v>
      </c>
      <c r="D19" s="4" t="s">
        <v>85</v>
      </c>
      <c r="E19" s="5">
        <v>619685</v>
      </c>
      <c r="F19" s="6">
        <v>578.16610500000002</v>
      </c>
      <c r="G19" s="7">
        <v>2.1794154E-2</v>
      </c>
      <c r="H19" s="6"/>
    </row>
    <row r="20" spans="1:8" ht="17.100000000000001" customHeight="1" x14ac:dyDescent="0.2">
      <c r="A20" s="3">
        <v>14</v>
      </c>
      <c r="B20" s="4" t="s">
        <v>179</v>
      </c>
      <c r="C20" s="4" t="s">
        <v>180</v>
      </c>
      <c r="D20" s="4" t="s">
        <v>181</v>
      </c>
      <c r="E20" s="5">
        <v>37952</v>
      </c>
      <c r="F20" s="6">
        <v>559.98176000000001</v>
      </c>
      <c r="G20" s="7">
        <v>2.1108689999999999E-2</v>
      </c>
      <c r="H20" s="6"/>
    </row>
    <row r="21" spans="1:8" ht="17.100000000000001" customHeight="1" x14ac:dyDescent="0.2">
      <c r="A21" s="3">
        <v>15</v>
      </c>
      <c r="B21" s="4" t="s">
        <v>174</v>
      </c>
      <c r="C21" s="4" t="s">
        <v>175</v>
      </c>
      <c r="D21" s="4" t="s">
        <v>176</v>
      </c>
      <c r="E21" s="5">
        <v>50165</v>
      </c>
      <c r="F21" s="6">
        <v>527.76088249999998</v>
      </c>
      <c r="G21" s="7">
        <v>1.9894113000000001E-2</v>
      </c>
      <c r="H21" s="6"/>
    </row>
    <row r="22" spans="1:8" ht="17.100000000000001" customHeight="1" x14ac:dyDescent="0.2">
      <c r="A22" s="3">
        <v>16</v>
      </c>
      <c r="B22" s="4" t="s">
        <v>249</v>
      </c>
      <c r="C22" s="4" t="s">
        <v>250</v>
      </c>
      <c r="D22" s="4" t="s">
        <v>994</v>
      </c>
      <c r="E22" s="5">
        <v>13964</v>
      </c>
      <c r="F22" s="6">
        <v>525.03243599999996</v>
      </c>
      <c r="G22" s="7">
        <v>1.9791263999999999E-2</v>
      </c>
      <c r="H22" s="6"/>
    </row>
    <row r="23" spans="1:8" ht="17.100000000000001" customHeight="1" x14ac:dyDescent="0.2">
      <c r="A23" s="3">
        <v>17</v>
      </c>
      <c r="B23" s="4" t="s">
        <v>90</v>
      </c>
      <c r="C23" s="4" t="s">
        <v>91</v>
      </c>
      <c r="D23" s="4" t="s">
        <v>92</v>
      </c>
      <c r="E23" s="5">
        <v>110331</v>
      </c>
      <c r="F23" s="6">
        <v>512.65299149999998</v>
      </c>
      <c r="G23" s="7">
        <v>1.9324616999999999E-2</v>
      </c>
      <c r="H23" s="6"/>
    </row>
    <row r="24" spans="1:8" ht="17.100000000000001" customHeight="1" x14ac:dyDescent="0.2">
      <c r="A24" s="3">
        <v>18</v>
      </c>
      <c r="B24" s="4" t="s">
        <v>277</v>
      </c>
      <c r="C24" s="4" t="s">
        <v>278</v>
      </c>
      <c r="D24" s="4" t="s">
        <v>92</v>
      </c>
      <c r="E24" s="5">
        <v>42208</v>
      </c>
      <c r="F24" s="6">
        <v>492.52515199999999</v>
      </c>
      <c r="G24" s="7">
        <v>1.8565891000000001E-2</v>
      </c>
      <c r="H24" s="6"/>
    </row>
    <row r="25" spans="1:8" ht="17.100000000000001" customHeight="1" x14ac:dyDescent="0.2">
      <c r="A25" s="3">
        <v>19</v>
      </c>
      <c r="B25" s="4" t="s">
        <v>204</v>
      </c>
      <c r="C25" s="4" t="s">
        <v>205</v>
      </c>
      <c r="D25" s="4" t="s">
        <v>85</v>
      </c>
      <c r="E25" s="5">
        <v>62271</v>
      </c>
      <c r="F25" s="6">
        <v>484.46838000000002</v>
      </c>
      <c r="G25" s="7">
        <v>1.8262189000000002E-2</v>
      </c>
      <c r="H25" s="6"/>
    </row>
    <row r="26" spans="1:8" ht="17.100000000000001" customHeight="1" x14ac:dyDescent="0.2">
      <c r="A26" s="3">
        <v>20</v>
      </c>
      <c r="B26" s="4" t="s">
        <v>237</v>
      </c>
      <c r="C26" s="4" t="s">
        <v>238</v>
      </c>
      <c r="D26" s="4" t="s">
        <v>239</v>
      </c>
      <c r="E26" s="5">
        <v>171020</v>
      </c>
      <c r="F26" s="6">
        <v>480.30966999999998</v>
      </c>
      <c r="G26" s="7">
        <v>1.8105425000000001E-2</v>
      </c>
      <c r="H26" s="6"/>
    </row>
    <row r="27" spans="1:8" ht="17.100000000000001" customHeight="1" x14ac:dyDescent="0.2">
      <c r="A27" s="3">
        <v>21</v>
      </c>
      <c r="B27" s="4" t="s">
        <v>184</v>
      </c>
      <c r="C27" s="4" t="s">
        <v>185</v>
      </c>
      <c r="D27" s="4" t="s">
        <v>186</v>
      </c>
      <c r="E27" s="5">
        <v>41227</v>
      </c>
      <c r="F27" s="6">
        <v>438.13994250000002</v>
      </c>
      <c r="G27" s="7">
        <v>1.6515823999999998E-2</v>
      </c>
      <c r="H27" s="6"/>
    </row>
    <row r="28" spans="1:8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181</v>
      </c>
      <c r="E28" s="5">
        <v>30957</v>
      </c>
      <c r="F28" s="6">
        <v>424.6216905</v>
      </c>
      <c r="G28" s="7">
        <v>1.6006249E-2</v>
      </c>
      <c r="H28" s="6"/>
    </row>
    <row r="29" spans="1:8" ht="29.1" customHeight="1" x14ac:dyDescent="0.2">
      <c r="A29" s="3">
        <v>23</v>
      </c>
      <c r="B29" s="4" t="s">
        <v>189</v>
      </c>
      <c r="C29" s="4" t="s">
        <v>190</v>
      </c>
      <c r="D29" s="4" t="s">
        <v>191</v>
      </c>
      <c r="E29" s="5">
        <v>59402</v>
      </c>
      <c r="F29" s="6">
        <v>418.21978100000001</v>
      </c>
      <c r="G29" s="7">
        <v>1.5764927000000001E-2</v>
      </c>
      <c r="H29" s="6"/>
    </row>
    <row r="30" spans="1:8" ht="17.100000000000001" customHeight="1" x14ac:dyDescent="0.2">
      <c r="A30" s="3">
        <v>24</v>
      </c>
      <c r="B30" s="4" t="s">
        <v>480</v>
      </c>
      <c r="C30" s="4" t="s">
        <v>481</v>
      </c>
      <c r="D30" s="4" t="s">
        <v>80</v>
      </c>
      <c r="E30" s="5">
        <v>45571</v>
      </c>
      <c r="F30" s="6">
        <v>417.88607000000002</v>
      </c>
      <c r="G30" s="7">
        <v>1.5752347999999999E-2</v>
      </c>
      <c r="H30" s="6"/>
    </row>
    <row r="31" spans="1:8" ht="17.100000000000001" customHeight="1" x14ac:dyDescent="0.2">
      <c r="A31" s="3">
        <v>25</v>
      </c>
      <c r="B31" s="4" t="s">
        <v>482</v>
      </c>
      <c r="C31" s="4" t="s">
        <v>483</v>
      </c>
      <c r="D31" s="4" t="s">
        <v>47</v>
      </c>
      <c r="E31" s="5">
        <v>54680</v>
      </c>
      <c r="F31" s="6">
        <v>403.23766000000001</v>
      </c>
      <c r="G31" s="7">
        <v>1.5200171E-2</v>
      </c>
      <c r="H31" s="6"/>
    </row>
    <row r="32" spans="1:8" ht="17.100000000000001" customHeight="1" x14ac:dyDescent="0.2">
      <c r="A32" s="3">
        <v>26</v>
      </c>
      <c r="B32" s="4" t="s">
        <v>194</v>
      </c>
      <c r="C32" s="4" t="s">
        <v>195</v>
      </c>
      <c r="D32" s="4" t="s">
        <v>85</v>
      </c>
      <c r="E32" s="5">
        <v>80924</v>
      </c>
      <c r="F32" s="6">
        <v>391.42938800000002</v>
      </c>
      <c r="G32" s="7">
        <v>1.4755055E-2</v>
      </c>
      <c r="H32" s="6"/>
    </row>
    <row r="33" spans="1:8" ht="29.1" customHeight="1" x14ac:dyDescent="0.2">
      <c r="A33" s="3">
        <v>27</v>
      </c>
      <c r="B33" s="4" t="s">
        <v>478</v>
      </c>
      <c r="C33" s="4" t="s">
        <v>479</v>
      </c>
      <c r="D33" s="4" t="s">
        <v>42</v>
      </c>
      <c r="E33" s="5">
        <v>21290</v>
      </c>
      <c r="F33" s="6">
        <v>389.745385</v>
      </c>
      <c r="G33" s="7">
        <v>1.4691576E-2</v>
      </c>
      <c r="H33" s="6"/>
    </row>
    <row r="34" spans="1:8" ht="17.100000000000001" customHeight="1" x14ac:dyDescent="0.2">
      <c r="A34" s="3">
        <v>28</v>
      </c>
      <c r="B34" s="4" t="s">
        <v>281</v>
      </c>
      <c r="C34" s="4" t="s">
        <v>282</v>
      </c>
      <c r="D34" s="4" t="s">
        <v>28</v>
      </c>
      <c r="E34" s="5">
        <v>16547</v>
      </c>
      <c r="F34" s="6">
        <v>377.29642050000001</v>
      </c>
      <c r="G34" s="7">
        <v>1.4222307999999999E-2</v>
      </c>
      <c r="H34" s="6"/>
    </row>
    <row r="35" spans="1:8" ht="29.1" customHeight="1" x14ac:dyDescent="0.2">
      <c r="A35" s="3">
        <v>29</v>
      </c>
      <c r="B35" s="4" t="s">
        <v>43</v>
      </c>
      <c r="C35" s="4" t="s">
        <v>44</v>
      </c>
      <c r="D35" s="4" t="s">
        <v>25</v>
      </c>
      <c r="E35" s="5">
        <v>14971</v>
      </c>
      <c r="F35" s="6">
        <v>356.64664749999997</v>
      </c>
      <c r="G35" s="7">
        <v>1.3443907999999999E-2</v>
      </c>
      <c r="H35" s="6"/>
    </row>
    <row r="36" spans="1:8" ht="29.1" customHeight="1" x14ac:dyDescent="0.2">
      <c r="A36" s="3">
        <v>30</v>
      </c>
      <c r="B36" s="4" t="s">
        <v>196</v>
      </c>
      <c r="C36" s="4" t="s">
        <v>197</v>
      </c>
      <c r="D36" s="4" t="s">
        <v>198</v>
      </c>
      <c r="E36" s="5">
        <v>94915</v>
      </c>
      <c r="F36" s="6">
        <v>335.19232249999999</v>
      </c>
      <c r="G36" s="7">
        <v>1.2635181000000001E-2</v>
      </c>
      <c r="H36" s="6"/>
    </row>
    <row r="37" spans="1:8" ht="17.100000000000001" customHeight="1" x14ac:dyDescent="0.2">
      <c r="A37" s="3">
        <v>31</v>
      </c>
      <c r="B37" s="4" t="s">
        <v>283</v>
      </c>
      <c r="C37" s="4" t="s">
        <v>284</v>
      </c>
      <c r="D37" s="4" t="s">
        <v>176</v>
      </c>
      <c r="E37" s="5">
        <v>41908</v>
      </c>
      <c r="F37" s="6">
        <v>328.30727200000001</v>
      </c>
      <c r="G37" s="7">
        <v>1.2375646000000001E-2</v>
      </c>
      <c r="H37" s="6"/>
    </row>
    <row r="38" spans="1:8" ht="29.1" customHeight="1" x14ac:dyDescent="0.2">
      <c r="A38" s="3">
        <v>32</v>
      </c>
      <c r="B38" s="4" t="s">
        <v>285</v>
      </c>
      <c r="C38" s="4" t="s">
        <v>286</v>
      </c>
      <c r="D38" s="4" t="s">
        <v>233</v>
      </c>
      <c r="E38" s="5">
        <v>58166</v>
      </c>
      <c r="F38" s="6">
        <v>323.19937900000002</v>
      </c>
      <c r="G38" s="7">
        <v>1.2183103000000001E-2</v>
      </c>
      <c r="H38" s="6"/>
    </row>
    <row r="39" spans="1:8" ht="29.1" customHeight="1" x14ac:dyDescent="0.2">
      <c r="A39" s="3">
        <v>33</v>
      </c>
      <c r="B39" s="4" t="s">
        <v>208</v>
      </c>
      <c r="C39" s="4" t="s">
        <v>209</v>
      </c>
      <c r="D39" s="4" t="s">
        <v>210</v>
      </c>
      <c r="E39" s="5">
        <v>22587</v>
      </c>
      <c r="F39" s="6">
        <v>322.24872900000003</v>
      </c>
      <c r="G39" s="7">
        <v>1.2147267999999999E-2</v>
      </c>
      <c r="H39" s="6"/>
    </row>
    <row r="40" spans="1:8" ht="29.1" customHeight="1" x14ac:dyDescent="0.2">
      <c r="A40" s="3">
        <v>34</v>
      </c>
      <c r="B40" s="4" t="s">
        <v>206</v>
      </c>
      <c r="C40" s="4" t="s">
        <v>207</v>
      </c>
      <c r="D40" s="4" t="s">
        <v>191</v>
      </c>
      <c r="E40" s="5">
        <v>62869</v>
      </c>
      <c r="F40" s="6">
        <v>295.13852050000003</v>
      </c>
      <c r="G40" s="7">
        <v>1.1125339999999999E-2</v>
      </c>
      <c r="H40" s="6"/>
    </row>
    <row r="41" spans="1:8" ht="29.1" customHeight="1" x14ac:dyDescent="0.2">
      <c r="A41" s="3">
        <v>35</v>
      </c>
      <c r="B41" s="4" t="s">
        <v>211</v>
      </c>
      <c r="C41" s="4" t="s">
        <v>212</v>
      </c>
      <c r="D41" s="4" t="s">
        <v>198</v>
      </c>
      <c r="E41" s="5">
        <v>51431</v>
      </c>
      <c r="F41" s="6">
        <v>291.84520950000001</v>
      </c>
      <c r="G41" s="7">
        <v>1.1001197000000001E-2</v>
      </c>
      <c r="H41" s="6"/>
    </row>
    <row r="42" spans="1:8" ht="17.100000000000001" customHeight="1" x14ac:dyDescent="0.2">
      <c r="A42" s="3">
        <v>36</v>
      </c>
      <c r="B42" s="4" t="s">
        <v>484</v>
      </c>
      <c r="C42" s="4" t="s">
        <v>485</v>
      </c>
      <c r="D42" s="4" t="s">
        <v>85</v>
      </c>
      <c r="E42" s="5">
        <v>26475</v>
      </c>
      <c r="F42" s="6">
        <v>283.67962499999999</v>
      </c>
      <c r="G42" s="7">
        <v>1.0693393000000001E-2</v>
      </c>
      <c r="H42" s="6"/>
    </row>
    <row r="43" spans="1:8" ht="17.100000000000001" customHeight="1" x14ac:dyDescent="0.2">
      <c r="A43" s="3">
        <v>37</v>
      </c>
      <c r="B43" s="4" t="s">
        <v>363</v>
      </c>
      <c r="C43" s="4" t="s">
        <v>364</v>
      </c>
      <c r="D43" s="4" t="s">
        <v>95</v>
      </c>
      <c r="E43" s="5">
        <v>7574</v>
      </c>
      <c r="F43" s="6">
        <v>280.16983399999998</v>
      </c>
      <c r="G43" s="7">
        <v>1.0561091E-2</v>
      </c>
      <c r="H43" s="6"/>
    </row>
    <row r="44" spans="1:8" ht="17.100000000000001" customHeight="1" x14ac:dyDescent="0.2">
      <c r="A44" s="3">
        <v>38</v>
      </c>
      <c r="B44" s="4" t="s">
        <v>215</v>
      </c>
      <c r="C44" s="4" t="s">
        <v>216</v>
      </c>
      <c r="D44" s="4" t="s">
        <v>186</v>
      </c>
      <c r="E44" s="5">
        <v>60258</v>
      </c>
      <c r="F44" s="6">
        <v>274.29441600000001</v>
      </c>
      <c r="G44" s="7">
        <v>1.0339615E-2</v>
      </c>
      <c r="H44" s="6"/>
    </row>
    <row r="45" spans="1:8" ht="17.100000000000001" customHeight="1" x14ac:dyDescent="0.2">
      <c r="A45" s="3">
        <v>39</v>
      </c>
      <c r="B45" s="4" t="s">
        <v>213</v>
      </c>
      <c r="C45" s="4" t="s">
        <v>214</v>
      </c>
      <c r="D45" s="4" t="s">
        <v>13</v>
      </c>
      <c r="E45" s="5">
        <v>329417</v>
      </c>
      <c r="F45" s="6">
        <v>270.61606549999999</v>
      </c>
      <c r="G45" s="7">
        <v>1.0200958E-2</v>
      </c>
      <c r="H45" s="6"/>
    </row>
    <row r="46" spans="1:8" ht="17.100000000000001" customHeight="1" x14ac:dyDescent="0.2">
      <c r="A46" s="3">
        <v>40</v>
      </c>
      <c r="B46" s="4" t="s">
        <v>36</v>
      </c>
      <c r="C46" s="4" t="s">
        <v>37</v>
      </c>
      <c r="D46" s="4" t="s">
        <v>28</v>
      </c>
      <c r="E46" s="5">
        <v>8237</v>
      </c>
      <c r="F46" s="6">
        <v>262.06839200000002</v>
      </c>
      <c r="G46" s="7">
        <v>9.8787509999999999E-3</v>
      </c>
      <c r="H46" s="6"/>
    </row>
    <row r="47" spans="1:8" ht="17.100000000000001" customHeight="1" x14ac:dyDescent="0.2">
      <c r="A47" s="3">
        <v>41</v>
      </c>
      <c r="B47" s="4" t="s">
        <v>486</v>
      </c>
      <c r="C47" s="4" t="s">
        <v>487</v>
      </c>
      <c r="D47" s="4" t="s">
        <v>28</v>
      </c>
      <c r="E47" s="5">
        <v>35318</v>
      </c>
      <c r="F47" s="6">
        <v>254.46619000000001</v>
      </c>
      <c r="G47" s="7">
        <v>9.5921840000000001E-3</v>
      </c>
      <c r="H47" s="6"/>
    </row>
    <row r="48" spans="1:8" ht="17.100000000000001" customHeight="1" x14ac:dyDescent="0.2">
      <c r="A48" s="3">
        <v>42</v>
      </c>
      <c r="B48" s="4" t="s">
        <v>488</v>
      </c>
      <c r="C48" s="4" t="s">
        <v>489</v>
      </c>
      <c r="D48" s="4" t="s">
        <v>80</v>
      </c>
      <c r="E48" s="5">
        <v>24543</v>
      </c>
      <c r="F48" s="6">
        <v>251.41849199999999</v>
      </c>
      <c r="G48" s="7">
        <v>9.4772999999999993E-3</v>
      </c>
      <c r="H48" s="6"/>
    </row>
    <row r="49" spans="1:8" ht="17.100000000000001" customHeight="1" x14ac:dyDescent="0.2">
      <c r="A49" s="3">
        <v>43</v>
      </c>
      <c r="B49" s="4" t="s">
        <v>222</v>
      </c>
      <c r="C49" s="4" t="s">
        <v>223</v>
      </c>
      <c r="D49" s="4" t="s">
        <v>95</v>
      </c>
      <c r="E49" s="5">
        <v>15368</v>
      </c>
      <c r="F49" s="6">
        <v>241.331388</v>
      </c>
      <c r="G49" s="7">
        <v>9.0970630000000007E-3</v>
      </c>
      <c r="H49" s="6"/>
    </row>
    <row r="50" spans="1:8" ht="29.1" customHeight="1" x14ac:dyDescent="0.2">
      <c r="A50" s="3">
        <v>44</v>
      </c>
      <c r="B50" s="4" t="s">
        <v>293</v>
      </c>
      <c r="C50" s="4" t="s">
        <v>294</v>
      </c>
      <c r="D50" s="4" t="s">
        <v>295</v>
      </c>
      <c r="E50" s="5">
        <v>72207</v>
      </c>
      <c r="F50" s="6">
        <v>235.82806199999999</v>
      </c>
      <c r="G50" s="7">
        <v>8.8896129999999993E-3</v>
      </c>
      <c r="H50" s="6"/>
    </row>
    <row r="51" spans="1:8" ht="29.1" customHeight="1" x14ac:dyDescent="0.2">
      <c r="A51" s="3">
        <v>45</v>
      </c>
      <c r="B51" s="4" t="s">
        <v>224</v>
      </c>
      <c r="C51" s="4" t="s">
        <v>225</v>
      </c>
      <c r="D51" s="4" t="s">
        <v>198</v>
      </c>
      <c r="E51" s="5">
        <v>14493</v>
      </c>
      <c r="F51" s="6">
        <v>235.60545450000001</v>
      </c>
      <c r="G51" s="7">
        <v>8.8812219999999994E-3</v>
      </c>
      <c r="H51" s="6"/>
    </row>
    <row r="52" spans="1:8" ht="17.100000000000001" customHeight="1" x14ac:dyDescent="0.2">
      <c r="A52" s="3">
        <v>46</v>
      </c>
      <c r="B52" s="4" t="s">
        <v>492</v>
      </c>
      <c r="C52" s="4" t="s">
        <v>493</v>
      </c>
      <c r="D52" s="4"/>
      <c r="E52" s="5">
        <v>28480</v>
      </c>
      <c r="F52" s="6">
        <v>231.37152</v>
      </c>
      <c r="G52" s="7">
        <v>8.7216229999999995E-3</v>
      </c>
      <c r="H52" s="6"/>
    </row>
    <row r="53" spans="1:8" ht="17.100000000000001" customHeight="1" x14ac:dyDescent="0.2">
      <c r="A53" s="3">
        <v>47</v>
      </c>
      <c r="B53" s="4" t="s">
        <v>228</v>
      </c>
      <c r="C53" s="4" t="s">
        <v>229</v>
      </c>
      <c r="D53" s="4" t="s">
        <v>230</v>
      </c>
      <c r="E53" s="5">
        <v>76500</v>
      </c>
      <c r="F53" s="6">
        <v>226.0575</v>
      </c>
      <c r="G53" s="7">
        <v>8.5213089999999995E-3</v>
      </c>
      <c r="H53" s="6"/>
    </row>
    <row r="54" spans="1:8" ht="17.100000000000001" customHeight="1" x14ac:dyDescent="0.2">
      <c r="A54" s="3">
        <v>48</v>
      </c>
      <c r="B54" s="4" t="s">
        <v>287</v>
      </c>
      <c r="C54" s="4" t="s">
        <v>288</v>
      </c>
      <c r="D54" s="4" t="s">
        <v>85</v>
      </c>
      <c r="E54" s="5">
        <v>450454</v>
      </c>
      <c r="F54" s="6">
        <v>222.749503</v>
      </c>
      <c r="G54" s="7">
        <v>8.3966130000000007E-3</v>
      </c>
      <c r="H54" s="6"/>
    </row>
    <row r="55" spans="1:8" ht="29.1" customHeight="1" x14ac:dyDescent="0.2">
      <c r="A55" s="3">
        <v>49</v>
      </c>
      <c r="B55" s="4" t="s">
        <v>234</v>
      </c>
      <c r="C55" s="4" t="s">
        <v>235</v>
      </c>
      <c r="D55" s="4" t="s">
        <v>236</v>
      </c>
      <c r="E55" s="5">
        <v>243936</v>
      </c>
      <c r="F55" s="6">
        <v>222.10372799999999</v>
      </c>
      <c r="G55" s="7">
        <v>8.3722699999999994E-3</v>
      </c>
      <c r="H55" s="6"/>
    </row>
    <row r="56" spans="1:8" ht="17.100000000000001" customHeight="1" x14ac:dyDescent="0.2">
      <c r="A56" s="3">
        <v>50</v>
      </c>
      <c r="B56" s="4" t="s">
        <v>270</v>
      </c>
      <c r="C56" s="4" t="s">
        <v>271</v>
      </c>
      <c r="D56" s="4" t="s">
        <v>28</v>
      </c>
      <c r="E56" s="5">
        <v>21572</v>
      </c>
      <c r="F56" s="6">
        <v>220.73549</v>
      </c>
      <c r="G56" s="7">
        <v>8.320694E-3</v>
      </c>
      <c r="H56" s="6"/>
    </row>
    <row r="57" spans="1:8" ht="29.1" customHeight="1" x14ac:dyDescent="0.2">
      <c r="A57" s="3">
        <v>51</v>
      </c>
      <c r="B57" s="4" t="s">
        <v>298</v>
      </c>
      <c r="C57" s="4" t="s">
        <v>299</v>
      </c>
      <c r="D57" s="4" t="s">
        <v>25</v>
      </c>
      <c r="E57" s="5">
        <v>119772</v>
      </c>
      <c r="F57" s="6">
        <v>219.60196199999999</v>
      </c>
      <c r="G57" s="7">
        <v>8.277965E-3</v>
      </c>
      <c r="H57" s="6"/>
    </row>
    <row r="58" spans="1:8" ht="17.100000000000001" customHeight="1" x14ac:dyDescent="0.2">
      <c r="A58" s="3">
        <v>52</v>
      </c>
      <c r="B58" s="4" t="s">
        <v>490</v>
      </c>
      <c r="C58" s="4" t="s">
        <v>491</v>
      </c>
      <c r="D58" s="4" t="s">
        <v>28</v>
      </c>
      <c r="E58" s="5">
        <v>40851</v>
      </c>
      <c r="F58" s="6">
        <v>219.22689149999999</v>
      </c>
      <c r="G58" s="7">
        <v>8.2638269999999996E-3</v>
      </c>
      <c r="H58" s="6"/>
    </row>
    <row r="59" spans="1:8" ht="29.1" customHeight="1" x14ac:dyDescent="0.2">
      <c r="A59" s="3">
        <v>53</v>
      </c>
      <c r="B59" s="4" t="s">
        <v>231</v>
      </c>
      <c r="C59" s="4" t="s">
        <v>232</v>
      </c>
      <c r="D59" s="4" t="s">
        <v>233</v>
      </c>
      <c r="E59" s="5">
        <v>60710</v>
      </c>
      <c r="F59" s="6">
        <v>214.97411</v>
      </c>
      <c r="G59" s="7">
        <v>8.1035169999999993E-3</v>
      </c>
      <c r="H59" s="6"/>
    </row>
    <row r="60" spans="1:8" ht="17.100000000000001" customHeight="1" x14ac:dyDescent="0.2">
      <c r="A60" s="3">
        <v>54</v>
      </c>
      <c r="B60" s="4" t="s">
        <v>242</v>
      </c>
      <c r="C60" s="4" t="s">
        <v>243</v>
      </c>
      <c r="D60" s="4" t="s">
        <v>80</v>
      </c>
      <c r="E60" s="5">
        <v>98339</v>
      </c>
      <c r="F60" s="6">
        <v>209.51123949999999</v>
      </c>
      <c r="G60" s="7">
        <v>7.8975920000000002E-3</v>
      </c>
      <c r="H60" s="6"/>
    </row>
    <row r="61" spans="1:8" ht="53.1" customHeight="1" x14ac:dyDescent="0.2">
      <c r="A61" s="3">
        <v>55</v>
      </c>
      <c r="B61" s="4" t="s">
        <v>251</v>
      </c>
      <c r="C61" s="4" t="s">
        <v>1141</v>
      </c>
      <c r="D61" s="4" t="s">
        <v>75</v>
      </c>
      <c r="E61" s="5">
        <v>104294</v>
      </c>
      <c r="F61" s="6">
        <v>207.02359000000001</v>
      </c>
      <c r="G61" s="7">
        <v>7.8038200000000004E-3</v>
      </c>
      <c r="H61" s="6"/>
    </row>
    <row r="62" spans="1:8" ht="41.1" customHeight="1" x14ac:dyDescent="0.2">
      <c r="A62" s="3">
        <v>56</v>
      </c>
      <c r="B62" s="4" t="s">
        <v>267</v>
      </c>
      <c r="C62" s="4" t="s">
        <v>268</v>
      </c>
      <c r="D62" s="4" t="s">
        <v>269</v>
      </c>
      <c r="E62" s="5">
        <v>27300</v>
      </c>
      <c r="F62" s="6">
        <v>198.04785000000001</v>
      </c>
      <c r="G62" s="7">
        <v>7.4654760000000004E-3</v>
      </c>
      <c r="H62" s="6"/>
    </row>
    <row r="63" spans="1:8" ht="17.100000000000001" customHeight="1" x14ac:dyDescent="0.2">
      <c r="A63" s="3">
        <v>57</v>
      </c>
      <c r="B63" s="4" t="s">
        <v>199</v>
      </c>
      <c r="C63" s="4" t="s">
        <v>200</v>
      </c>
      <c r="D63" s="4" t="s">
        <v>13</v>
      </c>
      <c r="E63" s="5">
        <v>53690</v>
      </c>
      <c r="F63" s="6">
        <v>193.579295</v>
      </c>
      <c r="G63" s="7">
        <v>7.2970329999999996E-3</v>
      </c>
      <c r="H63" s="6"/>
    </row>
    <row r="64" spans="1:8" ht="17.100000000000001" customHeight="1" x14ac:dyDescent="0.2">
      <c r="A64" s="3">
        <v>58</v>
      </c>
      <c r="B64" s="4" t="s">
        <v>291</v>
      </c>
      <c r="C64" s="4" t="s">
        <v>292</v>
      </c>
      <c r="D64" s="4" t="s">
        <v>95</v>
      </c>
      <c r="E64" s="5">
        <v>29625</v>
      </c>
      <c r="F64" s="6">
        <v>187.06706249999999</v>
      </c>
      <c r="G64" s="7">
        <v>7.051552E-3</v>
      </c>
      <c r="H64" s="6"/>
    </row>
    <row r="65" spans="1:8" ht="17.100000000000001" customHeight="1" x14ac:dyDescent="0.2">
      <c r="A65" s="3">
        <v>59</v>
      </c>
      <c r="B65" s="4" t="s">
        <v>263</v>
      </c>
      <c r="C65" s="4" t="s">
        <v>264</v>
      </c>
      <c r="D65" s="4" t="s">
        <v>16</v>
      </c>
      <c r="E65" s="5">
        <v>81590</v>
      </c>
      <c r="F65" s="6">
        <v>185.86202</v>
      </c>
      <c r="G65" s="7">
        <v>7.0061280000000004E-3</v>
      </c>
      <c r="H65" s="6"/>
    </row>
    <row r="66" spans="1:8" ht="17.100000000000001" customHeight="1" x14ac:dyDescent="0.2">
      <c r="A66" s="3">
        <v>60</v>
      </c>
      <c r="B66" s="4" t="s">
        <v>494</v>
      </c>
      <c r="C66" s="4" t="s">
        <v>495</v>
      </c>
      <c r="D66" s="4" t="s">
        <v>186</v>
      </c>
      <c r="E66" s="5">
        <v>284562</v>
      </c>
      <c r="F66" s="6">
        <v>165.472803</v>
      </c>
      <c r="G66" s="7">
        <v>6.2375499999999997E-3</v>
      </c>
      <c r="H66" s="6"/>
    </row>
    <row r="67" spans="1:8" ht="17.100000000000001" customHeight="1" x14ac:dyDescent="0.2">
      <c r="A67" s="3">
        <v>61</v>
      </c>
      <c r="B67" s="4" t="s">
        <v>244</v>
      </c>
      <c r="C67" s="4" t="s">
        <v>245</v>
      </c>
      <c r="D67" s="4" t="s">
        <v>95</v>
      </c>
      <c r="E67" s="5">
        <v>30910</v>
      </c>
      <c r="F67" s="6">
        <v>162.35477499999999</v>
      </c>
      <c r="G67" s="7">
        <v>6.1200150000000004E-3</v>
      </c>
      <c r="H67" s="6"/>
    </row>
    <row r="68" spans="1:8" ht="29.1" customHeight="1" x14ac:dyDescent="0.2">
      <c r="A68" s="3">
        <v>62</v>
      </c>
      <c r="B68" s="4" t="s">
        <v>226</v>
      </c>
      <c r="C68" s="4" t="s">
        <v>227</v>
      </c>
      <c r="D68" s="4" t="s">
        <v>80</v>
      </c>
      <c r="E68" s="5">
        <v>8392</v>
      </c>
      <c r="F68" s="6">
        <v>148.33699200000001</v>
      </c>
      <c r="G68" s="7">
        <v>5.5916100000000003E-3</v>
      </c>
      <c r="H68" s="6"/>
    </row>
    <row r="69" spans="1:8" ht="17.100000000000001" customHeight="1" x14ac:dyDescent="0.2">
      <c r="A69" s="3">
        <v>63</v>
      </c>
      <c r="B69" s="4" t="s">
        <v>252</v>
      </c>
      <c r="C69" s="4" t="s">
        <v>253</v>
      </c>
      <c r="D69" s="4" t="s">
        <v>254</v>
      </c>
      <c r="E69" s="5">
        <v>123782</v>
      </c>
      <c r="F69" s="6">
        <v>146.86734300000001</v>
      </c>
      <c r="G69" s="7">
        <v>5.5362110000000001E-3</v>
      </c>
      <c r="H69" s="6"/>
    </row>
    <row r="70" spans="1:8" ht="17.100000000000001" customHeight="1" x14ac:dyDescent="0.2">
      <c r="A70" s="3">
        <v>64</v>
      </c>
      <c r="B70" s="4" t="s">
        <v>261</v>
      </c>
      <c r="C70" s="4" t="s">
        <v>262</v>
      </c>
      <c r="D70" s="4" t="s">
        <v>106</v>
      </c>
      <c r="E70" s="5">
        <v>19778</v>
      </c>
      <c r="F70" s="6">
        <v>143.43005600000001</v>
      </c>
      <c r="G70" s="7">
        <v>5.4066410000000002E-3</v>
      </c>
      <c r="H70" s="6"/>
    </row>
    <row r="71" spans="1:8" ht="17.100000000000001" customHeight="1" x14ac:dyDescent="0.2">
      <c r="A71" s="3">
        <v>65</v>
      </c>
      <c r="B71" s="4" t="s">
        <v>257</v>
      </c>
      <c r="C71" s="4" t="s">
        <v>258</v>
      </c>
      <c r="D71" s="4" t="s">
        <v>186</v>
      </c>
      <c r="E71" s="5">
        <v>138250</v>
      </c>
      <c r="F71" s="6">
        <v>134.37899999999999</v>
      </c>
      <c r="G71" s="7">
        <v>5.0654589999999996E-3</v>
      </c>
      <c r="H71" s="6"/>
    </row>
    <row r="72" spans="1:8" ht="29.1" customHeight="1" x14ac:dyDescent="0.2">
      <c r="A72" s="3">
        <v>66</v>
      </c>
      <c r="B72" s="4" t="s">
        <v>498</v>
      </c>
      <c r="C72" s="4" t="s">
        <v>499</v>
      </c>
      <c r="D72" s="4" t="s">
        <v>198</v>
      </c>
      <c r="E72" s="5">
        <v>40059</v>
      </c>
      <c r="F72" s="6">
        <v>132.3749655</v>
      </c>
      <c r="G72" s="7">
        <v>4.9899159999999996E-3</v>
      </c>
      <c r="H72" s="6"/>
    </row>
    <row r="73" spans="1:8" ht="17.100000000000001" customHeight="1" x14ac:dyDescent="0.2">
      <c r="A73" s="3">
        <v>67</v>
      </c>
      <c r="B73" s="4" t="s">
        <v>240</v>
      </c>
      <c r="C73" s="4" t="s">
        <v>241</v>
      </c>
      <c r="D73" s="4" t="s">
        <v>80</v>
      </c>
      <c r="E73" s="5">
        <v>24209</v>
      </c>
      <c r="F73" s="6">
        <v>130.71649550000001</v>
      </c>
      <c r="G73" s="7">
        <v>4.9274000000000002E-3</v>
      </c>
      <c r="H73" s="6"/>
    </row>
    <row r="74" spans="1:8" ht="29.1" customHeight="1" x14ac:dyDescent="0.2">
      <c r="A74" s="3">
        <v>68</v>
      </c>
      <c r="B74" s="4" t="s">
        <v>265</v>
      </c>
      <c r="C74" s="4" t="s">
        <v>266</v>
      </c>
      <c r="D74" s="4" t="s">
        <v>198</v>
      </c>
      <c r="E74" s="5">
        <v>2928</v>
      </c>
      <c r="F74" s="6">
        <v>124.977288</v>
      </c>
      <c r="G74" s="7">
        <v>4.7110579999999997E-3</v>
      </c>
      <c r="H74" s="6"/>
    </row>
    <row r="75" spans="1:8" ht="17.100000000000001" customHeight="1" x14ac:dyDescent="0.2">
      <c r="A75" s="3">
        <v>69</v>
      </c>
      <c r="B75" s="4" t="s">
        <v>303</v>
      </c>
      <c r="C75" s="4" t="s">
        <v>304</v>
      </c>
      <c r="D75" s="4" t="s">
        <v>19</v>
      </c>
      <c r="E75" s="5">
        <v>61866</v>
      </c>
      <c r="F75" s="6">
        <v>116.895807</v>
      </c>
      <c r="G75" s="7">
        <v>4.4064239999999999E-3</v>
      </c>
      <c r="H75" s="6"/>
    </row>
    <row r="76" spans="1:8" ht="17.100000000000001" customHeight="1" x14ac:dyDescent="0.2">
      <c r="A76" s="3">
        <v>70</v>
      </c>
      <c r="B76" s="4" t="s">
        <v>115</v>
      </c>
      <c r="C76" s="4" t="s">
        <v>116</v>
      </c>
      <c r="D76" s="4" t="s">
        <v>92</v>
      </c>
      <c r="E76" s="5">
        <v>154250</v>
      </c>
      <c r="F76" s="6">
        <v>112.294</v>
      </c>
      <c r="G76" s="7">
        <v>4.2329580000000002E-3</v>
      </c>
      <c r="H76" s="6"/>
    </row>
    <row r="77" spans="1:8" ht="29.1" customHeight="1" x14ac:dyDescent="0.2">
      <c r="A77" s="3">
        <v>71</v>
      </c>
      <c r="B77" s="4" t="s">
        <v>307</v>
      </c>
      <c r="C77" s="4" t="s">
        <v>308</v>
      </c>
      <c r="D77" s="4" t="s">
        <v>198</v>
      </c>
      <c r="E77" s="5">
        <v>47700</v>
      </c>
      <c r="F77" s="6">
        <v>108.4221</v>
      </c>
      <c r="G77" s="7">
        <v>4.0870050000000003E-3</v>
      </c>
      <c r="H77" s="6"/>
    </row>
    <row r="78" spans="1:8" ht="29.1" customHeight="1" x14ac:dyDescent="0.2">
      <c r="A78" s="3">
        <v>72</v>
      </c>
      <c r="B78" s="4" t="s">
        <v>305</v>
      </c>
      <c r="C78" s="4" t="s">
        <v>306</v>
      </c>
      <c r="D78" s="4" t="s">
        <v>219</v>
      </c>
      <c r="E78" s="5">
        <v>22459</v>
      </c>
      <c r="F78" s="6">
        <v>108.319757</v>
      </c>
      <c r="G78" s="7">
        <v>4.083148E-3</v>
      </c>
      <c r="H78" s="6"/>
    </row>
    <row r="79" spans="1:8" ht="17.100000000000001" customHeight="1" x14ac:dyDescent="0.2">
      <c r="A79" s="3">
        <v>73</v>
      </c>
      <c r="B79" s="4" t="s">
        <v>300</v>
      </c>
      <c r="C79" s="4" t="s">
        <v>301</v>
      </c>
      <c r="D79" s="4" t="s">
        <v>302</v>
      </c>
      <c r="E79" s="5">
        <v>13264</v>
      </c>
      <c r="F79" s="6">
        <v>82.601560000000006</v>
      </c>
      <c r="G79" s="7">
        <v>3.1136919999999999E-3</v>
      </c>
      <c r="H79" s="6"/>
    </row>
    <row r="80" spans="1:8" ht="29.1" customHeight="1" x14ac:dyDescent="0.2">
      <c r="A80" s="3">
        <v>74</v>
      </c>
      <c r="B80" s="4" t="s">
        <v>274</v>
      </c>
      <c r="C80" s="4" t="s">
        <v>275</v>
      </c>
      <c r="D80" s="4" t="s">
        <v>219</v>
      </c>
      <c r="E80" s="5">
        <v>8196</v>
      </c>
      <c r="F80" s="6">
        <v>55.417254</v>
      </c>
      <c r="G80" s="7">
        <v>2.0889709999999998E-3</v>
      </c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9">
        <v>25633.193127499999</v>
      </c>
      <c r="G81" s="10">
        <v>0.96625132499999999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121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122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123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124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125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126</v>
      </c>
      <c r="D98" s="1"/>
      <c r="E98" s="1"/>
      <c r="F98" s="9">
        <v>25633.193127499999</v>
      </c>
      <c r="G98" s="10">
        <v>0.96625132499999999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127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119</v>
      </c>
      <c r="D108" s="1"/>
      <c r="E108" s="1" t="s">
        <v>120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119</v>
      </c>
      <c r="D111" s="1"/>
      <c r="E111" s="1" t="s">
        <v>120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131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134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136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137</v>
      </c>
      <c r="D126" s="4"/>
      <c r="E126" s="8"/>
      <c r="F126" s="6">
        <v>907.73876140000004</v>
      </c>
      <c r="G126" s="7">
        <v>3.4217499999999998E-2</v>
      </c>
      <c r="H126" s="6">
        <v>4.1713246754849944</v>
      </c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9">
        <v>907.73876140000004</v>
      </c>
      <c r="G127" s="10">
        <v>3.4217499999999998E-2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138</v>
      </c>
      <c r="D129" s="1"/>
      <c r="E129" s="1"/>
      <c r="F129" s="9">
        <v>907.73876140000004</v>
      </c>
      <c r="G129" s="10">
        <v>3.4217499999999998E-2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139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140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119</v>
      </c>
      <c r="D133" s="1"/>
      <c r="E133" s="1" t="s">
        <v>120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141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142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119</v>
      </c>
      <c r="D137" s="1"/>
      <c r="E137" s="1" t="s">
        <v>120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143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119</v>
      </c>
      <c r="D141" s="1"/>
      <c r="E141" s="1" t="s">
        <v>120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144</v>
      </c>
      <c r="D144" s="4"/>
      <c r="E144" s="8"/>
      <c r="F144" s="6">
        <v>-12.437153410000001</v>
      </c>
      <c r="G144" s="7">
        <v>-4.6882199999999998E-4</v>
      </c>
      <c r="H144" s="6"/>
    </row>
    <row r="145" spans="1:8" ht="14.1" customHeight="1" x14ac:dyDescent="0.2">
      <c r="A145" s="11"/>
      <c r="B145" s="11"/>
      <c r="C145" s="2" t="s">
        <v>145</v>
      </c>
      <c r="D145" s="15"/>
      <c r="E145" s="15"/>
      <c r="F145" s="9">
        <v>26528.49473549</v>
      </c>
      <c r="G145" s="10">
        <v>1.000000003</v>
      </c>
      <c r="H145" s="6"/>
    </row>
    <row r="146" spans="1:8" ht="14.1" customHeight="1" x14ac:dyDescent="0.2">
      <c r="A146" s="18"/>
      <c r="B146" s="18"/>
      <c r="C146" s="18"/>
      <c r="D146" s="20"/>
      <c r="E146" s="20"/>
      <c r="F146" s="20"/>
      <c r="G146" s="20"/>
    </row>
    <row r="147" spans="1:8" ht="14.1" customHeight="1" x14ac:dyDescent="0.2">
      <c r="A147" s="18"/>
      <c r="B147" s="265" t="s">
        <v>147</v>
      </c>
      <c r="C147" s="266"/>
      <c r="D147" s="12" t="s">
        <v>120</v>
      </c>
      <c r="E147" s="21"/>
      <c r="F147" s="20"/>
      <c r="G147" s="20"/>
    </row>
    <row r="148" spans="1:8" ht="29.1" customHeight="1" x14ac:dyDescent="0.2">
      <c r="A148" s="18"/>
      <c r="B148" s="272" t="s">
        <v>148</v>
      </c>
      <c r="C148" s="273"/>
      <c r="D148" s="2" t="s">
        <v>149</v>
      </c>
      <c r="E148" s="21"/>
      <c r="F148" s="20"/>
      <c r="G148" s="20"/>
    </row>
    <row r="149" spans="1:8" ht="17.100000000000001" customHeight="1" x14ac:dyDescent="0.2">
      <c r="A149" s="18"/>
      <c r="B149" s="272" t="s">
        <v>150</v>
      </c>
      <c r="C149" s="273"/>
      <c r="D149" s="2" t="s">
        <v>149</v>
      </c>
      <c r="E149" s="21"/>
      <c r="F149" s="20"/>
      <c r="G149" s="20"/>
    </row>
    <row r="150" spans="1:8" ht="17.100000000000001" customHeight="1" x14ac:dyDescent="0.2">
      <c r="A150" s="18"/>
      <c r="B150" s="272" t="s">
        <v>151</v>
      </c>
      <c r="C150" s="273"/>
      <c r="D150" s="12" t="s">
        <v>120</v>
      </c>
      <c r="E150" s="21"/>
      <c r="F150" s="20"/>
      <c r="G150" s="20"/>
    </row>
    <row r="151" spans="1:8" ht="24" customHeight="1" x14ac:dyDescent="0.2">
      <c r="A151" s="22"/>
      <c r="B151" s="23" t="s">
        <v>120</v>
      </c>
      <c r="C151" s="23" t="s">
        <v>152</v>
      </c>
      <c r="D151" s="23" t="s">
        <v>153</v>
      </c>
      <c r="E151" s="22"/>
      <c r="F151" s="22"/>
      <c r="G151" s="22"/>
    </row>
    <row r="152" spans="1:8" ht="18" customHeight="1" x14ac:dyDescent="0.2">
      <c r="A152" s="22"/>
      <c r="B152" s="23" t="s">
        <v>154</v>
      </c>
      <c r="C152" s="23" t="s">
        <v>155</v>
      </c>
      <c r="D152" s="23" t="s">
        <v>156</v>
      </c>
      <c r="E152" s="22"/>
      <c r="F152" s="22"/>
      <c r="G152" s="22"/>
    </row>
    <row r="153" spans="1:8" ht="17.100000000000001" customHeight="1" x14ac:dyDescent="0.2">
      <c r="A153" s="22"/>
      <c r="B153" s="4" t="s">
        <v>157</v>
      </c>
      <c r="C153" s="24">
        <v>18.582699999999999</v>
      </c>
      <c r="D153" s="24">
        <v>17.495000000000001</v>
      </c>
      <c r="E153" s="22"/>
      <c r="F153" s="19"/>
      <c r="G153" s="25"/>
    </row>
    <row r="154" spans="1:8" ht="17.100000000000001" customHeight="1" x14ac:dyDescent="0.2">
      <c r="A154" s="22"/>
      <c r="B154" s="4" t="s">
        <v>1120</v>
      </c>
      <c r="C154" s="24">
        <v>18.241499999999998</v>
      </c>
      <c r="D154" s="24">
        <v>17.1737</v>
      </c>
      <c r="E154" s="22"/>
      <c r="F154" s="19"/>
      <c r="G154" s="25"/>
    </row>
    <row r="155" spans="1:8" ht="17.100000000000001" customHeight="1" x14ac:dyDescent="0.2">
      <c r="A155" s="22"/>
      <c r="B155" s="4" t="s">
        <v>158</v>
      </c>
      <c r="C155" s="24">
        <v>18.0122</v>
      </c>
      <c r="D155" s="24">
        <v>16.949200000000001</v>
      </c>
      <c r="E155" s="22"/>
      <c r="F155" s="19"/>
      <c r="G155" s="25"/>
    </row>
    <row r="156" spans="1:8" ht="17.100000000000001" customHeight="1" x14ac:dyDescent="0.2">
      <c r="A156" s="22"/>
      <c r="B156" s="4" t="s">
        <v>1121</v>
      </c>
      <c r="C156" s="24">
        <v>17.672799999999999</v>
      </c>
      <c r="D156" s="24">
        <v>16.629899999999999</v>
      </c>
      <c r="E156" s="22"/>
      <c r="F156" s="19"/>
      <c r="G156" s="25"/>
    </row>
    <row r="157" spans="1:8" ht="14.1" customHeight="1" x14ac:dyDescent="0.2">
      <c r="A157" s="22"/>
      <c r="B157" s="22"/>
      <c r="C157" s="22"/>
      <c r="D157" s="22"/>
      <c r="E157" s="22"/>
      <c r="F157" s="22"/>
      <c r="G157" s="22"/>
    </row>
    <row r="158" spans="1:8" ht="17.100000000000001" customHeight="1" x14ac:dyDescent="0.2">
      <c r="A158" s="22"/>
      <c r="B158" s="272" t="s">
        <v>1122</v>
      </c>
      <c r="C158" s="273"/>
      <c r="D158" s="2" t="s">
        <v>149</v>
      </c>
      <c r="E158" s="22"/>
      <c r="F158" s="22"/>
      <c r="G158" s="22"/>
    </row>
    <row r="159" spans="1:8" ht="14.1" customHeight="1" x14ac:dyDescent="0.2">
      <c r="A159" s="22"/>
      <c r="B159" s="19"/>
      <c r="C159" s="19"/>
      <c r="D159" s="22"/>
      <c r="E159" s="22"/>
      <c r="F159" s="22"/>
      <c r="G159" s="22"/>
    </row>
    <row r="160" spans="1:8" ht="29.1" customHeight="1" x14ac:dyDescent="0.2">
      <c r="A160" s="22"/>
      <c r="B160" s="272" t="s">
        <v>160</v>
      </c>
      <c r="C160" s="273"/>
      <c r="D160" s="2" t="s">
        <v>149</v>
      </c>
      <c r="E160" s="22"/>
      <c r="F160" s="22"/>
      <c r="G160" s="22"/>
    </row>
    <row r="161" spans="1:15" ht="29.1" customHeight="1" x14ac:dyDescent="0.2">
      <c r="A161" s="22"/>
      <c r="B161" s="272" t="s">
        <v>161</v>
      </c>
      <c r="C161" s="273"/>
      <c r="D161" s="2" t="s">
        <v>149</v>
      </c>
      <c r="E161" s="22"/>
      <c r="F161" s="22"/>
      <c r="G161" s="22"/>
    </row>
    <row r="162" spans="1:15" ht="17.100000000000001" customHeight="1" x14ac:dyDescent="0.2">
      <c r="A162" s="22"/>
      <c r="B162" s="272" t="s">
        <v>162</v>
      </c>
      <c r="C162" s="273"/>
      <c r="D162" s="27">
        <v>0.31614799999999998</v>
      </c>
      <c r="E162" s="22"/>
      <c r="F162" s="19"/>
      <c r="G162" s="25"/>
    </row>
    <row r="163" spans="1:15" ht="17.100000000000001" customHeight="1" x14ac:dyDescent="0.2">
      <c r="A163" s="22"/>
      <c r="B163" s="272" t="s">
        <v>163</v>
      </c>
      <c r="C163" s="273"/>
      <c r="D163" s="2" t="s">
        <v>149</v>
      </c>
      <c r="E163" s="22"/>
      <c r="F163" s="22"/>
      <c r="G163" s="22"/>
    </row>
    <row r="164" spans="1:15" x14ac:dyDescent="0.2">
      <c r="J164" s="170"/>
      <c r="K164" s="170"/>
      <c r="L164" s="170"/>
      <c r="M164" s="170"/>
      <c r="N164" s="170"/>
      <c r="O164" s="170"/>
    </row>
  </sheetData>
  <mergeCells count="13">
    <mergeCell ref="B162:C162"/>
    <mergeCell ref="B163:C163"/>
    <mergeCell ref="B148:C148"/>
    <mergeCell ref="B149:C149"/>
    <mergeCell ref="B150:C150"/>
    <mergeCell ref="B158:C158"/>
    <mergeCell ref="B160:C160"/>
    <mergeCell ref="B161:C161"/>
    <mergeCell ref="J2:N2"/>
    <mergeCell ref="B147:C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16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500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55333</v>
      </c>
      <c r="F7" s="6">
        <v>684.08187899999996</v>
      </c>
      <c r="G7" s="7">
        <v>3.6240355000000002E-2</v>
      </c>
      <c r="H7" s="6"/>
    </row>
    <row r="8" spans="1:14" ht="17.100000000000001" customHeight="1" x14ac:dyDescent="0.2">
      <c r="A8" s="3">
        <v>2</v>
      </c>
      <c r="B8" s="4" t="s">
        <v>246</v>
      </c>
      <c r="C8" s="4" t="s">
        <v>247</v>
      </c>
      <c r="D8" s="4" t="s">
        <v>248</v>
      </c>
      <c r="E8" s="5">
        <v>367469</v>
      </c>
      <c r="F8" s="6">
        <v>668.60984550000001</v>
      </c>
      <c r="G8" s="7">
        <v>3.5420699E-2</v>
      </c>
      <c r="H8" s="6"/>
    </row>
    <row r="9" spans="1:14" ht="29.1" customHeight="1" x14ac:dyDescent="0.2">
      <c r="A9" s="3">
        <v>3</v>
      </c>
      <c r="B9" s="4" t="s">
        <v>217</v>
      </c>
      <c r="C9" s="4" t="s">
        <v>218</v>
      </c>
      <c r="D9" s="4" t="s">
        <v>219</v>
      </c>
      <c r="E9" s="5">
        <v>14492</v>
      </c>
      <c r="F9" s="6">
        <v>568.73129400000005</v>
      </c>
      <c r="G9" s="7">
        <v>3.0129468999999999E-2</v>
      </c>
      <c r="H9" s="6"/>
    </row>
    <row r="10" spans="1:14" ht="17.100000000000001" customHeight="1" x14ac:dyDescent="0.2">
      <c r="A10" s="3">
        <v>4</v>
      </c>
      <c r="B10" s="4" t="s">
        <v>78</v>
      </c>
      <c r="C10" s="4" t="s">
        <v>79</v>
      </c>
      <c r="D10" s="4" t="s">
        <v>80</v>
      </c>
      <c r="E10" s="5">
        <v>113719</v>
      </c>
      <c r="F10" s="6">
        <v>555.91533149999998</v>
      </c>
      <c r="G10" s="7">
        <v>2.9450522999999999E-2</v>
      </c>
      <c r="H10" s="6"/>
    </row>
    <row r="11" spans="1:14" ht="17.100000000000001" customHeight="1" x14ac:dyDescent="0.2">
      <c r="A11" s="3">
        <v>5</v>
      </c>
      <c r="B11" s="4" t="s">
        <v>182</v>
      </c>
      <c r="C11" s="4" t="s">
        <v>183</v>
      </c>
      <c r="D11" s="4" t="s">
        <v>80</v>
      </c>
      <c r="E11" s="5">
        <v>86795</v>
      </c>
      <c r="F11" s="6">
        <v>498.15990249999999</v>
      </c>
      <c r="G11" s="7">
        <v>2.6390835000000001E-2</v>
      </c>
      <c r="H11" s="6"/>
    </row>
    <row r="12" spans="1:14" ht="17.100000000000001" customHeight="1" x14ac:dyDescent="0.2">
      <c r="A12" s="3">
        <v>6</v>
      </c>
      <c r="B12" s="4" t="s">
        <v>32</v>
      </c>
      <c r="C12" s="4" t="s">
        <v>33</v>
      </c>
      <c r="D12" s="4" t="s">
        <v>28</v>
      </c>
      <c r="E12" s="5">
        <v>28200</v>
      </c>
      <c r="F12" s="6">
        <v>483.3621</v>
      </c>
      <c r="G12" s="7">
        <v>2.5606897E-2</v>
      </c>
      <c r="H12" s="6"/>
    </row>
    <row r="13" spans="1:14" ht="17.100000000000001" customHeight="1" x14ac:dyDescent="0.2">
      <c r="A13" s="3">
        <v>7</v>
      </c>
      <c r="B13" s="4" t="s">
        <v>201</v>
      </c>
      <c r="C13" s="4" t="s">
        <v>202</v>
      </c>
      <c r="D13" s="4" t="s">
        <v>203</v>
      </c>
      <c r="E13" s="5">
        <v>91611</v>
      </c>
      <c r="F13" s="6">
        <v>461.26138500000002</v>
      </c>
      <c r="G13" s="7">
        <v>2.4436075000000002E-2</v>
      </c>
      <c r="H13" s="6"/>
      <c r="J13" s="169" t="s">
        <v>1148</v>
      </c>
    </row>
    <row r="14" spans="1:14" ht="17.100000000000001" customHeight="1" x14ac:dyDescent="0.2">
      <c r="A14" s="3">
        <v>8</v>
      </c>
      <c r="B14" s="4" t="s">
        <v>272</v>
      </c>
      <c r="C14" s="4" t="s">
        <v>273</v>
      </c>
      <c r="D14" s="4" t="s">
        <v>28</v>
      </c>
      <c r="E14" s="5">
        <v>55178</v>
      </c>
      <c r="F14" s="6">
        <v>443.90701000000001</v>
      </c>
      <c r="G14" s="7">
        <v>2.3516698999999999E-2</v>
      </c>
      <c r="H14" s="6"/>
    </row>
    <row r="15" spans="1:14" ht="17.100000000000001" customHeight="1" x14ac:dyDescent="0.2">
      <c r="A15" s="3">
        <v>9</v>
      </c>
      <c r="B15" s="4" t="s">
        <v>172</v>
      </c>
      <c r="C15" s="4" t="s">
        <v>173</v>
      </c>
      <c r="D15" s="4" t="s">
        <v>994</v>
      </c>
      <c r="E15" s="5">
        <v>82518</v>
      </c>
      <c r="F15" s="6">
        <v>437.59295400000002</v>
      </c>
      <c r="G15" s="7">
        <v>2.3182201999999999E-2</v>
      </c>
      <c r="H15" s="6"/>
    </row>
    <row r="16" spans="1:14" ht="17.100000000000001" customHeight="1" x14ac:dyDescent="0.2">
      <c r="A16" s="3">
        <v>10</v>
      </c>
      <c r="B16" s="4" t="s">
        <v>279</v>
      </c>
      <c r="C16" s="4" t="s">
        <v>280</v>
      </c>
      <c r="D16" s="4" t="s">
        <v>28</v>
      </c>
      <c r="E16" s="5">
        <v>64998</v>
      </c>
      <c r="F16" s="6">
        <v>437.17654800000003</v>
      </c>
      <c r="G16" s="7">
        <v>2.3160142000000002E-2</v>
      </c>
      <c r="H16" s="6"/>
    </row>
    <row r="17" spans="1:8" ht="17.100000000000001" customHeight="1" x14ac:dyDescent="0.2">
      <c r="A17" s="3">
        <v>11</v>
      </c>
      <c r="B17" s="4" t="s">
        <v>34</v>
      </c>
      <c r="C17" s="4" t="s">
        <v>35</v>
      </c>
      <c r="D17" s="4" t="s">
        <v>28</v>
      </c>
      <c r="E17" s="5">
        <v>31667</v>
      </c>
      <c r="F17" s="6">
        <v>429.11951699999997</v>
      </c>
      <c r="G17" s="7">
        <v>2.2733308000000001E-2</v>
      </c>
      <c r="H17" s="6"/>
    </row>
    <row r="18" spans="1:8" ht="17.100000000000001" customHeight="1" x14ac:dyDescent="0.2">
      <c r="A18" s="3">
        <v>12</v>
      </c>
      <c r="B18" s="4" t="s">
        <v>177</v>
      </c>
      <c r="C18" s="4" t="s">
        <v>178</v>
      </c>
      <c r="D18" s="4" t="s">
        <v>85</v>
      </c>
      <c r="E18" s="5">
        <v>441354</v>
      </c>
      <c r="F18" s="6">
        <v>411.78328199999999</v>
      </c>
      <c r="G18" s="7">
        <v>2.1814891999999999E-2</v>
      </c>
      <c r="H18" s="6"/>
    </row>
    <row r="19" spans="1:8" ht="17.100000000000001" customHeight="1" x14ac:dyDescent="0.2">
      <c r="A19" s="3">
        <v>13</v>
      </c>
      <c r="B19" s="4" t="s">
        <v>179</v>
      </c>
      <c r="C19" s="4" t="s">
        <v>180</v>
      </c>
      <c r="D19" s="4" t="s">
        <v>181</v>
      </c>
      <c r="E19" s="5">
        <v>27031</v>
      </c>
      <c r="F19" s="6">
        <v>398.84240499999999</v>
      </c>
      <c r="G19" s="7">
        <v>2.1129327999999999E-2</v>
      </c>
      <c r="H19" s="6"/>
    </row>
    <row r="20" spans="1:8" ht="29.1" customHeight="1" x14ac:dyDescent="0.2">
      <c r="A20" s="3">
        <v>14</v>
      </c>
      <c r="B20" s="4" t="s">
        <v>192</v>
      </c>
      <c r="C20" s="4" t="s">
        <v>193</v>
      </c>
      <c r="D20" s="4" t="s">
        <v>80</v>
      </c>
      <c r="E20" s="5">
        <v>108879</v>
      </c>
      <c r="F20" s="6">
        <v>393.54314549999998</v>
      </c>
      <c r="G20" s="7">
        <v>2.0848591E-2</v>
      </c>
      <c r="H20" s="6"/>
    </row>
    <row r="21" spans="1:8" ht="17.100000000000001" customHeight="1" x14ac:dyDescent="0.2">
      <c r="A21" s="3">
        <v>15</v>
      </c>
      <c r="B21" s="4" t="s">
        <v>249</v>
      </c>
      <c r="C21" s="4" t="s">
        <v>250</v>
      </c>
      <c r="D21" s="4" t="s">
        <v>994</v>
      </c>
      <c r="E21" s="5">
        <v>10158</v>
      </c>
      <c r="F21" s="6">
        <v>381.93064199999998</v>
      </c>
      <c r="G21" s="7">
        <v>2.0233399999999999E-2</v>
      </c>
      <c r="H21" s="6"/>
    </row>
    <row r="22" spans="1:8" ht="17.100000000000001" customHeight="1" x14ac:dyDescent="0.2">
      <c r="A22" s="3">
        <v>16</v>
      </c>
      <c r="B22" s="4" t="s">
        <v>174</v>
      </c>
      <c r="C22" s="4" t="s">
        <v>175</v>
      </c>
      <c r="D22" s="4" t="s">
        <v>176</v>
      </c>
      <c r="E22" s="5">
        <v>35713</v>
      </c>
      <c r="F22" s="6">
        <v>375.7186165</v>
      </c>
      <c r="G22" s="7">
        <v>1.9904307999999999E-2</v>
      </c>
      <c r="H22" s="6"/>
    </row>
    <row r="23" spans="1:8" ht="17.100000000000001" customHeight="1" x14ac:dyDescent="0.2">
      <c r="A23" s="3">
        <v>17</v>
      </c>
      <c r="B23" s="4" t="s">
        <v>277</v>
      </c>
      <c r="C23" s="4" t="s">
        <v>278</v>
      </c>
      <c r="D23" s="4" t="s">
        <v>92</v>
      </c>
      <c r="E23" s="5">
        <v>30347</v>
      </c>
      <c r="F23" s="6">
        <v>354.11914300000001</v>
      </c>
      <c r="G23" s="7">
        <v>1.8760039999999999E-2</v>
      </c>
      <c r="H23" s="6"/>
    </row>
    <row r="24" spans="1:8" ht="17.100000000000001" customHeight="1" x14ac:dyDescent="0.2">
      <c r="A24" s="3">
        <v>18</v>
      </c>
      <c r="B24" s="4" t="s">
        <v>237</v>
      </c>
      <c r="C24" s="4" t="s">
        <v>238</v>
      </c>
      <c r="D24" s="4" t="s">
        <v>239</v>
      </c>
      <c r="E24" s="5">
        <v>124748</v>
      </c>
      <c r="F24" s="6">
        <v>350.354758</v>
      </c>
      <c r="G24" s="7">
        <v>1.8560615999999999E-2</v>
      </c>
      <c r="H24" s="6"/>
    </row>
    <row r="25" spans="1:8" ht="17.100000000000001" customHeight="1" x14ac:dyDescent="0.2">
      <c r="A25" s="3">
        <v>19</v>
      </c>
      <c r="B25" s="4" t="s">
        <v>204</v>
      </c>
      <c r="C25" s="4" t="s">
        <v>205</v>
      </c>
      <c r="D25" s="4" t="s">
        <v>85</v>
      </c>
      <c r="E25" s="5">
        <v>44577</v>
      </c>
      <c r="F25" s="6">
        <v>346.80905999999999</v>
      </c>
      <c r="G25" s="7">
        <v>1.8372777E-2</v>
      </c>
      <c r="H25" s="6"/>
    </row>
    <row r="26" spans="1:8" ht="17.100000000000001" customHeight="1" x14ac:dyDescent="0.2">
      <c r="A26" s="3">
        <v>20</v>
      </c>
      <c r="B26" s="4" t="s">
        <v>184</v>
      </c>
      <c r="C26" s="4" t="s">
        <v>185</v>
      </c>
      <c r="D26" s="4" t="s">
        <v>186</v>
      </c>
      <c r="E26" s="5">
        <v>29273</v>
      </c>
      <c r="F26" s="6">
        <v>311.09880750000002</v>
      </c>
      <c r="G26" s="7">
        <v>1.6480967999999999E-2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22068</v>
      </c>
      <c r="F27" s="6">
        <v>302.69572199999999</v>
      </c>
      <c r="G27" s="7">
        <v>1.6035799999999999E-2</v>
      </c>
      <c r="H27" s="6"/>
    </row>
    <row r="28" spans="1:8" ht="17.100000000000001" customHeight="1" x14ac:dyDescent="0.2">
      <c r="A28" s="3">
        <v>22</v>
      </c>
      <c r="B28" s="4" t="s">
        <v>480</v>
      </c>
      <c r="C28" s="4" t="s">
        <v>481</v>
      </c>
      <c r="D28" s="4" t="s">
        <v>80</v>
      </c>
      <c r="E28" s="5">
        <v>32500</v>
      </c>
      <c r="F28" s="6">
        <v>298.02499999999998</v>
      </c>
      <c r="G28" s="7">
        <v>1.5788361000000001E-2</v>
      </c>
      <c r="H28" s="6"/>
    </row>
    <row r="29" spans="1:8" ht="29.1" customHeight="1" x14ac:dyDescent="0.2">
      <c r="A29" s="3">
        <v>23</v>
      </c>
      <c r="B29" s="4" t="s">
        <v>189</v>
      </c>
      <c r="C29" s="4" t="s">
        <v>190</v>
      </c>
      <c r="D29" s="4" t="s">
        <v>191</v>
      </c>
      <c r="E29" s="5">
        <v>42321</v>
      </c>
      <c r="F29" s="6">
        <v>297.96100050000001</v>
      </c>
      <c r="G29" s="7">
        <v>1.5784970999999998E-2</v>
      </c>
      <c r="H29" s="6"/>
    </row>
    <row r="30" spans="1:8" ht="17.100000000000001" customHeight="1" x14ac:dyDescent="0.2">
      <c r="A30" s="3">
        <v>24</v>
      </c>
      <c r="B30" s="4" t="s">
        <v>482</v>
      </c>
      <c r="C30" s="4" t="s">
        <v>483</v>
      </c>
      <c r="D30" s="4" t="s">
        <v>47</v>
      </c>
      <c r="E30" s="5">
        <v>39661</v>
      </c>
      <c r="F30" s="6">
        <v>292.48004450000002</v>
      </c>
      <c r="G30" s="7">
        <v>1.5494608E-2</v>
      </c>
      <c r="H30" s="6"/>
    </row>
    <row r="31" spans="1:8" ht="29.1" customHeight="1" x14ac:dyDescent="0.2">
      <c r="A31" s="3">
        <v>25</v>
      </c>
      <c r="B31" s="4" t="s">
        <v>478</v>
      </c>
      <c r="C31" s="4" t="s">
        <v>479</v>
      </c>
      <c r="D31" s="4" t="s">
        <v>42</v>
      </c>
      <c r="E31" s="5">
        <v>15644</v>
      </c>
      <c r="F31" s="6">
        <v>286.386886</v>
      </c>
      <c r="G31" s="7">
        <v>1.5171812999999999E-2</v>
      </c>
      <c r="H31" s="6"/>
    </row>
    <row r="32" spans="1:8" ht="17.100000000000001" customHeight="1" x14ac:dyDescent="0.2">
      <c r="A32" s="3">
        <v>26</v>
      </c>
      <c r="B32" s="4" t="s">
        <v>194</v>
      </c>
      <c r="C32" s="4" t="s">
        <v>195</v>
      </c>
      <c r="D32" s="4" t="s">
        <v>85</v>
      </c>
      <c r="E32" s="5">
        <v>57610</v>
      </c>
      <c r="F32" s="6">
        <v>278.65956999999997</v>
      </c>
      <c r="G32" s="7">
        <v>1.4762446E-2</v>
      </c>
      <c r="H32" s="6"/>
    </row>
    <row r="33" spans="1:8" ht="17.100000000000001" customHeight="1" x14ac:dyDescent="0.2">
      <c r="A33" s="3">
        <v>27</v>
      </c>
      <c r="B33" s="4" t="s">
        <v>281</v>
      </c>
      <c r="C33" s="4" t="s">
        <v>282</v>
      </c>
      <c r="D33" s="4" t="s">
        <v>28</v>
      </c>
      <c r="E33" s="5">
        <v>11898</v>
      </c>
      <c r="F33" s="6">
        <v>271.29224699999997</v>
      </c>
      <c r="G33" s="7">
        <v>1.437215E-2</v>
      </c>
      <c r="H33" s="6"/>
    </row>
    <row r="34" spans="1:8" ht="29.1" customHeight="1" x14ac:dyDescent="0.2">
      <c r="A34" s="3">
        <v>28</v>
      </c>
      <c r="B34" s="4" t="s">
        <v>43</v>
      </c>
      <c r="C34" s="4" t="s">
        <v>44</v>
      </c>
      <c r="D34" s="4" t="s">
        <v>25</v>
      </c>
      <c r="E34" s="5">
        <v>10728</v>
      </c>
      <c r="F34" s="6">
        <v>255.56778</v>
      </c>
      <c r="G34" s="7">
        <v>1.3539120999999999E-2</v>
      </c>
      <c r="H34" s="6"/>
    </row>
    <row r="35" spans="1:8" ht="29.1" customHeight="1" x14ac:dyDescent="0.2">
      <c r="A35" s="3">
        <v>29</v>
      </c>
      <c r="B35" s="4" t="s">
        <v>196</v>
      </c>
      <c r="C35" s="4" t="s">
        <v>197</v>
      </c>
      <c r="D35" s="4" t="s">
        <v>198</v>
      </c>
      <c r="E35" s="5">
        <v>69018</v>
      </c>
      <c r="F35" s="6">
        <v>243.737067</v>
      </c>
      <c r="G35" s="7">
        <v>1.2912369E-2</v>
      </c>
      <c r="H35" s="6"/>
    </row>
    <row r="36" spans="1:8" ht="17.100000000000001" customHeight="1" x14ac:dyDescent="0.2">
      <c r="A36" s="3">
        <v>30</v>
      </c>
      <c r="B36" s="4" t="s">
        <v>283</v>
      </c>
      <c r="C36" s="4" t="s">
        <v>284</v>
      </c>
      <c r="D36" s="4" t="s">
        <v>176</v>
      </c>
      <c r="E36" s="5">
        <v>29851</v>
      </c>
      <c r="F36" s="6">
        <v>233.852734</v>
      </c>
      <c r="G36" s="7">
        <v>1.2388731E-2</v>
      </c>
      <c r="H36" s="6"/>
    </row>
    <row r="37" spans="1:8" ht="29.1" customHeight="1" x14ac:dyDescent="0.2">
      <c r="A37" s="3">
        <v>31</v>
      </c>
      <c r="B37" s="4" t="s">
        <v>285</v>
      </c>
      <c r="C37" s="4" t="s">
        <v>286</v>
      </c>
      <c r="D37" s="4" t="s">
        <v>233</v>
      </c>
      <c r="E37" s="5">
        <v>41627</v>
      </c>
      <c r="F37" s="6">
        <v>231.30042549999999</v>
      </c>
      <c r="G37" s="7">
        <v>1.2253518E-2</v>
      </c>
      <c r="H37" s="6"/>
    </row>
    <row r="38" spans="1:8" ht="29.1" customHeight="1" x14ac:dyDescent="0.2">
      <c r="A38" s="3">
        <v>32</v>
      </c>
      <c r="B38" s="4" t="s">
        <v>208</v>
      </c>
      <c r="C38" s="4" t="s">
        <v>209</v>
      </c>
      <c r="D38" s="4" t="s">
        <v>210</v>
      </c>
      <c r="E38" s="5">
        <v>16101</v>
      </c>
      <c r="F38" s="6">
        <v>229.71296699999999</v>
      </c>
      <c r="G38" s="7">
        <v>1.216942E-2</v>
      </c>
      <c r="H38" s="6"/>
    </row>
    <row r="39" spans="1:8" ht="29.1" customHeight="1" x14ac:dyDescent="0.2">
      <c r="A39" s="3">
        <v>33</v>
      </c>
      <c r="B39" s="4" t="s">
        <v>211</v>
      </c>
      <c r="C39" s="4" t="s">
        <v>212</v>
      </c>
      <c r="D39" s="4" t="s">
        <v>198</v>
      </c>
      <c r="E39" s="5">
        <v>37335</v>
      </c>
      <c r="F39" s="6">
        <v>211.85745750000001</v>
      </c>
      <c r="G39" s="7">
        <v>1.1223495E-2</v>
      </c>
      <c r="H39" s="6"/>
    </row>
    <row r="40" spans="1:8" ht="29.1" customHeight="1" x14ac:dyDescent="0.2">
      <c r="A40" s="3">
        <v>34</v>
      </c>
      <c r="B40" s="4" t="s">
        <v>206</v>
      </c>
      <c r="C40" s="4" t="s">
        <v>207</v>
      </c>
      <c r="D40" s="4" t="s">
        <v>191</v>
      </c>
      <c r="E40" s="5">
        <v>44870</v>
      </c>
      <c r="F40" s="6">
        <v>210.64221499999999</v>
      </c>
      <c r="G40" s="7">
        <v>1.1159115000000001E-2</v>
      </c>
      <c r="H40" s="6"/>
    </row>
    <row r="41" spans="1:8" ht="17.100000000000001" customHeight="1" x14ac:dyDescent="0.2">
      <c r="A41" s="3">
        <v>35</v>
      </c>
      <c r="B41" s="4" t="s">
        <v>484</v>
      </c>
      <c r="C41" s="4" t="s">
        <v>485</v>
      </c>
      <c r="D41" s="4" t="s">
        <v>85</v>
      </c>
      <c r="E41" s="5">
        <v>19196</v>
      </c>
      <c r="F41" s="6">
        <v>205.68513999999999</v>
      </c>
      <c r="G41" s="7">
        <v>1.0896506E-2</v>
      </c>
      <c r="H41" s="6"/>
    </row>
    <row r="42" spans="1:8" ht="17.100000000000001" customHeight="1" x14ac:dyDescent="0.2">
      <c r="A42" s="3">
        <v>36</v>
      </c>
      <c r="B42" s="4" t="s">
        <v>363</v>
      </c>
      <c r="C42" s="4" t="s">
        <v>364</v>
      </c>
      <c r="D42" s="4" t="s">
        <v>95</v>
      </c>
      <c r="E42" s="5">
        <v>5394</v>
      </c>
      <c r="F42" s="6">
        <v>199.52945399999999</v>
      </c>
      <c r="G42" s="7">
        <v>1.0570398999999999E-2</v>
      </c>
      <c r="H42" s="6"/>
    </row>
    <row r="43" spans="1:8" ht="17.100000000000001" customHeight="1" x14ac:dyDescent="0.2">
      <c r="A43" s="3">
        <v>37</v>
      </c>
      <c r="B43" s="4" t="s">
        <v>215</v>
      </c>
      <c r="C43" s="4" t="s">
        <v>216</v>
      </c>
      <c r="D43" s="4" t="s">
        <v>186</v>
      </c>
      <c r="E43" s="5">
        <v>42900</v>
      </c>
      <c r="F43" s="6">
        <v>195.2808</v>
      </c>
      <c r="G43" s="7">
        <v>1.0345319E-2</v>
      </c>
      <c r="H43" s="6"/>
    </row>
    <row r="44" spans="1:8" ht="17.100000000000001" customHeight="1" x14ac:dyDescent="0.2">
      <c r="A44" s="3">
        <v>38</v>
      </c>
      <c r="B44" s="4" t="s">
        <v>213</v>
      </c>
      <c r="C44" s="4" t="s">
        <v>214</v>
      </c>
      <c r="D44" s="4" t="s">
        <v>13</v>
      </c>
      <c r="E44" s="5">
        <v>235040</v>
      </c>
      <c r="F44" s="6">
        <v>193.08536000000001</v>
      </c>
      <c r="G44" s="7">
        <v>1.0229011999999999E-2</v>
      </c>
      <c r="H44" s="6"/>
    </row>
    <row r="45" spans="1:8" ht="17.100000000000001" customHeight="1" x14ac:dyDescent="0.2">
      <c r="A45" s="3">
        <v>39</v>
      </c>
      <c r="B45" s="4" t="s">
        <v>90</v>
      </c>
      <c r="C45" s="4" t="s">
        <v>91</v>
      </c>
      <c r="D45" s="4" t="s">
        <v>92</v>
      </c>
      <c r="E45" s="5">
        <v>40384</v>
      </c>
      <c r="F45" s="6">
        <v>187.64425600000001</v>
      </c>
      <c r="G45" s="7">
        <v>9.9407609999999993E-3</v>
      </c>
      <c r="H45" s="6"/>
    </row>
    <row r="46" spans="1:8" ht="29.1" customHeight="1" x14ac:dyDescent="0.2">
      <c r="A46" s="3">
        <v>40</v>
      </c>
      <c r="B46" s="4" t="s">
        <v>226</v>
      </c>
      <c r="C46" s="4" t="s">
        <v>227</v>
      </c>
      <c r="D46" s="4" t="s">
        <v>80</v>
      </c>
      <c r="E46" s="5">
        <v>10609</v>
      </c>
      <c r="F46" s="6">
        <v>187.52468400000001</v>
      </c>
      <c r="G46" s="7">
        <v>9.9344269999999991E-3</v>
      </c>
      <c r="H46" s="6"/>
    </row>
    <row r="47" spans="1:8" ht="17.100000000000001" customHeight="1" x14ac:dyDescent="0.2">
      <c r="A47" s="3">
        <v>41</v>
      </c>
      <c r="B47" s="4" t="s">
        <v>36</v>
      </c>
      <c r="C47" s="4" t="s">
        <v>37</v>
      </c>
      <c r="D47" s="4" t="s">
        <v>28</v>
      </c>
      <c r="E47" s="5">
        <v>5865</v>
      </c>
      <c r="F47" s="6">
        <v>186.60084000000001</v>
      </c>
      <c r="G47" s="7">
        <v>9.8854839999999999E-3</v>
      </c>
      <c r="H47" s="6"/>
    </row>
    <row r="48" spans="1:8" ht="17.100000000000001" customHeight="1" x14ac:dyDescent="0.2">
      <c r="A48" s="3">
        <v>42</v>
      </c>
      <c r="B48" s="4" t="s">
        <v>486</v>
      </c>
      <c r="C48" s="4" t="s">
        <v>487</v>
      </c>
      <c r="D48" s="4" t="s">
        <v>28</v>
      </c>
      <c r="E48" s="5">
        <v>25628</v>
      </c>
      <c r="F48" s="6">
        <v>184.64974000000001</v>
      </c>
      <c r="G48" s="7">
        <v>9.7821220000000007E-3</v>
      </c>
      <c r="H48" s="6"/>
    </row>
    <row r="49" spans="1:8" ht="17.100000000000001" customHeight="1" x14ac:dyDescent="0.2">
      <c r="A49" s="3">
        <v>43</v>
      </c>
      <c r="B49" s="4" t="s">
        <v>488</v>
      </c>
      <c r="C49" s="4" t="s">
        <v>489</v>
      </c>
      <c r="D49" s="4" t="s">
        <v>80</v>
      </c>
      <c r="E49" s="5">
        <v>17492</v>
      </c>
      <c r="F49" s="6">
        <v>179.18804800000001</v>
      </c>
      <c r="G49" s="7">
        <v>9.4927799999999993E-3</v>
      </c>
      <c r="H49" s="6"/>
    </row>
    <row r="50" spans="1:8" ht="17.100000000000001" customHeight="1" x14ac:dyDescent="0.2">
      <c r="A50" s="3">
        <v>44</v>
      </c>
      <c r="B50" s="4" t="s">
        <v>222</v>
      </c>
      <c r="C50" s="4" t="s">
        <v>223</v>
      </c>
      <c r="D50" s="4" t="s">
        <v>95</v>
      </c>
      <c r="E50" s="5">
        <v>10936</v>
      </c>
      <c r="F50" s="6">
        <v>171.733476</v>
      </c>
      <c r="G50" s="7">
        <v>9.0978610000000005E-3</v>
      </c>
      <c r="H50" s="6"/>
    </row>
    <row r="51" spans="1:8" ht="29.1" customHeight="1" x14ac:dyDescent="0.2">
      <c r="A51" s="3">
        <v>45</v>
      </c>
      <c r="B51" s="4" t="s">
        <v>293</v>
      </c>
      <c r="C51" s="4" t="s">
        <v>294</v>
      </c>
      <c r="D51" s="4" t="s">
        <v>295</v>
      </c>
      <c r="E51" s="5">
        <v>52168</v>
      </c>
      <c r="F51" s="6">
        <v>170.38068799999999</v>
      </c>
      <c r="G51" s="7">
        <v>9.0261950000000007E-3</v>
      </c>
      <c r="H51" s="6"/>
    </row>
    <row r="52" spans="1:8" ht="29.1" customHeight="1" x14ac:dyDescent="0.2">
      <c r="A52" s="3">
        <v>46</v>
      </c>
      <c r="B52" s="4" t="s">
        <v>224</v>
      </c>
      <c r="C52" s="4" t="s">
        <v>225</v>
      </c>
      <c r="D52" s="4" t="s">
        <v>198</v>
      </c>
      <c r="E52" s="5">
        <v>10472</v>
      </c>
      <c r="F52" s="6">
        <v>170.238068</v>
      </c>
      <c r="G52" s="7">
        <v>9.0186399999999996E-3</v>
      </c>
      <c r="H52" s="6"/>
    </row>
    <row r="53" spans="1:8" ht="17.100000000000001" customHeight="1" x14ac:dyDescent="0.2">
      <c r="A53" s="3">
        <v>47</v>
      </c>
      <c r="B53" s="4" t="s">
        <v>303</v>
      </c>
      <c r="C53" s="4" t="s">
        <v>304</v>
      </c>
      <c r="D53" s="4" t="s">
        <v>19</v>
      </c>
      <c r="E53" s="5">
        <v>88710</v>
      </c>
      <c r="F53" s="6">
        <v>167.61754500000001</v>
      </c>
      <c r="G53" s="7">
        <v>8.8798130000000003E-3</v>
      </c>
      <c r="H53" s="6"/>
    </row>
    <row r="54" spans="1:8" ht="17.100000000000001" customHeight="1" x14ac:dyDescent="0.2">
      <c r="A54" s="3">
        <v>48</v>
      </c>
      <c r="B54" s="4" t="s">
        <v>228</v>
      </c>
      <c r="C54" s="4" t="s">
        <v>229</v>
      </c>
      <c r="D54" s="4" t="s">
        <v>230</v>
      </c>
      <c r="E54" s="5">
        <v>55539</v>
      </c>
      <c r="F54" s="6">
        <v>164.11774500000001</v>
      </c>
      <c r="G54" s="7">
        <v>8.694406E-3</v>
      </c>
      <c r="H54" s="6"/>
    </row>
    <row r="55" spans="1:8" ht="29.1" customHeight="1" x14ac:dyDescent="0.2">
      <c r="A55" s="3">
        <v>49</v>
      </c>
      <c r="B55" s="4" t="s">
        <v>298</v>
      </c>
      <c r="C55" s="4" t="s">
        <v>299</v>
      </c>
      <c r="D55" s="4" t="s">
        <v>25</v>
      </c>
      <c r="E55" s="5">
        <v>87733</v>
      </c>
      <c r="F55" s="6">
        <v>160.85845549999999</v>
      </c>
      <c r="G55" s="7">
        <v>8.5217390000000004E-3</v>
      </c>
      <c r="H55" s="6"/>
    </row>
    <row r="56" spans="1:8" ht="17.100000000000001" customHeight="1" x14ac:dyDescent="0.2">
      <c r="A56" s="3">
        <v>50</v>
      </c>
      <c r="B56" s="4" t="s">
        <v>492</v>
      </c>
      <c r="C56" s="4" t="s">
        <v>493</v>
      </c>
      <c r="D56" s="4"/>
      <c r="E56" s="5">
        <v>19644</v>
      </c>
      <c r="F56" s="6">
        <v>159.58785599999999</v>
      </c>
      <c r="G56" s="7">
        <v>8.4544270000000005E-3</v>
      </c>
      <c r="H56" s="6"/>
    </row>
    <row r="57" spans="1:8" ht="29.1" customHeight="1" x14ac:dyDescent="0.2">
      <c r="A57" s="3">
        <v>51</v>
      </c>
      <c r="B57" s="4" t="s">
        <v>234</v>
      </c>
      <c r="C57" s="4" t="s">
        <v>235</v>
      </c>
      <c r="D57" s="4" t="s">
        <v>236</v>
      </c>
      <c r="E57" s="5">
        <v>174591</v>
      </c>
      <c r="F57" s="6">
        <v>158.96510549999999</v>
      </c>
      <c r="G57" s="7">
        <v>8.4214359999999992E-3</v>
      </c>
      <c r="H57" s="6"/>
    </row>
    <row r="58" spans="1:8" ht="17.100000000000001" customHeight="1" x14ac:dyDescent="0.2">
      <c r="A58" s="3">
        <v>52</v>
      </c>
      <c r="B58" s="4" t="s">
        <v>287</v>
      </c>
      <c r="C58" s="4" t="s">
        <v>288</v>
      </c>
      <c r="D58" s="4" t="s">
        <v>85</v>
      </c>
      <c r="E58" s="5">
        <v>320700</v>
      </c>
      <c r="F58" s="6">
        <v>158.58615</v>
      </c>
      <c r="G58" s="7">
        <v>8.4013600000000001E-3</v>
      </c>
      <c r="H58" s="6"/>
    </row>
    <row r="59" spans="1:8" ht="17.100000000000001" customHeight="1" x14ac:dyDescent="0.2">
      <c r="A59" s="3">
        <v>53</v>
      </c>
      <c r="B59" s="4" t="s">
        <v>490</v>
      </c>
      <c r="C59" s="4" t="s">
        <v>491</v>
      </c>
      <c r="D59" s="4" t="s">
        <v>28</v>
      </c>
      <c r="E59" s="5">
        <v>29124</v>
      </c>
      <c r="F59" s="6">
        <v>156.29394600000001</v>
      </c>
      <c r="G59" s="7">
        <v>8.2799269999999994E-3</v>
      </c>
      <c r="H59" s="6"/>
    </row>
    <row r="60" spans="1:8" ht="17.100000000000001" customHeight="1" x14ac:dyDescent="0.2">
      <c r="A60" s="3">
        <v>54</v>
      </c>
      <c r="B60" s="4" t="s">
        <v>270</v>
      </c>
      <c r="C60" s="4" t="s">
        <v>271</v>
      </c>
      <c r="D60" s="4" t="s">
        <v>28</v>
      </c>
      <c r="E60" s="5">
        <v>15167</v>
      </c>
      <c r="F60" s="6">
        <v>155.1963275</v>
      </c>
      <c r="G60" s="7">
        <v>8.2217790000000002E-3</v>
      </c>
      <c r="H60" s="6"/>
    </row>
    <row r="61" spans="1:8" ht="29.1" customHeight="1" x14ac:dyDescent="0.2">
      <c r="A61" s="3">
        <v>55</v>
      </c>
      <c r="B61" s="4" t="s">
        <v>231</v>
      </c>
      <c r="C61" s="4" t="s">
        <v>232</v>
      </c>
      <c r="D61" s="4" t="s">
        <v>233</v>
      </c>
      <c r="E61" s="5">
        <v>43436</v>
      </c>
      <c r="F61" s="6">
        <v>153.80687599999999</v>
      </c>
      <c r="G61" s="7">
        <v>8.1481709999999992E-3</v>
      </c>
      <c r="H61" s="6"/>
    </row>
    <row r="62" spans="1:8" ht="17.100000000000001" customHeight="1" x14ac:dyDescent="0.2">
      <c r="A62" s="3">
        <v>56</v>
      </c>
      <c r="B62" s="4" t="s">
        <v>242</v>
      </c>
      <c r="C62" s="4" t="s">
        <v>243</v>
      </c>
      <c r="D62" s="4" t="s">
        <v>80</v>
      </c>
      <c r="E62" s="5">
        <v>70796</v>
      </c>
      <c r="F62" s="6">
        <v>150.83087800000001</v>
      </c>
      <c r="G62" s="7">
        <v>7.990512E-3</v>
      </c>
      <c r="H62" s="6"/>
    </row>
    <row r="63" spans="1:8" ht="53.1" customHeight="1" x14ac:dyDescent="0.2">
      <c r="A63" s="3">
        <v>57</v>
      </c>
      <c r="B63" s="4" t="s">
        <v>251</v>
      </c>
      <c r="C63" s="4" t="s">
        <v>1141</v>
      </c>
      <c r="D63" s="4" t="s">
        <v>75</v>
      </c>
      <c r="E63" s="5">
        <v>74468</v>
      </c>
      <c r="F63" s="6">
        <v>147.81898000000001</v>
      </c>
      <c r="G63" s="7">
        <v>7.8309520000000004E-3</v>
      </c>
      <c r="H63" s="6"/>
    </row>
    <row r="64" spans="1:8" ht="17.100000000000001" customHeight="1" x14ac:dyDescent="0.2">
      <c r="A64" s="3">
        <v>58</v>
      </c>
      <c r="B64" s="4" t="s">
        <v>199</v>
      </c>
      <c r="C64" s="4" t="s">
        <v>200</v>
      </c>
      <c r="D64" s="4" t="s">
        <v>13</v>
      </c>
      <c r="E64" s="5">
        <v>39951</v>
      </c>
      <c r="F64" s="6">
        <v>144.0433305</v>
      </c>
      <c r="G64" s="7">
        <v>7.6309309999999997E-3</v>
      </c>
      <c r="H64" s="6"/>
    </row>
    <row r="65" spans="1:8" ht="41.1" customHeight="1" x14ac:dyDescent="0.2">
      <c r="A65" s="3">
        <v>59</v>
      </c>
      <c r="B65" s="4" t="s">
        <v>267</v>
      </c>
      <c r="C65" s="4" t="s">
        <v>268</v>
      </c>
      <c r="D65" s="4" t="s">
        <v>269</v>
      </c>
      <c r="E65" s="5">
        <v>19348</v>
      </c>
      <c r="F65" s="6">
        <v>140.36006599999999</v>
      </c>
      <c r="G65" s="7">
        <v>7.4358039999999999E-3</v>
      </c>
      <c r="H65" s="6"/>
    </row>
    <row r="66" spans="1:8" ht="17.100000000000001" customHeight="1" x14ac:dyDescent="0.2">
      <c r="A66" s="3">
        <v>60</v>
      </c>
      <c r="B66" s="4" t="s">
        <v>291</v>
      </c>
      <c r="C66" s="4" t="s">
        <v>292</v>
      </c>
      <c r="D66" s="4" t="s">
        <v>95</v>
      </c>
      <c r="E66" s="5">
        <v>21471</v>
      </c>
      <c r="F66" s="6">
        <v>135.57862950000001</v>
      </c>
      <c r="G66" s="7">
        <v>7.1824990000000002E-3</v>
      </c>
      <c r="H66" s="6"/>
    </row>
    <row r="67" spans="1:8" ht="17.100000000000001" customHeight="1" x14ac:dyDescent="0.2">
      <c r="A67" s="3">
        <v>61</v>
      </c>
      <c r="B67" s="4" t="s">
        <v>263</v>
      </c>
      <c r="C67" s="4" t="s">
        <v>264</v>
      </c>
      <c r="D67" s="4" t="s">
        <v>16</v>
      </c>
      <c r="E67" s="5">
        <v>58207</v>
      </c>
      <c r="F67" s="6">
        <v>132.59554600000001</v>
      </c>
      <c r="G67" s="7">
        <v>7.024466E-3</v>
      </c>
      <c r="H67" s="6"/>
    </row>
    <row r="68" spans="1:8" ht="17.100000000000001" customHeight="1" x14ac:dyDescent="0.2">
      <c r="A68" s="3">
        <v>62</v>
      </c>
      <c r="B68" s="4" t="s">
        <v>494</v>
      </c>
      <c r="C68" s="4" t="s">
        <v>495</v>
      </c>
      <c r="D68" s="4" t="s">
        <v>186</v>
      </c>
      <c r="E68" s="5">
        <v>219877</v>
      </c>
      <c r="F68" s="6">
        <v>127.8584755</v>
      </c>
      <c r="G68" s="7">
        <v>6.7735119999999998E-3</v>
      </c>
      <c r="H68" s="6"/>
    </row>
    <row r="69" spans="1:8" ht="17.100000000000001" customHeight="1" x14ac:dyDescent="0.2">
      <c r="A69" s="3">
        <v>63</v>
      </c>
      <c r="B69" s="4" t="s">
        <v>244</v>
      </c>
      <c r="C69" s="4" t="s">
        <v>245</v>
      </c>
      <c r="D69" s="4" t="s">
        <v>95</v>
      </c>
      <c r="E69" s="5">
        <v>21910</v>
      </c>
      <c r="F69" s="6">
        <v>115.082275</v>
      </c>
      <c r="G69" s="7">
        <v>6.096672E-3</v>
      </c>
      <c r="H69" s="6"/>
    </row>
    <row r="70" spans="1:8" ht="17.100000000000001" customHeight="1" x14ac:dyDescent="0.2">
      <c r="A70" s="3">
        <v>64</v>
      </c>
      <c r="B70" s="4" t="s">
        <v>252</v>
      </c>
      <c r="C70" s="4" t="s">
        <v>253</v>
      </c>
      <c r="D70" s="4" t="s">
        <v>254</v>
      </c>
      <c r="E70" s="5">
        <v>89345</v>
      </c>
      <c r="F70" s="6">
        <v>106.0078425</v>
      </c>
      <c r="G70" s="7">
        <v>5.6159390000000003E-3</v>
      </c>
      <c r="H70" s="6"/>
    </row>
    <row r="71" spans="1:8" ht="17.100000000000001" customHeight="1" x14ac:dyDescent="0.2">
      <c r="A71" s="3">
        <v>65</v>
      </c>
      <c r="B71" s="4" t="s">
        <v>261</v>
      </c>
      <c r="C71" s="4" t="s">
        <v>262</v>
      </c>
      <c r="D71" s="4" t="s">
        <v>106</v>
      </c>
      <c r="E71" s="5">
        <v>14169</v>
      </c>
      <c r="F71" s="6">
        <v>102.75358799999999</v>
      </c>
      <c r="G71" s="7">
        <v>5.4435389999999998E-3</v>
      </c>
      <c r="H71" s="6"/>
    </row>
    <row r="72" spans="1:8" ht="29.1" customHeight="1" x14ac:dyDescent="0.2">
      <c r="A72" s="3">
        <v>66</v>
      </c>
      <c r="B72" s="4" t="s">
        <v>498</v>
      </c>
      <c r="C72" s="4" t="s">
        <v>499</v>
      </c>
      <c r="D72" s="4" t="s">
        <v>198</v>
      </c>
      <c r="E72" s="5">
        <v>29369</v>
      </c>
      <c r="F72" s="6">
        <v>97.049860499999994</v>
      </c>
      <c r="G72" s="7">
        <v>5.1413750000000001E-3</v>
      </c>
      <c r="H72" s="6"/>
    </row>
    <row r="73" spans="1:8" ht="17.100000000000001" customHeight="1" x14ac:dyDescent="0.2">
      <c r="A73" s="3">
        <v>67</v>
      </c>
      <c r="B73" s="4" t="s">
        <v>257</v>
      </c>
      <c r="C73" s="4" t="s">
        <v>258</v>
      </c>
      <c r="D73" s="4" t="s">
        <v>186</v>
      </c>
      <c r="E73" s="5">
        <v>98416</v>
      </c>
      <c r="F73" s="6">
        <v>95.660352000000003</v>
      </c>
      <c r="G73" s="7">
        <v>5.0677630000000003E-3</v>
      </c>
      <c r="H73" s="6"/>
    </row>
    <row r="74" spans="1:8" ht="17.100000000000001" customHeight="1" x14ac:dyDescent="0.2">
      <c r="A74" s="3">
        <v>68</v>
      </c>
      <c r="B74" s="4" t="s">
        <v>240</v>
      </c>
      <c r="C74" s="4" t="s">
        <v>241</v>
      </c>
      <c r="D74" s="4" t="s">
        <v>80</v>
      </c>
      <c r="E74" s="5">
        <v>17279</v>
      </c>
      <c r="F74" s="6">
        <v>93.297960500000002</v>
      </c>
      <c r="G74" s="7">
        <v>4.9426119999999999E-3</v>
      </c>
      <c r="H74" s="6"/>
    </row>
    <row r="75" spans="1:8" ht="29.1" customHeight="1" x14ac:dyDescent="0.2">
      <c r="A75" s="3">
        <v>69</v>
      </c>
      <c r="B75" s="4" t="s">
        <v>265</v>
      </c>
      <c r="C75" s="4" t="s">
        <v>266</v>
      </c>
      <c r="D75" s="4" t="s">
        <v>198</v>
      </c>
      <c r="E75" s="5">
        <v>2097</v>
      </c>
      <c r="F75" s="6">
        <v>89.507299500000002</v>
      </c>
      <c r="G75" s="7">
        <v>4.741795E-3</v>
      </c>
      <c r="H75" s="6"/>
    </row>
    <row r="76" spans="1:8" ht="17.100000000000001" customHeight="1" x14ac:dyDescent="0.2">
      <c r="A76" s="3">
        <v>70</v>
      </c>
      <c r="B76" s="4" t="s">
        <v>115</v>
      </c>
      <c r="C76" s="4" t="s">
        <v>116</v>
      </c>
      <c r="D76" s="4" t="s">
        <v>92</v>
      </c>
      <c r="E76" s="5">
        <v>110125</v>
      </c>
      <c r="F76" s="6">
        <v>80.171000000000006</v>
      </c>
      <c r="G76" s="7">
        <v>4.2471899999999996E-3</v>
      </c>
      <c r="H76" s="6"/>
    </row>
    <row r="77" spans="1:8" ht="29.1" customHeight="1" x14ac:dyDescent="0.2">
      <c r="A77" s="3">
        <v>71</v>
      </c>
      <c r="B77" s="4" t="s">
        <v>307</v>
      </c>
      <c r="C77" s="4" t="s">
        <v>308</v>
      </c>
      <c r="D77" s="4" t="s">
        <v>198</v>
      </c>
      <c r="E77" s="5">
        <v>34046</v>
      </c>
      <c r="F77" s="6">
        <v>77.386557999999994</v>
      </c>
      <c r="G77" s="7">
        <v>4.0996790000000002E-3</v>
      </c>
      <c r="H77" s="6"/>
    </row>
    <row r="78" spans="1:8" ht="29.1" customHeight="1" x14ac:dyDescent="0.2">
      <c r="A78" s="3">
        <v>72</v>
      </c>
      <c r="B78" s="4" t="s">
        <v>305</v>
      </c>
      <c r="C78" s="4" t="s">
        <v>306</v>
      </c>
      <c r="D78" s="4" t="s">
        <v>219</v>
      </c>
      <c r="E78" s="5">
        <v>16020</v>
      </c>
      <c r="F78" s="6">
        <v>77.26446</v>
      </c>
      <c r="G78" s="7">
        <v>4.0932110000000002E-3</v>
      </c>
      <c r="H78" s="6"/>
    </row>
    <row r="79" spans="1:8" ht="17.100000000000001" customHeight="1" x14ac:dyDescent="0.2">
      <c r="A79" s="3">
        <v>73</v>
      </c>
      <c r="B79" s="4" t="s">
        <v>300</v>
      </c>
      <c r="C79" s="4" t="s">
        <v>301</v>
      </c>
      <c r="D79" s="4" t="s">
        <v>302</v>
      </c>
      <c r="E79" s="5">
        <v>9457</v>
      </c>
      <c r="F79" s="6">
        <v>58.8934675</v>
      </c>
      <c r="G79" s="7">
        <v>3.1199779999999998E-3</v>
      </c>
      <c r="H79" s="6"/>
    </row>
    <row r="80" spans="1:8" ht="29.1" customHeight="1" x14ac:dyDescent="0.2">
      <c r="A80" s="3">
        <v>74</v>
      </c>
      <c r="B80" s="4" t="s">
        <v>274</v>
      </c>
      <c r="C80" s="4" t="s">
        <v>275</v>
      </c>
      <c r="D80" s="4" t="s">
        <v>219</v>
      </c>
      <c r="E80" s="5">
        <v>6324</v>
      </c>
      <c r="F80" s="6">
        <v>42.759726000000001</v>
      </c>
      <c r="G80" s="7">
        <v>2.2652660000000002E-3</v>
      </c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9">
        <v>18317.779597500001</v>
      </c>
      <c r="G81" s="10">
        <v>0.97041430100000003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121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122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123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124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125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126</v>
      </c>
      <c r="D98" s="1"/>
      <c r="E98" s="1"/>
      <c r="F98" s="9">
        <v>18317.779597500001</v>
      </c>
      <c r="G98" s="10">
        <v>0.97041430100000003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127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119</v>
      </c>
      <c r="D108" s="1"/>
      <c r="E108" s="1" t="s">
        <v>120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119</v>
      </c>
      <c r="D111" s="1"/>
      <c r="E111" s="1" t="s">
        <v>120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131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134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136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137</v>
      </c>
      <c r="D126" s="4"/>
      <c r="E126" s="8"/>
      <c r="F126" s="6">
        <v>566.69273680000003</v>
      </c>
      <c r="G126" s="7">
        <v>3.0021473999999999E-2</v>
      </c>
      <c r="H126" s="6">
        <v>4.1713246754849944</v>
      </c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9">
        <v>566.69273680000003</v>
      </c>
      <c r="G127" s="10">
        <v>3.0021473999999999E-2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138</v>
      </c>
      <c r="D129" s="1"/>
      <c r="E129" s="1"/>
      <c r="F129" s="9">
        <v>566.69273680000003</v>
      </c>
      <c r="G129" s="10">
        <v>3.0021473999999999E-2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139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140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119</v>
      </c>
      <c r="D133" s="1"/>
      <c r="E133" s="1" t="s">
        <v>120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141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142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119</v>
      </c>
      <c r="D137" s="1"/>
      <c r="E137" s="1" t="s">
        <v>120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143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119</v>
      </c>
      <c r="D141" s="1"/>
      <c r="E141" s="1" t="s">
        <v>120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144</v>
      </c>
      <c r="D144" s="4"/>
      <c r="E144" s="8"/>
      <c r="F144" s="6">
        <v>-8.2258013000000005</v>
      </c>
      <c r="G144" s="7">
        <v>-4.3577500000000001E-4</v>
      </c>
      <c r="H144" s="6"/>
    </row>
    <row r="145" spans="1:8" ht="14.1" customHeight="1" x14ac:dyDescent="0.2">
      <c r="A145" s="11"/>
      <c r="B145" s="11"/>
      <c r="C145" s="2" t="s">
        <v>145</v>
      </c>
      <c r="D145" s="15"/>
      <c r="E145" s="15"/>
      <c r="F145" s="9">
        <v>18876.246533000001</v>
      </c>
      <c r="G145" s="10">
        <v>1</v>
      </c>
      <c r="H145" s="6"/>
    </row>
    <row r="146" spans="1:8" ht="14.1" customHeight="1" x14ac:dyDescent="0.2">
      <c r="A146" s="18"/>
      <c r="B146" s="18"/>
      <c r="C146" s="18"/>
      <c r="D146" s="20"/>
      <c r="E146" s="20"/>
      <c r="F146" s="20"/>
      <c r="G146" s="20"/>
    </row>
    <row r="147" spans="1:8" ht="14.1" customHeight="1" x14ac:dyDescent="0.2">
      <c r="A147" s="18"/>
      <c r="B147" s="265" t="s">
        <v>147</v>
      </c>
      <c r="C147" s="266"/>
      <c r="D147" s="12" t="s">
        <v>120</v>
      </c>
      <c r="E147" s="21"/>
      <c r="F147" s="20"/>
      <c r="G147" s="20"/>
    </row>
    <row r="148" spans="1:8" ht="29.1" customHeight="1" x14ac:dyDescent="0.2">
      <c r="A148" s="18"/>
      <c r="B148" s="272" t="s">
        <v>148</v>
      </c>
      <c r="C148" s="273"/>
      <c r="D148" s="2" t="s">
        <v>149</v>
      </c>
      <c r="E148" s="21"/>
      <c r="F148" s="20"/>
      <c r="G148" s="20"/>
    </row>
    <row r="149" spans="1:8" ht="17.100000000000001" customHeight="1" x14ac:dyDescent="0.2">
      <c r="A149" s="18"/>
      <c r="B149" s="272" t="s">
        <v>150</v>
      </c>
      <c r="C149" s="273"/>
      <c r="D149" s="2" t="s">
        <v>149</v>
      </c>
      <c r="E149" s="21"/>
      <c r="F149" s="20"/>
      <c r="G149" s="20"/>
    </row>
    <row r="150" spans="1:8" ht="17.100000000000001" customHeight="1" x14ac:dyDescent="0.2">
      <c r="A150" s="18"/>
      <c r="B150" s="272" t="s">
        <v>151</v>
      </c>
      <c r="C150" s="273"/>
      <c r="D150" s="12" t="s">
        <v>120</v>
      </c>
      <c r="E150" s="21"/>
      <c r="F150" s="20"/>
      <c r="G150" s="20"/>
    </row>
    <row r="151" spans="1:8" ht="24" customHeight="1" x14ac:dyDescent="0.2">
      <c r="A151" s="22"/>
      <c r="B151" s="23" t="s">
        <v>120</v>
      </c>
      <c r="C151" s="23" t="s">
        <v>152</v>
      </c>
      <c r="D151" s="23" t="s">
        <v>153</v>
      </c>
      <c r="E151" s="22"/>
      <c r="F151" s="22"/>
      <c r="G151" s="22"/>
    </row>
    <row r="152" spans="1:8" ht="18" customHeight="1" x14ac:dyDescent="0.2">
      <c r="A152" s="22"/>
      <c r="B152" s="23" t="s">
        <v>154</v>
      </c>
      <c r="C152" s="23" t="s">
        <v>155</v>
      </c>
      <c r="D152" s="23" t="s">
        <v>156</v>
      </c>
      <c r="E152" s="22"/>
      <c r="F152" s="22"/>
      <c r="G152" s="22"/>
    </row>
    <row r="153" spans="1:8" ht="17.100000000000001" customHeight="1" x14ac:dyDescent="0.2">
      <c r="A153" s="22"/>
      <c r="B153" s="4" t="s">
        <v>157</v>
      </c>
      <c r="C153" s="24">
        <v>19.0762</v>
      </c>
      <c r="D153" s="24">
        <v>17.931100000000001</v>
      </c>
      <c r="E153" s="22"/>
      <c r="F153" s="19"/>
      <c r="G153" s="25"/>
    </row>
    <row r="154" spans="1:8" ht="17.100000000000001" customHeight="1" x14ac:dyDescent="0.2">
      <c r="A154" s="22"/>
      <c r="B154" s="4" t="s">
        <v>1120</v>
      </c>
      <c r="C154" s="24">
        <v>18.395499999999998</v>
      </c>
      <c r="D154" s="24">
        <v>17.2913</v>
      </c>
      <c r="E154" s="22"/>
      <c r="F154" s="19"/>
      <c r="G154" s="25"/>
    </row>
    <row r="155" spans="1:8" ht="17.100000000000001" customHeight="1" x14ac:dyDescent="0.2">
      <c r="A155" s="22"/>
      <c r="B155" s="4" t="s">
        <v>158</v>
      </c>
      <c r="C155" s="24">
        <v>18.484000000000002</v>
      </c>
      <c r="D155" s="24">
        <v>17.365600000000001</v>
      </c>
      <c r="E155" s="22"/>
      <c r="F155" s="19"/>
      <c r="G155" s="25"/>
    </row>
    <row r="156" spans="1:8" ht="17.100000000000001" customHeight="1" x14ac:dyDescent="0.2">
      <c r="A156" s="22"/>
      <c r="B156" s="4" t="s">
        <v>1121</v>
      </c>
      <c r="C156" s="24">
        <v>17.807300000000001</v>
      </c>
      <c r="D156" s="24">
        <v>16.729900000000001</v>
      </c>
      <c r="E156" s="22"/>
      <c r="F156" s="19"/>
      <c r="G156" s="25"/>
    </row>
    <row r="157" spans="1:8" ht="14.1" customHeight="1" x14ac:dyDescent="0.2">
      <c r="A157" s="22"/>
      <c r="B157" s="22"/>
      <c r="C157" s="22"/>
      <c r="D157" s="22"/>
      <c r="E157" s="22"/>
      <c r="F157" s="22"/>
      <c r="G157" s="22"/>
    </row>
    <row r="158" spans="1:8" ht="17.100000000000001" customHeight="1" x14ac:dyDescent="0.2">
      <c r="A158" s="22"/>
      <c r="B158" s="272" t="s">
        <v>1122</v>
      </c>
      <c r="C158" s="273"/>
      <c r="D158" s="2" t="s">
        <v>149</v>
      </c>
      <c r="E158" s="22"/>
      <c r="F158" s="22"/>
      <c r="G158" s="22"/>
    </row>
    <row r="159" spans="1:8" ht="14.1" customHeight="1" x14ac:dyDescent="0.2">
      <c r="A159" s="22"/>
      <c r="B159" s="19"/>
      <c r="C159" s="19"/>
      <c r="D159" s="22"/>
      <c r="E159" s="22"/>
      <c r="F159" s="22"/>
      <c r="G159" s="22"/>
    </row>
    <row r="160" spans="1:8" ht="29.1" customHeight="1" x14ac:dyDescent="0.2">
      <c r="A160" s="22"/>
      <c r="B160" s="272" t="s">
        <v>160</v>
      </c>
      <c r="C160" s="273"/>
      <c r="D160" s="2" t="s">
        <v>149</v>
      </c>
      <c r="E160" s="22"/>
      <c r="F160" s="22"/>
      <c r="G160" s="22"/>
    </row>
    <row r="161" spans="1:15" ht="29.1" customHeight="1" x14ac:dyDescent="0.2">
      <c r="A161" s="22"/>
      <c r="B161" s="272" t="s">
        <v>161</v>
      </c>
      <c r="C161" s="273"/>
      <c r="D161" s="2" t="s">
        <v>149</v>
      </c>
      <c r="E161" s="22"/>
      <c r="F161" s="22"/>
      <c r="G161" s="22"/>
    </row>
    <row r="162" spans="1:15" ht="17.100000000000001" customHeight="1" x14ac:dyDescent="0.2">
      <c r="A162" s="22"/>
      <c r="B162" s="272" t="s">
        <v>162</v>
      </c>
      <c r="C162" s="273"/>
      <c r="D162" s="27">
        <v>0.31604199999999999</v>
      </c>
      <c r="E162" s="22"/>
      <c r="F162" s="19"/>
      <c r="G162" s="25"/>
    </row>
    <row r="163" spans="1:15" ht="17.100000000000001" customHeight="1" x14ac:dyDescent="0.2">
      <c r="A163" s="22"/>
      <c r="B163" s="272" t="s">
        <v>163</v>
      </c>
      <c r="C163" s="273"/>
      <c r="D163" s="2" t="s">
        <v>149</v>
      </c>
      <c r="E163" s="22"/>
      <c r="F163" s="22"/>
      <c r="G163" s="22"/>
    </row>
    <row r="164" spans="1:15" x14ac:dyDescent="0.2">
      <c r="J164" s="170"/>
      <c r="K164" s="170"/>
      <c r="L164" s="170"/>
      <c r="M164" s="170"/>
      <c r="N164" s="170"/>
      <c r="O164" s="170"/>
    </row>
  </sheetData>
  <mergeCells count="13">
    <mergeCell ref="B162:C162"/>
    <mergeCell ref="B163:C163"/>
    <mergeCell ref="B148:C148"/>
    <mergeCell ref="B149:C149"/>
    <mergeCell ref="B150:C150"/>
    <mergeCell ref="B158:C158"/>
    <mergeCell ref="B160:C160"/>
    <mergeCell ref="B161:C161"/>
    <mergeCell ref="J2:N2"/>
    <mergeCell ref="B147:C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6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501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22067</v>
      </c>
      <c r="F7" s="6">
        <v>272.81432100000001</v>
      </c>
      <c r="G7" s="7">
        <v>3.8136090999999997E-2</v>
      </c>
      <c r="H7" s="6"/>
    </row>
    <row r="8" spans="1:14" ht="17.100000000000001" customHeight="1" x14ac:dyDescent="0.2">
      <c r="A8" s="3">
        <v>2</v>
      </c>
      <c r="B8" s="4" t="s">
        <v>246</v>
      </c>
      <c r="C8" s="4" t="s">
        <v>247</v>
      </c>
      <c r="D8" s="4" t="s">
        <v>248</v>
      </c>
      <c r="E8" s="5">
        <v>139251</v>
      </c>
      <c r="F8" s="6">
        <v>253.36719450000001</v>
      </c>
      <c r="G8" s="7">
        <v>3.5417622000000003E-2</v>
      </c>
      <c r="H8" s="6"/>
    </row>
    <row r="9" spans="1:14" ht="29.1" customHeight="1" x14ac:dyDescent="0.2">
      <c r="A9" s="3">
        <v>3</v>
      </c>
      <c r="B9" s="4" t="s">
        <v>217</v>
      </c>
      <c r="C9" s="4" t="s">
        <v>218</v>
      </c>
      <c r="D9" s="4" t="s">
        <v>219</v>
      </c>
      <c r="E9" s="5">
        <v>5487</v>
      </c>
      <c r="F9" s="6">
        <v>215.33457150000001</v>
      </c>
      <c r="G9" s="7">
        <v>3.0101128000000001E-2</v>
      </c>
      <c r="H9" s="6"/>
    </row>
    <row r="10" spans="1:14" ht="17.100000000000001" customHeight="1" x14ac:dyDescent="0.2">
      <c r="A10" s="3">
        <v>4</v>
      </c>
      <c r="B10" s="4" t="s">
        <v>78</v>
      </c>
      <c r="C10" s="4" t="s">
        <v>79</v>
      </c>
      <c r="D10" s="4" t="s">
        <v>80</v>
      </c>
      <c r="E10" s="5">
        <v>43096</v>
      </c>
      <c r="F10" s="6">
        <v>210.67479599999999</v>
      </c>
      <c r="G10" s="7">
        <v>2.9449749000000001E-2</v>
      </c>
      <c r="H10" s="6"/>
    </row>
    <row r="11" spans="1:14" ht="17.100000000000001" customHeight="1" x14ac:dyDescent="0.2">
      <c r="A11" s="3">
        <v>5</v>
      </c>
      <c r="B11" s="4" t="s">
        <v>182</v>
      </c>
      <c r="C11" s="4" t="s">
        <v>183</v>
      </c>
      <c r="D11" s="4" t="s">
        <v>80</v>
      </c>
      <c r="E11" s="5">
        <v>32456</v>
      </c>
      <c r="F11" s="6">
        <v>186.28121200000001</v>
      </c>
      <c r="G11" s="7">
        <v>2.6039825999999999E-2</v>
      </c>
      <c r="H11" s="6"/>
    </row>
    <row r="12" spans="1:14" ht="17.100000000000001" customHeight="1" x14ac:dyDescent="0.2">
      <c r="A12" s="3">
        <v>6</v>
      </c>
      <c r="B12" s="4" t="s">
        <v>32</v>
      </c>
      <c r="C12" s="4" t="s">
        <v>33</v>
      </c>
      <c r="D12" s="4" t="s">
        <v>28</v>
      </c>
      <c r="E12" s="5">
        <v>10555</v>
      </c>
      <c r="F12" s="6">
        <v>180.91797750000001</v>
      </c>
      <c r="G12" s="7">
        <v>2.5290111000000001E-2</v>
      </c>
      <c r="H12" s="6"/>
    </row>
    <row r="13" spans="1:14" ht="17.100000000000001" customHeight="1" x14ac:dyDescent="0.2">
      <c r="A13" s="3">
        <v>7</v>
      </c>
      <c r="B13" s="4" t="s">
        <v>201</v>
      </c>
      <c r="C13" s="4" t="s">
        <v>202</v>
      </c>
      <c r="D13" s="4" t="s">
        <v>203</v>
      </c>
      <c r="E13" s="5">
        <v>34698</v>
      </c>
      <c r="F13" s="6">
        <v>174.70443</v>
      </c>
      <c r="G13" s="7">
        <v>2.4421534000000002E-2</v>
      </c>
      <c r="H13" s="6"/>
      <c r="J13" s="169" t="s">
        <v>1148</v>
      </c>
    </row>
    <row r="14" spans="1:14" ht="17.100000000000001" customHeight="1" x14ac:dyDescent="0.2">
      <c r="A14" s="3">
        <v>8</v>
      </c>
      <c r="B14" s="4" t="s">
        <v>272</v>
      </c>
      <c r="C14" s="4" t="s">
        <v>273</v>
      </c>
      <c r="D14" s="4" t="s">
        <v>28</v>
      </c>
      <c r="E14" s="5">
        <v>21271</v>
      </c>
      <c r="F14" s="6">
        <v>171.12519499999999</v>
      </c>
      <c r="G14" s="7">
        <v>2.3921201E-2</v>
      </c>
      <c r="H14" s="6"/>
    </row>
    <row r="15" spans="1:14" ht="17.100000000000001" customHeight="1" x14ac:dyDescent="0.2">
      <c r="A15" s="3">
        <v>9</v>
      </c>
      <c r="B15" s="4" t="s">
        <v>172</v>
      </c>
      <c r="C15" s="4" t="s">
        <v>173</v>
      </c>
      <c r="D15" s="4" t="s">
        <v>994</v>
      </c>
      <c r="E15" s="5">
        <v>31217</v>
      </c>
      <c r="F15" s="6">
        <v>165.54375099999999</v>
      </c>
      <c r="G15" s="7">
        <v>2.3140983E-2</v>
      </c>
      <c r="H15" s="6"/>
    </row>
    <row r="16" spans="1:14" ht="17.100000000000001" customHeight="1" x14ac:dyDescent="0.2">
      <c r="A16" s="3">
        <v>10</v>
      </c>
      <c r="B16" s="4" t="s">
        <v>34</v>
      </c>
      <c r="C16" s="4" t="s">
        <v>35</v>
      </c>
      <c r="D16" s="4" t="s">
        <v>28</v>
      </c>
      <c r="E16" s="5">
        <v>12093</v>
      </c>
      <c r="F16" s="6">
        <v>163.872243</v>
      </c>
      <c r="G16" s="7">
        <v>2.2907327000000002E-2</v>
      </c>
      <c r="H16" s="6"/>
    </row>
    <row r="17" spans="1:8" ht="17.100000000000001" customHeight="1" x14ac:dyDescent="0.2">
      <c r="A17" s="3">
        <v>11</v>
      </c>
      <c r="B17" s="4" t="s">
        <v>279</v>
      </c>
      <c r="C17" s="4" t="s">
        <v>280</v>
      </c>
      <c r="D17" s="4" t="s">
        <v>28</v>
      </c>
      <c r="E17" s="5">
        <v>24026</v>
      </c>
      <c r="F17" s="6">
        <v>161.59887599999999</v>
      </c>
      <c r="G17" s="7">
        <v>2.2589537999999999E-2</v>
      </c>
      <c r="H17" s="6"/>
    </row>
    <row r="18" spans="1:8" ht="17.100000000000001" customHeight="1" x14ac:dyDescent="0.2">
      <c r="A18" s="3">
        <v>12</v>
      </c>
      <c r="B18" s="4" t="s">
        <v>480</v>
      </c>
      <c r="C18" s="4" t="s">
        <v>481</v>
      </c>
      <c r="D18" s="4" t="s">
        <v>80</v>
      </c>
      <c r="E18" s="5">
        <v>17407</v>
      </c>
      <c r="F18" s="6">
        <v>159.62218999999999</v>
      </c>
      <c r="G18" s="7">
        <v>2.2313222000000001E-2</v>
      </c>
      <c r="H18" s="6"/>
    </row>
    <row r="19" spans="1:8" ht="17.100000000000001" customHeight="1" x14ac:dyDescent="0.2">
      <c r="A19" s="3">
        <v>13</v>
      </c>
      <c r="B19" s="4" t="s">
        <v>177</v>
      </c>
      <c r="C19" s="4" t="s">
        <v>178</v>
      </c>
      <c r="D19" s="4" t="s">
        <v>85</v>
      </c>
      <c r="E19" s="5">
        <v>168307</v>
      </c>
      <c r="F19" s="6">
        <v>157.03043099999999</v>
      </c>
      <c r="G19" s="7">
        <v>2.1950925999999999E-2</v>
      </c>
      <c r="H19" s="6"/>
    </row>
    <row r="20" spans="1:8" ht="17.100000000000001" customHeight="1" x14ac:dyDescent="0.2">
      <c r="A20" s="3">
        <v>14</v>
      </c>
      <c r="B20" s="4" t="s">
        <v>179</v>
      </c>
      <c r="C20" s="4" t="s">
        <v>180</v>
      </c>
      <c r="D20" s="4" t="s">
        <v>181</v>
      </c>
      <c r="E20" s="5">
        <v>10225</v>
      </c>
      <c r="F20" s="6">
        <v>150.86987500000001</v>
      </c>
      <c r="G20" s="7">
        <v>2.1089756000000001E-2</v>
      </c>
      <c r="H20" s="6"/>
    </row>
    <row r="21" spans="1:8" ht="17.100000000000001" customHeight="1" x14ac:dyDescent="0.2">
      <c r="A21" s="3">
        <v>15</v>
      </c>
      <c r="B21" s="4" t="s">
        <v>249</v>
      </c>
      <c r="C21" s="4" t="s">
        <v>250</v>
      </c>
      <c r="D21" s="4" t="s">
        <v>994</v>
      </c>
      <c r="E21" s="5">
        <v>3812</v>
      </c>
      <c r="F21" s="6">
        <v>143.32738800000001</v>
      </c>
      <c r="G21" s="7">
        <v>2.0035409000000001E-2</v>
      </c>
      <c r="H21" s="6"/>
    </row>
    <row r="22" spans="1:8" ht="17.100000000000001" customHeight="1" x14ac:dyDescent="0.2">
      <c r="A22" s="3">
        <v>16</v>
      </c>
      <c r="B22" s="4" t="s">
        <v>174</v>
      </c>
      <c r="C22" s="4" t="s">
        <v>175</v>
      </c>
      <c r="D22" s="4" t="s">
        <v>176</v>
      </c>
      <c r="E22" s="5">
        <v>13510</v>
      </c>
      <c r="F22" s="6">
        <v>142.131955</v>
      </c>
      <c r="G22" s="7">
        <v>1.9868302000000001E-2</v>
      </c>
      <c r="H22" s="6"/>
    </row>
    <row r="23" spans="1:8" ht="17.100000000000001" customHeight="1" x14ac:dyDescent="0.2">
      <c r="A23" s="3">
        <v>17</v>
      </c>
      <c r="B23" s="4" t="s">
        <v>277</v>
      </c>
      <c r="C23" s="4" t="s">
        <v>278</v>
      </c>
      <c r="D23" s="4" t="s">
        <v>92</v>
      </c>
      <c r="E23" s="5">
        <v>11320</v>
      </c>
      <c r="F23" s="6">
        <v>132.09307999999999</v>
      </c>
      <c r="G23" s="7">
        <v>1.8464990000000001E-2</v>
      </c>
      <c r="H23" s="6"/>
    </row>
    <row r="24" spans="1:8" ht="17.100000000000001" customHeight="1" x14ac:dyDescent="0.2">
      <c r="A24" s="3">
        <v>18</v>
      </c>
      <c r="B24" s="4" t="s">
        <v>204</v>
      </c>
      <c r="C24" s="4" t="s">
        <v>205</v>
      </c>
      <c r="D24" s="4" t="s">
        <v>85</v>
      </c>
      <c r="E24" s="5">
        <v>16888</v>
      </c>
      <c r="F24" s="6">
        <v>131.38864000000001</v>
      </c>
      <c r="G24" s="7">
        <v>1.8366517999999998E-2</v>
      </c>
      <c r="H24" s="6"/>
    </row>
    <row r="25" spans="1:8" ht="17.100000000000001" customHeight="1" x14ac:dyDescent="0.2">
      <c r="A25" s="3">
        <v>19</v>
      </c>
      <c r="B25" s="4" t="s">
        <v>237</v>
      </c>
      <c r="C25" s="4" t="s">
        <v>238</v>
      </c>
      <c r="D25" s="4" t="s">
        <v>239</v>
      </c>
      <c r="E25" s="5">
        <v>46520</v>
      </c>
      <c r="F25" s="6">
        <v>130.65142</v>
      </c>
      <c r="G25" s="7">
        <v>1.8263464E-2</v>
      </c>
      <c r="H25" s="6"/>
    </row>
    <row r="26" spans="1:8" ht="29.1" customHeight="1" x14ac:dyDescent="0.2">
      <c r="A26" s="3">
        <v>20</v>
      </c>
      <c r="B26" s="4" t="s">
        <v>192</v>
      </c>
      <c r="C26" s="4" t="s">
        <v>193</v>
      </c>
      <c r="D26" s="4" t="s">
        <v>80</v>
      </c>
      <c r="E26" s="5">
        <v>35272</v>
      </c>
      <c r="F26" s="6">
        <v>127.490644</v>
      </c>
      <c r="G26" s="7">
        <v>1.7821626E-2</v>
      </c>
      <c r="H26" s="6"/>
    </row>
    <row r="27" spans="1:8" ht="17.100000000000001" customHeight="1" x14ac:dyDescent="0.2">
      <c r="A27" s="3">
        <v>21</v>
      </c>
      <c r="B27" s="4" t="s">
        <v>184</v>
      </c>
      <c r="C27" s="4" t="s">
        <v>185</v>
      </c>
      <c r="D27" s="4" t="s">
        <v>186</v>
      </c>
      <c r="E27" s="5">
        <v>11057</v>
      </c>
      <c r="F27" s="6">
        <v>117.5082675</v>
      </c>
      <c r="G27" s="7">
        <v>1.6426212999999999E-2</v>
      </c>
      <c r="H27" s="6"/>
    </row>
    <row r="28" spans="1:8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181</v>
      </c>
      <c r="E28" s="5">
        <v>8355</v>
      </c>
      <c r="F28" s="6">
        <v>114.60135750000001</v>
      </c>
      <c r="G28" s="7">
        <v>1.6019861999999999E-2</v>
      </c>
      <c r="H28" s="6"/>
    </row>
    <row r="29" spans="1:8" ht="29.1" customHeight="1" x14ac:dyDescent="0.2">
      <c r="A29" s="3">
        <v>23</v>
      </c>
      <c r="B29" s="4" t="s">
        <v>189</v>
      </c>
      <c r="C29" s="4" t="s">
        <v>190</v>
      </c>
      <c r="D29" s="4" t="s">
        <v>191</v>
      </c>
      <c r="E29" s="5">
        <v>16028</v>
      </c>
      <c r="F29" s="6">
        <v>112.845134</v>
      </c>
      <c r="G29" s="7">
        <v>1.5774363999999999E-2</v>
      </c>
      <c r="H29" s="6"/>
    </row>
    <row r="30" spans="1:8" ht="17.100000000000001" customHeight="1" x14ac:dyDescent="0.2">
      <c r="A30" s="3">
        <v>24</v>
      </c>
      <c r="B30" s="4" t="s">
        <v>482</v>
      </c>
      <c r="C30" s="4" t="s">
        <v>483</v>
      </c>
      <c r="D30" s="4" t="s">
        <v>47</v>
      </c>
      <c r="E30" s="5">
        <v>15237</v>
      </c>
      <c r="F30" s="6">
        <v>112.3652565</v>
      </c>
      <c r="G30" s="7">
        <v>1.5707282999999999E-2</v>
      </c>
      <c r="H30" s="6"/>
    </row>
    <row r="31" spans="1:8" ht="29.1" customHeight="1" x14ac:dyDescent="0.2">
      <c r="A31" s="3">
        <v>25</v>
      </c>
      <c r="B31" s="4" t="s">
        <v>478</v>
      </c>
      <c r="C31" s="4" t="s">
        <v>479</v>
      </c>
      <c r="D31" s="4" t="s">
        <v>42</v>
      </c>
      <c r="E31" s="5">
        <v>6054</v>
      </c>
      <c r="F31" s="6">
        <v>110.827551</v>
      </c>
      <c r="G31" s="7">
        <v>1.549233E-2</v>
      </c>
      <c r="H31" s="6"/>
    </row>
    <row r="32" spans="1:8" ht="17.100000000000001" customHeight="1" x14ac:dyDescent="0.2">
      <c r="A32" s="3">
        <v>26</v>
      </c>
      <c r="B32" s="4" t="s">
        <v>194</v>
      </c>
      <c r="C32" s="4" t="s">
        <v>195</v>
      </c>
      <c r="D32" s="4" t="s">
        <v>85</v>
      </c>
      <c r="E32" s="5">
        <v>21794</v>
      </c>
      <c r="F32" s="6">
        <v>105.41757800000001</v>
      </c>
      <c r="G32" s="7">
        <v>1.4736083000000001E-2</v>
      </c>
      <c r="H32" s="6"/>
    </row>
    <row r="33" spans="1:8" ht="17.100000000000001" customHeight="1" x14ac:dyDescent="0.2">
      <c r="A33" s="3">
        <v>27</v>
      </c>
      <c r="B33" s="4" t="s">
        <v>281</v>
      </c>
      <c r="C33" s="4" t="s">
        <v>282</v>
      </c>
      <c r="D33" s="4" t="s">
        <v>28</v>
      </c>
      <c r="E33" s="5">
        <v>4460</v>
      </c>
      <c r="F33" s="6">
        <v>101.69468999999999</v>
      </c>
      <c r="G33" s="7">
        <v>1.4215669E-2</v>
      </c>
      <c r="H33" s="6"/>
    </row>
    <row r="34" spans="1:8" ht="29.1" customHeight="1" x14ac:dyDescent="0.2">
      <c r="A34" s="3">
        <v>28</v>
      </c>
      <c r="B34" s="4" t="s">
        <v>43</v>
      </c>
      <c r="C34" s="4" t="s">
        <v>44</v>
      </c>
      <c r="D34" s="4" t="s">
        <v>25</v>
      </c>
      <c r="E34" s="5">
        <v>4064</v>
      </c>
      <c r="F34" s="6">
        <v>96.814639999999997</v>
      </c>
      <c r="G34" s="7">
        <v>1.3533498E-2</v>
      </c>
      <c r="H34" s="6"/>
    </row>
    <row r="35" spans="1:8" ht="29.1" customHeight="1" x14ac:dyDescent="0.2">
      <c r="A35" s="3">
        <v>29</v>
      </c>
      <c r="B35" s="4" t="s">
        <v>196</v>
      </c>
      <c r="C35" s="4" t="s">
        <v>197</v>
      </c>
      <c r="D35" s="4" t="s">
        <v>198</v>
      </c>
      <c r="E35" s="5">
        <v>25867</v>
      </c>
      <c r="F35" s="6">
        <v>91.349310500000001</v>
      </c>
      <c r="G35" s="7">
        <v>1.2769512E-2</v>
      </c>
      <c r="H35" s="6"/>
    </row>
    <row r="36" spans="1:8" ht="17.100000000000001" customHeight="1" x14ac:dyDescent="0.2">
      <c r="A36" s="3">
        <v>30</v>
      </c>
      <c r="B36" s="4" t="s">
        <v>283</v>
      </c>
      <c r="C36" s="4" t="s">
        <v>284</v>
      </c>
      <c r="D36" s="4" t="s">
        <v>176</v>
      </c>
      <c r="E36" s="5">
        <v>11291</v>
      </c>
      <c r="F36" s="6">
        <v>88.453693999999999</v>
      </c>
      <c r="G36" s="7">
        <v>1.2364740000000001E-2</v>
      </c>
      <c r="H36" s="6"/>
    </row>
    <row r="37" spans="1:8" ht="29.1" customHeight="1" x14ac:dyDescent="0.2">
      <c r="A37" s="3">
        <v>31</v>
      </c>
      <c r="B37" s="4" t="s">
        <v>285</v>
      </c>
      <c r="C37" s="4" t="s">
        <v>286</v>
      </c>
      <c r="D37" s="4" t="s">
        <v>233</v>
      </c>
      <c r="E37" s="5">
        <v>15722</v>
      </c>
      <c r="F37" s="6">
        <v>87.359292999999994</v>
      </c>
      <c r="G37" s="7">
        <v>1.2211756000000001E-2</v>
      </c>
      <c r="H37" s="6"/>
    </row>
    <row r="38" spans="1:8" ht="29.1" customHeight="1" x14ac:dyDescent="0.2">
      <c r="A38" s="3">
        <v>32</v>
      </c>
      <c r="B38" s="4" t="s">
        <v>208</v>
      </c>
      <c r="C38" s="4" t="s">
        <v>209</v>
      </c>
      <c r="D38" s="4" t="s">
        <v>210</v>
      </c>
      <c r="E38" s="5">
        <v>6102</v>
      </c>
      <c r="F38" s="6">
        <v>87.057233999999994</v>
      </c>
      <c r="G38" s="7">
        <v>1.2169532E-2</v>
      </c>
      <c r="H38" s="6"/>
    </row>
    <row r="39" spans="1:8" ht="29.1" customHeight="1" x14ac:dyDescent="0.2">
      <c r="A39" s="3">
        <v>33</v>
      </c>
      <c r="B39" s="4" t="s">
        <v>206</v>
      </c>
      <c r="C39" s="4" t="s">
        <v>207</v>
      </c>
      <c r="D39" s="4" t="s">
        <v>191</v>
      </c>
      <c r="E39" s="5">
        <v>16994</v>
      </c>
      <c r="F39" s="6">
        <v>79.778333000000003</v>
      </c>
      <c r="G39" s="7">
        <v>1.1152031E-2</v>
      </c>
      <c r="H39" s="6"/>
    </row>
    <row r="40" spans="1:8" ht="29.1" customHeight="1" x14ac:dyDescent="0.2">
      <c r="A40" s="3">
        <v>34</v>
      </c>
      <c r="B40" s="4" t="s">
        <v>211</v>
      </c>
      <c r="C40" s="4" t="s">
        <v>212</v>
      </c>
      <c r="D40" s="4" t="s">
        <v>198</v>
      </c>
      <c r="E40" s="5">
        <v>13902</v>
      </c>
      <c r="F40" s="6">
        <v>78.886899</v>
      </c>
      <c r="G40" s="7">
        <v>1.102742E-2</v>
      </c>
      <c r="H40" s="6"/>
    </row>
    <row r="41" spans="1:8" ht="17.100000000000001" customHeight="1" x14ac:dyDescent="0.2">
      <c r="A41" s="3">
        <v>35</v>
      </c>
      <c r="B41" s="4" t="s">
        <v>484</v>
      </c>
      <c r="C41" s="4" t="s">
        <v>485</v>
      </c>
      <c r="D41" s="4" t="s">
        <v>85</v>
      </c>
      <c r="E41" s="5">
        <v>7194</v>
      </c>
      <c r="F41" s="6">
        <v>77.083709999999996</v>
      </c>
      <c r="G41" s="7">
        <v>1.0775356E-2</v>
      </c>
      <c r="H41" s="6"/>
    </row>
    <row r="42" spans="1:8" ht="17.100000000000001" customHeight="1" x14ac:dyDescent="0.2">
      <c r="A42" s="3">
        <v>36</v>
      </c>
      <c r="B42" s="4" t="s">
        <v>363</v>
      </c>
      <c r="C42" s="4" t="s">
        <v>364</v>
      </c>
      <c r="D42" s="4" t="s">
        <v>95</v>
      </c>
      <c r="E42" s="5">
        <v>2040</v>
      </c>
      <c r="F42" s="6">
        <v>75.461640000000003</v>
      </c>
      <c r="G42" s="7">
        <v>1.054861E-2</v>
      </c>
      <c r="H42" s="6"/>
    </row>
    <row r="43" spans="1:8" ht="17.100000000000001" customHeight="1" x14ac:dyDescent="0.2">
      <c r="A43" s="3">
        <v>37</v>
      </c>
      <c r="B43" s="4" t="s">
        <v>215</v>
      </c>
      <c r="C43" s="4" t="s">
        <v>216</v>
      </c>
      <c r="D43" s="4" t="s">
        <v>186</v>
      </c>
      <c r="E43" s="5">
        <v>16224</v>
      </c>
      <c r="F43" s="6">
        <v>73.851647999999997</v>
      </c>
      <c r="G43" s="7">
        <v>1.0323552999999999E-2</v>
      </c>
      <c r="H43" s="6"/>
    </row>
    <row r="44" spans="1:8" ht="17.100000000000001" customHeight="1" x14ac:dyDescent="0.2">
      <c r="A44" s="3">
        <v>38</v>
      </c>
      <c r="B44" s="4" t="s">
        <v>213</v>
      </c>
      <c r="C44" s="4" t="s">
        <v>214</v>
      </c>
      <c r="D44" s="4" t="s">
        <v>13</v>
      </c>
      <c r="E44" s="5">
        <v>88984</v>
      </c>
      <c r="F44" s="6">
        <v>73.100356000000005</v>
      </c>
      <c r="G44" s="7">
        <v>1.0218532000000001E-2</v>
      </c>
      <c r="H44" s="6"/>
    </row>
    <row r="45" spans="1:8" ht="29.1" customHeight="1" x14ac:dyDescent="0.2">
      <c r="A45" s="3">
        <v>39</v>
      </c>
      <c r="B45" s="4" t="s">
        <v>226</v>
      </c>
      <c r="C45" s="4" t="s">
        <v>227</v>
      </c>
      <c r="D45" s="4" t="s">
        <v>80</v>
      </c>
      <c r="E45" s="5">
        <v>3957</v>
      </c>
      <c r="F45" s="6">
        <v>69.943932000000004</v>
      </c>
      <c r="G45" s="7">
        <v>9.7773029999999993E-3</v>
      </c>
      <c r="H45" s="6"/>
    </row>
    <row r="46" spans="1:8" ht="17.100000000000001" customHeight="1" x14ac:dyDescent="0.2">
      <c r="A46" s="3">
        <v>40</v>
      </c>
      <c r="B46" s="4" t="s">
        <v>486</v>
      </c>
      <c r="C46" s="4" t="s">
        <v>487</v>
      </c>
      <c r="D46" s="4" t="s">
        <v>28</v>
      </c>
      <c r="E46" s="5">
        <v>9582</v>
      </c>
      <c r="F46" s="6">
        <v>69.038309999999996</v>
      </c>
      <c r="G46" s="7">
        <v>9.6507079999999992E-3</v>
      </c>
      <c r="H46" s="6"/>
    </row>
    <row r="47" spans="1:8" ht="17.100000000000001" customHeight="1" x14ac:dyDescent="0.2">
      <c r="A47" s="3">
        <v>41</v>
      </c>
      <c r="B47" s="4" t="s">
        <v>36</v>
      </c>
      <c r="C47" s="4" t="s">
        <v>37</v>
      </c>
      <c r="D47" s="4" t="s">
        <v>28</v>
      </c>
      <c r="E47" s="5">
        <v>2150</v>
      </c>
      <c r="F47" s="6">
        <v>68.404399999999995</v>
      </c>
      <c r="G47" s="7">
        <v>9.5620949999999996E-3</v>
      </c>
      <c r="H47" s="6"/>
    </row>
    <row r="48" spans="1:8" ht="17.100000000000001" customHeight="1" x14ac:dyDescent="0.2">
      <c r="A48" s="3">
        <v>42</v>
      </c>
      <c r="B48" s="4" t="s">
        <v>488</v>
      </c>
      <c r="C48" s="4" t="s">
        <v>489</v>
      </c>
      <c r="D48" s="4" t="s">
        <v>80</v>
      </c>
      <c r="E48" s="5">
        <v>6623</v>
      </c>
      <c r="F48" s="6">
        <v>67.846012000000002</v>
      </c>
      <c r="G48" s="7">
        <v>9.4840389999999997E-3</v>
      </c>
      <c r="H48" s="6"/>
    </row>
    <row r="49" spans="1:8" ht="17.100000000000001" customHeight="1" x14ac:dyDescent="0.2">
      <c r="A49" s="3">
        <v>43</v>
      </c>
      <c r="B49" s="4" t="s">
        <v>222</v>
      </c>
      <c r="C49" s="4" t="s">
        <v>223</v>
      </c>
      <c r="D49" s="4" t="s">
        <v>95</v>
      </c>
      <c r="E49" s="5">
        <v>4132</v>
      </c>
      <c r="F49" s="6">
        <v>64.886861999999994</v>
      </c>
      <c r="G49" s="7">
        <v>9.0703859999999997E-3</v>
      </c>
      <c r="H49" s="6"/>
    </row>
    <row r="50" spans="1:8" ht="29.1" customHeight="1" x14ac:dyDescent="0.2">
      <c r="A50" s="3">
        <v>44</v>
      </c>
      <c r="B50" s="4" t="s">
        <v>293</v>
      </c>
      <c r="C50" s="4" t="s">
        <v>294</v>
      </c>
      <c r="D50" s="4" t="s">
        <v>295</v>
      </c>
      <c r="E50" s="5">
        <v>19523</v>
      </c>
      <c r="F50" s="6">
        <v>63.762118000000001</v>
      </c>
      <c r="G50" s="7">
        <v>8.9131609999999993E-3</v>
      </c>
      <c r="H50" s="6"/>
    </row>
    <row r="51" spans="1:8" ht="29.1" customHeight="1" x14ac:dyDescent="0.2">
      <c r="A51" s="3">
        <v>45</v>
      </c>
      <c r="B51" s="4" t="s">
        <v>224</v>
      </c>
      <c r="C51" s="4" t="s">
        <v>225</v>
      </c>
      <c r="D51" s="4" t="s">
        <v>198</v>
      </c>
      <c r="E51" s="5">
        <v>3920</v>
      </c>
      <c r="F51" s="6">
        <v>63.725479999999997</v>
      </c>
      <c r="G51" s="7">
        <v>8.9080389999999995E-3</v>
      </c>
      <c r="H51" s="6"/>
    </row>
    <row r="52" spans="1:8" ht="17.100000000000001" customHeight="1" x14ac:dyDescent="0.2">
      <c r="A52" s="3">
        <v>46</v>
      </c>
      <c r="B52" s="4" t="s">
        <v>303</v>
      </c>
      <c r="C52" s="4" t="s">
        <v>304</v>
      </c>
      <c r="D52" s="4" t="s">
        <v>19</v>
      </c>
      <c r="E52" s="5">
        <v>33567</v>
      </c>
      <c r="F52" s="6">
        <v>63.424846500000001</v>
      </c>
      <c r="G52" s="7">
        <v>8.8660149999999997E-3</v>
      </c>
      <c r="H52" s="6"/>
    </row>
    <row r="53" spans="1:8" ht="17.100000000000001" customHeight="1" x14ac:dyDescent="0.2">
      <c r="A53" s="3">
        <v>47</v>
      </c>
      <c r="B53" s="4" t="s">
        <v>228</v>
      </c>
      <c r="C53" s="4" t="s">
        <v>229</v>
      </c>
      <c r="D53" s="4" t="s">
        <v>230</v>
      </c>
      <c r="E53" s="5">
        <v>20765</v>
      </c>
      <c r="F53" s="6">
        <v>61.360574999999997</v>
      </c>
      <c r="G53" s="7">
        <v>8.5774549999999995E-3</v>
      </c>
      <c r="H53" s="6"/>
    </row>
    <row r="54" spans="1:8" ht="29.1" customHeight="1" x14ac:dyDescent="0.2">
      <c r="A54" s="3">
        <v>48</v>
      </c>
      <c r="B54" s="4" t="s">
        <v>298</v>
      </c>
      <c r="C54" s="4" t="s">
        <v>299</v>
      </c>
      <c r="D54" s="4" t="s">
        <v>25</v>
      </c>
      <c r="E54" s="5">
        <v>33182</v>
      </c>
      <c r="F54" s="6">
        <v>60.839196999999999</v>
      </c>
      <c r="G54" s="7">
        <v>8.5045729999999996E-3</v>
      </c>
      <c r="H54" s="6"/>
    </row>
    <row r="55" spans="1:8" ht="17.100000000000001" customHeight="1" x14ac:dyDescent="0.2">
      <c r="A55" s="3">
        <v>49</v>
      </c>
      <c r="B55" s="4" t="s">
        <v>287</v>
      </c>
      <c r="C55" s="4" t="s">
        <v>288</v>
      </c>
      <c r="D55" s="4" t="s">
        <v>85</v>
      </c>
      <c r="E55" s="5">
        <v>121452</v>
      </c>
      <c r="F55" s="6">
        <v>60.058014</v>
      </c>
      <c r="G55" s="7">
        <v>8.3953729999999994E-3</v>
      </c>
      <c r="H55" s="6"/>
    </row>
    <row r="56" spans="1:8" ht="29.1" customHeight="1" x14ac:dyDescent="0.2">
      <c r="A56" s="3">
        <v>50</v>
      </c>
      <c r="B56" s="4" t="s">
        <v>234</v>
      </c>
      <c r="C56" s="4" t="s">
        <v>235</v>
      </c>
      <c r="D56" s="4" t="s">
        <v>236</v>
      </c>
      <c r="E56" s="5">
        <v>65904</v>
      </c>
      <c r="F56" s="6">
        <v>60.005592</v>
      </c>
      <c r="G56" s="7">
        <v>8.3880450000000002E-3</v>
      </c>
      <c r="H56" s="6"/>
    </row>
    <row r="57" spans="1:8" ht="17.100000000000001" customHeight="1" x14ac:dyDescent="0.2">
      <c r="A57" s="3">
        <v>51</v>
      </c>
      <c r="B57" s="4" t="s">
        <v>492</v>
      </c>
      <c r="C57" s="4" t="s">
        <v>493</v>
      </c>
      <c r="D57" s="4"/>
      <c r="E57" s="5">
        <v>7374</v>
      </c>
      <c r="F57" s="6">
        <v>59.906376000000002</v>
      </c>
      <c r="G57" s="7">
        <v>8.3741760000000005E-3</v>
      </c>
      <c r="H57" s="6"/>
    </row>
    <row r="58" spans="1:8" ht="17.100000000000001" customHeight="1" x14ac:dyDescent="0.2">
      <c r="A58" s="3">
        <v>52</v>
      </c>
      <c r="B58" s="4" t="s">
        <v>490</v>
      </c>
      <c r="C58" s="4" t="s">
        <v>491</v>
      </c>
      <c r="D58" s="4" t="s">
        <v>28</v>
      </c>
      <c r="E58" s="5">
        <v>11028</v>
      </c>
      <c r="F58" s="6">
        <v>59.181761999999999</v>
      </c>
      <c r="G58" s="7">
        <v>8.272883E-3</v>
      </c>
      <c r="H58" s="6"/>
    </row>
    <row r="59" spans="1:8" ht="29.1" customHeight="1" x14ac:dyDescent="0.2">
      <c r="A59" s="3">
        <v>53</v>
      </c>
      <c r="B59" s="4" t="s">
        <v>231</v>
      </c>
      <c r="C59" s="4" t="s">
        <v>232</v>
      </c>
      <c r="D59" s="4" t="s">
        <v>233</v>
      </c>
      <c r="E59" s="5">
        <v>16397</v>
      </c>
      <c r="F59" s="6">
        <v>58.061776999999999</v>
      </c>
      <c r="G59" s="7">
        <v>8.1163229999999999E-3</v>
      </c>
      <c r="H59" s="6"/>
    </row>
    <row r="60" spans="1:8" ht="17.100000000000001" customHeight="1" x14ac:dyDescent="0.2">
      <c r="A60" s="3">
        <v>54</v>
      </c>
      <c r="B60" s="4" t="s">
        <v>270</v>
      </c>
      <c r="C60" s="4" t="s">
        <v>271</v>
      </c>
      <c r="D60" s="4" t="s">
        <v>28</v>
      </c>
      <c r="E60" s="5">
        <v>5663</v>
      </c>
      <c r="F60" s="6">
        <v>57.946647499999997</v>
      </c>
      <c r="G60" s="7">
        <v>8.1002299999999999E-3</v>
      </c>
      <c r="H60" s="6"/>
    </row>
    <row r="61" spans="1:8" ht="17.100000000000001" customHeight="1" x14ac:dyDescent="0.2">
      <c r="A61" s="3">
        <v>55</v>
      </c>
      <c r="B61" s="4" t="s">
        <v>242</v>
      </c>
      <c r="C61" s="4" t="s">
        <v>243</v>
      </c>
      <c r="D61" s="4" t="s">
        <v>80</v>
      </c>
      <c r="E61" s="5">
        <v>26481</v>
      </c>
      <c r="F61" s="6">
        <v>56.417770500000003</v>
      </c>
      <c r="G61" s="7">
        <v>7.8865110000000006E-3</v>
      </c>
      <c r="H61" s="6"/>
    </row>
    <row r="62" spans="1:8" ht="53.1" customHeight="1" x14ac:dyDescent="0.2">
      <c r="A62" s="3">
        <v>56</v>
      </c>
      <c r="B62" s="4" t="s">
        <v>251</v>
      </c>
      <c r="C62" s="4" t="s">
        <v>1141</v>
      </c>
      <c r="D62" s="4" t="s">
        <v>75</v>
      </c>
      <c r="E62" s="5">
        <v>28232</v>
      </c>
      <c r="F62" s="6">
        <v>56.040520000000001</v>
      </c>
      <c r="G62" s="7">
        <v>7.8337760000000006E-3</v>
      </c>
      <c r="H62" s="6"/>
    </row>
    <row r="63" spans="1:8" ht="17.100000000000001" customHeight="1" x14ac:dyDescent="0.2">
      <c r="A63" s="3">
        <v>57</v>
      </c>
      <c r="B63" s="4" t="s">
        <v>199</v>
      </c>
      <c r="C63" s="4" t="s">
        <v>200</v>
      </c>
      <c r="D63" s="4" t="s">
        <v>13</v>
      </c>
      <c r="E63" s="5">
        <v>15004</v>
      </c>
      <c r="F63" s="6">
        <v>54.096921999999999</v>
      </c>
      <c r="G63" s="7">
        <v>7.5620849999999996E-3</v>
      </c>
      <c r="H63" s="6"/>
    </row>
    <row r="64" spans="1:8" ht="41.1" customHeight="1" x14ac:dyDescent="0.2">
      <c r="A64" s="3">
        <v>58</v>
      </c>
      <c r="B64" s="4" t="s">
        <v>267</v>
      </c>
      <c r="C64" s="4" t="s">
        <v>268</v>
      </c>
      <c r="D64" s="4" t="s">
        <v>269</v>
      </c>
      <c r="E64" s="5">
        <v>7412</v>
      </c>
      <c r="F64" s="6">
        <v>53.770353999999998</v>
      </c>
      <c r="G64" s="7">
        <v>7.5164350000000001E-3</v>
      </c>
      <c r="H64" s="6"/>
    </row>
    <row r="65" spans="1:8" ht="17.100000000000001" customHeight="1" x14ac:dyDescent="0.2">
      <c r="A65" s="3">
        <v>59</v>
      </c>
      <c r="B65" s="4" t="s">
        <v>90</v>
      </c>
      <c r="C65" s="4" t="s">
        <v>91</v>
      </c>
      <c r="D65" s="4" t="s">
        <v>92</v>
      </c>
      <c r="E65" s="5">
        <v>10971</v>
      </c>
      <c r="F65" s="6">
        <v>50.976751499999999</v>
      </c>
      <c r="G65" s="7">
        <v>7.1259239999999996E-3</v>
      </c>
      <c r="H65" s="6"/>
    </row>
    <row r="66" spans="1:8" ht="17.100000000000001" customHeight="1" x14ac:dyDescent="0.2">
      <c r="A66" s="3">
        <v>60</v>
      </c>
      <c r="B66" s="4" t="s">
        <v>291</v>
      </c>
      <c r="C66" s="4" t="s">
        <v>292</v>
      </c>
      <c r="D66" s="4" t="s">
        <v>95</v>
      </c>
      <c r="E66" s="5">
        <v>8028</v>
      </c>
      <c r="F66" s="6">
        <v>50.692805999999997</v>
      </c>
      <c r="G66" s="7">
        <v>7.0862319999999996E-3</v>
      </c>
      <c r="H66" s="6"/>
    </row>
    <row r="67" spans="1:8" ht="17.100000000000001" customHeight="1" x14ac:dyDescent="0.2">
      <c r="A67" s="3">
        <v>61</v>
      </c>
      <c r="B67" s="4" t="s">
        <v>263</v>
      </c>
      <c r="C67" s="4" t="s">
        <v>264</v>
      </c>
      <c r="D67" s="4" t="s">
        <v>16</v>
      </c>
      <c r="E67" s="5">
        <v>22056</v>
      </c>
      <c r="F67" s="6">
        <v>50.243568000000003</v>
      </c>
      <c r="G67" s="7">
        <v>7.0234340000000003E-3</v>
      </c>
      <c r="H67" s="6"/>
    </row>
    <row r="68" spans="1:8" ht="17.100000000000001" customHeight="1" x14ac:dyDescent="0.2">
      <c r="A68" s="3">
        <v>62</v>
      </c>
      <c r="B68" s="4" t="s">
        <v>494</v>
      </c>
      <c r="C68" s="4" t="s">
        <v>495</v>
      </c>
      <c r="D68" s="4" t="s">
        <v>186</v>
      </c>
      <c r="E68" s="5">
        <v>83814</v>
      </c>
      <c r="F68" s="6">
        <v>48.737841000000003</v>
      </c>
      <c r="G68" s="7">
        <v>6.8129519999999997E-3</v>
      </c>
      <c r="H68" s="6"/>
    </row>
    <row r="69" spans="1:8" ht="29.1" customHeight="1" x14ac:dyDescent="0.2">
      <c r="A69" s="3">
        <v>63</v>
      </c>
      <c r="B69" s="4" t="s">
        <v>498</v>
      </c>
      <c r="C69" s="4" t="s">
        <v>499</v>
      </c>
      <c r="D69" s="4" t="s">
        <v>198</v>
      </c>
      <c r="E69" s="5">
        <v>14001</v>
      </c>
      <c r="F69" s="6">
        <v>46.266304499999997</v>
      </c>
      <c r="G69" s="7">
        <v>6.4674609999999999E-3</v>
      </c>
      <c r="H69" s="6"/>
    </row>
    <row r="70" spans="1:8" ht="17.100000000000001" customHeight="1" x14ac:dyDescent="0.2">
      <c r="A70" s="3">
        <v>64</v>
      </c>
      <c r="B70" s="4" t="s">
        <v>244</v>
      </c>
      <c r="C70" s="4" t="s">
        <v>245</v>
      </c>
      <c r="D70" s="4" t="s">
        <v>95</v>
      </c>
      <c r="E70" s="5">
        <v>8175</v>
      </c>
      <c r="F70" s="6">
        <v>42.939187500000003</v>
      </c>
      <c r="G70" s="7">
        <v>6.0023710000000003E-3</v>
      </c>
      <c r="H70" s="6"/>
    </row>
    <row r="71" spans="1:8" ht="17.100000000000001" customHeight="1" x14ac:dyDescent="0.2">
      <c r="A71" s="3">
        <v>65</v>
      </c>
      <c r="B71" s="4" t="s">
        <v>252</v>
      </c>
      <c r="C71" s="4" t="s">
        <v>253</v>
      </c>
      <c r="D71" s="4" t="s">
        <v>254</v>
      </c>
      <c r="E71" s="5">
        <v>33456</v>
      </c>
      <c r="F71" s="6">
        <v>39.695543999999998</v>
      </c>
      <c r="G71" s="7">
        <v>5.5489500000000004E-3</v>
      </c>
      <c r="H71" s="6"/>
    </row>
    <row r="72" spans="1:8" ht="17.100000000000001" customHeight="1" x14ac:dyDescent="0.2">
      <c r="A72" s="3">
        <v>66</v>
      </c>
      <c r="B72" s="4" t="s">
        <v>261</v>
      </c>
      <c r="C72" s="4" t="s">
        <v>262</v>
      </c>
      <c r="D72" s="4" t="s">
        <v>106</v>
      </c>
      <c r="E72" s="5">
        <v>5369</v>
      </c>
      <c r="F72" s="6">
        <v>38.935988000000002</v>
      </c>
      <c r="G72" s="7">
        <v>5.4427729999999997E-3</v>
      </c>
      <c r="H72" s="6"/>
    </row>
    <row r="73" spans="1:8" ht="17.100000000000001" customHeight="1" x14ac:dyDescent="0.2">
      <c r="A73" s="3">
        <v>67</v>
      </c>
      <c r="B73" s="4" t="s">
        <v>257</v>
      </c>
      <c r="C73" s="4" t="s">
        <v>258</v>
      </c>
      <c r="D73" s="4" t="s">
        <v>186</v>
      </c>
      <c r="E73" s="5">
        <v>37239</v>
      </c>
      <c r="F73" s="6">
        <v>36.196308000000002</v>
      </c>
      <c r="G73" s="7">
        <v>5.0597990000000002E-3</v>
      </c>
      <c r="H73" s="6"/>
    </row>
    <row r="74" spans="1:8" ht="17.100000000000001" customHeight="1" x14ac:dyDescent="0.2">
      <c r="A74" s="3">
        <v>68</v>
      </c>
      <c r="B74" s="4" t="s">
        <v>240</v>
      </c>
      <c r="C74" s="4" t="s">
        <v>241</v>
      </c>
      <c r="D74" s="4" t="s">
        <v>80</v>
      </c>
      <c r="E74" s="5">
        <v>6547</v>
      </c>
      <c r="F74" s="6">
        <v>35.350526500000001</v>
      </c>
      <c r="G74" s="7">
        <v>4.9415689999999998E-3</v>
      </c>
      <c r="H74" s="6"/>
    </row>
    <row r="75" spans="1:8" ht="29.1" customHeight="1" x14ac:dyDescent="0.2">
      <c r="A75" s="3">
        <v>69</v>
      </c>
      <c r="B75" s="4" t="s">
        <v>265</v>
      </c>
      <c r="C75" s="4" t="s">
        <v>266</v>
      </c>
      <c r="D75" s="4" t="s">
        <v>198</v>
      </c>
      <c r="E75" s="5">
        <v>792</v>
      </c>
      <c r="F75" s="6">
        <v>33.805332</v>
      </c>
      <c r="G75" s="7">
        <v>4.7255700000000001E-3</v>
      </c>
      <c r="H75" s="6"/>
    </row>
    <row r="76" spans="1:8" ht="17.100000000000001" customHeight="1" x14ac:dyDescent="0.2">
      <c r="A76" s="3">
        <v>70</v>
      </c>
      <c r="B76" s="4" t="s">
        <v>115</v>
      </c>
      <c r="C76" s="4" t="s">
        <v>116</v>
      </c>
      <c r="D76" s="4" t="s">
        <v>92</v>
      </c>
      <c r="E76" s="5">
        <v>41500</v>
      </c>
      <c r="F76" s="6">
        <v>30.212</v>
      </c>
      <c r="G76" s="7">
        <v>4.2232670000000002E-3</v>
      </c>
      <c r="H76" s="6"/>
    </row>
    <row r="77" spans="1:8" ht="29.1" customHeight="1" x14ac:dyDescent="0.2">
      <c r="A77" s="3">
        <v>71</v>
      </c>
      <c r="B77" s="4" t="s">
        <v>307</v>
      </c>
      <c r="C77" s="4" t="s">
        <v>308</v>
      </c>
      <c r="D77" s="4" t="s">
        <v>198</v>
      </c>
      <c r="E77" s="5">
        <v>12902</v>
      </c>
      <c r="F77" s="6">
        <v>29.326246000000001</v>
      </c>
      <c r="G77" s="7">
        <v>4.0994489999999998E-3</v>
      </c>
      <c r="H77" s="6"/>
    </row>
    <row r="78" spans="1:8" ht="29.1" customHeight="1" x14ac:dyDescent="0.2">
      <c r="A78" s="3">
        <v>72</v>
      </c>
      <c r="B78" s="4" t="s">
        <v>305</v>
      </c>
      <c r="C78" s="4" t="s">
        <v>306</v>
      </c>
      <c r="D78" s="4" t="s">
        <v>219</v>
      </c>
      <c r="E78" s="5">
        <v>6070</v>
      </c>
      <c r="F78" s="6">
        <v>29.27561</v>
      </c>
      <c r="G78" s="7">
        <v>4.092371E-3</v>
      </c>
      <c r="H78" s="6"/>
    </row>
    <row r="79" spans="1:8" ht="17.100000000000001" customHeight="1" x14ac:dyDescent="0.2">
      <c r="A79" s="3">
        <v>73</v>
      </c>
      <c r="B79" s="4" t="s">
        <v>300</v>
      </c>
      <c r="C79" s="4" t="s">
        <v>301</v>
      </c>
      <c r="D79" s="4" t="s">
        <v>302</v>
      </c>
      <c r="E79" s="5">
        <v>3918</v>
      </c>
      <c r="F79" s="6">
        <v>24.399345</v>
      </c>
      <c r="G79" s="7">
        <v>3.4107289999999999E-3</v>
      </c>
      <c r="H79" s="6"/>
    </row>
    <row r="80" spans="1:8" ht="29.1" customHeight="1" x14ac:dyDescent="0.2">
      <c r="A80" s="3">
        <v>74</v>
      </c>
      <c r="B80" s="4" t="s">
        <v>274</v>
      </c>
      <c r="C80" s="4" t="s">
        <v>275</v>
      </c>
      <c r="D80" s="4" t="s">
        <v>219</v>
      </c>
      <c r="E80" s="5">
        <v>1852</v>
      </c>
      <c r="F80" s="6">
        <v>12.522297999999999</v>
      </c>
      <c r="G80" s="7">
        <v>1.7504630000000001E-3</v>
      </c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9">
        <v>6943.5899060000002</v>
      </c>
      <c r="G81" s="10">
        <v>0.97062859199999996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121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122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123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124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125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126</v>
      </c>
      <c r="D98" s="1"/>
      <c r="E98" s="1"/>
      <c r="F98" s="9">
        <v>6943.5899060000002</v>
      </c>
      <c r="G98" s="10">
        <v>0.97062859199999996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127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119</v>
      </c>
      <c r="D108" s="1"/>
      <c r="E108" s="1" t="s">
        <v>120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119</v>
      </c>
      <c r="D111" s="1"/>
      <c r="E111" s="1" t="s">
        <v>120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131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134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136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137</v>
      </c>
      <c r="D126" s="4"/>
      <c r="E126" s="8"/>
      <c r="F126" s="6">
        <v>211.9559769</v>
      </c>
      <c r="G126" s="7">
        <v>2.9628841999999999E-2</v>
      </c>
      <c r="H126" s="6">
        <v>4.1713246754849944</v>
      </c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9">
        <v>211.9559769</v>
      </c>
      <c r="G127" s="10">
        <v>2.9628841999999999E-2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138</v>
      </c>
      <c r="D129" s="1"/>
      <c r="E129" s="1"/>
      <c r="F129" s="9">
        <v>211.9559769</v>
      </c>
      <c r="G129" s="10">
        <v>2.9628841999999999E-2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139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140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119</v>
      </c>
      <c r="D133" s="1"/>
      <c r="E133" s="1" t="s">
        <v>120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141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142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119</v>
      </c>
      <c r="D137" s="1"/>
      <c r="E137" s="1" t="s">
        <v>120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143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119</v>
      </c>
      <c r="D141" s="1"/>
      <c r="E141" s="1" t="s">
        <v>120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144</v>
      </c>
      <c r="D144" s="4"/>
      <c r="E144" s="8"/>
      <c r="F144" s="6">
        <v>-1.8415873899999999</v>
      </c>
      <c r="G144" s="7">
        <v>-2.5743100000000002E-4</v>
      </c>
      <c r="H144" s="6"/>
    </row>
    <row r="145" spans="1:8" ht="14.1" customHeight="1" x14ac:dyDescent="0.2">
      <c r="A145" s="11"/>
      <c r="B145" s="11"/>
      <c r="C145" s="2" t="s">
        <v>145</v>
      </c>
      <c r="D145" s="15"/>
      <c r="E145" s="15"/>
      <c r="F145" s="9">
        <v>7153.7043151099997</v>
      </c>
      <c r="G145" s="10">
        <v>1.0000000060000001</v>
      </c>
      <c r="H145" s="6"/>
    </row>
    <row r="146" spans="1:8" ht="14.1" customHeight="1" x14ac:dyDescent="0.2">
      <c r="A146" s="16"/>
      <c r="B146" s="16"/>
      <c r="C146" s="16"/>
      <c r="D146" s="17"/>
      <c r="E146" s="17"/>
      <c r="F146" s="17"/>
      <c r="G146" s="17"/>
    </row>
    <row r="147" spans="1:8" ht="17.100000000000001" customHeight="1" x14ac:dyDescent="0.2">
      <c r="A147" s="18"/>
      <c r="B147" s="267" t="s">
        <v>146</v>
      </c>
      <c r="C147" s="267"/>
      <c r="D147" s="267"/>
      <c r="E147" s="267"/>
      <c r="F147" s="267"/>
      <c r="G147" s="20"/>
    </row>
    <row r="148" spans="1:8" ht="14.1" customHeight="1" x14ac:dyDescent="0.2">
      <c r="A148" s="18"/>
      <c r="B148" s="18"/>
      <c r="C148" s="18"/>
      <c r="D148" s="20"/>
      <c r="E148" s="20"/>
      <c r="F148" s="20"/>
      <c r="G148" s="20"/>
    </row>
    <row r="149" spans="1:8" ht="14.1" customHeight="1" x14ac:dyDescent="0.2">
      <c r="A149" s="18"/>
      <c r="B149" s="265" t="s">
        <v>147</v>
      </c>
      <c r="C149" s="266"/>
      <c r="D149" s="12" t="s">
        <v>120</v>
      </c>
      <c r="E149" s="21"/>
      <c r="F149" s="20"/>
      <c r="G149" s="20"/>
    </row>
    <row r="150" spans="1:8" ht="29.1" customHeight="1" x14ac:dyDescent="0.2">
      <c r="A150" s="18"/>
      <c r="B150" s="272" t="s">
        <v>148</v>
      </c>
      <c r="C150" s="273"/>
      <c r="D150" s="2" t="s">
        <v>149</v>
      </c>
      <c r="E150" s="21"/>
      <c r="F150" s="20"/>
      <c r="G150" s="20"/>
    </row>
    <row r="151" spans="1:8" ht="17.100000000000001" customHeight="1" x14ac:dyDescent="0.2">
      <c r="A151" s="18"/>
      <c r="B151" s="272" t="s">
        <v>150</v>
      </c>
      <c r="C151" s="273"/>
      <c r="D151" s="2" t="s">
        <v>149</v>
      </c>
      <c r="E151" s="21"/>
      <c r="F151" s="20"/>
      <c r="G151" s="20"/>
    </row>
    <row r="152" spans="1:8" ht="17.100000000000001" customHeight="1" x14ac:dyDescent="0.2">
      <c r="A152" s="18"/>
      <c r="B152" s="272" t="s">
        <v>151</v>
      </c>
      <c r="C152" s="273"/>
      <c r="D152" s="12" t="s">
        <v>120</v>
      </c>
      <c r="E152" s="21"/>
      <c r="F152" s="20"/>
      <c r="G152" s="20"/>
    </row>
    <row r="153" spans="1:8" ht="24" customHeight="1" x14ac:dyDescent="0.2">
      <c r="A153" s="22"/>
      <c r="B153" s="23" t="s">
        <v>120</v>
      </c>
      <c r="C153" s="23" t="s">
        <v>152</v>
      </c>
      <c r="D153" s="23" t="s">
        <v>153</v>
      </c>
      <c r="E153" s="22"/>
      <c r="F153" s="22"/>
      <c r="G153" s="22"/>
    </row>
    <row r="154" spans="1:8" ht="18" customHeight="1" x14ac:dyDescent="0.2">
      <c r="A154" s="22"/>
      <c r="B154" s="23" t="s">
        <v>154</v>
      </c>
      <c r="C154" s="23" t="s">
        <v>155</v>
      </c>
      <c r="D154" s="23" t="s">
        <v>156</v>
      </c>
      <c r="E154" s="22"/>
      <c r="F154" s="22"/>
      <c r="G154" s="22"/>
    </row>
    <row r="155" spans="1:8" ht="17.100000000000001" customHeight="1" x14ac:dyDescent="0.2">
      <c r="A155" s="22"/>
      <c r="B155" s="4" t="s">
        <v>157</v>
      </c>
      <c r="C155" s="24">
        <v>19.203399999999998</v>
      </c>
      <c r="D155" s="24">
        <v>18.063500000000001</v>
      </c>
      <c r="E155" s="22"/>
      <c r="F155" s="19"/>
      <c r="G155" s="25"/>
    </row>
    <row r="156" spans="1:8" ht="17.100000000000001" customHeight="1" x14ac:dyDescent="0.2">
      <c r="A156" s="22"/>
      <c r="B156" s="4" t="s">
        <v>1120</v>
      </c>
      <c r="C156" s="24">
        <v>18.520600000000002</v>
      </c>
      <c r="D156" s="24">
        <v>17.421299999999999</v>
      </c>
      <c r="E156" s="22"/>
      <c r="F156" s="19"/>
      <c r="G156" s="25"/>
    </row>
    <row r="157" spans="1:8" ht="17.100000000000001" customHeight="1" x14ac:dyDescent="0.2">
      <c r="A157" s="22"/>
      <c r="B157" s="4" t="s">
        <v>158</v>
      </c>
      <c r="C157" s="24">
        <v>18.782399999999999</v>
      </c>
      <c r="D157" s="24">
        <v>17.659199999999998</v>
      </c>
      <c r="E157" s="22"/>
      <c r="F157" s="19"/>
      <c r="G157" s="25"/>
    </row>
    <row r="158" spans="1:8" ht="17.100000000000001" customHeight="1" x14ac:dyDescent="0.2">
      <c r="A158" s="22"/>
      <c r="B158" s="4" t="s">
        <v>1121</v>
      </c>
      <c r="C158" s="24">
        <v>18.103200000000001</v>
      </c>
      <c r="D158" s="24">
        <v>17.020600000000002</v>
      </c>
      <c r="E158" s="22"/>
      <c r="F158" s="19"/>
      <c r="G158" s="25"/>
    </row>
    <row r="159" spans="1:8" ht="14.1" customHeight="1" x14ac:dyDescent="0.2">
      <c r="A159" s="22"/>
      <c r="B159" s="22"/>
      <c r="C159" s="22"/>
      <c r="D159" s="22"/>
      <c r="E159" s="22"/>
      <c r="F159" s="22"/>
      <c r="G159" s="22"/>
    </row>
    <row r="160" spans="1:8" ht="17.100000000000001" customHeight="1" x14ac:dyDescent="0.2">
      <c r="A160" s="22"/>
      <c r="B160" s="272" t="s">
        <v>1122</v>
      </c>
      <c r="C160" s="273"/>
      <c r="D160" s="2" t="s">
        <v>149</v>
      </c>
      <c r="E160" s="22"/>
      <c r="F160" s="22"/>
      <c r="G160" s="22"/>
    </row>
    <row r="161" spans="1:15" ht="14.1" customHeight="1" x14ac:dyDescent="0.2">
      <c r="A161" s="22"/>
      <c r="B161" s="19"/>
      <c r="C161" s="19"/>
      <c r="D161" s="22"/>
      <c r="E161" s="22"/>
      <c r="F161" s="22"/>
      <c r="G161" s="22"/>
    </row>
    <row r="162" spans="1:15" ht="29.1" customHeight="1" x14ac:dyDescent="0.2">
      <c r="A162" s="22"/>
      <c r="B162" s="272" t="s">
        <v>160</v>
      </c>
      <c r="C162" s="273"/>
      <c r="D162" s="2" t="s">
        <v>149</v>
      </c>
      <c r="E162" s="22"/>
      <c r="F162" s="22"/>
      <c r="G162" s="22"/>
    </row>
    <row r="163" spans="1:15" ht="29.1" customHeight="1" x14ac:dyDescent="0.2">
      <c r="A163" s="22"/>
      <c r="B163" s="272" t="s">
        <v>161</v>
      </c>
      <c r="C163" s="273"/>
      <c r="D163" s="2" t="s">
        <v>149</v>
      </c>
      <c r="E163" s="22"/>
      <c r="F163" s="22"/>
      <c r="G163" s="22"/>
    </row>
    <row r="164" spans="1:15" ht="17.100000000000001" customHeight="1" x14ac:dyDescent="0.2">
      <c r="A164" s="22"/>
      <c r="B164" s="272" t="s">
        <v>162</v>
      </c>
      <c r="C164" s="273"/>
      <c r="D164" s="27">
        <v>0.33029700000000001</v>
      </c>
      <c r="E164" s="22"/>
      <c r="F164" s="19"/>
      <c r="G164" s="25"/>
      <c r="J164" s="170"/>
      <c r="K164" s="170"/>
      <c r="L164" s="170"/>
      <c r="M164" s="170"/>
      <c r="N164" s="170"/>
      <c r="O164" s="170"/>
    </row>
    <row r="165" spans="1:15" ht="17.100000000000001" customHeight="1" x14ac:dyDescent="0.2">
      <c r="A165" s="22"/>
      <c r="B165" s="272" t="s">
        <v>163</v>
      </c>
      <c r="C165" s="273"/>
      <c r="D165" s="2" t="s">
        <v>149</v>
      </c>
      <c r="E165" s="22"/>
      <c r="F165" s="22"/>
      <c r="G165" s="22"/>
    </row>
  </sheetData>
  <mergeCells count="14">
    <mergeCell ref="B164:C164"/>
    <mergeCell ref="B165:C165"/>
    <mergeCell ref="B150:C150"/>
    <mergeCell ref="B151:C151"/>
    <mergeCell ref="B152:C152"/>
    <mergeCell ref="B160:C160"/>
    <mergeCell ref="B162:C162"/>
    <mergeCell ref="B163:C163"/>
    <mergeCell ref="J2:N2"/>
    <mergeCell ref="B149:C149"/>
    <mergeCell ref="B147:F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6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502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11268</v>
      </c>
      <c r="F7" s="6">
        <v>139.30628400000001</v>
      </c>
      <c r="G7" s="7">
        <v>3.7612527E-2</v>
      </c>
      <c r="H7" s="6"/>
    </row>
    <row r="8" spans="1:14" ht="17.100000000000001" customHeight="1" x14ac:dyDescent="0.2">
      <c r="A8" s="3">
        <v>2</v>
      </c>
      <c r="B8" s="4" t="s">
        <v>246</v>
      </c>
      <c r="C8" s="4" t="s">
        <v>247</v>
      </c>
      <c r="D8" s="4" t="s">
        <v>248</v>
      </c>
      <c r="E8" s="5">
        <v>71898</v>
      </c>
      <c r="F8" s="6">
        <v>130.818411</v>
      </c>
      <c r="G8" s="7">
        <v>3.5320812E-2</v>
      </c>
      <c r="H8" s="6"/>
    </row>
    <row r="9" spans="1:14" ht="29.1" customHeight="1" x14ac:dyDescent="0.2">
      <c r="A9" s="3">
        <v>3</v>
      </c>
      <c r="B9" s="4" t="s">
        <v>217</v>
      </c>
      <c r="C9" s="4" t="s">
        <v>218</v>
      </c>
      <c r="D9" s="4" t="s">
        <v>219</v>
      </c>
      <c r="E9" s="5">
        <v>2845</v>
      </c>
      <c r="F9" s="6">
        <v>111.65060250000001</v>
      </c>
      <c r="G9" s="7">
        <v>3.0145526999999998E-2</v>
      </c>
      <c r="H9" s="6"/>
    </row>
    <row r="10" spans="1:14" ht="17.100000000000001" customHeight="1" x14ac:dyDescent="0.2">
      <c r="A10" s="3">
        <v>4</v>
      </c>
      <c r="B10" s="4" t="s">
        <v>78</v>
      </c>
      <c r="C10" s="4" t="s">
        <v>79</v>
      </c>
      <c r="D10" s="4" t="s">
        <v>80</v>
      </c>
      <c r="E10" s="5">
        <v>22311</v>
      </c>
      <c r="F10" s="6">
        <v>109.0673235</v>
      </c>
      <c r="G10" s="7">
        <v>2.9448044999999999E-2</v>
      </c>
      <c r="H10" s="6"/>
    </row>
    <row r="11" spans="1:14" ht="17.100000000000001" customHeight="1" x14ac:dyDescent="0.2">
      <c r="A11" s="3">
        <v>5</v>
      </c>
      <c r="B11" s="4" t="s">
        <v>34</v>
      </c>
      <c r="C11" s="4" t="s">
        <v>35</v>
      </c>
      <c r="D11" s="4" t="s">
        <v>28</v>
      </c>
      <c r="E11" s="5">
        <v>7409</v>
      </c>
      <c r="F11" s="6">
        <v>100.399359</v>
      </c>
      <c r="G11" s="7">
        <v>2.7107704999999999E-2</v>
      </c>
      <c r="H11" s="6"/>
    </row>
    <row r="12" spans="1:14" ht="17.100000000000001" customHeight="1" x14ac:dyDescent="0.2">
      <c r="A12" s="3">
        <v>6</v>
      </c>
      <c r="B12" s="4" t="s">
        <v>272</v>
      </c>
      <c r="C12" s="4" t="s">
        <v>273</v>
      </c>
      <c r="D12" s="4" t="s">
        <v>28</v>
      </c>
      <c r="E12" s="5">
        <v>12363</v>
      </c>
      <c r="F12" s="6">
        <v>99.460335000000001</v>
      </c>
      <c r="G12" s="7">
        <v>2.6854169000000001E-2</v>
      </c>
      <c r="H12" s="6"/>
    </row>
    <row r="13" spans="1:14" ht="17.100000000000001" customHeight="1" x14ac:dyDescent="0.2">
      <c r="A13" s="3">
        <v>7</v>
      </c>
      <c r="B13" s="4" t="s">
        <v>182</v>
      </c>
      <c r="C13" s="4" t="s">
        <v>183</v>
      </c>
      <c r="D13" s="4" t="s">
        <v>80</v>
      </c>
      <c r="E13" s="5">
        <v>17190</v>
      </c>
      <c r="F13" s="6">
        <v>98.662004999999994</v>
      </c>
      <c r="G13" s="7">
        <v>2.6638621000000001E-2</v>
      </c>
      <c r="H13" s="6"/>
    </row>
    <row r="14" spans="1:14" ht="17.100000000000001" customHeight="1" x14ac:dyDescent="0.2">
      <c r="A14" s="3">
        <v>8</v>
      </c>
      <c r="B14" s="4" t="s">
        <v>32</v>
      </c>
      <c r="C14" s="4" t="s">
        <v>33</v>
      </c>
      <c r="D14" s="4" t="s">
        <v>28</v>
      </c>
      <c r="E14" s="5">
        <v>5450</v>
      </c>
      <c r="F14" s="6">
        <v>93.415724999999995</v>
      </c>
      <c r="G14" s="7">
        <v>2.5222132000000001E-2</v>
      </c>
      <c r="H14" s="6"/>
      <c r="J14" s="169" t="s">
        <v>1148</v>
      </c>
    </row>
    <row r="15" spans="1:14" ht="17.100000000000001" customHeight="1" x14ac:dyDescent="0.2">
      <c r="A15" s="3">
        <v>9</v>
      </c>
      <c r="B15" s="4" t="s">
        <v>201</v>
      </c>
      <c r="C15" s="4" t="s">
        <v>202</v>
      </c>
      <c r="D15" s="4" t="s">
        <v>203</v>
      </c>
      <c r="E15" s="5">
        <v>17981</v>
      </c>
      <c r="F15" s="6">
        <v>90.534334999999999</v>
      </c>
      <c r="G15" s="7">
        <v>2.4444159999999999E-2</v>
      </c>
      <c r="H15" s="6"/>
    </row>
    <row r="16" spans="1:14" ht="17.100000000000001" customHeight="1" x14ac:dyDescent="0.2">
      <c r="A16" s="3">
        <v>10</v>
      </c>
      <c r="B16" s="4" t="s">
        <v>172</v>
      </c>
      <c r="C16" s="4" t="s">
        <v>173</v>
      </c>
      <c r="D16" s="4" t="s">
        <v>994</v>
      </c>
      <c r="E16" s="5">
        <v>16149</v>
      </c>
      <c r="F16" s="6">
        <v>85.638147000000004</v>
      </c>
      <c r="G16" s="7">
        <v>2.3122196000000001E-2</v>
      </c>
      <c r="H16" s="6"/>
    </row>
    <row r="17" spans="1:8" ht="17.100000000000001" customHeight="1" x14ac:dyDescent="0.2">
      <c r="A17" s="3">
        <v>11</v>
      </c>
      <c r="B17" s="4" t="s">
        <v>480</v>
      </c>
      <c r="C17" s="4" t="s">
        <v>481</v>
      </c>
      <c r="D17" s="4" t="s">
        <v>80</v>
      </c>
      <c r="E17" s="5">
        <v>9128</v>
      </c>
      <c r="F17" s="6">
        <v>83.703760000000003</v>
      </c>
      <c r="G17" s="7">
        <v>2.2599912999999999E-2</v>
      </c>
      <c r="H17" s="6"/>
    </row>
    <row r="18" spans="1:8" ht="17.100000000000001" customHeight="1" x14ac:dyDescent="0.2">
      <c r="A18" s="3">
        <v>12</v>
      </c>
      <c r="B18" s="4" t="s">
        <v>177</v>
      </c>
      <c r="C18" s="4" t="s">
        <v>178</v>
      </c>
      <c r="D18" s="4" t="s">
        <v>85</v>
      </c>
      <c r="E18" s="5">
        <v>87031</v>
      </c>
      <c r="F18" s="6">
        <v>81.199922999999998</v>
      </c>
      <c r="G18" s="7">
        <v>2.192388E-2</v>
      </c>
      <c r="H18" s="6"/>
    </row>
    <row r="19" spans="1:8" ht="17.100000000000001" customHeight="1" x14ac:dyDescent="0.2">
      <c r="A19" s="3">
        <v>13</v>
      </c>
      <c r="B19" s="4" t="s">
        <v>179</v>
      </c>
      <c r="C19" s="4" t="s">
        <v>180</v>
      </c>
      <c r="D19" s="4" t="s">
        <v>181</v>
      </c>
      <c r="E19" s="5">
        <v>5299</v>
      </c>
      <c r="F19" s="6">
        <v>78.186745000000002</v>
      </c>
      <c r="G19" s="7">
        <v>2.1110325999999999E-2</v>
      </c>
      <c r="H19" s="6"/>
    </row>
    <row r="20" spans="1:8" ht="29.1" customHeight="1" x14ac:dyDescent="0.2">
      <c r="A20" s="3">
        <v>14</v>
      </c>
      <c r="B20" s="4" t="s">
        <v>192</v>
      </c>
      <c r="C20" s="4" t="s">
        <v>193</v>
      </c>
      <c r="D20" s="4" t="s">
        <v>80</v>
      </c>
      <c r="E20" s="5">
        <v>21317</v>
      </c>
      <c r="F20" s="6">
        <v>77.050296500000002</v>
      </c>
      <c r="G20" s="7">
        <v>2.0803486E-2</v>
      </c>
      <c r="H20" s="6"/>
    </row>
    <row r="21" spans="1:8" ht="17.100000000000001" customHeight="1" x14ac:dyDescent="0.2">
      <c r="A21" s="3">
        <v>15</v>
      </c>
      <c r="B21" s="4" t="s">
        <v>249</v>
      </c>
      <c r="C21" s="4" t="s">
        <v>250</v>
      </c>
      <c r="D21" s="4" t="s">
        <v>994</v>
      </c>
      <c r="E21" s="5">
        <v>2021</v>
      </c>
      <c r="F21" s="6">
        <v>75.987578999999997</v>
      </c>
      <c r="G21" s="7">
        <v>2.0516553999999999E-2</v>
      </c>
      <c r="H21" s="6"/>
    </row>
    <row r="22" spans="1:8" ht="17.100000000000001" customHeight="1" x14ac:dyDescent="0.2">
      <c r="A22" s="3">
        <v>16</v>
      </c>
      <c r="B22" s="4" t="s">
        <v>174</v>
      </c>
      <c r="C22" s="4" t="s">
        <v>175</v>
      </c>
      <c r="D22" s="4" t="s">
        <v>176</v>
      </c>
      <c r="E22" s="5">
        <v>6988</v>
      </c>
      <c r="F22" s="6">
        <v>73.517253999999994</v>
      </c>
      <c r="G22" s="7">
        <v>1.9849569000000001E-2</v>
      </c>
      <c r="H22" s="6"/>
    </row>
    <row r="23" spans="1:8" ht="17.100000000000001" customHeight="1" x14ac:dyDescent="0.2">
      <c r="A23" s="3">
        <v>17</v>
      </c>
      <c r="B23" s="4" t="s">
        <v>277</v>
      </c>
      <c r="C23" s="4" t="s">
        <v>278</v>
      </c>
      <c r="D23" s="4" t="s">
        <v>92</v>
      </c>
      <c r="E23" s="5">
        <v>6219</v>
      </c>
      <c r="F23" s="6">
        <v>72.569511000000006</v>
      </c>
      <c r="G23" s="7">
        <v>1.9593679999999999E-2</v>
      </c>
      <c r="H23" s="6"/>
    </row>
    <row r="24" spans="1:8" ht="17.100000000000001" customHeight="1" x14ac:dyDescent="0.2">
      <c r="A24" s="3">
        <v>18</v>
      </c>
      <c r="B24" s="4" t="s">
        <v>237</v>
      </c>
      <c r="C24" s="4" t="s">
        <v>238</v>
      </c>
      <c r="D24" s="4" t="s">
        <v>239</v>
      </c>
      <c r="E24" s="5">
        <v>24683</v>
      </c>
      <c r="F24" s="6">
        <v>69.322205499999995</v>
      </c>
      <c r="G24" s="7">
        <v>1.8716910999999999E-2</v>
      </c>
      <c r="H24" s="6"/>
    </row>
    <row r="25" spans="1:8" ht="17.100000000000001" customHeight="1" x14ac:dyDescent="0.2">
      <c r="A25" s="3">
        <v>19</v>
      </c>
      <c r="B25" s="4" t="s">
        <v>204</v>
      </c>
      <c r="C25" s="4" t="s">
        <v>205</v>
      </c>
      <c r="D25" s="4" t="s">
        <v>85</v>
      </c>
      <c r="E25" s="5">
        <v>8757</v>
      </c>
      <c r="F25" s="6">
        <v>68.129459999999995</v>
      </c>
      <c r="G25" s="7">
        <v>1.8394871E-2</v>
      </c>
      <c r="H25" s="6"/>
    </row>
    <row r="26" spans="1:8" ht="17.100000000000001" customHeight="1" x14ac:dyDescent="0.2">
      <c r="A26" s="3">
        <v>20</v>
      </c>
      <c r="B26" s="4" t="s">
        <v>184</v>
      </c>
      <c r="C26" s="4" t="s">
        <v>185</v>
      </c>
      <c r="D26" s="4" t="s">
        <v>186</v>
      </c>
      <c r="E26" s="5">
        <v>5727</v>
      </c>
      <c r="F26" s="6">
        <v>60.863692499999999</v>
      </c>
      <c r="G26" s="7">
        <v>1.6433123000000001E-2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4311</v>
      </c>
      <c r="F27" s="6">
        <v>59.131831499999997</v>
      </c>
      <c r="G27" s="7">
        <v>1.5965522999999999E-2</v>
      </c>
      <c r="H27" s="6"/>
    </row>
    <row r="28" spans="1:8" ht="29.1" customHeight="1" x14ac:dyDescent="0.2">
      <c r="A28" s="3">
        <v>22</v>
      </c>
      <c r="B28" s="4" t="s">
        <v>189</v>
      </c>
      <c r="C28" s="4" t="s">
        <v>190</v>
      </c>
      <c r="D28" s="4" t="s">
        <v>191</v>
      </c>
      <c r="E28" s="5">
        <v>8297</v>
      </c>
      <c r="F28" s="6">
        <v>58.415028499999998</v>
      </c>
      <c r="G28" s="7">
        <v>1.5771987000000001E-2</v>
      </c>
      <c r="H28" s="6"/>
    </row>
    <row r="29" spans="1:8" ht="29.1" customHeight="1" x14ac:dyDescent="0.2">
      <c r="A29" s="3">
        <v>23</v>
      </c>
      <c r="B29" s="4" t="s">
        <v>478</v>
      </c>
      <c r="C29" s="4" t="s">
        <v>479</v>
      </c>
      <c r="D29" s="4" t="s">
        <v>42</v>
      </c>
      <c r="E29" s="5">
        <v>3075</v>
      </c>
      <c r="F29" s="6">
        <v>56.2924875</v>
      </c>
      <c r="G29" s="7">
        <v>1.5198903E-2</v>
      </c>
      <c r="H29" s="6"/>
    </row>
    <row r="30" spans="1:8" ht="17.100000000000001" customHeight="1" x14ac:dyDescent="0.2">
      <c r="A30" s="3">
        <v>24</v>
      </c>
      <c r="B30" s="4" t="s">
        <v>194</v>
      </c>
      <c r="C30" s="4" t="s">
        <v>195</v>
      </c>
      <c r="D30" s="4" t="s">
        <v>85</v>
      </c>
      <c r="E30" s="5">
        <v>11274</v>
      </c>
      <c r="F30" s="6">
        <v>54.532338000000003</v>
      </c>
      <c r="G30" s="7">
        <v>1.4723665E-2</v>
      </c>
      <c r="H30" s="6"/>
    </row>
    <row r="31" spans="1:8" ht="17.100000000000001" customHeight="1" x14ac:dyDescent="0.2">
      <c r="A31" s="3">
        <v>25</v>
      </c>
      <c r="B31" s="4" t="s">
        <v>281</v>
      </c>
      <c r="C31" s="4" t="s">
        <v>282</v>
      </c>
      <c r="D31" s="4" t="s">
        <v>28</v>
      </c>
      <c r="E31" s="5">
        <v>2370</v>
      </c>
      <c r="F31" s="6">
        <v>54.039555</v>
      </c>
      <c r="G31" s="7">
        <v>1.4590614E-2</v>
      </c>
      <c r="H31" s="6"/>
    </row>
    <row r="32" spans="1:8" ht="29.1" customHeight="1" x14ac:dyDescent="0.2">
      <c r="A32" s="3">
        <v>26</v>
      </c>
      <c r="B32" s="4" t="s">
        <v>43</v>
      </c>
      <c r="C32" s="4" t="s">
        <v>44</v>
      </c>
      <c r="D32" s="4" t="s">
        <v>25</v>
      </c>
      <c r="E32" s="5">
        <v>2108</v>
      </c>
      <c r="F32" s="6">
        <v>50.217829999999999</v>
      </c>
      <c r="G32" s="7">
        <v>1.3558753E-2</v>
      </c>
      <c r="H32" s="6"/>
    </row>
    <row r="33" spans="1:8" ht="29.1" customHeight="1" x14ac:dyDescent="0.2">
      <c r="A33" s="3">
        <v>27</v>
      </c>
      <c r="B33" s="4" t="s">
        <v>196</v>
      </c>
      <c r="C33" s="4" t="s">
        <v>197</v>
      </c>
      <c r="D33" s="4" t="s">
        <v>198</v>
      </c>
      <c r="E33" s="5">
        <v>13484</v>
      </c>
      <c r="F33" s="6">
        <v>47.618746000000002</v>
      </c>
      <c r="G33" s="7">
        <v>1.2857004E-2</v>
      </c>
      <c r="H33" s="6"/>
    </row>
    <row r="34" spans="1:8" ht="17.100000000000001" customHeight="1" x14ac:dyDescent="0.2">
      <c r="A34" s="3">
        <v>28</v>
      </c>
      <c r="B34" s="4" t="s">
        <v>283</v>
      </c>
      <c r="C34" s="4" t="s">
        <v>284</v>
      </c>
      <c r="D34" s="4" t="s">
        <v>176</v>
      </c>
      <c r="E34" s="5">
        <v>5849</v>
      </c>
      <c r="F34" s="6">
        <v>45.821066000000002</v>
      </c>
      <c r="G34" s="7">
        <v>1.2371632E-2</v>
      </c>
      <c r="H34" s="6"/>
    </row>
    <row r="35" spans="1:8" ht="29.1" customHeight="1" x14ac:dyDescent="0.2">
      <c r="A35" s="3">
        <v>29</v>
      </c>
      <c r="B35" s="4" t="s">
        <v>285</v>
      </c>
      <c r="C35" s="4" t="s">
        <v>286</v>
      </c>
      <c r="D35" s="4" t="s">
        <v>233</v>
      </c>
      <c r="E35" s="5">
        <v>8180</v>
      </c>
      <c r="F35" s="6">
        <v>45.452170000000002</v>
      </c>
      <c r="G35" s="7">
        <v>1.2272030999999999E-2</v>
      </c>
      <c r="H35" s="6"/>
    </row>
    <row r="36" spans="1:8" ht="29.1" customHeight="1" x14ac:dyDescent="0.2">
      <c r="A36" s="3">
        <v>30</v>
      </c>
      <c r="B36" s="4" t="s">
        <v>208</v>
      </c>
      <c r="C36" s="4" t="s">
        <v>209</v>
      </c>
      <c r="D36" s="4" t="s">
        <v>210</v>
      </c>
      <c r="E36" s="5">
        <v>3164</v>
      </c>
      <c r="F36" s="6">
        <v>45.140788000000001</v>
      </c>
      <c r="G36" s="7">
        <v>1.2187958E-2</v>
      </c>
      <c r="H36" s="6"/>
    </row>
    <row r="37" spans="1:8" ht="17.100000000000001" customHeight="1" x14ac:dyDescent="0.2">
      <c r="A37" s="3">
        <v>31</v>
      </c>
      <c r="B37" s="4" t="s">
        <v>482</v>
      </c>
      <c r="C37" s="4" t="s">
        <v>483</v>
      </c>
      <c r="D37" s="4" t="s">
        <v>47</v>
      </c>
      <c r="E37" s="5">
        <v>6024</v>
      </c>
      <c r="F37" s="6">
        <v>44.423988000000001</v>
      </c>
      <c r="G37" s="7">
        <v>1.1994423000000001E-2</v>
      </c>
      <c r="H37" s="6"/>
    </row>
    <row r="38" spans="1:8" ht="29.1" customHeight="1" x14ac:dyDescent="0.2">
      <c r="A38" s="3">
        <v>32</v>
      </c>
      <c r="B38" s="4" t="s">
        <v>211</v>
      </c>
      <c r="C38" s="4" t="s">
        <v>212</v>
      </c>
      <c r="D38" s="4" t="s">
        <v>198</v>
      </c>
      <c r="E38" s="5">
        <v>7372</v>
      </c>
      <c r="F38" s="6">
        <v>41.832414</v>
      </c>
      <c r="G38" s="7">
        <v>1.1294701000000001E-2</v>
      </c>
      <c r="H38" s="6"/>
    </row>
    <row r="39" spans="1:8" ht="29.1" customHeight="1" x14ac:dyDescent="0.2">
      <c r="A39" s="3">
        <v>33</v>
      </c>
      <c r="B39" s="4" t="s">
        <v>206</v>
      </c>
      <c r="C39" s="4" t="s">
        <v>207</v>
      </c>
      <c r="D39" s="4" t="s">
        <v>191</v>
      </c>
      <c r="E39" s="5">
        <v>8758</v>
      </c>
      <c r="F39" s="6">
        <v>41.114431000000003</v>
      </c>
      <c r="G39" s="7">
        <v>1.1100845999999999E-2</v>
      </c>
      <c r="H39" s="6"/>
    </row>
    <row r="40" spans="1:8" ht="29.1" customHeight="1" x14ac:dyDescent="0.2">
      <c r="A40" s="3">
        <v>34</v>
      </c>
      <c r="B40" s="4" t="s">
        <v>226</v>
      </c>
      <c r="C40" s="4" t="s">
        <v>227</v>
      </c>
      <c r="D40" s="4" t="s">
        <v>80</v>
      </c>
      <c r="E40" s="5">
        <v>2300</v>
      </c>
      <c r="F40" s="6">
        <v>40.654800000000002</v>
      </c>
      <c r="G40" s="7">
        <v>1.0976747E-2</v>
      </c>
      <c r="H40" s="6"/>
    </row>
    <row r="41" spans="1:8" ht="17.100000000000001" customHeight="1" x14ac:dyDescent="0.2">
      <c r="A41" s="3">
        <v>35</v>
      </c>
      <c r="B41" s="4" t="s">
        <v>484</v>
      </c>
      <c r="C41" s="4" t="s">
        <v>485</v>
      </c>
      <c r="D41" s="4" t="s">
        <v>85</v>
      </c>
      <c r="E41" s="5">
        <v>3781</v>
      </c>
      <c r="F41" s="6">
        <v>40.513415000000002</v>
      </c>
      <c r="G41" s="7">
        <v>1.0938573E-2</v>
      </c>
      <c r="H41" s="6"/>
    </row>
    <row r="42" spans="1:8" ht="17.100000000000001" customHeight="1" x14ac:dyDescent="0.2">
      <c r="A42" s="3">
        <v>36</v>
      </c>
      <c r="B42" s="4" t="s">
        <v>492</v>
      </c>
      <c r="C42" s="4" t="s">
        <v>493</v>
      </c>
      <c r="D42" s="4"/>
      <c r="E42" s="5">
        <v>4863</v>
      </c>
      <c r="F42" s="6">
        <v>39.507012000000003</v>
      </c>
      <c r="G42" s="7">
        <v>1.0666844999999999E-2</v>
      </c>
      <c r="H42" s="6"/>
    </row>
    <row r="43" spans="1:8" ht="17.100000000000001" customHeight="1" x14ac:dyDescent="0.2">
      <c r="A43" s="3">
        <v>37</v>
      </c>
      <c r="B43" s="4" t="s">
        <v>363</v>
      </c>
      <c r="C43" s="4" t="s">
        <v>364</v>
      </c>
      <c r="D43" s="4" t="s">
        <v>95</v>
      </c>
      <c r="E43" s="5">
        <v>1054</v>
      </c>
      <c r="F43" s="6">
        <v>38.988514000000002</v>
      </c>
      <c r="G43" s="7">
        <v>1.0526851E-2</v>
      </c>
      <c r="H43" s="6"/>
    </row>
    <row r="44" spans="1:8" ht="17.100000000000001" customHeight="1" x14ac:dyDescent="0.2">
      <c r="A44" s="3">
        <v>38</v>
      </c>
      <c r="B44" s="4" t="s">
        <v>279</v>
      </c>
      <c r="C44" s="4" t="s">
        <v>280</v>
      </c>
      <c r="D44" s="4" t="s">
        <v>28</v>
      </c>
      <c r="E44" s="5">
        <v>5737</v>
      </c>
      <c r="F44" s="6">
        <v>38.587062000000003</v>
      </c>
      <c r="G44" s="7">
        <v>1.0418459999999999E-2</v>
      </c>
      <c r="H44" s="6"/>
    </row>
    <row r="45" spans="1:8" ht="17.100000000000001" customHeight="1" x14ac:dyDescent="0.2">
      <c r="A45" s="3">
        <v>39</v>
      </c>
      <c r="B45" s="4" t="s">
        <v>215</v>
      </c>
      <c r="C45" s="4" t="s">
        <v>216</v>
      </c>
      <c r="D45" s="4" t="s">
        <v>186</v>
      </c>
      <c r="E45" s="5">
        <v>8404</v>
      </c>
      <c r="F45" s="6">
        <v>38.255007999999997</v>
      </c>
      <c r="G45" s="7">
        <v>1.0328805999999999E-2</v>
      </c>
      <c r="H45" s="6"/>
    </row>
    <row r="46" spans="1:8" ht="17.100000000000001" customHeight="1" x14ac:dyDescent="0.2">
      <c r="A46" s="3">
        <v>40</v>
      </c>
      <c r="B46" s="4" t="s">
        <v>486</v>
      </c>
      <c r="C46" s="4" t="s">
        <v>487</v>
      </c>
      <c r="D46" s="4" t="s">
        <v>28</v>
      </c>
      <c r="E46" s="5">
        <v>5096</v>
      </c>
      <c r="F46" s="6">
        <v>36.716679999999997</v>
      </c>
      <c r="G46" s="7">
        <v>9.9134589999999995E-3</v>
      </c>
      <c r="H46" s="6"/>
    </row>
    <row r="47" spans="1:8" ht="17.100000000000001" customHeight="1" x14ac:dyDescent="0.2">
      <c r="A47" s="3">
        <v>41</v>
      </c>
      <c r="B47" s="4" t="s">
        <v>488</v>
      </c>
      <c r="C47" s="4" t="s">
        <v>489</v>
      </c>
      <c r="D47" s="4" t="s">
        <v>80</v>
      </c>
      <c r="E47" s="5">
        <v>3437</v>
      </c>
      <c r="F47" s="6">
        <v>35.208627999999997</v>
      </c>
      <c r="G47" s="7">
        <v>9.5062870000000004E-3</v>
      </c>
      <c r="H47" s="6"/>
    </row>
    <row r="48" spans="1:8" ht="29.1" customHeight="1" x14ac:dyDescent="0.2">
      <c r="A48" s="3">
        <v>42</v>
      </c>
      <c r="B48" s="4" t="s">
        <v>224</v>
      </c>
      <c r="C48" s="4" t="s">
        <v>225</v>
      </c>
      <c r="D48" s="4" t="s">
        <v>198</v>
      </c>
      <c r="E48" s="5">
        <v>2084</v>
      </c>
      <c r="F48" s="6">
        <v>33.878546</v>
      </c>
      <c r="G48" s="7">
        <v>9.147166E-3</v>
      </c>
      <c r="H48" s="6"/>
    </row>
    <row r="49" spans="1:8" ht="29.1" customHeight="1" x14ac:dyDescent="0.2">
      <c r="A49" s="3">
        <v>43</v>
      </c>
      <c r="B49" s="4" t="s">
        <v>293</v>
      </c>
      <c r="C49" s="4" t="s">
        <v>294</v>
      </c>
      <c r="D49" s="4" t="s">
        <v>295</v>
      </c>
      <c r="E49" s="5">
        <v>10365</v>
      </c>
      <c r="F49" s="6">
        <v>33.852089999999997</v>
      </c>
      <c r="G49" s="7">
        <v>9.1400230000000006E-3</v>
      </c>
      <c r="H49" s="6"/>
    </row>
    <row r="50" spans="1:8" ht="17.100000000000001" customHeight="1" x14ac:dyDescent="0.2">
      <c r="A50" s="3">
        <v>44</v>
      </c>
      <c r="B50" s="4" t="s">
        <v>222</v>
      </c>
      <c r="C50" s="4" t="s">
        <v>223</v>
      </c>
      <c r="D50" s="4" t="s">
        <v>95</v>
      </c>
      <c r="E50" s="5">
        <v>2139</v>
      </c>
      <c r="F50" s="6">
        <v>33.589786500000002</v>
      </c>
      <c r="G50" s="7">
        <v>9.0692020000000002E-3</v>
      </c>
      <c r="H50" s="6"/>
    </row>
    <row r="51" spans="1:8" ht="17.100000000000001" customHeight="1" x14ac:dyDescent="0.2">
      <c r="A51" s="3">
        <v>45</v>
      </c>
      <c r="B51" s="4" t="s">
        <v>303</v>
      </c>
      <c r="C51" s="4" t="s">
        <v>304</v>
      </c>
      <c r="D51" s="4" t="s">
        <v>19</v>
      </c>
      <c r="E51" s="5">
        <v>17387</v>
      </c>
      <c r="F51" s="6">
        <v>32.852736499999999</v>
      </c>
      <c r="G51" s="7">
        <v>8.8701990000000005E-3</v>
      </c>
      <c r="H51" s="6"/>
    </row>
    <row r="52" spans="1:8" ht="17.100000000000001" customHeight="1" x14ac:dyDescent="0.2">
      <c r="A52" s="3">
        <v>46</v>
      </c>
      <c r="B52" s="4" t="s">
        <v>228</v>
      </c>
      <c r="C52" s="4" t="s">
        <v>229</v>
      </c>
      <c r="D52" s="4" t="s">
        <v>230</v>
      </c>
      <c r="E52" s="5">
        <v>11014</v>
      </c>
      <c r="F52" s="6">
        <v>32.546370000000003</v>
      </c>
      <c r="G52" s="7">
        <v>8.7874800000000003E-3</v>
      </c>
      <c r="H52" s="6"/>
    </row>
    <row r="53" spans="1:8" ht="17.100000000000001" customHeight="1" x14ac:dyDescent="0.2">
      <c r="A53" s="3">
        <v>47</v>
      </c>
      <c r="B53" s="4" t="s">
        <v>36</v>
      </c>
      <c r="C53" s="4" t="s">
        <v>37</v>
      </c>
      <c r="D53" s="4" t="s">
        <v>28</v>
      </c>
      <c r="E53" s="5">
        <v>1021</v>
      </c>
      <c r="F53" s="6">
        <v>32.484135999999999</v>
      </c>
      <c r="G53" s="7">
        <v>8.7706769999999993E-3</v>
      </c>
      <c r="H53" s="6"/>
    </row>
    <row r="54" spans="1:8" ht="29.1" customHeight="1" x14ac:dyDescent="0.2">
      <c r="A54" s="3">
        <v>48</v>
      </c>
      <c r="B54" s="4" t="s">
        <v>298</v>
      </c>
      <c r="C54" s="4" t="s">
        <v>299</v>
      </c>
      <c r="D54" s="4" t="s">
        <v>25</v>
      </c>
      <c r="E54" s="5">
        <v>17618</v>
      </c>
      <c r="F54" s="6">
        <v>32.302602999999998</v>
      </c>
      <c r="G54" s="7">
        <v>8.7216640000000005E-3</v>
      </c>
      <c r="H54" s="6"/>
    </row>
    <row r="55" spans="1:8" ht="29.1" customHeight="1" x14ac:dyDescent="0.2">
      <c r="A55" s="3">
        <v>49</v>
      </c>
      <c r="B55" s="4" t="s">
        <v>234</v>
      </c>
      <c r="C55" s="4" t="s">
        <v>235</v>
      </c>
      <c r="D55" s="4" t="s">
        <v>236</v>
      </c>
      <c r="E55" s="5">
        <v>34295</v>
      </c>
      <c r="F55" s="6">
        <v>31.225597499999999</v>
      </c>
      <c r="G55" s="7">
        <v>8.4308730000000002E-3</v>
      </c>
      <c r="H55" s="6"/>
    </row>
    <row r="56" spans="1:8" ht="17.100000000000001" customHeight="1" x14ac:dyDescent="0.2">
      <c r="A56" s="3">
        <v>50</v>
      </c>
      <c r="B56" s="4" t="s">
        <v>270</v>
      </c>
      <c r="C56" s="4" t="s">
        <v>271</v>
      </c>
      <c r="D56" s="4" t="s">
        <v>28</v>
      </c>
      <c r="E56" s="5">
        <v>3044</v>
      </c>
      <c r="F56" s="6">
        <v>31.147729999999999</v>
      </c>
      <c r="G56" s="7">
        <v>8.4098490000000005E-3</v>
      </c>
      <c r="H56" s="6"/>
    </row>
    <row r="57" spans="1:8" ht="17.100000000000001" customHeight="1" x14ac:dyDescent="0.2">
      <c r="A57" s="3">
        <v>51</v>
      </c>
      <c r="B57" s="4" t="s">
        <v>287</v>
      </c>
      <c r="C57" s="4" t="s">
        <v>288</v>
      </c>
      <c r="D57" s="4" t="s">
        <v>85</v>
      </c>
      <c r="E57" s="5">
        <v>62967</v>
      </c>
      <c r="F57" s="6">
        <v>31.137181500000001</v>
      </c>
      <c r="G57" s="7">
        <v>8.4070010000000008E-3</v>
      </c>
      <c r="H57" s="6"/>
    </row>
    <row r="58" spans="1:8" ht="17.100000000000001" customHeight="1" x14ac:dyDescent="0.2">
      <c r="A58" s="3">
        <v>52</v>
      </c>
      <c r="B58" s="4" t="s">
        <v>490</v>
      </c>
      <c r="C58" s="4" t="s">
        <v>491</v>
      </c>
      <c r="D58" s="4" t="s">
        <v>28</v>
      </c>
      <c r="E58" s="5">
        <v>5719</v>
      </c>
      <c r="F58" s="6">
        <v>30.6910135</v>
      </c>
      <c r="G58" s="7">
        <v>8.2865360000000006E-3</v>
      </c>
      <c r="H58" s="6"/>
    </row>
    <row r="59" spans="1:8" ht="29.1" customHeight="1" x14ac:dyDescent="0.2">
      <c r="A59" s="3">
        <v>53</v>
      </c>
      <c r="B59" s="4" t="s">
        <v>231</v>
      </c>
      <c r="C59" s="4" t="s">
        <v>232</v>
      </c>
      <c r="D59" s="4" t="s">
        <v>233</v>
      </c>
      <c r="E59" s="5">
        <v>8568</v>
      </c>
      <c r="F59" s="6">
        <v>30.339288</v>
      </c>
      <c r="G59" s="7">
        <v>8.1915709999999999E-3</v>
      </c>
      <c r="H59" s="6"/>
    </row>
    <row r="60" spans="1:8" ht="17.100000000000001" customHeight="1" x14ac:dyDescent="0.2">
      <c r="A60" s="3">
        <v>54</v>
      </c>
      <c r="B60" s="4" t="s">
        <v>242</v>
      </c>
      <c r="C60" s="4" t="s">
        <v>243</v>
      </c>
      <c r="D60" s="4" t="s">
        <v>80</v>
      </c>
      <c r="E60" s="5">
        <v>14021</v>
      </c>
      <c r="F60" s="6">
        <v>29.871740500000001</v>
      </c>
      <c r="G60" s="7">
        <v>8.0653340000000004E-3</v>
      </c>
      <c r="H60" s="6"/>
    </row>
    <row r="61" spans="1:8" ht="17.100000000000001" customHeight="1" x14ac:dyDescent="0.2">
      <c r="A61" s="3">
        <v>55</v>
      </c>
      <c r="B61" s="4" t="s">
        <v>199</v>
      </c>
      <c r="C61" s="4" t="s">
        <v>200</v>
      </c>
      <c r="D61" s="4" t="s">
        <v>13</v>
      </c>
      <c r="E61" s="5">
        <v>8109</v>
      </c>
      <c r="F61" s="6">
        <v>29.2369995</v>
      </c>
      <c r="G61" s="7">
        <v>7.8939539999999999E-3</v>
      </c>
      <c r="H61" s="6"/>
    </row>
    <row r="62" spans="1:8" ht="53.1" customHeight="1" x14ac:dyDescent="0.2">
      <c r="A62" s="3">
        <v>56</v>
      </c>
      <c r="B62" s="4" t="s">
        <v>251</v>
      </c>
      <c r="C62" s="4" t="s">
        <v>1141</v>
      </c>
      <c r="D62" s="4" t="s">
        <v>75</v>
      </c>
      <c r="E62" s="5">
        <v>14626</v>
      </c>
      <c r="F62" s="6">
        <v>29.032609999999998</v>
      </c>
      <c r="G62" s="7">
        <v>7.8387690000000006E-3</v>
      </c>
      <c r="H62" s="6"/>
    </row>
    <row r="63" spans="1:8" ht="41.1" customHeight="1" x14ac:dyDescent="0.2">
      <c r="A63" s="3">
        <v>57</v>
      </c>
      <c r="B63" s="4" t="s">
        <v>267</v>
      </c>
      <c r="C63" s="4" t="s">
        <v>268</v>
      </c>
      <c r="D63" s="4" t="s">
        <v>269</v>
      </c>
      <c r="E63" s="5">
        <v>3829</v>
      </c>
      <c r="F63" s="6">
        <v>27.777480499999999</v>
      </c>
      <c r="G63" s="7">
        <v>7.4998859999999999E-3</v>
      </c>
      <c r="H63" s="6"/>
    </row>
    <row r="64" spans="1:8" ht="17.100000000000001" customHeight="1" x14ac:dyDescent="0.2">
      <c r="A64" s="3">
        <v>58</v>
      </c>
      <c r="B64" s="4" t="s">
        <v>90</v>
      </c>
      <c r="C64" s="4" t="s">
        <v>91</v>
      </c>
      <c r="D64" s="4" t="s">
        <v>92</v>
      </c>
      <c r="E64" s="5">
        <v>5816</v>
      </c>
      <c r="F64" s="6">
        <v>27.024044</v>
      </c>
      <c r="G64" s="7">
        <v>7.2964589999999999E-3</v>
      </c>
      <c r="H64" s="6"/>
    </row>
    <row r="65" spans="1:8" ht="17.100000000000001" customHeight="1" x14ac:dyDescent="0.2">
      <c r="A65" s="3">
        <v>59</v>
      </c>
      <c r="B65" s="4" t="s">
        <v>291</v>
      </c>
      <c r="C65" s="4" t="s">
        <v>292</v>
      </c>
      <c r="D65" s="4" t="s">
        <v>95</v>
      </c>
      <c r="E65" s="5">
        <v>4265</v>
      </c>
      <c r="F65" s="6">
        <v>26.9313425</v>
      </c>
      <c r="G65" s="7">
        <v>7.2714299999999997E-3</v>
      </c>
      <c r="H65" s="6"/>
    </row>
    <row r="66" spans="1:8" ht="17.100000000000001" customHeight="1" x14ac:dyDescent="0.2">
      <c r="A66" s="3">
        <v>60</v>
      </c>
      <c r="B66" s="4" t="s">
        <v>263</v>
      </c>
      <c r="C66" s="4" t="s">
        <v>264</v>
      </c>
      <c r="D66" s="4" t="s">
        <v>16</v>
      </c>
      <c r="E66" s="5">
        <v>11386</v>
      </c>
      <c r="F66" s="6">
        <v>25.937308000000002</v>
      </c>
      <c r="G66" s="7">
        <v>7.0030420000000001E-3</v>
      </c>
      <c r="H66" s="6"/>
    </row>
    <row r="67" spans="1:8" ht="17.100000000000001" customHeight="1" x14ac:dyDescent="0.2">
      <c r="A67" s="3">
        <v>61</v>
      </c>
      <c r="B67" s="4" t="s">
        <v>494</v>
      </c>
      <c r="C67" s="4" t="s">
        <v>495</v>
      </c>
      <c r="D67" s="4" t="s">
        <v>186</v>
      </c>
      <c r="E67" s="5">
        <v>42526</v>
      </c>
      <c r="F67" s="6">
        <v>24.728869</v>
      </c>
      <c r="G67" s="7">
        <v>6.6767650000000003E-3</v>
      </c>
      <c r="H67" s="6"/>
    </row>
    <row r="68" spans="1:8" ht="29.1" customHeight="1" x14ac:dyDescent="0.2">
      <c r="A68" s="3">
        <v>62</v>
      </c>
      <c r="B68" s="4" t="s">
        <v>498</v>
      </c>
      <c r="C68" s="4" t="s">
        <v>499</v>
      </c>
      <c r="D68" s="4" t="s">
        <v>198</v>
      </c>
      <c r="E68" s="5">
        <v>7193</v>
      </c>
      <c r="F68" s="6">
        <v>23.769268499999999</v>
      </c>
      <c r="G68" s="7">
        <v>6.4176739999999999E-3</v>
      </c>
      <c r="H68" s="6"/>
    </row>
    <row r="69" spans="1:8" ht="17.100000000000001" customHeight="1" x14ac:dyDescent="0.2">
      <c r="A69" s="3">
        <v>63</v>
      </c>
      <c r="B69" s="4" t="s">
        <v>244</v>
      </c>
      <c r="C69" s="4" t="s">
        <v>245</v>
      </c>
      <c r="D69" s="4" t="s">
        <v>95</v>
      </c>
      <c r="E69" s="5">
        <v>4235</v>
      </c>
      <c r="F69" s="6">
        <v>22.2443375</v>
      </c>
      <c r="G69" s="7">
        <v>6.005944E-3</v>
      </c>
      <c r="H69" s="6"/>
    </row>
    <row r="70" spans="1:8" ht="17.100000000000001" customHeight="1" x14ac:dyDescent="0.2">
      <c r="A70" s="3">
        <v>64</v>
      </c>
      <c r="B70" s="4" t="s">
        <v>252</v>
      </c>
      <c r="C70" s="4" t="s">
        <v>253</v>
      </c>
      <c r="D70" s="4" t="s">
        <v>254</v>
      </c>
      <c r="E70" s="5">
        <v>17729</v>
      </c>
      <c r="F70" s="6">
        <v>21.035458500000001</v>
      </c>
      <c r="G70" s="7">
        <v>5.6795480000000004E-3</v>
      </c>
      <c r="H70" s="6"/>
    </row>
    <row r="71" spans="1:8" ht="17.100000000000001" customHeight="1" x14ac:dyDescent="0.2">
      <c r="A71" s="3">
        <v>65</v>
      </c>
      <c r="B71" s="4" t="s">
        <v>261</v>
      </c>
      <c r="C71" s="4" t="s">
        <v>262</v>
      </c>
      <c r="D71" s="4" t="s">
        <v>106</v>
      </c>
      <c r="E71" s="5">
        <v>2788</v>
      </c>
      <c r="F71" s="6">
        <v>20.218575999999999</v>
      </c>
      <c r="G71" s="7">
        <v>5.4589909999999998E-3</v>
      </c>
      <c r="H71" s="6"/>
    </row>
    <row r="72" spans="1:8" ht="17.100000000000001" customHeight="1" x14ac:dyDescent="0.2">
      <c r="A72" s="3">
        <v>66</v>
      </c>
      <c r="B72" s="4" t="s">
        <v>257</v>
      </c>
      <c r="C72" s="4" t="s">
        <v>258</v>
      </c>
      <c r="D72" s="4" t="s">
        <v>186</v>
      </c>
      <c r="E72" s="5">
        <v>19285</v>
      </c>
      <c r="F72" s="6">
        <v>18.74502</v>
      </c>
      <c r="G72" s="7">
        <v>5.0611329999999998E-3</v>
      </c>
      <c r="H72" s="6"/>
    </row>
    <row r="73" spans="1:8" ht="17.100000000000001" customHeight="1" x14ac:dyDescent="0.2">
      <c r="A73" s="3">
        <v>67</v>
      </c>
      <c r="B73" s="4" t="s">
        <v>240</v>
      </c>
      <c r="C73" s="4" t="s">
        <v>241</v>
      </c>
      <c r="D73" s="4" t="s">
        <v>80</v>
      </c>
      <c r="E73" s="5">
        <v>3383</v>
      </c>
      <c r="F73" s="6">
        <v>18.2665085</v>
      </c>
      <c r="G73" s="7">
        <v>4.9319350000000001E-3</v>
      </c>
      <c r="H73" s="6"/>
    </row>
    <row r="74" spans="1:8" ht="17.100000000000001" customHeight="1" x14ac:dyDescent="0.2">
      <c r="A74" s="3">
        <v>68</v>
      </c>
      <c r="B74" s="4" t="s">
        <v>213</v>
      </c>
      <c r="C74" s="4" t="s">
        <v>214</v>
      </c>
      <c r="D74" s="4" t="s">
        <v>13</v>
      </c>
      <c r="E74" s="5">
        <v>21843</v>
      </c>
      <c r="F74" s="6">
        <v>17.944024500000001</v>
      </c>
      <c r="G74" s="7">
        <v>4.8448650000000003E-3</v>
      </c>
      <c r="H74" s="6"/>
    </row>
    <row r="75" spans="1:8" ht="29.1" customHeight="1" x14ac:dyDescent="0.2">
      <c r="A75" s="3">
        <v>69</v>
      </c>
      <c r="B75" s="4" t="s">
        <v>265</v>
      </c>
      <c r="C75" s="4" t="s">
        <v>266</v>
      </c>
      <c r="D75" s="4" t="s">
        <v>198</v>
      </c>
      <c r="E75" s="5">
        <v>411</v>
      </c>
      <c r="F75" s="6">
        <v>17.542918499999999</v>
      </c>
      <c r="G75" s="7">
        <v>4.7365669999999997E-3</v>
      </c>
      <c r="H75" s="6"/>
    </row>
    <row r="76" spans="1:8" ht="17.100000000000001" customHeight="1" x14ac:dyDescent="0.2">
      <c r="A76" s="3">
        <v>70</v>
      </c>
      <c r="B76" s="4" t="s">
        <v>115</v>
      </c>
      <c r="C76" s="4" t="s">
        <v>116</v>
      </c>
      <c r="D76" s="4" t="s">
        <v>92</v>
      </c>
      <c r="E76" s="5">
        <v>21125</v>
      </c>
      <c r="F76" s="6">
        <v>15.379</v>
      </c>
      <c r="G76" s="7">
        <v>4.1523109999999997E-3</v>
      </c>
      <c r="H76" s="6"/>
    </row>
    <row r="77" spans="1:8" ht="29.1" customHeight="1" x14ac:dyDescent="0.2">
      <c r="A77" s="3">
        <v>71</v>
      </c>
      <c r="B77" s="4" t="s">
        <v>307</v>
      </c>
      <c r="C77" s="4" t="s">
        <v>308</v>
      </c>
      <c r="D77" s="4" t="s">
        <v>198</v>
      </c>
      <c r="E77" s="5">
        <v>6683</v>
      </c>
      <c r="F77" s="6">
        <v>15.190459000000001</v>
      </c>
      <c r="G77" s="7">
        <v>4.1014049999999998E-3</v>
      </c>
      <c r="H77" s="6"/>
    </row>
    <row r="78" spans="1:8" ht="29.1" customHeight="1" x14ac:dyDescent="0.2">
      <c r="A78" s="3">
        <v>72</v>
      </c>
      <c r="B78" s="4" t="s">
        <v>305</v>
      </c>
      <c r="C78" s="4" t="s">
        <v>306</v>
      </c>
      <c r="D78" s="4" t="s">
        <v>219</v>
      </c>
      <c r="E78" s="5">
        <v>3145</v>
      </c>
      <c r="F78" s="6">
        <v>15.168335000000001</v>
      </c>
      <c r="G78" s="7">
        <v>4.0954320000000004E-3</v>
      </c>
      <c r="H78" s="6"/>
    </row>
    <row r="79" spans="1:8" ht="17.100000000000001" customHeight="1" x14ac:dyDescent="0.2">
      <c r="A79" s="3">
        <v>73</v>
      </c>
      <c r="B79" s="4" t="s">
        <v>300</v>
      </c>
      <c r="C79" s="4" t="s">
        <v>301</v>
      </c>
      <c r="D79" s="4" t="s">
        <v>302</v>
      </c>
      <c r="E79" s="5">
        <v>2029</v>
      </c>
      <c r="F79" s="6">
        <v>12.635597499999999</v>
      </c>
      <c r="G79" s="7">
        <v>3.4115959999999998E-3</v>
      </c>
      <c r="H79" s="6"/>
    </row>
    <row r="80" spans="1:8" ht="29.1" customHeight="1" x14ac:dyDescent="0.2">
      <c r="A80" s="3">
        <v>74</v>
      </c>
      <c r="B80" s="4" t="s">
        <v>274</v>
      </c>
      <c r="C80" s="4" t="s">
        <v>275</v>
      </c>
      <c r="D80" s="4" t="s">
        <v>219</v>
      </c>
      <c r="E80" s="5">
        <v>982</v>
      </c>
      <c r="F80" s="6">
        <v>6.6397930000000001</v>
      </c>
      <c r="G80" s="7">
        <v>1.7927360000000001E-3</v>
      </c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9">
        <v>3583.3135149999998</v>
      </c>
      <c r="G81" s="10">
        <v>0.96749029200000003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121</v>
      </c>
      <c r="D83" s="1"/>
      <c r="E83" s="1"/>
      <c r="F83" s="1"/>
      <c r="G83" s="1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122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123</v>
      </c>
      <c r="D89" s="1"/>
      <c r="E89" s="1"/>
      <c r="F89" s="1"/>
      <c r="G89" s="1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124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125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8" customHeight="1" x14ac:dyDescent="0.2">
      <c r="A98" s="1"/>
      <c r="B98" s="1"/>
      <c r="C98" s="2" t="s">
        <v>126</v>
      </c>
      <c r="D98" s="1"/>
      <c r="E98" s="1"/>
      <c r="F98" s="9">
        <v>3583.3135149999998</v>
      </c>
      <c r="G98" s="10">
        <v>0.96749029200000003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127</v>
      </c>
      <c r="D100" s="1"/>
      <c r="E100" s="1"/>
      <c r="F100" s="12"/>
      <c r="G100" s="12"/>
      <c r="H100" s="6"/>
    </row>
    <row r="101" spans="1:8" ht="24" customHeight="1" x14ac:dyDescent="0.2">
      <c r="A101" s="1"/>
      <c r="B101" s="1"/>
      <c r="C101" s="2" t="s">
        <v>10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128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129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119</v>
      </c>
      <c r="D108" s="1"/>
      <c r="E108" s="1" t="s">
        <v>120</v>
      </c>
      <c r="F108" s="13">
        <v>0</v>
      </c>
      <c r="G108" s="14">
        <v>0</v>
      </c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130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119</v>
      </c>
      <c r="D111" s="1"/>
      <c r="E111" s="1" t="s">
        <v>120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131</v>
      </c>
      <c r="D113" s="1"/>
      <c r="E113" s="1"/>
      <c r="F113" s="9">
        <v>0</v>
      </c>
      <c r="G113" s="10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132</v>
      </c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133</v>
      </c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134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135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136</v>
      </c>
      <c r="D125" s="1"/>
      <c r="E125" s="1"/>
      <c r="F125" s="12"/>
      <c r="G125" s="12"/>
      <c r="H125" s="6"/>
    </row>
    <row r="126" spans="1:8" ht="17.100000000000001" customHeight="1" x14ac:dyDescent="0.2">
      <c r="A126" s="3">
        <v>1</v>
      </c>
      <c r="B126" s="4"/>
      <c r="C126" s="4" t="s">
        <v>137</v>
      </c>
      <c r="D126" s="4"/>
      <c r="E126" s="8"/>
      <c r="F126" s="6">
        <v>121.3890273</v>
      </c>
      <c r="G126" s="7">
        <v>3.2774890000000001E-2</v>
      </c>
      <c r="H126" s="6">
        <v>4.1713246754849944</v>
      </c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9">
        <v>121.3890273</v>
      </c>
      <c r="G127" s="10">
        <v>3.2774890000000001E-2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138</v>
      </c>
      <c r="D129" s="1"/>
      <c r="E129" s="1"/>
      <c r="F129" s="9">
        <v>121.3890273</v>
      </c>
      <c r="G129" s="10">
        <v>3.2774890000000001E-2</v>
      </c>
      <c r="H129" s="6"/>
    </row>
    <row r="130" spans="1:8" ht="14.1" customHeight="1" x14ac:dyDescent="0.2">
      <c r="A130" s="1"/>
      <c r="B130" s="1"/>
      <c r="C130" s="12"/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139</v>
      </c>
      <c r="D131" s="1"/>
      <c r="E131" s="1"/>
      <c r="F131" s="1"/>
      <c r="G131" s="1"/>
      <c r="H131" s="6"/>
    </row>
    <row r="132" spans="1:8" ht="14.1" customHeight="1" x14ac:dyDescent="0.2">
      <c r="A132" s="1"/>
      <c r="B132" s="1"/>
      <c r="C132" s="2" t="s">
        <v>140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119</v>
      </c>
      <c r="D133" s="1"/>
      <c r="E133" s="1" t="s">
        <v>120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141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142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119</v>
      </c>
      <c r="D137" s="1"/>
      <c r="E137" s="1" t="s">
        <v>120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11"/>
      <c r="D139" s="1"/>
      <c r="E139" s="1"/>
      <c r="F139" s="12"/>
      <c r="G139" s="12"/>
      <c r="H139" s="6"/>
    </row>
    <row r="140" spans="1:8" ht="24" customHeight="1" x14ac:dyDescent="0.2">
      <c r="A140" s="1"/>
      <c r="B140" s="1"/>
      <c r="C140" s="2" t="s">
        <v>143</v>
      </c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119</v>
      </c>
      <c r="D141" s="1"/>
      <c r="E141" s="1" t="s">
        <v>120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4"/>
      <c r="C143" s="4"/>
      <c r="D143" s="2"/>
      <c r="E143" s="1"/>
      <c r="F143" s="4"/>
      <c r="G143" s="8"/>
      <c r="H143" s="6"/>
    </row>
    <row r="144" spans="1:8" ht="18" customHeight="1" x14ac:dyDescent="0.2">
      <c r="A144" s="8"/>
      <c r="B144" s="4"/>
      <c r="C144" s="4" t="s">
        <v>144</v>
      </c>
      <c r="D144" s="4"/>
      <c r="E144" s="8"/>
      <c r="F144" s="6">
        <v>-0.98215611000000003</v>
      </c>
      <c r="G144" s="7">
        <v>-2.6518100000000002E-4</v>
      </c>
      <c r="H144" s="6"/>
    </row>
    <row r="145" spans="1:8" ht="14.1" customHeight="1" x14ac:dyDescent="0.2">
      <c r="A145" s="11"/>
      <c r="B145" s="11"/>
      <c r="C145" s="2" t="s">
        <v>145</v>
      </c>
      <c r="D145" s="15"/>
      <c r="E145" s="15"/>
      <c r="F145" s="9">
        <v>3703.7203861900002</v>
      </c>
      <c r="G145" s="10">
        <v>1.0000000010000001</v>
      </c>
      <c r="H145" s="6"/>
    </row>
    <row r="146" spans="1:8" ht="14.1" customHeight="1" x14ac:dyDescent="0.2">
      <c r="A146" s="18"/>
      <c r="B146" s="18"/>
      <c r="C146" s="18"/>
      <c r="D146" s="20"/>
      <c r="E146" s="20"/>
      <c r="F146" s="20"/>
      <c r="G146" s="20"/>
    </row>
    <row r="147" spans="1:8" ht="14.1" customHeight="1" x14ac:dyDescent="0.2">
      <c r="A147" s="18"/>
      <c r="B147" s="265" t="s">
        <v>147</v>
      </c>
      <c r="C147" s="266"/>
      <c r="D147" s="12" t="s">
        <v>120</v>
      </c>
      <c r="E147" s="21"/>
      <c r="F147" s="20"/>
      <c r="G147" s="20"/>
    </row>
    <row r="148" spans="1:8" ht="29.1" customHeight="1" x14ac:dyDescent="0.2">
      <c r="A148" s="18"/>
      <c r="B148" s="272" t="s">
        <v>148</v>
      </c>
      <c r="C148" s="273"/>
      <c r="D148" s="2" t="s">
        <v>149</v>
      </c>
      <c r="E148" s="21"/>
      <c r="F148" s="20"/>
      <c r="G148" s="20"/>
    </row>
    <row r="149" spans="1:8" ht="17.100000000000001" customHeight="1" x14ac:dyDescent="0.2">
      <c r="A149" s="18"/>
      <c r="B149" s="272" t="s">
        <v>150</v>
      </c>
      <c r="C149" s="273"/>
      <c r="D149" s="2" t="s">
        <v>149</v>
      </c>
      <c r="E149" s="21"/>
      <c r="F149" s="20"/>
      <c r="G149" s="20"/>
    </row>
    <row r="150" spans="1:8" ht="17.100000000000001" customHeight="1" x14ac:dyDescent="0.2">
      <c r="A150" s="18"/>
      <c r="B150" s="272" t="s">
        <v>151</v>
      </c>
      <c r="C150" s="273"/>
      <c r="D150" s="12" t="s">
        <v>120</v>
      </c>
      <c r="E150" s="21"/>
      <c r="F150" s="20"/>
      <c r="G150" s="20"/>
    </row>
    <row r="151" spans="1:8" ht="24" customHeight="1" x14ac:dyDescent="0.2">
      <c r="A151" s="22"/>
      <c r="B151" s="23" t="s">
        <v>120</v>
      </c>
      <c r="C151" s="23" t="s">
        <v>152</v>
      </c>
      <c r="D151" s="23" t="s">
        <v>153</v>
      </c>
      <c r="E151" s="22"/>
      <c r="F151" s="22"/>
      <c r="G151" s="22"/>
    </row>
    <row r="152" spans="1:8" ht="18" customHeight="1" x14ac:dyDescent="0.2">
      <c r="A152" s="22"/>
      <c r="B152" s="23" t="s">
        <v>154</v>
      </c>
      <c r="C152" s="23" t="s">
        <v>155</v>
      </c>
      <c r="D152" s="23" t="s">
        <v>156</v>
      </c>
      <c r="E152" s="22"/>
      <c r="F152" s="22"/>
      <c r="G152" s="22"/>
    </row>
    <row r="153" spans="1:8" ht="17.100000000000001" customHeight="1" x14ac:dyDescent="0.2">
      <c r="A153" s="22"/>
      <c r="B153" s="4" t="s">
        <v>157</v>
      </c>
      <c r="C153" s="24">
        <v>21.6341</v>
      </c>
      <c r="D153" s="24">
        <v>20.314900000000002</v>
      </c>
      <c r="E153" s="22"/>
      <c r="F153" s="19"/>
      <c r="G153" s="25"/>
    </row>
    <row r="154" spans="1:8" ht="17.100000000000001" customHeight="1" x14ac:dyDescent="0.2">
      <c r="A154" s="22"/>
      <c r="B154" s="4" t="s">
        <v>1120</v>
      </c>
      <c r="C154" s="24">
        <v>20.281199999999998</v>
      </c>
      <c r="D154" s="24">
        <v>19.044499999999999</v>
      </c>
      <c r="E154" s="22"/>
      <c r="F154" s="19"/>
      <c r="G154" s="25"/>
    </row>
    <row r="155" spans="1:8" ht="17.100000000000001" customHeight="1" x14ac:dyDescent="0.2">
      <c r="A155" s="22"/>
      <c r="B155" s="4" t="s">
        <v>158</v>
      </c>
      <c r="C155" s="24">
        <v>21.203700000000001</v>
      </c>
      <c r="D155" s="24">
        <v>19.901399999999999</v>
      </c>
      <c r="E155" s="22"/>
      <c r="F155" s="19"/>
      <c r="G155" s="25"/>
    </row>
    <row r="156" spans="1:8" ht="17.100000000000001" customHeight="1" x14ac:dyDescent="0.2">
      <c r="A156" s="22"/>
      <c r="B156" s="4" t="s">
        <v>1121</v>
      </c>
      <c r="C156" s="24">
        <v>19.857900000000001</v>
      </c>
      <c r="D156" s="24">
        <v>18.638200000000001</v>
      </c>
      <c r="E156" s="22"/>
      <c r="F156" s="19"/>
      <c r="G156" s="25"/>
    </row>
    <row r="157" spans="1:8" ht="14.1" customHeight="1" x14ac:dyDescent="0.2">
      <c r="A157" s="22"/>
      <c r="B157" s="22"/>
      <c r="C157" s="22"/>
      <c r="D157" s="22"/>
      <c r="E157" s="22"/>
      <c r="F157" s="22"/>
      <c r="G157" s="22"/>
    </row>
    <row r="158" spans="1:8" ht="17.100000000000001" customHeight="1" x14ac:dyDescent="0.2">
      <c r="A158" s="22"/>
      <c r="B158" s="272" t="s">
        <v>1122</v>
      </c>
      <c r="C158" s="273"/>
      <c r="D158" s="2" t="s">
        <v>149</v>
      </c>
      <c r="E158" s="22"/>
      <c r="F158" s="22"/>
      <c r="G158" s="22"/>
    </row>
    <row r="159" spans="1:8" ht="14.1" customHeight="1" x14ac:dyDescent="0.2">
      <c r="A159" s="22"/>
      <c r="B159" s="19"/>
      <c r="C159" s="19"/>
      <c r="D159" s="22"/>
      <c r="E159" s="22"/>
      <c r="F159" s="22"/>
      <c r="G159" s="22"/>
    </row>
    <row r="160" spans="1:8" ht="29.1" customHeight="1" x14ac:dyDescent="0.2">
      <c r="A160" s="22"/>
      <c r="B160" s="272" t="s">
        <v>160</v>
      </c>
      <c r="C160" s="273"/>
      <c r="D160" s="2" t="s">
        <v>149</v>
      </c>
      <c r="E160" s="22"/>
      <c r="F160" s="22"/>
      <c r="G160" s="22"/>
    </row>
    <row r="161" spans="1:15" ht="29.1" customHeight="1" x14ac:dyDescent="0.2">
      <c r="A161" s="22"/>
      <c r="B161" s="272" t="s">
        <v>161</v>
      </c>
      <c r="C161" s="273"/>
      <c r="D161" s="2" t="s">
        <v>149</v>
      </c>
      <c r="E161" s="22"/>
      <c r="F161" s="22"/>
      <c r="G161" s="22"/>
    </row>
    <row r="162" spans="1:15" ht="17.100000000000001" customHeight="1" x14ac:dyDescent="0.2">
      <c r="A162" s="22"/>
      <c r="B162" s="272" t="s">
        <v>162</v>
      </c>
      <c r="C162" s="273"/>
      <c r="D162" s="27">
        <v>0.33148100000000003</v>
      </c>
      <c r="E162" s="22"/>
      <c r="F162" s="19"/>
      <c r="G162" s="25"/>
      <c r="J162" s="170"/>
      <c r="K162" s="170"/>
      <c r="L162" s="170"/>
      <c r="M162" s="170"/>
      <c r="N162" s="170"/>
      <c r="O162" s="170"/>
    </row>
    <row r="163" spans="1:15" ht="17.100000000000001" customHeight="1" x14ac:dyDescent="0.2">
      <c r="A163" s="22"/>
      <c r="B163" s="272" t="s">
        <v>163</v>
      </c>
      <c r="C163" s="273"/>
      <c r="D163" s="2" t="s">
        <v>149</v>
      </c>
      <c r="E163" s="22"/>
      <c r="F163" s="22"/>
      <c r="G163" s="22"/>
    </row>
  </sheetData>
  <mergeCells count="13">
    <mergeCell ref="B162:C162"/>
    <mergeCell ref="B163:C163"/>
    <mergeCell ref="B148:C148"/>
    <mergeCell ref="B149:C149"/>
    <mergeCell ref="B150:C150"/>
    <mergeCell ref="B158:C158"/>
    <mergeCell ref="B160:C160"/>
    <mergeCell ref="B161:C161"/>
    <mergeCell ref="J2:N2"/>
    <mergeCell ref="B147:C14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16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503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34</v>
      </c>
      <c r="C7" s="4" t="s">
        <v>35</v>
      </c>
      <c r="D7" s="4" t="s">
        <v>28</v>
      </c>
      <c r="E7" s="5">
        <v>36496</v>
      </c>
      <c r="F7" s="6">
        <v>494.55729600000001</v>
      </c>
      <c r="G7" s="7">
        <v>3.8383636999999998E-2</v>
      </c>
      <c r="H7" s="6"/>
    </row>
    <row r="8" spans="1:14" ht="17.100000000000001" customHeight="1" x14ac:dyDescent="0.2">
      <c r="A8" s="3">
        <v>2</v>
      </c>
      <c r="B8" s="4" t="s">
        <v>246</v>
      </c>
      <c r="C8" s="4" t="s">
        <v>247</v>
      </c>
      <c r="D8" s="4" t="s">
        <v>248</v>
      </c>
      <c r="E8" s="5">
        <v>245632</v>
      </c>
      <c r="F8" s="6">
        <v>446.92742399999997</v>
      </c>
      <c r="G8" s="7">
        <v>3.4686981999999998E-2</v>
      </c>
      <c r="H8" s="6"/>
    </row>
    <row r="9" spans="1:14" ht="29.1" customHeight="1" x14ac:dyDescent="0.2">
      <c r="A9" s="3">
        <v>3</v>
      </c>
      <c r="B9" s="4" t="s">
        <v>192</v>
      </c>
      <c r="C9" s="4" t="s">
        <v>193</v>
      </c>
      <c r="D9" s="4" t="s">
        <v>80</v>
      </c>
      <c r="E9" s="5">
        <v>109964</v>
      </c>
      <c r="F9" s="6">
        <v>397.464878</v>
      </c>
      <c r="G9" s="7">
        <v>3.0848088999999999E-2</v>
      </c>
      <c r="H9" s="6"/>
    </row>
    <row r="10" spans="1:14" ht="17.100000000000001" customHeight="1" x14ac:dyDescent="0.2">
      <c r="A10" s="3">
        <v>4</v>
      </c>
      <c r="B10" s="4" t="s">
        <v>93</v>
      </c>
      <c r="C10" s="4" t="s">
        <v>94</v>
      </c>
      <c r="D10" s="4" t="s">
        <v>95</v>
      </c>
      <c r="E10" s="5">
        <v>16980</v>
      </c>
      <c r="F10" s="6">
        <v>390.64188000000001</v>
      </c>
      <c r="G10" s="7">
        <v>3.0318542E-2</v>
      </c>
      <c r="H10" s="6"/>
    </row>
    <row r="11" spans="1:14" ht="29.1" customHeight="1" x14ac:dyDescent="0.2">
      <c r="A11" s="3">
        <v>5</v>
      </c>
      <c r="B11" s="4" t="s">
        <v>217</v>
      </c>
      <c r="C11" s="4" t="s">
        <v>218</v>
      </c>
      <c r="D11" s="4" t="s">
        <v>219</v>
      </c>
      <c r="E11" s="5">
        <v>9882</v>
      </c>
      <c r="F11" s="6">
        <v>387.81414899999999</v>
      </c>
      <c r="G11" s="7">
        <v>3.0099075999999999E-2</v>
      </c>
      <c r="H11" s="6"/>
    </row>
    <row r="12" spans="1:14" ht="17.100000000000001" customHeight="1" x14ac:dyDescent="0.2">
      <c r="A12" s="3">
        <v>6</v>
      </c>
      <c r="B12" s="4" t="s">
        <v>78</v>
      </c>
      <c r="C12" s="4" t="s">
        <v>79</v>
      </c>
      <c r="D12" s="4" t="s">
        <v>80</v>
      </c>
      <c r="E12" s="5">
        <v>76173</v>
      </c>
      <c r="F12" s="6">
        <v>372.37171050000001</v>
      </c>
      <c r="G12" s="7">
        <v>2.8900556000000001E-2</v>
      </c>
      <c r="H12" s="6"/>
      <c r="J12" s="169" t="s">
        <v>1148</v>
      </c>
    </row>
    <row r="13" spans="1:14" ht="17.100000000000001" customHeight="1" x14ac:dyDescent="0.2">
      <c r="A13" s="3">
        <v>7</v>
      </c>
      <c r="B13" s="4" t="s">
        <v>237</v>
      </c>
      <c r="C13" s="4" t="s">
        <v>238</v>
      </c>
      <c r="D13" s="4" t="s">
        <v>239</v>
      </c>
      <c r="E13" s="5">
        <v>127326</v>
      </c>
      <c r="F13" s="6">
        <v>357.59507100000002</v>
      </c>
      <c r="G13" s="7">
        <v>2.7753709000000001E-2</v>
      </c>
      <c r="H13" s="6"/>
    </row>
    <row r="14" spans="1:14" ht="17.100000000000001" customHeight="1" x14ac:dyDescent="0.2">
      <c r="A14" s="3">
        <v>8</v>
      </c>
      <c r="B14" s="4" t="s">
        <v>32</v>
      </c>
      <c r="C14" s="4" t="s">
        <v>33</v>
      </c>
      <c r="D14" s="4" t="s">
        <v>28</v>
      </c>
      <c r="E14" s="5">
        <v>19181</v>
      </c>
      <c r="F14" s="6">
        <v>328.7719305</v>
      </c>
      <c r="G14" s="7">
        <v>2.5516685000000001E-2</v>
      </c>
      <c r="H14" s="6"/>
    </row>
    <row r="15" spans="1:14" ht="17.100000000000001" customHeight="1" x14ac:dyDescent="0.2">
      <c r="A15" s="3">
        <v>9</v>
      </c>
      <c r="B15" s="4" t="s">
        <v>170</v>
      </c>
      <c r="C15" s="4" t="s">
        <v>171</v>
      </c>
      <c r="D15" s="4" t="s">
        <v>28</v>
      </c>
      <c r="E15" s="5">
        <v>26141</v>
      </c>
      <c r="F15" s="6">
        <v>323.18118299999998</v>
      </c>
      <c r="G15" s="7">
        <v>2.5082775000000002E-2</v>
      </c>
      <c r="H15" s="6"/>
    </row>
    <row r="16" spans="1:14" ht="29.1" customHeight="1" x14ac:dyDescent="0.2">
      <c r="A16" s="3">
        <v>10</v>
      </c>
      <c r="B16" s="4" t="s">
        <v>478</v>
      </c>
      <c r="C16" s="4" t="s">
        <v>479</v>
      </c>
      <c r="D16" s="4" t="s">
        <v>42</v>
      </c>
      <c r="E16" s="5">
        <v>16976</v>
      </c>
      <c r="F16" s="6">
        <v>310.77114399999999</v>
      </c>
      <c r="G16" s="7">
        <v>2.4119604999999999E-2</v>
      </c>
      <c r="H16" s="6"/>
    </row>
    <row r="17" spans="1:8" ht="17.100000000000001" customHeight="1" x14ac:dyDescent="0.2">
      <c r="A17" s="3">
        <v>11</v>
      </c>
      <c r="B17" s="4" t="s">
        <v>201</v>
      </c>
      <c r="C17" s="4" t="s">
        <v>202</v>
      </c>
      <c r="D17" s="4" t="s">
        <v>203</v>
      </c>
      <c r="E17" s="5">
        <v>61385</v>
      </c>
      <c r="F17" s="6">
        <v>309.07347499999997</v>
      </c>
      <c r="G17" s="7">
        <v>2.3987846E-2</v>
      </c>
      <c r="H17" s="6"/>
    </row>
    <row r="18" spans="1:8" ht="17.100000000000001" customHeight="1" x14ac:dyDescent="0.2">
      <c r="A18" s="3">
        <v>12</v>
      </c>
      <c r="B18" s="4" t="s">
        <v>177</v>
      </c>
      <c r="C18" s="4" t="s">
        <v>178</v>
      </c>
      <c r="D18" s="4" t="s">
        <v>85</v>
      </c>
      <c r="E18" s="5">
        <v>309340</v>
      </c>
      <c r="F18" s="6">
        <v>288.61421999999999</v>
      </c>
      <c r="G18" s="7">
        <v>2.239996E-2</v>
      </c>
      <c r="H18" s="6"/>
    </row>
    <row r="19" spans="1:8" ht="17.100000000000001" customHeight="1" x14ac:dyDescent="0.2">
      <c r="A19" s="3">
        <v>13</v>
      </c>
      <c r="B19" s="4" t="s">
        <v>179</v>
      </c>
      <c r="C19" s="4" t="s">
        <v>180</v>
      </c>
      <c r="D19" s="4" t="s">
        <v>181</v>
      </c>
      <c r="E19" s="5">
        <v>18321</v>
      </c>
      <c r="F19" s="6">
        <v>270.32635499999998</v>
      </c>
      <c r="G19" s="7">
        <v>2.0980599999999999E-2</v>
      </c>
      <c r="H19" s="6"/>
    </row>
    <row r="20" spans="1:8" ht="17.100000000000001" customHeight="1" x14ac:dyDescent="0.2">
      <c r="A20" s="3">
        <v>14</v>
      </c>
      <c r="B20" s="4" t="s">
        <v>277</v>
      </c>
      <c r="C20" s="4" t="s">
        <v>278</v>
      </c>
      <c r="D20" s="4" t="s">
        <v>92</v>
      </c>
      <c r="E20" s="5">
        <v>21498</v>
      </c>
      <c r="F20" s="6">
        <v>250.860162</v>
      </c>
      <c r="G20" s="7">
        <v>1.9469786999999999E-2</v>
      </c>
      <c r="H20" s="6"/>
    </row>
    <row r="21" spans="1:8" ht="17.100000000000001" customHeight="1" x14ac:dyDescent="0.2">
      <c r="A21" s="3">
        <v>15</v>
      </c>
      <c r="B21" s="4" t="s">
        <v>174</v>
      </c>
      <c r="C21" s="4" t="s">
        <v>175</v>
      </c>
      <c r="D21" s="4" t="s">
        <v>176</v>
      </c>
      <c r="E21" s="5">
        <v>23695</v>
      </c>
      <c r="F21" s="6">
        <v>249.28324749999999</v>
      </c>
      <c r="G21" s="7">
        <v>1.9347400000000001E-2</v>
      </c>
      <c r="H21" s="6"/>
    </row>
    <row r="22" spans="1:8" ht="17.100000000000001" customHeight="1" x14ac:dyDescent="0.2">
      <c r="A22" s="3">
        <v>16</v>
      </c>
      <c r="B22" s="4" t="s">
        <v>272</v>
      </c>
      <c r="C22" s="4" t="s">
        <v>273</v>
      </c>
      <c r="D22" s="4" t="s">
        <v>28</v>
      </c>
      <c r="E22" s="5">
        <v>30901</v>
      </c>
      <c r="F22" s="6">
        <v>248.598545</v>
      </c>
      <c r="G22" s="7">
        <v>1.9294259000000001E-2</v>
      </c>
      <c r="H22" s="6"/>
    </row>
    <row r="23" spans="1:8" ht="17.100000000000001" customHeight="1" x14ac:dyDescent="0.2">
      <c r="A23" s="3">
        <v>17</v>
      </c>
      <c r="B23" s="4" t="s">
        <v>204</v>
      </c>
      <c r="C23" s="4" t="s">
        <v>205</v>
      </c>
      <c r="D23" s="4" t="s">
        <v>85</v>
      </c>
      <c r="E23" s="5">
        <v>30235</v>
      </c>
      <c r="F23" s="6">
        <v>235.22829999999999</v>
      </c>
      <c r="G23" s="7">
        <v>1.8256565999999998E-2</v>
      </c>
      <c r="H23" s="6"/>
    </row>
    <row r="24" spans="1:8" ht="17.100000000000001" customHeight="1" x14ac:dyDescent="0.2">
      <c r="A24" s="3">
        <v>18</v>
      </c>
      <c r="B24" s="4" t="s">
        <v>172</v>
      </c>
      <c r="C24" s="4" t="s">
        <v>173</v>
      </c>
      <c r="D24" s="4" t="s">
        <v>994</v>
      </c>
      <c r="E24" s="5">
        <v>40028</v>
      </c>
      <c r="F24" s="6">
        <v>212.268484</v>
      </c>
      <c r="G24" s="7">
        <v>1.6474605999999999E-2</v>
      </c>
      <c r="H24" s="6"/>
    </row>
    <row r="25" spans="1:8" ht="17.100000000000001" customHeight="1" x14ac:dyDescent="0.2">
      <c r="A25" s="3">
        <v>19</v>
      </c>
      <c r="B25" s="4" t="s">
        <v>184</v>
      </c>
      <c r="C25" s="4" t="s">
        <v>185</v>
      </c>
      <c r="D25" s="4" t="s">
        <v>186</v>
      </c>
      <c r="E25" s="5">
        <v>19596</v>
      </c>
      <c r="F25" s="6">
        <v>208.25649000000001</v>
      </c>
      <c r="G25" s="7">
        <v>1.6163225999999999E-2</v>
      </c>
      <c r="H25" s="6"/>
    </row>
    <row r="26" spans="1:8" ht="17.100000000000001" customHeight="1" x14ac:dyDescent="0.2">
      <c r="A26" s="3">
        <v>20</v>
      </c>
      <c r="B26" s="4" t="s">
        <v>270</v>
      </c>
      <c r="C26" s="4" t="s">
        <v>271</v>
      </c>
      <c r="D26" s="4" t="s">
        <v>28</v>
      </c>
      <c r="E26" s="5">
        <v>20083</v>
      </c>
      <c r="F26" s="6">
        <v>205.49929750000001</v>
      </c>
      <c r="G26" s="7">
        <v>1.5949234999999999E-2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14772</v>
      </c>
      <c r="F27" s="6">
        <v>202.620138</v>
      </c>
      <c r="G27" s="7">
        <v>1.5725777E-2</v>
      </c>
      <c r="H27" s="6"/>
    </row>
    <row r="28" spans="1:8" ht="29.1" customHeight="1" x14ac:dyDescent="0.2">
      <c r="A28" s="3">
        <v>22</v>
      </c>
      <c r="B28" s="4" t="s">
        <v>189</v>
      </c>
      <c r="C28" s="4" t="s">
        <v>190</v>
      </c>
      <c r="D28" s="4" t="s">
        <v>191</v>
      </c>
      <c r="E28" s="5">
        <v>28411</v>
      </c>
      <c r="F28" s="6">
        <v>200.02764550000001</v>
      </c>
      <c r="G28" s="7">
        <v>1.5524568000000001E-2</v>
      </c>
      <c r="H28" s="6"/>
    </row>
    <row r="29" spans="1:8" ht="17.100000000000001" customHeight="1" x14ac:dyDescent="0.2">
      <c r="A29" s="3">
        <v>23</v>
      </c>
      <c r="B29" s="4" t="s">
        <v>482</v>
      </c>
      <c r="C29" s="4" t="s">
        <v>483</v>
      </c>
      <c r="D29" s="4" t="s">
        <v>47</v>
      </c>
      <c r="E29" s="5">
        <v>26887</v>
      </c>
      <c r="F29" s="6">
        <v>198.27818149999999</v>
      </c>
      <c r="G29" s="7">
        <v>1.5388789E-2</v>
      </c>
      <c r="H29" s="6"/>
    </row>
    <row r="30" spans="1:8" ht="17.100000000000001" customHeight="1" x14ac:dyDescent="0.2">
      <c r="A30" s="3">
        <v>24</v>
      </c>
      <c r="B30" s="4" t="s">
        <v>490</v>
      </c>
      <c r="C30" s="4" t="s">
        <v>491</v>
      </c>
      <c r="D30" s="4" t="s">
        <v>28</v>
      </c>
      <c r="E30" s="5">
        <v>36323</v>
      </c>
      <c r="F30" s="6">
        <v>194.9273795</v>
      </c>
      <c r="G30" s="7">
        <v>1.5128726E-2</v>
      </c>
      <c r="H30" s="6"/>
    </row>
    <row r="31" spans="1:8" ht="17.100000000000001" customHeight="1" x14ac:dyDescent="0.2">
      <c r="A31" s="3">
        <v>25</v>
      </c>
      <c r="B31" s="4" t="s">
        <v>484</v>
      </c>
      <c r="C31" s="4" t="s">
        <v>485</v>
      </c>
      <c r="D31" s="4" t="s">
        <v>85</v>
      </c>
      <c r="E31" s="5">
        <v>17966</v>
      </c>
      <c r="F31" s="6">
        <v>192.50568999999999</v>
      </c>
      <c r="G31" s="7">
        <v>1.4940774E-2</v>
      </c>
      <c r="H31" s="6"/>
    </row>
    <row r="32" spans="1:8" ht="17.100000000000001" customHeight="1" x14ac:dyDescent="0.2">
      <c r="A32" s="3">
        <v>26</v>
      </c>
      <c r="B32" s="4" t="s">
        <v>194</v>
      </c>
      <c r="C32" s="4" t="s">
        <v>195</v>
      </c>
      <c r="D32" s="4" t="s">
        <v>85</v>
      </c>
      <c r="E32" s="5">
        <v>38223</v>
      </c>
      <c r="F32" s="6">
        <v>184.88465099999999</v>
      </c>
      <c r="G32" s="7">
        <v>1.4349288999999999E-2</v>
      </c>
      <c r="H32" s="6"/>
    </row>
    <row r="33" spans="1:8" ht="17.100000000000001" customHeight="1" x14ac:dyDescent="0.2">
      <c r="A33" s="3">
        <v>27</v>
      </c>
      <c r="B33" s="4" t="s">
        <v>480</v>
      </c>
      <c r="C33" s="4" t="s">
        <v>481</v>
      </c>
      <c r="D33" s="4" t="s">
        <v>80</v>
      </c>
      <c r="E33" s="5">
        <v>20160</v>
      </c>
      <c r="F33" s="6">
        <v>184.8672</v>
      </c>
      <c r="G33" s="7">
        <v>1.4347934E-2</v>
      </c>
      <c r="H33" s="6"/>
    </row>
    <row r="34" spans="1:8" ht="29.1" customHeight="1" x14ac:dyDescent="0.2">
      <c r="A34" s="3">
        <v>28</v>
      </c>
      <c r="B34" s="4" t="s">
        <v>226</v>
      </c>
      <c r="C34" s="4" t="s">
        <v>227</v>
      </c>
      <c r="D34" s="4" t="s">
        <v>80</v>
      </c>
      <c r="E34" s="5">
        <v>9500</v>
      </c>
      <c r="F34" s="6">
        <v>167.922</v>
      </c>
      <c r="G34" s="7">
        <v>1.3032781E-2</v>
      </c>
      <c r="H34" s="6"/>
    </row>
    <row r="35" spans="1:8" ht="17.100000000000001" customHeight="1" x14ac:dyDescent="0.2">
      <c r="A35" s="3">
        <v>29</v>
      </c>
      <c r="B35" s="4" t="s">
        <v>182</v>
      </c>
      <c r="C35" s="4" t="s">
        <v>183</v>
      </c>
      <c r="D35" s="4" t="s">
        <v>80</v>
      </c>
      <c r="E35" s="5">
        <v>29252</v>
      </c>
      <c r="F35" s="6">
        <v>167.891854</v>
      </c>
      <c r="G35" s="7">
        <v>1.3030442E-2</v>
      </c>
      <c r="H35" s="6"/>
    </row>
    <row r="36" spans="1:8" ht="29.1" customHeight="1" x14ac:dyDescent="0.2">
      <c r="A36" s="3">
        <v>30</v>
      </c>
      <c r="B36" s="4" t="s">
        <v>504</v>
      </c>
      <c r="C36" s="4" t="s">
        <v>505</v>
      </c>
      <c r="D36" s="4" t="s">
        <v>198</v>
      </c>
      <c r="E36" s="5">
        <v>2436</v>
      </c>
      <c r="F36" s="6">
        <v>166.67599200000001</v>
      </c>
      <c r="G36" s="7">
        <v>1.2936075999999999E-2</v>
      </c>
      <c r="H36" s="6"/>
    </row>
    <row r="37" spans="1:8" ht="29.1" customHeight="1" x14ac:dyDescent="0.2">
      <c r="A37" s="3">
        <v>31</v>
      </c>
      <c r="B37" s="4" t="s">
        <v>196</v>
      </c>
      <c r="C37" s="4" t="s">
        <v>197</v>
      </c>
      <c r="D37" s="4" t="s">
        <v>198</v>
      </c>
      <c r="E37" s="5">
        <v>46637</v>
      </c>
      <c r="F37" s="6">
        <v>164.6985655</v>
      </c>
      <c r="G37" s="7">
        <v>1.2782603999999999E-2</v>
      </c>
      <c r="H37" s="6"/>
    </row>
    <row r="38" spans="1:8" ht="29.1" customHeight="1" x14ac:dyDescent="0.2">
      <c r="A38" s="3">
        <v>32</v>
      </c>
      <c r="B38" s="4" t="s">
        <v>298</v>
      </c>
      <c r="C38" s="4" t="s">
        <v>299</v>
      </c>
      <c r="D38" s="4" t="s">
        <v>25</v>
      </c>
      <c r="E38" s="5">
        <v>88609</v>
      </c>
      <c r="F38" s="6">
        <v>162.46460149999999</v>
      </c>
      <c r="G38" s="7">
        <v>1.2609221E-2</v>
      </c>
      <c r="H38" s="6"/>
    </row>
    <row r="39" spans="1:8" ht="29.1" customHeight="1" x14ac:dyDescent="0.2">
      <c r="A39" s="3">
        <v>33</v>
      </c>
      <c r="B39" s="4" t="s">
        <v>285</v>
      </c>
      <c r="C39" s="4" t="s">
        <v>286</v>
      </c>
      <c r="D39" s="4" t="s">
        <v>233</v>
      </c>
      <c r="E39" s="5">
        <v>28703</v>
      </c>
      <c r="F39" s="6">
        <v>159.48821950000001</v>
      </c>
      <c r="G39" s="7">
        <v>1.2378218E-2</v>
      </c>
      <c r="H39" s="6"/>
    </row>
    <row r="40" spans="1:8" ht="29.1" customHeight="1" x14ac:dyDescent="0.2">
      <c r="A40" s="3">
        <v>34</v>
      </c>
      <c r="B40" s="4" t="s">
        <v>211</v>
      </c>
      <c r="C40" s="4" t="s">
        <v>212</v>
      </c>
      <c r="D40" s="4" t="s">
        <v>198</v>
      </c>
      <c r="E40" s="5">
        <v>27841</v>
      </c>
      <c r="F40" s="6">
        <v>157.9837545</v>
      </c>
      <c r="G40" s="7">
        <v>1.2261453E-2</v>
      </c>
      <c r="H40" s="6"/>
    </row>
    <row r="41" spans="1:8" ht="29.1" customHeight="1" x14ac:dyDescent="0.2">
      <c r="A41" s="3">
        <v>35</v>
      </c>
      <c r="B41" s="4" t="s">
        <v>208</v>
      </c>
      <c r="C41" s="4" t="s">
        <v>209</v>
      </c>
      <c r="D41" s="4" t="s">
        <v>210</v>
      </c>
      <c r="E41" s="5">
        <v>10974</v>
      </c>
      <c r="F41" s="6">
        <v>156.566058</v>
      </c>
      <c r="G41" s="7">
        <v>1.2151423E-2</v>
      </c>
      <c r="H41" s="6"/>
    </row>
    <row r="42" spans="1:8" ht="17.100000000000001" customHeight="1" x14ac:dyDescent="0.2">
      <c r="A42" s="3">
        <v>36</v>
      </c>
      <c r="B42" s="4" t="s">
        <v>283</v>
      </c>
      <c r="C42" s="4" t="s">
        <v>284</v>
      </c>
      <c r="D42" s="4" t="s">
        <v>176</v>
      </c>
      <c r="E42" s="5">
        <v>19892</v>
      </c>
      <c r="F42" s="6">
        <v>155.83392799999999</v>
      </c>
      <c r="G42" s="7">
        <v>1.2094601E-2</v>
      </c>
      <c r="H42" s="6"/>
    </row>
    <row r="43" spans="1:8" ht="17.100000000000001" customHeight="1" x14ac:dyDescent="0.2">
      <c r="A43" s="3">
        <v>37</v>
      </c>
      <c r="B43" s="4" t="s">
        <v>279</v>
      </c>
      <c r="C43" s="4" t="s">
        <v>280</v>
      </c>
      <c r="D43" s="4" t="s">
        <v>28</v>
      </c>
      <c r="E43" s="5">
        <v>20871</v>
      </c>
      <c r="F43" s="6">
        <v>140.37834599999999</v>
      </c>
      <c r="G43" s="7">
        <v>1.089506E-2</v>
      </c>
      <c r="H43" s="6"/>
    </row>
    <row r="44" spans="1:8" ht="29.1" customHeight="1" x14ac:dyDescent="0.2">
      <c r="A44" s="3">
        <v>38</v>
      </c>
      <c r="B44" s="4" t="s">
        <v>206</v>
      </c>
      <c r="C44" s="4" t="s">
        <v>207</v>
      </c>
      <c r="D44" s="4" t="s">
        <v>191</v>
      </c>
      <c r="E44" s="5">
        <v>29888</v>
      </c>
      <c r="F44" s="6">
        <v>140.30921599999999</v>
      </c>
      <c r="G44" s="7">
        <v>1.0889695E-2</v>
      </c>
      <c r="H44" s="6"/>
    </row>
    <row r="45" spans="1:8" ht="17.100000000000001" customHeight="1" x14ac:dyDescent="0.2">
      <c r="A45" s="3">
        <v>39</v>
      </c>
      <c r="B45" s="4" t="s">
        <v>486</v>
      </c>
      <c r="C45" s="4" t="s">
        <v>487</v>
      </c>
      <c r="D45" s="4" t="s">
        <v>28</v>
      </c>
      <c r="E45" s="5">
        <v>19126</v>
      </c>
      <c r="F45" s="6">
        <v>137.80283</v>
      </c>
      <c r="G45" s="7">
        <v>1.0695168999999999E-2</v>
      </c>
      <c r="H45" s="6"/>
    </row>
    <row r="46" spans="1:8" ht="17.100000000000001" customHeight="1" x14ac:dyDescent="0.2">
      <c r="A46" s="3">
        <v>40</v>
      </c>
      <c r="B46" s="4" t="s">
        <v>506</v>
      </c>
      <c r="C46" s="4" t="s">
        <v>507</v>
      </c>
      <c r="D46" s="4" t="s">
        <v>80</v>
      </c>
      <c r="E46" s="5">
        <v>8109</v>
      </c>
      <c r="F46" s="6">
        <v>133.08896250000001</v>
      </c>
      <c r="G46" s="7">
        <v>1.0329316E-2</v>
      </c>
      <c r="H46" s="6"/>
    </row>
    <row r="47" spans="1:8" ht="17.100000000000001" customHeight="1" x14ac:dyDescent="0.2">
      <c r="A47" s="3">
        <v>41</v>
      </c>
      <c r="B47" s="4" t="s">
        <v>215</v>
      </c>
      <c r="C47" s="4" t="s">
        <v>216</v>
      </c>
      <c r="D47" s="4" t="s">
        <v>186</v>
      </c>
      <c r="E47" s="5">
        <v>28472</v>
      </c>
      <c r="F47" s="6">
        <v>129.604544</v>
      </c>
      <c r="G47" s="7">
        <v>1.0058882999999999E-2</v>
      </c>
      <c r="H47" s="6"/>
    </row>
    <row r="48" spans="1:8" ht="29.1" customHeight="1" x14ac:dyDescent="0.2">
      <c r="A48" s="3">
        <v>42</v>
      </c>
      <c r="B48" s="4" t="s">
        <v>224</v>
      </c>
      <c r="C48" s="4" t="s">
        <v>225</v>
      </c>
      <c r="D48" s="4" t="s">
        <v>198</v>
      </c>
      <c r="E48" s="5">
        <v>7795</v>
      </c>
      <c r="F48" s="6">
        <v>126.71941750000001</v>
      </c>
      <c r="G48" s="7">
        <v>9.8349619999999992E-3</v>
      </c>
      <c r="H48" s="6"/>
    </row>
    <row r="49" spans="1:8" ht="17.100000000000001" customHeight="1" x14ac:dyDescent="0.2">
      <c r="A49" s="3">
        <v>43</v>
      </c>
      <c r="B49" s="4" t="s">
        <v>36</v>
      </c>
      <c r="C49" s="4" t="s">
        <v>37</v>
      </c>
      <c r="D49" s="4" t="s">
        <v>28</v>
      </c>
      <c r="E49" s="5">
        <v>3907</v>
      </c>
      <c r="F49" s="6">
        <v>124.30511199999999</v>
      </c>
      <c r="G49" s="7">
        <v>9.6475829999999995E-3</v>
      </c>
      <c r="H49" s="6"/>
    </row>
    <row r="50" spans="1:8" ht="29.1" customHeight="1" x14ac:dyDescent="0.2">
      <c r="A50" s="3">
        <v>44</v>
      </c>
      <c r="B50" s="4" t="s">
        <v>293</v>
      </c>
      <c r="C50" s="4" t="s">
        <v>294</v>
      </c>
      <c r="D50" s="4" t="s">
        <v>295</v>
      </c>
      <c r="E50" s="5">
        <v>36994</v>
      </c>
      <c r="F50" s="6">
        <v>120.82240400000001</v>
      </c>
      <c r="G50" s="7">
        <v>9.3772820000000007E-3</v>
      </c>
      <c r="H50" s="6"/>
    </row>
    <row r="51" spans="1:8" ht="17.100000000000001" customHeight="1" x14ac:dyDescent="0.2">
      <c r="A51" s="3">
        <v>45</v>
      </c>
      <c r="B51" s="4" t="s">
        <v>508</v>
      </c>
      <c r="C51" s="4" t="s">
        <v>509</v>
      </c>
      <c r="D51" s="4" t="s">
        <v>16</v>
      </c>
      <c r="E51" s="5">
        <v>108924</v>
      </c>
      <c r="F51" s="6">
        <v>118.40038800000001</v>
      </c>
      <c r="G51" s="7">
        <v>9.1893040000000006E-3</v>
      </c>
      <c r="H51" s="6"/>
    </row>
    <row r="52" spans="1:8" ht="17.100000000000001" customHeight="1" x14ac:dyDescent="0.2">
      <c r="A52" s="3">
        <v>46</v>
      </c>
      <c r="B52" s="4" t="s">
        <v>492</v>
      </c>
      <c r="C52" s="4" t="s">
        <v>493</v>
      </c>
      <c r="D52" s="4"/>
      <c r="E52" s="5">
        <v>14087</v>
      </c>
      <c r="F52" s="6">
        <v>114.44278799999999</v>
      </c>
      <c r="G52" s="7">
        <v>8.882147E-3</v>
      </c>
      <c r="H52" s="6"/>
    </row>
    <row r="53" spans="1:8" ht="17.100000000000001" customHeight="1" x14ac:dyDescent="0.2">
      <c r="A53" s="3">
        <v>47</v>
      </c>
      <c r="B53" s="4" t="s">
        <v>222</v>
      </c>
      <c r="C53" s="4" t="s">
        <v>223</v>
      </c>
      <c r="D53" s="4" t="s">
        <v>95</v>
      </c>
      <c r="E53" s="5">
        <v>7197</v>
      </c>
      <c r="F53" s="6">
        <v>113.0180895</v>
      </c>
      <c r="G53" s="7">
        <v>8.7715729999999995E-3</v>
      </c>
      <c r="H53" s="6"/>
    </row>
    <row r="54" spans="1:8" ht="17.100000000000001" customHeight="1" x14ac:dyDescent="0.2">
      <c r="A54" s="3">
        <v>48</v>
      </c>
      <c r="B54" s="4" t="s">
        <v>303</v>
      </c>
      <c r="C54" s="4" t="s">
        <v>304</v>
      </c>
      <c r="D54" s="4" t="s">
        <v>19</v>
      </c>
      <c r="E54" s="5">
        <v>59366</v>
      </c>
      <c r="F54" s="6">
        <v>112.172057</v>
      </c>
      <c r="G54" s="7">
        <v>8.7059100000000007E-3</v>
      </c>
      <c r="H54" s="6"/>
    </row>
    <row r="55" spans="1:8" ht="17.100000000000001" customHeight="1" x14ac:dyDescent="0.2">
      <c r="A55" s="3">
        <v>49</v>
      </c>
      <c r="B55" s="4" t="s">
        <v>242</v>
      </c>
      <c r="C55" s="4" t="s">
        <v>243</v>
      </c>
      <c r="D55" s="4" t="s">
        <v>80</v>
      </c>
      <c r="E55" s="5">
        <v>51244</v>
      </c>
      <c r="F55" s="6">
        <v>109.175342</v>
      </c>
      <c r="G55" s="7">
        <v>8.4733289999999999E-3</v>
      </c>
      <c r="H55" s="6"/>
    </row>
    <row r="56" spans="1:8" ht="29.1" customHeight="1" x14ac:dyDescent="0.2">
      <c r="A56" s="3">
        <v>50</v>
      </c>
      <c r="B56" s="4" t="s">
        <v>234</v>
      </c>
      <c r="C56" s="4" t="s">
        <v>235</v>
      </c>
      <c r="D56" s="4" t="s">
        <v>236</v>
      </c>
      <c r="E56" s="5">
        <v>119858</v>
      </c>
      <c r="F56" s="6">
        <v>109.130709</v>
      </c>
      <c r="G56" s="7">
        <v>8.469865E-3</v>
      </c>
      <c r="H56" s="6"/>
    </row>
    <row r="57" spans="1:8" ht="29.1" customHeight="1" x14ac:dyDescent="0.2">
      <c r="A57" s="3">
        <v>51</v>
      </c>
      <c r="B57" s="4" t="s">
        <v>231</v>
      </c>
      <c r="C57" s="4" t="s">
        <v>232</v>
      </c>
      <c r="D57" s="4" t="s">
        <v>233</v>
      </c>
      <c r="E57" s="5">
        <v>30368</v>
      </c>
      <c r="F57" s="6">
        <v>107.53308800000001</v>
      </c>
      <c r="G57" s="7">
        <v>8.34587E-3</v>
      </c>
      <c r="H57" s="6"/>
    </row>
    <row r="58" spans="1:8" ht="17.100000000000001" customHeight="1" x14ac:dyDescent="0.2">
      <c r="A58" s="3">
        <v>52</v>
      </c>
      <c r="B58" s="4" t="s">
        <v>287</v>
      </c>
      <c r="C58" s="4" t="s">
        <v>288</v>
      </c>
      <c r="D58" s="4" t="s">
        <v>85</v>
      </c>
      <c r="E58" s="5">
        <v>214883</v>
      </c>
      <c r="F58" s="6">
        <v>106.2596435</v>
      </c>
      <c r="G58" s="7">
        <v>8.2470359999999993E-3</v>
      </c>
      <c r="H58" s="6"/>
    </row>
    <row r="59" spans="1:8" ht="17.100000000000001" customHeight="1" x14ac:dyDescent="0.2">
      <c r="A59" s="3">
        <v>53</v>
      </c>
      <c r="B59" s="4" t="s">
        <v>291</v>
      </c>
      <c r="C59" s="4" t="s">
        <v>292</v>
      </c>
      <c r="D59" s="4" t="s">
        <v>95</v>
      </c>
      <c r="E59" s="5">
        <v>16139</v>
      </c>
      <c r="F59" s="6">
        <v>101.9097155</v>
      </c>
      <c r="G59" s="7">
        <v>7.9094279999999996E-3</v>
      </c>
      <c r="H59" s="6"/>
    </row>
    <row r="60" spans="1:8" ht="53.1" customHeight="1" x14ac:dyDescent="0.2">
      <c r="A60" s="3">
        <v>54</v>
      </c>
      <c r="B60" s="4" t="s">
        <v>251</v>
      </c>
      <c r="C60" s="4" t="s">
        <v>1141</v>
      </c>
      <c r="D60" s="4" t="s">
        <v>75</v>
      </c>
      <c r="E60" s="5">
        <v>50508</v>
      </c>
      <c r="F60" s="6">
        <v>100.25838</v>
      </c>
      <c r="G60" s="7">
        <v>7.7812649999999999E-3</v>
      </c>
      <c r="H60" s="6"/>
    </row>
    <row r="61" spans="1:8" ht="41.1" customHeight="1" x14ac:dyDescent="0.2">
      <c r="A61" s="3">
        <v>55</v>
      </c>
      <c r="B61" s="4" t="s">
        <v>267</v>
      </c>
      <c r="C61" s="4" t="s">
        <v>268</v>
      </c>
      <c r="D61" s="4" t="s">
        <v>269</v>
      </c>
      <c r="E61" s="5">
        <v>12942</v>
      </c>
      <c r="F61" s="6">
        <v>93.887738999999996</v>
      </c>
      <c r="G61" s="7">
        <v>7.2868259999999997E-3</v>
      </c>
      <c r="H61" s="6"/>
    </row>
    <row r="62" spans="1:8" ht="29.1" customHeight="1" x14ac:dyDescent="0.2">
      <c r="A62" s="3">
        <v>56</v>
      </c>
      <c r="B62" s="4" t="s">
        <v>498</v>
      </c>
      <c r="C62" s="4" t="s">
        <v>499</v>
      </c>
      <c r="D62" s="4" t="s">
        <v>198</v>
      </c>
      <c r="E62" s="5">
        <v>27833</v>
      </c>
      <c r="F62" s="6">
        <v>91.974148499999998</v>
      </c>
      <c r="G62" s="7">
        <v>7.1383080000000003E-3</v>
      </c>
      <c r="H62" s="6"/>
    </row>
    <row r="63" spans="1:8" ht="17.100000000000001" customHeight="1" x14ac:dyDescent="0.2">
      <c r="A63" s="3">
        <v>57</v>
      </c>
      <c r="B63" s="4" t="s">
        <v>263</v>
      </c>
      <c r="C63" s="4" t="s">
        <v>264</v>
      </c>
      <c r="D63" s="4" t="s">
        <v>16</v>
      </c>
      <c r="E63" s="5">
        <v>38906</v>
      </c>
      <c r="F63" s="6">
        <v>88.627868000000007</v>
      </c>
      <c r="G63" s="7">
        <v>6.8785959999999998E-3</v>
      </c>
      <c r="H63" s="6"/>
    </row>
    <row r="64" spans="1:8" ht="29.1" customHeight="1" x14ac:dyDescent="0.2">
      <c r="A64" s="3">
        <v>58</v>
      </c>
      <c r="B64" s="4" t="s">
        <v>510</v>
      </c>
      <c r="C64" s="4" t="s">
        <v>511</v>
      </c>
      <c r="D64" s="4" t="s">
        <v>198</v>
      </c>
      <c r="E64" s="5">
        <v>2024</v>
      </c>
      <c r="F64" s="6">
        <v>87.294107999999994</v>
      </c>
      <c r="G64" s="7">
        <v>6.7750800000000002E-3</v>
      </c>
      <c r="H64" s="6"/>
    </row>
    <row r="65" spans="1:8" ht="17.100000000000001" customHeight="1" x14ac:dyDescent="0.2">
      <c r="A65" s="3">
        <v>59</v>
      </c>
      <c r="B65" s="4" t="s">
        <v>244</v>
      </c>
      <c r="C65" s="4" t="s">
        <v>245</v>
      </c>
      <c r="D65" s="4" t="s">
        <v>95</v>
      </c>
      <c r="E65" s="5">
        <v>15982</v>
      </c>
      <c r="F65" s="6">
        <v>83.945454999999995</v>
      </c>
      <c r="G65" s="7">
        <v>6.5151840000000003E-3</v>
      </c>
      <c r="H65" s="6"/>
    </row>
    <row r="66" spans="1:8" ht="29.1" customHeight="1" x14ac:dyDescent="0.2">
      <c r="A66" s="3">
        <v>60</v>
      </c>
      <c r="B66" s="4" t="s">
        <v>512</v>
      </c>
      <c r="C66" s="4" t="s">
        <v>513</v>
      </c>
      <c r="D66" s="4" t="s">
        <v>57</v>
      </c>
      <c r="E66" s="5">
        <v>103230</v>
      </c>
      <c r="F66" s="6">
        <v>82.893690000000007</v>
      </c>
      <c r="G66" s="7">
        <v>6.4335549999999997E-3</v>
      </c>
      <c r="H66" s="6"/>
    </row>
    <row r="67" spans="1:8" ht="17.100000000000001" customHeight="1" x14ac:dyDescent="0.2">
      <c r="A67" s="3">
        <v>61</v>
      </c>
      <c r="B67" s="4" t="s">
        <v>261</v>
      </c>
      <c r="C67" s="4" t="s">
        <v>262</v>
      </c>
      <c r="D67" s="4" t="s">
        <v>106</v>
      </c>
      <c r="E67" s="5">
        <v>9697</v>
      </c>
      <c r="F67" s="6">
        <v>70.322643999999997</v>
      </c>
      <c r="G67" s="7">
        <v>5.4578889999999996E-3</v>
      </c>
      <c r="H67" s="6"/>
    </row>
    <row r="68" spans="1:8" ht="17.100000000000001" customHeight="1" x14ac:dyDescent="0.2">
      <c r="A68" s="3">
        <v>62</v>
      </c>
      <c r="B68" s="4" t="s">
        <v>252</v>
      </c>
      <c r="C68" s="4" t="s">
        <v>253</v>
      </c>
      <c r="D68" s="4" t="s">
        <v>254</v>
      </c>
      <c r="E68" s="5">
        <v>54852</v>
      </c>
      <c r="F68" s="6">
        <v>65.081897999999995</v>
      </c>
      <c r="G68" s="7">
        <v>5.0511439999999996E-3</v>
      </c>
      <c r="H68" s="6"/>
    </row>
    <row r="69" spans="1:8" ht="17.100000000000001" customHeight="1" x14ac:dyDescent="0.2">
      <c r="A69" s="3">
        <v>63</v>
      </c>
      <c r="B69" s="4" t="s">
        <v>257</v>
      </c>
      <c r="C69" s="4" t="s">
        <v>258</v>
      </c>
      <c r="D69" s="4" t="s">
        <v>186</v>
      </c>
      <c r="E69" s="5">
        <v>65833</v>
      </c>
      <c r="F69" s="6">
        <v>63.989676000000003</v>
      </c>
      <c r="G69" s="7">
        <v>4.966374E-3</v>
      </c>
      <c r="H69" s="6"/>
    </row>
    <row r="70" spans="1:8" ht="17.100000000000001" customHeight="1" x14ac:dyDescent="0.2">
      <c r="A70" s="3">
        <v>64</v>
      </c>
      <c r="B70" s="4" t="s">
        <v>240</v>
      </c>
      <c r="C70" s="4" t="s">
        <v>241</v>
      </c>
      <c r="D70" s="4" t="s">
        <v>80</v>
      </c>
      <c r="E70" s="5">
        <v>11620</v>
      </c>
      <c r="F70" s="6">
        <v>62.742190000000001</v>
      </c>
      <c r="G70" s="7">
        <v>4.8695539999999999E-3</v>
      </c>
      <c r="H70" s="6"/>
    </row>
    <row r="71" spans="1:8" ht="29.1" customHeight="1" x14ac:dyDescent="0.2">
      <c r="A71" s="3">
        <v>65</v>
      </c>
      <c r="B71" s="4" t="s">
        <v>265</v>
      </c>
      <c r="C71" s="4" t="s">
        <v>266</v>
      </c>
      <c r="D71" s="4" t="s">
        <v>198</v>
      </c>
      <c r="E71" s="5">
        <v>1438</v>
      </c>
      <c r="F71" s="6">
        <v>61.378872999999999</v>
      </c>
      <c r="G71" s="7">
        <v>4.7637440000000003E-3</v>
      </c>
      <c r="H71" s="6"/>
    </row>
    <row r="72" spans="1:8" ht="17.100000000000001" customHeight="1" x14ac:dyDescent="0.2">
      <c r="A72" s="3">
        <v>66</v>
      </c>
      <c r="B72" s="4" t="s">
        <v>488</v>
      </c>
      <c r="C72" s="4" t="s">
        <v>489</v>
      </c>
      <c r="D72" s="4" t="s">
        <v>80</v>
      </c>
      <c r="E72" s="5">
        <v>5957</v>
      </c>
      <c r="F72" s="6">
        <v>61.023508</v>
      </c>
      <c r="G72" s="7">
        <v>4.7361629999999998E-3</v>
      </c>
      <c r="H72" s="6"/>
    </row>
    <row r="73" spans="1:8" ht="17.100000000000001" customHeight="1" x14ac:dyDescent="0.2">
      <c r="A73" s="3">
        <v>67</v>
      </c>
      <c r="B73" s="4" t="s">
        <v>281</v>
      </c>
      <c r="C73" s="4" t="s">
        <v>282</v>
      </c>
      <c r="D73" s="4" t="s">
        <v>28</v>
      </c>
      <c r="E73" s="5">
        <v>2395</v>
      </c>
      <c r="F73" s="6">
        <v>54.609592499999998</v>
      </c>
      <c r="G73" s="7">
        <v>4.2383660000000004E-3</v>
      </c>
      <c r="H73" s="6"/>
    </row>
    <row r="74" spans="1:8" ht="17.100000000000001" customHeight="1" x14ac:dyDescent="0.2">
      <c r="A74" s="3">
        <v>68</v>
      </c>
      <c r="B74" s="4" t="s">
        <v>115</v>
      </c>
      <c r="C74" s="4" t="s">
        <v>116</v>
      </c>
      <c r="D74" s="4" t="s">
        <v>92</v>
      </c>
      <c r="E74" s="5">
        <v>72875</v>
      </c>
      <c r="F74" s="6">
        <v>53.052999999999997</v>
      </c>
      <c r="G74" s="7">
        <v>4.1175550000000002E-3</v>
      </c>
      <c r="H74" s="6"/>
    </row>
    <row r="75" spans="1:8" ht="29.1" customHeight="1" x14ac:dyDescent="0.2">
      <c r="A75" s="3">
        <v>69</v>
      </c>
      <c r="B75" s="4" t="s">
        <v>307</v>
      </c>
      <c r="C75" s="4" t="s">
        <v>308</v>
      </c>
      <c r="D75" s="4" t="s">
        <v>198</v>
      </c>
      <c r="E75" s="5">
        <v>23079</v>
      </c>
      <c r="F75" s="6">
        <v>52.458567000000002</v>
      </c>
      <c r="G75" s="7">
        <v>4.0714200000000001E-3</v>
      </c>
      <c r="H75" s="6"/>
    </row>
    <row r="76" spans="1:8" ht="29.1" customHeight="1" x14ac:dyDescent="0.2">
      <c r="A76" s="3">
        <v>70</v>
      </c>
      <c r="B76" s="4" t="s">
        <v>305</v>
      </c>
      <c r="C76" s="4" t="s">
        <v>306</v>
      </c>
      <c r="D76" s="4" t="s">
        <v>219</v>
      </c>
      <c r="E76" s="5">
        <v>10835</v>
      </c>
      <c r="F76" s="6">
        <v>52.257204999999999</v>
      </c>
      <c r="G76" s="7">
        <v>4.0557919999999999E-3</v>
      </c>
      <c r="H76" s="6"/>
    </row>
    <row r="77" spans="1:8" ht="17.100000000000001" customHeight="1" x14ac:dyDescent="0.2">
      <c r="A77" s="3">
        <v>71</v>
      </c>
      <c r="B77" s="4" t="s">
        <v>300</v>
      </c>
      <c r="C77" s="4" t="s">
        <v>301</v>
      </c>
      <c r="D77" s="4" t="s">
        <v>302</v>
      </c>
      <c r="E77" s="5">
        <v>7010</v>
      </c>
      <c r="F77" s="6">
        <v>43.654775000000001</v>
      </c>
      <c r="G77" s="7">
        <v>3.3881390000000001E-3</v>
      </c>
      <c r="H77" s="6"/>
    </row>
    <row r="78" spans="1:8" ht="17.100000000000001" customHeight="1" x14ac:dyDescent="0.2">
      <c r="A78" s="3">
        <v>72</v>
      </c>
      <c r="B78" s="4" t="s">
        <v>213</v>
      </c>
      <c r="C78" s="4" t="s">
        <v>214</v>
      </c>
      <c r="D78" s="4" t="s">
        <v>13</v>
      </c>
      <c r="E78" s="5">
        <v>47153</v>
      </c>
      <c r="F78" s="6">
        <v>38.736189500000002</v>
      </c>
      <c r="G78" s="7">
        <v>3.006398E-3</v>
      </c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9">
        <v>12459.003259499999</v>
      </c>
      <c r="G79" s="10">
        <v>0.96696958099999997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121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122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119</v>
      </c>
      <c r="D85" s="1"/>
      <c r="E85" s="1" t="s">
        <v>120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123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124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125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8" customHeight="1" x14ac:dyDescent="0.2">
      <c r="A96" s="1"/>
      <c r="B96" s="1"/>
      <c r="C96" s="2" t="s">
        <v>126</v>
      </c>
      <c r="D96" s="1"/>
      <c r="E96" s="1"/>
      <c r="F96" s="9">
        <v>12459.003259499999</v>
      </c>
      <c r="G96" s="10">
        <v>0.96696958099999997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127</v>
      </c>
      <c r="D98" s="1"/>
      <c r="E98" s="1"/>
      <c r="F98" s="12"/>
      <c r="G98" s="12"/>
      <c r="H98" s="6"/>
    </row>
    <row r="99" spans="1:8" ht="24" customHeight="1" x14ac:dyDescent="0.2">
      <c r="A99" s="1"/>
      <c r="B99" s="1"/>
      <c r="C99" s="2" t="s">
        <v>10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128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129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131</v>
      </c>
      <c r="D111" s="1"/>
      <c r="E111" s="1"/>
      <c r="F111" s="9">
        <v>0</v>
      </c>
      <c r="G111" s="10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132</v>
      </c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133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119</v>
      </c>
      <c r="D115" s="1"/>
      <c r="E115" s="1" t="s">
        <v>120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134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119</v>
      </c>
      <c r="D118" s="1"/>
      <c r="E118" s="1" t="s">
        <v>120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135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119</v>
      </c>
      <c r="D121" s="1"/>
      <c r="E121" s="1" t="s">
        <v>120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136</v>
      </c>
      <c r="D123" s="1"/>
      <c r="E123" s="1"/>
      <c r="F123" s="12"/>
      <c r="G123" s="12"/>
      <c r="H123" s="6"/>
    </row>
    <row r="124" spans="1:8" ht="17.100000000000001" customHeight="1" x14ac:dyDescent="0.2">
      <c r="A124" s="3">
        <v>1</v>
      </c>
      <c r="B124" s="4"/>
      <c r="C124" s="4" t="s">
        <v>137</v>
      </c>
      <c r="D124" s="4"/>
      <c r="E124" s="8"/>
      <c r="F124" s="6">
        <v>262.57079299999998</v>
      </c>
      <c r="G124" s="7">
        <v>2.0378673999999999E-2</v>
      </c>
      <c r="H124" s="6">
        <v>4.1713246754849944</v>
      </c>
    </row>
    <row r="125" spans="1:8" ht="14.1" customHeight="1" x14ac:dyDescent="0.2">
      <c r="A125" s="1"/>
      <c r="B125" s="1"/>
      <c r="C125" s="2" t="s">
        <v>119</v>
      </c>
      <c r="D125" s="1"/>
      <c r="E125" s="1" t="s">
        <v>120</v>
      </c>
      <c r="F125" s="9">
        <v>262.57079299999998</v>
      </c>
      <c r="G125" s="10">
        <v>2.0378673999999999E-2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138</v>
      </c>
      <c r="D127" s="1"/>
      <c r="E127" s="1"/>
      <c r="F127" s="9">
        <v>262.57079299999998</v>
      </c>
      <c r="G127" s="10">
        <v>2.0378673999999999E-2</v>
      </c>
      <c r="H127" s="6"/>
    </row>
    <row r="128" spans="1:8" ht="14.1" customHeight="1" x14ac:dyDescent="0.2">
      <c r="A128" s="1"/>
      <c r="B128" s="1"/>
      <c r="C128" s="12"/>
      <c r="D128" s="1"/>
      <c r="E128" s="1"/>
      <c r="F128" s="1"/>
      <c r="G128" s="1"/>
      <c r="H128" s="6"/>
    </row>
    <row r="129" spans="1:8" ht="14.1" customHeight="1" x14ac:dyDescent="0.2">
      <c r="A129" s="1"/>
      <c r="B129" s="1"/>
      <c r="C129" s="2" t="s">
        <v>139</v>
      </c>
      <c r="D129" s="1"/>
      <c r="E129" s="1"/>
      <c r="F129" s="1"/>
      <c r="G129" s="1"/>
      <c r="H129" s="6"/>
    </row>
    <row r="130" spans="1:8" ht="14.1" customHeight="1" x14ac:dyDescent="0.2">
      <c r="A130" s="1"/>
      <c r="B130" s="1"/>
      <c r="C130" s="2" t="s">
        <v>140</v>
      </c>
      <c r="D130" s="1"/>
      <c r="E130" s="1"/>
      <c r="F130" s="1"/>
      <c r="G130" s="1"/>
      <c r="H130" s="6"/>
    </row>
    <row r="131" spans="1:8" ht="14.1" customHeight="1" x14ac:dyDescent="0.2">
      <c r="A131" s="1"/>
      <c r="B131" s="1"/>
      <c r="C131" s="2" t="s">
        <v>119</v>
      </c>
      <c r="D131" s="1"/>
      <c r="E131" s="1" t="s">
        <v>120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141</v>
      </c>
      <c r="D133" s="1"/>
      <c r="E133" s="1"/>
      <c r="F133" s="1"/>
      <c r="G133" s="1"/>
      <c r="H133" s="6"/>
    </row>
    <row r="134" spans="1:8" ht="14.1" customHeight="1" x14ac:dyDescent="0.2">
      <c r="A134" s="1"/>
      <c r="B134" s="1"/>
      <c r="C134" s="2" t="s">
        <v>142</v>
      </c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119</v>
      </c>
      <c r="D135" s="1"/>
      <c r="E135" s="1" t="s">
        <v>120</v>
      </c>
      <c r="F135" s="13">
        <v>0</v>
      </c>
      <c r="G135" s="14">
        <v>0</v>
      </c>
      <c r="H135" s="6"/>
    </row>
    <row r="136" spans="1:8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24" customHeight="1" x14ac:dyDescent="0.2">
      <c r="A138" s="1"/>
      <c r="B138" s="1"/>
      <c r="C138" s="2" t="s">
        <v>143</v>
      </c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119</v>
      </c>
      <c r="D139" s="1"/>
      <c r="E139" s="1" t="s">
        <v>120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4"/>
      <c r="C141" s="4"/>
      <c r="D141" s="2"/>
      <c r="E141" s="1"/>
      <c r="F141" s="4"/>
      <c r="G141" s="8"/>
      <c r="H141" s="6"/>
    </row>
    <row r="142" spans="1:8" ht="18" customHeight="1" x14ac:dyDescent="0.2">
      <c r="A142" s="8"/>
      <c r="B142" s="4"/>
      <c r="C142" s="4" t="s">
        <v>144</v>
      </c>
      <c r="D142" s="4"/>
      <c r="E142" s="8"/>
      <c r="F142" s="6">
        <v>163.01251160000001</v>
      </c>
      <c r="G142" s="7">
        <v>1.2651746E-2</v>
      </c>
      <c r="H142" s="6"/>
    </row>
    <row r="143" spans="1:8" ht="14.1" customHeight="1" x14ac:dyDescent="0.2">
      <c r="A143" s="11"/>
      <c r="B143" s="11"/>
      <c r="C143" s="2" t="s">
        <v>145</v>
      </c>
      <c r="D143" s="15"/>
      <c r="E143" s="15"/>
      <c r="F143" s="9">
        <v>12884.5865641</v>
      </c>
      <c r="G143" s="10">
        <v>1.0000000010000001</v>
      </c>
      <c r="H143" s="6"/>
    </row>
    <row r="144" spans="1:8" ht="14.1" customHeight="1" x14ac:dyDescent="0.2">
      <c r="A144" s="18"/>
      <c r="B144" s="18"/>
      <c r="C144" s="18"/>
      <c r="D144" s="20"/>
      <c r="E144" s="20"/>
      <c r="F144" s="20"/>
      <c r="G144" s="20"/>
    </row>
    <row r="145" spans="1:15" ht="14.1" customHeight="1" x14ac:dyDescent="0.2">
      <c r="A145" s="18"/>
      <c r="B145" s="265" t="s">
        <v>147</v>
      </c>
      <c r="C145" s="266"/>
      <c r="D145" s="12" t="s">
        <v>120</v>
      </c>
      <c r="E145" s="21"/>
      <c r="F145" s="20"/>
      <c r="G145" s="20"/>
    </row>
    <row r="146" spans="1:15" ht="29.1" customHeight="1" x14ac:dyDescent="0.2">
      <c r="A146" s="18"/>
      <c r="B146" s="272" t="s">
        <v>148</v>
      </c>
      <c r="C146" s="273"/>
      <c r="D146" s="2" t="s">
        <v>149</v>
      </c>
      <c r="E146" s="21"/>
      <c r="F146" s="20"/>
      <c r="G146" s="20"/>
    </row>
    <row r="147" spans="1:15" ht="17.100000000000001" customHeight="1" x14ac:dyDescent="0.2">
      <c r="A147" s="18"/>
      <c r="B147" s="272" t="s">
        <v>150</v>
      </c>
      <c r="C147" s="273"/>
      <c r="D147" s="2" t="s">
        <v>149</v>
      </c>
      <c r="E147" s="21"/>
      <c r="F147" s="20"/>
      <c r="G147" s="20"/>
    </row>
    <row r="148" spans="1:15" ht="17.100000000000001" customHeight="1" x14ac:dyDescent="0.2">
      <c r="A148" s="18"/>
      <c r="B148" s="272" t="s">
        <v>151</v>
      </c>
      <c r="C148" s="273"/>
      <c r="D148" s="12" t="s">
        <v>120</v>
      </c>
      <c r="E148" s="21"/>
      <c r="F148" s="20"/>
      <c r="G148" s="20"/>
    </row>
    <row r="149" spans="1:15" ht="24" customHeight="1" x14ac:dyDescent="0.2">
      <c r="A149" s="22"/>
      <c r="B149" s="23" t="s">
        <v>120</v>
      </c>
      <c r="C149" s="23" t="s">
        <v>152</v>
      </c>
      <c r="D149" s="23" t="s">
        <v>153</v>
      </c>
      <c r="E149" s="22"/>
      <c r="F149" s="22"/>
      <c r="G149" s="22"/>
    </row>
    <row r="150" spans="1:15" ht="18" customHeight="1" x14ac:dyDescent="0.2">
      <c r="A150" s="22"/>
      <c r="B150" s="23" t="s">
        <v>154</v>
      </c>
      <c r="C150" s="23" t="s">
        <v>155</v>
      </c>
      <c r="D150" s="23" t="s">
        <v>156</v>
      </c>
      <c r="E150" s="22"/>
      <c r="F150" s="22"/>
      <c r="G150" s="22"/>
    </row>
    <row r="151" spans="1:15" ht="17.100000000000001" customHeight="1" x14ac:dyDescent="0.2">
      <c r="A151" s="22"/>
      <c r="B151" s="4" t="s">
        <v>157</v>
      </c>
      <c r="C151" s="24">
        <v>21.4682</v>
      </c>
      <c r="D151" s="24">
        <v>20.3108</v>
      </c>
      <c r="E151" s="22"/>
      <c r="F151" s="19"/>
      <c r="G151" s="25"/>
    </row>
    <row r="152" spans="1:15" ht="17.100000000000001" customHeight="1" x14ac:dyDescent="0.2">
      <c r="A152" s="22"/>
      <c r="B152" s="4" t="s">
        <v>1120</v>
      </c>
      <c r="C152" s="24">
        <v>20.149999999999999</v>
      </c>
      <c r="D152" s="24">
        <v>19.063700000000001</v>
      </c>
      <c r="E152" s="22"/>
      <c r="F152" s="19"/>
      <c r="G152" s="25"/>
    </row>
    <row r="153" spans="1:15" ht="17.100000000000001" customHeight="1" x14ac:dyDescent="0.2">
      <c r="A153" s="22"/>
      <c r="B153" s="4" t="s">
        <v>158</v>
      </c>
      <c r="C153" s="24">
        <v>21.112100000000002</v>
      </c>
      <c r="D153" s="24">
        <v>19.966899999999999</v>
      </c>
      <c r="E153" s="22"/>
      <c r="F153" s="19"/>
      <c r="G153" s="25"/>
    </row>
    <row r="154" spans="1:15" ht="17.100000000000001" customHeight="1" x14ac:dyDescent="0.2">
      <c r="A154" s="22"/>
      <c r="B154" s="4" t="s">
        <v>1121</v>
      </c>
      <c r="C154" s="24">
        <v>19.799199999999999</v>
      </c>
      <c r="D154" s="24">
        <v>18.725200000000001</v>
      </c>
      <c r="E154" s="22"/>
      <c r="F154" s="19"/>
      <c r="G154" s="25"/>
    </row>
    <row r="155" spans="1:15" ht="14.1" customHeight="1" x14ac:dyDescent="0.2">
      <c r="A155" s="22"/>
      <c r="B155" s="22"/>
      <c r="C155" s="22"/>
      <c r="D155" s="22"/>
      <c r="E155" s="22"/>
      <c r="F155" s="22"/>
      <c r="G155" s="22"/>
    </row>
    <row r="156" spans="1:15" ht="17.100000000000001" customHeight="1" x14ac:dyDescent="0.2">
      <c r="A156" s="22"/>
      <c r="B156" s="272" t="s">
        <v>1122</v>
      </c>
      <c r="C156" s="273"/>
      <c r="D156" s="2" t="s">
        <v>149</v>
      </c>
      <c r="E156" s="22"/>
      <c r="F156" s="22"/>
      <c r="G156" s="22"/>
      <c r="J156" s="170"/>
      <c r="K156" s="170"/>
      <c r="L156" s="170"/>
      <c r="M156" s="170"/>
      <c r="N156" s="170"/>
      <c r="O156" s="170"/>
    </row>
    <row r="157" spans="1:15" ht="14.1" customHeight="1" x14ac:dyDescent="0.2">
      <c r="A157" s="22"/>
      <c r="B157" s="19"/>
      <c r="C157" s="19"/>
      <c r="D157" s="22"/>
      <c r="E157" s="22"/>
      <c r="F157" s="22"/>
      <c r="G157" s="22"/>
    </row>
    <row r="158" spans="1:15" ht="29.1" customHeight="1" x14ac:dyDescent="0.2">
      <c r="A158" s="22"/>
      <c r="B158" s="272" t="s">
        <v>160</v>
      </c>
      <c r="C158" s="273"/>
      <c r="D158" s="2" t="s">
        <v>149</v>
      </c>
      <c r="E158" s="22"/>
      <c r="F158" s="22"/>
      <c r="G158" s="22"/>
    </row>
    <row r="159" spans="1:15" ht="29.1" customHeight="1" x14ac:dyDescent="0.2">
      <c r="A159" s="22"/>
      <c r="B159" s="272" t="s">
        <v>161</v>
      </c>
      <c r="C159" s="273"/>
      <c r="D159" s="2" t="s">
        <v>149</v>
      </c>
      <c r="E159" s="22"/>
      <c r="F159" s="22"/>
      <c r="G159" s="22"/>
    </row>
    <row r="160" spans="1:15" ht="17.100000000000001" customHeight="1" x14ac:dyDescent="0.2">
      <c r="A160" s="22"/>
      <c r="B160" s="272" t="s">
        <v>162</v>
      </c>
      <c r="C160" s="273"/>
      <c r="D160" s="27">
        <v>0.431612</v>
      </c>
      <c r="E160" s="22"/>
      <c r="F160" s="19"/>
      <c r="G160" s="25"/>
    </row>
    <row r="161" spans="1:7" ht="17.100000000000001" customHeight="1" x14ac:dyDescent="0.2">
      <c r="A161" s="22"/>
      <c r="B161" s="272" t="s">
        <v>163</v>
      </c>
      <c r="C161" s="273"/>
      <c r="D161" s="2" t="s">
        <v>149</v>
      </c>
      <c r="E161" s="22"/>
      <c r="F161" s="22"/>
      <c r="G161" s="22"/>
    </row>
  </sheetData>
  <mergeCells count="13">
    <mergeCell ref="B160:C160"/>
    <mergeCell ref="B161:C161"/>
    <mergeCell ref="B146:C146"/>
    <mergeCell ref="B147:C147"/>
    <mergeCell ref="B148:C148"/>
    <mergeCell ref="B156:C156"/>
    <mergeCell ref="B158:C158"/>
    <mergeCell ref="B159:C159"/>
    <mergeCell ref="J2:N2"/>
    <mergeCell ref="B145:C145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514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9903</v>
      </c>
      <c r="F7" s="6">
        <v>122.430789</v>
      </c>
      <c r="G7" s="7">
        <v>3.6628730999999998E-2</v>
      </c>
      <c r="H7" s="6"/>
    </row>
    <row r="8" spans="1:14" ht="17.100000000000001" customHeight="1" x14ac:dyDescent="0.2">
      <c r="A8" s="3">
        <v>2</v>
      </c>
      <c r="B8" s="4" t="s">
        <v>182</v>
      </c>
      <c r="C8" s="4" t="s">
        <v>183</v>
      </c>
      <c r="D8" s="4" t="s">
        <v>80</v>
      </c>
      <c r="E8" s="5">
        <v>17758</v>
      </c>
      <c r="F8" s="6">
        <v>101.92204099999999</v>
      </c>
      <c r="G8" s="7">
        <v>3.0492943000000002E-2</v>
      </c>
      <c r="H8" s="6"/>
    </row>
    <row r="9" spans="1:14" ht="29.1" customHeight="1" x14ac:dyDescent="0.2">
      <c r="A9" s="3">
        <v>3</v>
      </c>
      <c r="B9" s="4" t="s">
        <v>192</v>
      </c>
      <c r="C9" s="4" t="s">
        <v>193</v>
      </c>
      <c r="D9" s="4" t="s">
        <v>80</v>
      </c>
      <c r="E9" s="5">
        <v>27823</v>
      </c>
      <c r="F9" s="6">
        <v>100.5662335</v>
      </c>
      <c r="G9" s="7">
        <v>3.0087314E-2</v>
      </c>
      <c r="H9" s="6"/>
    </row>
    <row r="10" spans="1:14" ht="17.100000000000001" customHeight="1" x14ac:dyDescent="0.2">
      <c r="A10" s="3">
        <v>4</v>
      </c>
      <c r="B10" s="4" t="s">
        <v>246</v>
      </c>
      <c r="C10" s="4" t="s">
        <v>247</v>
      </c>
      <c r="D10" s="4" t="s">
        <v>248</v>
      </c>
      <c r="E10" s="5">
        <v>54959</v>
      </c>
      <c r="F10" s="6">
        <v>99.9979005</v>
      </c>
      <c r="G10" s="7">
        <v>2.9917280000000001E-2</v>
      </c>
      <c r="H10" s="6"/>
    </row>
    <row r="11" spans="1:14" ht="29.1" customHeight="1" x14ac:dyDescent="0.2">
      <c r="A11" s="3">
        <v>5</v>
      </c>
      <c r="B11" s="4" t="s">
        <v>217</v>
      </c>
      <c r="C11" s="4" t="s">
        <v>218</v>
      </c>
      <c r="D11" s="4" t="s">
        <v>219</v>
      </c>
      <c r="E11" s="5">
        <v>2544</v>
      </c>
      <c r="F11" s="6">
        <v>99.838008000000002</v>
      </c>
      <c r="G11" s="7">
        <v>2.9869443999999998E-2</v>
      </c>
      <c r="H11" s="6"/>
    </row>
    <row r="12" spans="1:14" ht="17.100000000000001" customHeight="1" x14ac:dyDescent="0.2">
      <c r="A12" s="3">
        <v>6</v>
      </c>
      <c r="B12" s="4" t="s">
        <v>279</v>
      </c>
      <c r="C12" s="4" t="s">
        <v>280</v>
      </c>
      <c r="D12" s="4" t="s">
        <v>28</v>
      </c>
      <c r="E12" s="5">
        <v>14341</v>
      </c>
      <c r="F12" s="6">
        <v>96.457566</v>
      </c>
      <c r="G12" s="7">
        <v>2.8858086000000002E-2</v>
      </c>
      <c r="H12" s="6"/>
      <c r="J12" s="169" t="s">
        <v>1145</v>
      </c>
    </row>
    <row r="13" spans="1:14" ht="17.100000000000001" customHeight="1" x14ac:dyDescent="0.2">
      <c r="A13" s="3">
        <v>7</v>
      </c>
      <c r="B13" s="4" t="s">
        <v>78</v>
      </c>
      <c r="C13" s="4" t="s">
        <v>79</v>
      </c>
      <c r="D13" s="4" t="s">
        <v>80</v>
      </c>
      <c r="E13" s="5">
        <v>19114</v>
      </c>
      <c r="F13" s="6">
        <v>93.438789</v>
      </c>
      <c r="G13" s="7">
        <v>2.7954930999999999E-2</v>
      </c>
      <c r="H13" s="6"/>
    </row>
    <row r="14" spans="1:14" ht="17.100000000000001" customHeight="1" x14ac:dyDescent="0.2">
      <c r="A14" s="3">
        <v>8</v>
      </c>
      <c r="B14" s="4" t="s">
        <v>177</v>
      </c>
      <c r="C14" s="4" t="s">
        <v>178</v>
      </c>
      <c r="D14" s="4" t="s">
        <v>85</v>
      </c>
      <c r="E14" s="5">
        <v>91263</v>
      </c>
      <c r="F14" s="6">
        <v>85.148379000000006</v>
      </c>
      <c r="G14" s="7">
        <v>2.5474614E-2</v>
      </c>
      <c r="H14" s="6"/>
    </row>
    <row r="15" spans="1:14" ht="17.100000000000001" customHeight="1" x14ac:dyDescent="0.2">
      <c r="A15" s="3">
        <v>9</v>
      </c>
      <c r="B15" s="4" t="s">
        <v>201</v>
      </c>
      <c r="C15" s="4" t="s">
        <v>202</v>
      </c>
      <c r="D15" s="4" t="s">
        <v>203</v>
      </c>
      <c r="E15" s="5">
        <v>16846</v>
      </c>
      <c r="F15" s="6">
        <v>84.819609999999997</v>
      </c>
      <c r="G15" s="7">
        <v>2.5376253000000001E-2</v>
      </c>
      <c r="H15" s="6"/>
    </row>
    <row r="16" spans="1:14" ht="17.100000000000001" customHeight="1" x14ac:dyDescent="0.2">
      <c r="A16" s="3">
        <v>10</v>
      </c>
      <c r="B16" s="4" t="s">
        <v>272</v>
      </c>
      <c r="C16" s="4" t="s">
        <v>273</v>
      </c>
      <c r="D16" s="4" t="s">
        <v>28</v>
      </c>
      <c r="E16" s="5">
        <v>10424</v>
      </c>
      <c r="F16" s="6">
        <v>83.861080000000001</v>
      </c>
      <c r="G16" s="7">
        <v>2.5089481E-2</v>
      </c>
      <c r="H16" s="6"/>
    </row>
    <row r="17" spans="1:8" ht="17.100000000000001" customHeight="1" x14ac:dyDescent="0.2">
      <c r="A17" s="3">
        <v>11</v>
      </c>
      <c r="B17" s="4" t="s">
        <v>249</v>
      </c>
      <c r="C17" s="4" t="s">
        <v>250</v>
      </c>
      <c r="D17" s="4" t="s">
        <v>994</v>
      </c>
      <c r="E17" s="5">
        <v>2123</v>
      </c>
      <c r="F17" s="6">
        <v>79.822676999999999</v>
      </c>
      <c r="G17" s="7">
        <v>2.3881275E-2</v>
      </c>
      <c r="H17" s="6"/>
    </row>
    <row r="18" spans="1:8" ht="17.100000000000001" customHeight="1" x14ac:dyDescent="0.2">
      <c r="A18" s="3">
        <v>12</v>
      </c>
      <c r="B18" s="4" t="s">
        <v>277</v>
      </c>
      <c r="C18" s="4" t="s">
        <v>278</v>
      </c>
      <c r="D18" s="4" t="s">
        <v>92</v>
      </c>
      <c r="E18" s="5">
        <v>6440</v>
      </c>
      <c r="F18" s="6">
        <v>75.148359999999997</v>
      </c>
      <c r="G18" s="7">
        <v>2.2482816999999999E-2</v>
      </c>
      <c r="H18" s="6"/>
    </row>
    <row r="19" spans="1:8" ht="17.100000000000001" customHeight="1" x14ac:dyDescent="0.2">
      <c r="A19" s="3">
        <v>13</v>
      </c>
      <c r="B19" s="4" t="s">
        <v>34</v>
      </c>
      <c r="C19" s="4" t="s">
        <v>35</v>
      </c>
      <c r="D19" s="4" t="s">
        <v>28</v>
      </c>
      <c r="E19" s="5">
        <v>5488</v>
      </c>
      <c r="F19" s="6">
        <v>74.367887999999994</v>
      </c>
      <c r="G19" s="7">
        <v>2.2249317000000001E-2</v>
      </c>
      <c r="H19" s="6"/>
    </row>
    <row r="20" spans="1:8" ht="17.100000000000001" customHeight="1" x14ac:dyDescent="0.2">
      <c r="A20" s="3">
        <v>14</v>
      </c>
      <c r="B20" s="4" t="s">
        <v>172</v>
      </c>
      <c r="C20" s="4" t="s">
        <v>173</v>
      </c>
      <c r="D20" s="4" t="s">
        <v>994</v>
      </c>
      <c r="E20" s="5">
        <v>13845</v>
      </c>
      <c r="F20" s="6">
        <v>73.420034999999999</v>
      </c>
      <c r="G20" s="7">
        <v>2.1965739000000001E-2</v>
      </c>
      <c r="H20" s="6"/>
    </row>
    <row r="21" spans="1:8" ht="29.1" customHeight="1" x14ac:dyDescent="0.2">
      <c r="A21" s="3">
        <v>15</v>
      </c>
      <c r="B21" s="4" t="s">
        <v>211</v>
      </c>
      <c r="C21" s="4" t="s">
        <v>212</v>
      </c>
      <c r="D21" s="4" t="s">
        <v>198</v>
      </c>
      <c r="E21" s="5">
        <v>12470</v>
      </c>
      <c r="F21" s="6">
        <v>70.761015</v>
      </c>
      <c r="G21" s="7">
        <v>2.1170215999999999E-2</v>
      </c>
      <c r="H21" s="6"/>
    </row>
    <row r="22" spans="1:8" ht="17.100000000000001" customHeight="1" x14ac:dyDescent="0.2">
      <c r="A22" s="3">
        <v>16</v>
      </c>
      <c r="B22" s="4" t="s">
        <v>237</v>
      </c>
      <c r="C22" s="4" t="s">
        <v>238</v>
      </c>
      <c r="D22" s="4" t="s">
        <v>239</v>
      </c>
      <c r="E22" s="5">
        <v>24416</v>
      </c>
      <c r="F22" s="6">
        <v>68.572336000000007</v>
      </c>
      <c r="G22" s="7">
        <v>2.0515408999999998E-2</v>
      </c>
      <c r="H22" s="6"/>
    </row>
    <row r="23" spans="1:8" ht="17.100000000000001" customHeight="1" x14ac:dyDescent="0.2">
      <c r="A23" s="3">
        <v>17</v>
      </c>
      <c r="B23" s="4" t="s">
        <v>32</v>
      </c>
      <c r="C23" s="4" t="s">
        <v>33</v>
      </c>
      <c r="D23" s="4" t="s">
        <v>28</v>
      </c>
      <c r="E23" s="5">
        <v>3892</v>
      </c>
      <c r="F23" s="6">
        <v>66.710825999999997</v>
      </c>
      <c r="G23" s="7">
        <v>1.9958483999999999E-2</v>
      </c>
      <c r="H23" s="6"/>
    </row>
    <row r="24" spans="1:8" ht="17.100000000000001" customHeight="1" x14ac:dyDescent="0.2">
      <c r="A24" s="3">
        <v>18</v>
      </c>
      <c r="B24" s="4" t="s">
        <v>480</v>
      </c>
      <c r="C24" s="4" t="s">
        <v>481</v>
      </c>
      <c r="D24" s="4" t="s">
        <v>80</v>
      </c>
      <c r="E24" s="5">
        <v>6741</v>
      </c>
      <c r="F24" s="6">
        <v>61.814970000000002</v>
      </c>
      <c r="G24" s="7">
        <v>1.8493745999999998E-2</v>
      </c>
      <c r="H24" s="6"/>
    </row>
    <row r="25" spans="1:8" ht="17.100000000000001" customHeight="1" x14ac:dyDescent="0.2">
      <c r="A25" s="3">
        <v>19</v>
      </c>
      <c r="B25" s="4" t="s">
        <v>90</v>
      </c>
      <c r="C25" s="4" t="s">
        <v>91</v>
      </c>
      <c r="D25" s="4" t="s">
        <v>92</v>
      </c>
      <c r="E25" s="5">
        <v>13250</v>
      </c>
      <c r="F25" s="6">
        <v>61.566125</v>
      </c>
      <c r="G25" s="7">
        <v>1.8419297000000001E-2</v>
      </c>
      <c r="H25" s="6"/>
    </row>
    <row r="26" spans="1:8" ht="17.100000000000001" customHeight="1" x14ac:dyDescent="0.2">
      <c r="A26" s="3">
        <v>20</v>
      </c>
      <c r="B26" s="4" t="s">
        <v>213</v>
      </c>
      <c r="C26" s="4" t="s">
        <v>214</v>
      </c>
      <c r="D26" s="4" t="s">
        <v>13</v>
      </c>
      <c r="E26" s="5">
        <v>70325</v>
      </c>
      <c r="F26" s="6">
        <v>57.771987500000002</v>
      </c>
      <c r="G26" s="7">
        <v>1.7284170000000001E-2</v>
      </c>
      <c r="H26" s="6"/>
    </row>
    <row r="27" spans="1:8" ht="29.1" customHeight="1" x14ac:dyDescent="0.2">
      <c r="A27" s="3">
        <v>21</v>
      </c>
      <c r="B27" s="4" t="s">
        <v>224</v>
      </c>
      <c r="C27" s="4" t="s">
        <v>225</v>
      </c>
      <c r="D27" s="4" t="s">
        <v>198</v>
      </c>
      <c r="E27" s="5">
        <v>3496</v>
      </c>
      <c r="F27" s="6">
        <v>56.832723999999999</v>
      </c>
      <c r="G27" s="7">
        <v>1.7003161999999999E-2</v>
      </c>
      <c r="H27" s="6"/>
    </row>
    <row r="28" spans="1:8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181</v>
      </c>
      <c r="E28" s="5">
        <v>4118</v>
      </c>
      <c r="F28" s="6">
        <v>56.484546999999999</v>
      </c>
      <c r="G28" s="7">
        <v>1.6898995E-2</v>
      </c>
      <c r="H28" s="6"/>
    </row>
    <row r="29" spans="1:8" ht="29.1" customHeight="1" x14ac:dyDescent="0.2">
      <c r="A29" s="3">
        <v>23</v>
      </c>
      <c r="B29" s="4" t="s">
        <v>43</v>
      </c>
      <c r="C29" s="4" t="s">
        <v>44</v>
      </c>
      <c r="D29" s="4" t="s">
        <v>25</v>
      </c>
      <c r="E29" s="5">
        <v>2327</v>
      </c>
      <c r="F29" s="6">
        <v>55.434957500000003</v>
      </c>
      <c r="G29" s="7">
        <v>1.6584979999999999E-2</v>
      </c>
      <c r="H29" s="6"/>
    </row>
    <row r="30" spans="1:8" ht="29.1" customHeight="1" x14ac:dyDescent="0.2">
      <c r="A30" s="3">
        <v>24</v>
      </c>
      <c r="B30" s="4" t="s">
        <v>189</v>
      </c>
      <c r="C30" s="4" t="s">
        <v>190</v>
      </c>
      <c r="D30" s="4" t="s">
        <v>191</v>
      </c>
      <c r="E30" s="5">
        <v>7830</v>
      </c>
      <c r="F30" s="6">
        <v>55.127115000000003</v>
      </c>
      <c r="G30" s="7">
        <v>1.6492880000000001E-2</v>
      </c>
      <c r="H30" s="6"/>
    </row>
    <row r="31" spans="1:8" ht="29.1" customHeight="1" x14ac:dyDescent="0.2">
      <c r="A31" s="3">
        <v>25</v>
      </c>
      <c r="B31" s="4" t="s">
        <v>478</v>
      </c>
      <c r="C31" s="4" t="s">
        <v>479</v>
      </c>
      <c r="D31" s="4" t="s">
        <v>42</v>
      </c>
      <c r="E31" s="5">
        <v>2999</v>
      </c>
      <c r="F31" s="6">
        <v>54.901193499999998</v>
      </c>
      <c r="G31" s="7">
        <v>1.6425288999999999E-2</v>
      </c>
      <c r="H31" s="6"/>
    </row>
    <row r="32" spans="1:8" ht="17.100000000000001" customHeight="1" x14ac:dyDescent="0.2">
      <c r="A32" s="3">
        <v>26</v>
      </c>
      <c r="B32" s="4" t="s">
        <v>184</v>
      </c>
      <c r="C32" s="4" t="s">
        <v>185</v>
      </c>
      <c r="D32" s="4" t="s">
        <v>186</v>
      </c>
      <c r="E32" s="5">
        <v>5119</v>
      </c>
      <c r="F32" s="6">
        <v>54.402172499999999</v>
      </c>
      <c r="G32" s="7">
        <v>1.6275992E-2</v>
      </c>
      <c r="H32" s="6"/>
    </row>
    <row r="33" spans="1:8" ht="17.100000000000001" customHeight="1" x14ac:dyDescent="0.2">
      <c r="A33" s="3">
        <v>27</v>
      </c>
      <c r="B33" s="4" t="s">
        <v>179</v>
      </c>
      <c r="C33" s="4" t="s">
        <v>180</v>
      </c>
      <c r="D33" s="4" t="s">
        <v>181</v>
      </c>
      <c r="E33" s="5">
        <v>3672</v>
      </c>
      <c r="F33" s="6">
        <v>54.18036</v>
      </c>
      <c r="G33" s="7">
        <v>1.6209629999999999E-2</v>
      </c>
      <c r="H33" s="6"/>
    </row>
    <row r="34" spans="1:8" ht="17.100000000000001" customHeight="1" x14ac:dyDescent="0.2">
      <c r="A34" s="3">
        <v>28</v>
      </c>
      <c r="B34" s="4" t="s">
        <v>199</v>
      </c>
      <c r="C34" s="4" t="s">
        <v>200</v>
      </c>
      <c r="D34" s="4" t="s">
        <v>13</v>
      </c>
      <c r="E34" s="5">
        <v>14751</v>
      </c>
      <c r="F34" s="6">
        <v>53.184730500000001</v>
      </c>
      <c r="G34" s="7">
        <v>1.5911759000000001E-2</v>
      </c>
      <c r="H34" s="6"/>
    </row>
    <row r="35" spans="1:8" ht="17.100000000000001" customHeight="1" x14ac:dyDescent="0.2">
      <c r="A35" s="3">
        <v>29</v>
      </c>
      <c r="B35" s="4" t="s">
        <v>194</v>
      </c>
      <c r="C35" s="4" t="s">
        <v>195</v>
      </c>
      <c r="D35" s="4" t="s">
        <v>85</v>
      </c>
      <c r="E35" s="5">
        <v>10566</v>
      </c>
      <c r="F35" s="6">
        <v>51.107742000000002</v>
      </c>
      <c r="G35" s="7">
        <v>1.5290366999999999E-2</v>
      </c>
      <c r="H35" s="6"/>
    </row>
    <row r="36" spans="1:8" ht="29.1" customHeight="1" x14ac:dyDescent="0.2">
      <c r="A36" s="3">
        <v>30</v>
      </c>
      <c r="B36" s="4" t="s">
        <v>285</v>
      </c>
      <c r="C36" s="4" t="s">
        <v>286</v>
      </c>
      <c r="D36" s="4" t="s">
        <v>233</v>
      </c>
      <c r="E36" s="5">
        <v>9101</v>
      </c>
      <c r="F36" s="6">
        <v>50.569706500000002</v>
      </c>
      <c r="G36" s="7">
        <v>1.5129398E-2</v>
      </c>
      <c r="H36" s="6"/>
    </row>
    <row r="37" spans="1:8" ht="17.100000000000001" customHeight="1" x14ac:dyDescent="0.2">
      <c r="A37" s="3">
        <v>31</v>
      </c>
      <c r="B37" s="4" t="s">
        <v>492</v>
      </c>
      <c r="C37" s="4" t="s">
        <v>493</v>
      </c>
      <c r="D37" s="4"/>
      <c r="E37" s="5">
        <v>6215</v>
      </c>
      <c r="F37" s="6">
        <v>50.490659999999998</v>
      </c>
      <c r="G37" s="7">
        <v>1.5105749E-2</v>
      </c>
      <c r="H37" s="6"/>
    </row>
    <row r="38" spans="1:8" ht="17.100000000000001" customHeight="1" x14ac:dyDescent="0.2">
      <c r="A38" s="3">
        <v>32</v>
      </c>
      <c r="B38" s="4" t="s">
        <v>484</v>
      </c>
      <c r="C38" s="4" t="s">
        <v>485</v>
      </c>
      <c r="D38" s="4" t="s">
        <v>85</v>
      </c>
      <c r="E38" s="5">
        <v>4638</v>
      </c>
      <c r="F38" s="6">
        <v>49.696170000000002</v>
      </c>
      <c r="G38" s="7">
        <v>1.4868055E-2</v>
      </c>
      <c r="H38" s="6"/>
    </row>
    <row r="39" spans="1:8" ht="29.1" customHeight="1" x14ac:dyDescent="0.2">
      <c r="A39" s="3">
        <v>33</v>
      </c>
      <c r="B39" s="4" t="s">
        <v>196</v>
      </c>
      <c r="C39" s="4" t="s">
        <v>197</v>
      </c>
      <c r="D39" s="4" t="s">
        <v>198</v>
      </c>
      <c r="E39" s="5">
        <v>13550</v>
      </c>
      <c r="F39" s="6">
        <v>47.851824999999998</v>
      </c>
      <c r="G39" s="7">
        <v>1.4316265E-2</v>
      </c>
      <c r="H39" s="6"/>
    </row>
    <row r="40" spans="1:8" ht="17.100000000000001" customHeight="1" x14ac:dyDescent="0.2">
      <c r="A40" s="3">
        <v>34</v>
      </c>
      <c r="B40" s="4" t="s">
        <v>283</v>
      </c>
      <c r="C40" s="4" t="s">
        <v>284</v>
      </c>
      <c r="D40" s="4" t="s">
        <v>176</v>
      </c>
      <c r="E40" s="5">
        <v>6040</v>
      </c>
      <c r="F40" s="6">
        <v>47.317360000000001</v>
      </c>
      <c r="G40" s="7">
        <v>1.4156363999999999E-2</v>
      </c>
      <c r="H40" s="6"/>
    </row>
    <row r="41" spans="1:8" ht="29.1" customHeight="1" x14ac:dyDescent="0.2">
      <c r="A41" s="3">
        <v>35</v>
      </c>
      <c r="B41" s="4" t="s">
        <v>234</v>
      </c>
      <c r="C41" s="4" t="s">
        <v>235</v>
      </c>
      <c r="D41" s="4" t="s">
        <v>236</v>
      </c>
      <c r="E41" s="5">
        <v>49629</v>
      </c>
      <c r="F41" s="6">
        <v>45.1872045</v>
      </c>
      <c r="G41" s="7">
        <v>1.3519066E-2</v>
      </c>
      <c r="H41" s="6"/>
    </row>
    <row r="42" spans="1:8" ht="17.100000000000001" customHeight="1" x14ac:dyDescent="0.2">
      <c r="A42" s="3">
        <v>36</v>
      </c>
      <c r="B42" s="4" t="s">
        <v>281</v>
      </c>
      <c r="C42" s="4" t="s">
        <v>282</v>
      </c>
      <c r="D42" s="4" t="s">
        <v>28</v>
      </c>
      <c r="E42" s="5">
        <v>1901</v>
      </c>
      <c r="F42" s="6">
        <v>43.345651500000002</v>
      </c>
      <c r="G42" s="7">
        <v>1.2968112E-2</v>
      </c>
      <c r="H42" s="6"/>
    </row>
    <row r="43" spans="1:8" ht="17.100000000000001" customHeight="1" x14ac:dyDescent="0.2">
      <c r="A43" s="3">
        <v>37</v>
      </c>
      <c r="B43" s="4" t="s">
        <v>228</v>
      </c>
      <c r="C43" s="4" t="s">
        <v>229</v>
      </c>
      <c r="D43" s="4" t="s">
        <v>230</v>
      </c>
      <c r="E43" s="5">
        <v>14444</v>
      </c>
      <c r="F43" s="6">
        <v>42.682020000000001</v>
      </c>
      <c r="G43" s="7">
        <v>1.2769568E-2</v>
      </c>
      <c r="H43" s="6"/>
    </row>
    <row r="44" spans="1:8" ht="17.100000000000001" customHeight="1" x14ac:dyDescent="0.2">
      <c r="A44" s="3">
        <v>38</v>
      </c>
      <c r="B44" s="4" t="s">
        <v>363</v>
      </c>
      <c r="C44" s="4" t="s">
        <v>364</v>
      </c>
      <c r="D44" s="4" t="s">
        <v>95</v>
      </c>
      <c r="E44" s="5">
        <v>1151</v>
      </c>
      <c r="F44" s="6">
        <v>42.576641000000002</v>
      </c>
      <c r="G44" s="7">
        <v>1.2738040000000001E-2</v>
      </c>
      <c r="H44" s="6"/>
    </row>
    <row r="45" spans="1:8" ht="17.100000000000001" customHeight="1" x14ac:dyDescent="0.2">
      <c r="A45" s="3">
        <v>39</v>
      </c>
      <c r="B45" s="4" t="s">
        <v>204</v>
      </c>
      <c r="C45" s="4" t="s">
        <v>205</v>
      </c>
      <c r="D45" s="4" t="s">
        <v>85</v>
      </c>
      <c r="E45" s="5">
        <v>4937</v>
      </c>
      <c r="F45" s="6">
        <v>38.409860000000002</v>
      </c>
      <c r="G45" s="7">
        <v>1.1491427E-2</v>
      </c>
      <c r="H45" s="6"/>
    </row>
    <row r="46" spans="1:8" ht="17.100000000000001" customHeight="1" x14ac:dyDescent="0.2">
      <c r="A46" s="3">
        <v>40</v>
      </c>
      <c r="B46" s="4" t="s">
        <v>174</v>
      </c>
      <c r="C46" s="4" t="s">
        <v>175</v>
      </c>
      <c r="D46" s="4" t="s">
        <v>176</v>
      </c>
      <c r="E46" s="5">
        <v>3553</v>
      </c>
      <c r="F46" s="6">
        <v>37.379336500000001</v>
      </c>
      <c r="G46" s="7">
        <v>1.1183116E-2</v>
      </c>
      <c r="H46" s="6"/>
    </row>
    <row r="47" spans="1:8" ht="17.100000000000001" customHeight="1" x14ac:dyDescent="0.2">
      <c r="A47" s="3">
        <v>41</v>
      </c>
      <c r="B47" s="4" t="s">
        <v>291</v>
      </c>
      <c r="C47" s="4" t="s">
        <v>292</v>
      </c>
      <c r="D47" s="4" t="s">
        <v>95</v>
      </c>
      <c r="E47" s="5">
        <v>5643</v>
      </c>
      <c r="F47" s="6">
        <v>35.632723499999997</v>
      </c>
      <c r="G47" s="7">
        <v>1.0660566E-2</v>
      </c>
      <c r="H47" s="6"/>
    </row>
    <row r="48" spans="1:8" ht="29.1" customHeight="1" x14ac:dyDescent="0.2">
      <c r="A48" s="3">
        <v>42</v>
      </c>
      <c r="B48" s="4" t="s">
        <v>208</v>
      </c>
      <c r="C48" s="4" t="s">
        <v>209</v>
      </c>
      <c r="D48" s="4" t="s">
        <v>210</v>
      </c>
      <c r="E48" s="5">
        <v>2469</v>
      </c>
      <c r="F48" s="6">
        <v>35.225223</v>
      </c>
      <c r="G48" s="7">
        <v>1.053865E-2</v>
      </c>
      <c r="H48" s="6"/>
    </row>
    <row r="49" spans="1:8" ht="53.1" customHeight="1" x14ac:dyDescent="0.2">
      <c r="A49" s="3">
        <v>43</v>
      </c>
      <c r="B49" s="4" t="s">
        <v>251</v>
      </c>
      <c r="C49" s="4" t="s">
        <v>1141</v>
      </c>
      <c r="D49" s="4" t="s">
        <v>75</v>
      </c>
      <c r="E49" s="5">
        <v>17679</v>
      </c>
      <c r="F49" s="6">
        <v>35.092815000000002</v>
      </c>
      <c r="G49" s="7">
        <v>1.0499036E-2</v>
      </c>
      <c r="H49" s="6"/>
    </row>
    <row r="50" spans="1:8" ht="17.100000000000001" customHeight="1" x14ac:dyDescent="0.2">
      <c r="A50" s="3">
        <v>44</v>
      </c>
      <c r="B50" s="4" t="s">
        <v>215</v>
      </c>
      <c r="C50" s="4" t="s">
        <v>216</v>
      </c>
      <c r="D50" s="4" t="s">
        <v>186</v>
      </c>
      <c r="E50" s="5">
        <v>7638</v>
      </c>
      <c r="F50" s="6">
        <v>34.768175999999997</v>
      </c>
      <c r="G50" s="7">
        <v>1.0401911E-2</v>
      </c>
      <c r="H50" s="6"/>
    </row>
    <row r="51" spans="1:8" ht="17.100000000000001" customHeight="1" x14ac:dyDescent="0.2">
      <c r="A51" s="3">
        <v>45</v>
      </c>
      <c r="B51" s="4" t="s">
        <v>270</v>
      </c>
      <c r="C51" s="4" t="s">
        <v>271</v>
      </c>
      <c r="D51" s="4" t="s">
        <v>28</v>
      </c>
      <c r="E51" s="5">
        <v>3361</v>
      </c>
      <c r="F51" s="6">
        <v>34.391432500000001</v>
      </c>
      <c r="G51" s="7">
        <v>1.0289197E-2</v>
      </c>
      <c r="H51" s="6"/>
    </row>
    <row r="52" spans="1:8" ht="17.100000000000001" customHeight="1" x14ac:dyDescent="0.2">
      <c r="A52" s="3">
        <v>46</v>
      </c>
      <c r="B52" s="4" t="s">
        <v>482</v>
      </c>
      <c r="C52" s="4" t="s">
        <v>483</v>
      </c>
      <c r="D52" s="4" t="s">
        <v>47</v>
      </c>
      <c r="E52" s="5">
        <v>4484</v>
      </c>
      <c r="F52" s="6">
        <v>33.067258000000002</v>
      </c>
      <c r="G52" s="7">
        <v>9.8930319999999995E-3</v>
      </c>
      <c r="H52" s="6"/>
    </row>
    <row r="53" spans="1:8" ht="29.1" customHeight="1" x14ac:dyDescent="0.2">
      <c r="A53" s="3">
        <v>47</v>
      </c>
      <c r="B53" s="4" t="s">
        <v>293</v>
      </c>
      <c r="C53" s="4" t="s">
        <v>294</v>
      </c>
      <c r="D53" s="4" t="s">
        <v>295</v>
      </c>
      <c r="E53" s="5">
        <v>10096</v>
      </c>
      <c r="F53" s="6">
        <v>32.973536000000003</v>
      </c>
      <c r="G53" s="7">
        <v>9.8649919999999995E-3</v>
      </c>
      <c r="H53" s="6"/>
    </row>
    <row r="54" spans="1:8" ht="17.100000000000001" customHeight="1" x14ac:dyDescent="0.2">
      <c r="A54" s="3">
        <v>48</v>
      </c>
      <c r="B54" s="4" t="s">
        <v>287</v>
      </c>
      <c r="C54" s="4" t="s">
        <v>288</v>
      </c>
      <c r="D54" s="4" t="s">
        <v>85</v>
      </c>
      <c r="E54" s="5">
        <v>59081</v>
      </c>
      <c r="F54" s="6">
        <v>29.2155545</v>
      </c>
      <c r="G54" s="7">
        <v>8.7406830000000008E-3</v>
      </c>
      <c r="H54" s="6"/>
    </row>
    <row r="55" spans="1:8" ht="17.100000000000001" customHeight="1" x14ac:dyDescent="0.2">
      <c r="A55" s="3">
        <v>49</v>
      </c>
      <c r="B55" s="4" t="s">
        <v>261</v>
      </c>
      <c r="C55" s="4" t="s">
        <v>262</v>
      </c>
      <c r="D55" s="4" t="s">
        <v>106</v>
      </c>
      <c r="E55" s="5">
        <v>3908</v>
      </c>
      <c r="F55" s="6">
        <v>28.340816</v>
      </c>
      <c r="G55" s="7">
        <v>8.4789789999999993E-3</v>
      </c>
      <c r="H55" s="6"/>
    </row>
    <row r="56" spans="1:8" ht="17.100000000000001" customHeight="1" x14ac:dyDescent="0.2">
      <c r="A56" s="3">
        <v>50</v>
      </c>
      <c r="B56" s="4" t="s">
        <v>486</v>
      </c>
      <c r="C56" s="4" t="s">
        <v>487</v>
      </c>
      <c r="D56" s="4" t="s">
        <v>28</v>
      </c>
      <c r="E56" s="5">
        <v>3895</v>
      </c>
      <c r="F56" s="6">
        <v>28.063475</v>
      </c>
      <c r="G56" s="7">
        <v>8.3960049999999998E-3</v>
      </c>
      <c r="H56" s="6"/>
    </row>
    <row r="57" spans="1:8" ht="29.1" customHeight="1" x14ac:dyDescent="0.2">
      <c r="A57" s="3">
        <v>51</v>
      </c>
      <c r="B57" s="4" t="s">
        <v>498</v>
      </c>
      <c r="C57" s="4" t="s">
        <v>499</v>
      </c>
      <c r="D57" s="4" t="s">
        <v>198</v>
      </c>
      <c r="E57" s="5">
        <v>7830</v>
      </c>
      <c r="F57" s="6">
        <v>25.874234999999999</v>
      </c>
      <c r="G57" s="7">
        <v>7.7410300000000003E-3</v>
      </c>
      <c r="H57" s="6"/>
    </row>
    <row r="58" spans="1:8" ht="29.1" customHeight="1" x14ac:dyDescent="0.2">
      <c r="A58" s="3">
        <v>52</v>
      </c>
      <c r="B58" s="4" t="s">
        <v>265</v>
      </c>
      <c r="C58" s="4" t="s">
        <v>266</v>
      </c>
      <c r="D58" s="4" t="s">
        <v>198</v>
      </c>
      <c r="E58" s="5">
        <v>596</v>
      </c>
      <c r="F58" s="6">
        <v>25.439366</v>
      </c>
      <c r="G58" s="7">
        <v>7.6109259999999996E-3</v>
      </c>
      <c r="H58" s="6"/>
    </row>
    <row r="59" spans="1:8" ht="29.1" customHeight="1" x14ac:dyDescent="0.2">
      <c r="A59" s="3">
        <v>53</v>
      </c>
      <c r="B59" s="4" t="s">
        <v>298</v>
      </c>
      <c r="C59" s="4" t="s">
        <v>299</v>
      </c>
      <c r="D59" s="4" t="s">
        <v>25</v>
      </c>
      <c r="E59" s="5">
        <v>13622</v>
      </c>
      <c r="F59" s="6">
        <v>24.975936999999998</v>
      </c>
      <c r="G59" s="7">
        <v>7.4722779999999997E-3</v>
      </c>
      <c r="H59" s="6"/>
    </row>
    <row r="60" spans="1:8" ht="17.100000000000001" customHeight="1" x14ac:dyDescent="0.2">
      <c r="A60" s="3">
        <v>54</v>
      </c>
      <c r="B60" s="4" t="s">
        <v>240</v>
      </c>
      <c r="C60" s="4" t="s">
        <v>241</v>
      </c>
      <c r="D60" s="4" t="s">
        <v>80</v>
      </c>
      <c r="E60" s="5">
        <v>4052</v>
      </c>
      <c r="F60" s="6">
        <v>21.878774</v>
      </c>
      <c r="G60" s="7">
        <v>6.5456719999999998E-3</v>
      </c>
      <c r="H60" s="6"/>
    </row>
    <row r="61" spans="1:8" ht="17.100000000000001" customHeight="1" x14ac:dyDescent="0.2">
      <c r="A61" s="3">
        <v>55</v>
      </c>
      <c r="B61" s="4" t="s">
        <v>252</v>
      </c>
      <c r="C61" s="4" t="s">
        <v>253</v>
      </c>
      <c r="D61" s="4" t="s">
        <v>254</v>
      </c>
      <c r="E61" s="5">
        <v>15875</v>
      </c>
      <c r="F61" s="6">
        <v>18.835687499999999</v>
      </c>
      <c r="G61" s="7">
        <v>5.6352440000000002E-3</v>
      </c>
      <c r="H61" s="6"/>
    </row>
    <row r="62" spans="1:8" ht="17.100000000000001" customHeight="1" x14ac:dyDescent="0.2">
      <c r="A62" s="3">
        <v>56</v>
      </c>
      <c r="B62" s="4" t="s">
        <v>257</v>
      </c>
      <c r="C62" s="4" t="s">
        <v>258</v>
      </c>
      <c r="D62" s="4" t="s">
        <v>186</v>
      </c>
      <c r="E62" s="5">
        <v>18314</v>
      </c>
      <c r="F62" s="6">
        <v>17.801207999999999</v>
      </c>
      <c r="G62" s="7">
        <v>5.3257490000000003E-3</v>
      </c>
      <c r="H62" s="6"/>
    </row>
    <row r="63" spans="1:8" ht="17.100000000000001" customHeight="1" x14ac:dyDescent="0.2">
      <c r="A63" s="3">
        <v>57</v>
      </c>
      <c r="B63" s="4" t="s">
        <v>115</v>
      </c>
      <c r="C63" s="4" t="s">
        <v>116</v>
      </c>
      <c r="D63" s="4" t="s">
        <v>92</v>
      </c>
      <c r="E63" s="5">
        <v>22875</v>
      </c>
      <c r="F63" s="6">
        <v>16.652999999999999</v>
      </c>
      <c r="G63" s="7">
        <v>4.9822290000000003E-3</v>
      </c>
      <c r="H63" s="6"/>
    </row>
    <row r="64" spans="1:8" ht="29.1" customHeight="1" x14ac:dyDescent="0.2">
      <c r="A64" s="3">
        <v>58</v>
      </c>
      <c r="B64" s="4" t="s">
        <v>274</v>
      </c>
      <c r="C64" s="4" t="s">
        <v>275</v>
      </c>
      <c r="D64" s="4" t="s">
        <v>219</v>
      </c>
      <c r="E64" s="5">
        <v>2348</v>
      </c>
      <c r="F64" s="6">
        <v>15.876002</v>
      </c>
      <c r="G64" s="7">
        <v>4.7497679999999997E-3</v>
      </c>
      <c r="H64" s="6"/>
    </row>
    <row r="65" spans="1:8" ht="17.100000000000001" customHeight="1" x14ac:dyDescent="0.2">
      <c r="A65" s="3">
        <v>59</v>
      </c>
      <c r="B65" s="4" t="s">
        <v>303</v>
      </c>
      <c r="C65" s="4" t="s">
        <v>304</v>
      </c>
      <c r="D65" s="4" t="s">
        <v>19</v>
      </c>
      <c r="E65" s="5">
        <v>8216</v>
      </c>
      <c r="F65" s="6">
        <v>15.524132</v>
      </c>
      <c r="G65" s="7">
        <v>4.6444959999999997E-3</v>
      </c>
      <c r="H65" s="6"/>
    </row>
    <row r="66" spans="1:8" ht="17.100000000000001" customHeight="1" x14ac:dyDescent="0.2">
      <c r="A66" s="3">
        <v>60</v>
      </c>
      <c r="B66" s="4" t="s">
        <v>300</v>
      </c>
      <c r="C66" s="4" t="s">
        <v>301</v>
      </c>
      <c r="D66" s="4" t="s">
        <v>302</v>
      </c>
      <c r="E66" s="5">
        <v>2232</v>
      </c>
      <c r="F66" s="6">
        <v>13.89978</v>
      </c>
      <c r="G66" s="7">
        <v>4.1585229999999999E-3</v>
      </c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9">
        <v>3169.1277234999998</v>
      </c>
      <c r="G67" s="10">
        <v>0.94813672699999996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121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122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123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119</v>
      </c>
      <c r="D76" s="1"/>
      <c r="E76" s="1" t="s">
        <v>120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124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125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8" customHeight="1" x14ac:dyDescent="0.2">
      <c r="A84" s="1"/>
      <c r="B84" s="1"/>
      <c r="C84" s="2" t="s">
        <v>126</v>
      </c>
      <c r="D84" s="1"/>
      <c r="E84" s="1"/>
      <c r="F84" s="9">
        <v>3169.1277234999998</v>
      </c>
      <c r="G84" s="10">
        <v>0.94813672699999996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127</v>
      </c>
      <c r="D86" s="1"/>
      <c r="E86" s="1"/>
      <c r="F86" s="12"/>
      <c r="G86" s="12"/>
      <c r="H86" s="6"/>
    </row>
    <row r="87" spans="1:8" ht="24" customHeight="1" x14ac:dyDescent="0.2">
      <c r="A87" s="1"/>
      <c r="B87" s="1"/>
      <c r="C87" s="2" t="s">
        <v>10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128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129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130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131</v>
      </c>
      <c r="D99" s="1"/>
      <c r="E99" s="1"/>
      <c r="F99" s="9">
        <v>0</v>
      </c>
      <c r="G99" s="10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132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133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134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135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136</v>
      </c>
      <c r="D111" s="1"/>
      <c r="E111" s="1"/>
      <c r="F111" s="12"/>
      <c r="G111" s="12"/>
      <c r="H111" s="6"/>
    </row>
    <row r="112" spans="1:8" ht="17.100000000000001" customHeight="1" x14ac:dyDescent="0.2">
      <c r="A112" s="3">
        <v>1</v>
      </c>
      <c r="B112" s="4"/>
      <c r="C112" s="4" t="s">
        <v>137</v>
      </c>
      <c r="D112" s="4"/>
      <c r="E112" s="8"/>
      <c r="F112" s="6">
        <v>173.36428749999999</v>
      </c>
      <c r="G112" s="7">
        <v>5.1866968999999999E-2</v>
      </c>
      <c r="H112" s="6">
        <v>4.1713246754849944</v>
      </c>
    </row>
    <row r="113" spans="1:8" ht="14.1" customHeight="1" x14ac:dyDescent="0.2">
      <c r="A113" s="1"/>
      <c r="B113" s="1"/>
      <c r="C113" s="2" t="s">
        <v>119</v>
      </c>
      <c r="D113" s="1"/>
      <c r="E113" s="1" t="s">
        <v>120</v>
      </c>
      <c r="F113" s="9">
        <v>173.36428749999999</v>
      </c>
      <c r="G113" s="10">
        <v>5.1866968999999999E-2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138</v>
      </c>
      <c r="D115" s="1"/>
      <c r="E115" s="1"/>
      <c r="F115" s="9">
        <v>173.36428749999999</v>
      </c>
      <c r="G115" s="10">
        <v>5.1866968999999999E-2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139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140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119</v>
      </c>
      <c r="D119" s="1"/>
      <c r="E119" s="1" t="s">
        <v>120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141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142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143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8" ht="18" customHeight="1" x14ac:dyDescent="0.2">
      <c r="A130" s="8"/>
      <c r="B130" s="4"/>
      <c r="C130" s="4" t="s">
        <v>144</v>
      </c>
      <c r="D130" s="4"/>
      <c r="E130" s="8"/>
      <c r="F130" s="6">
        <v>-1.23556E-2</v>
      </c>
      <c r="G130" s="7">
        <v>-3.6969999999999999E-6</v>
      </c>
      <c r="H130" s="6"/>
    </row>
    <row r="131" spans="1:8" ht="14.1" customHeight="1" x14ac:dyDescent="0.2">
      <c r="A131" s="11"/>
      <c r="B131" s="11"/>
      <c r="C131" s="2" t="s">
        <v>145</v>
      </c>
      <c r="D131" s="15"/>
      <c r="E131" s="15"/>
      <c r="F131" s="9">
        <v>3342.4796554</v>
      </c>
      <c r="G131" s="10">
        <v>0.99999999900000003</v>
      </c>
      <c r="H131" s="6"/>
    </row>
    <row r="132" spans="1:8" ht="14.1" customHeight="1" x14ac:dyDescent="0.2">
      <c r="A132" s="18"/>
      <c r="B132" s="18"/>
      <c r="C132" s="18"/>
      <c r="D132" s="20"/>
      <c r="E132" s="20"/>
      <c r="F132" s="20"/>
      <c r="G132" s="20"/>
    </row>
    <row r="133" spans="1:8" ht="14.1" customHeight="1" x14ac:dyDescent="0.2">
      <c r="A133" s="18"/>
      <c r="B133" s="265" t="s">
        <v>147</v>
      </c>
      <c r="C133" s="266"/>
      <c r="D133" s="12" t="s">
        <v>120</v>
      </c>
      <c r="E133" s="21"/>
      <c r="F133" s="20"/>
      <c r="G133" s="20"/>
    </row>
    <row r="134" spans="1:8" ht="29.1" customHeight="1" x14ac:dyDescent="0.2">
      <c r="A134" s="18"/>
      <c r="B134" s="272" t="s">
        <v>148</v>
      </c>
      <c r="C134" s="273"/>
      <c r="D134" s="2" t="s">
        <v>149</v>
      </c>
      <c r="E134" s="21"/>
      <c r="F134" s="20"/>
      <c r="G134" s="20"/>
    </row>
    <row r="135" spans="1:8" ht="17.100000000000001" customHeight="1" x14ac:dyDescent="0.2">
      <c r="A135" s="18"/>
      <c r="B135" s="272" t="s">
        <v>150</v>
      </c>
      <c r="C135" s="273"/>
      <c r="D135" s="2" t="s">
        <v>149</v>
      </c>
      <c r="E135" s="21"/>
      <c r="F135" s="20"/>
      <c r="G135" s="20"/>
    </row>
    <row r="136" spans="1:8" ht="17.100000000000001" customHeight="1" x14ac:dyDescent="0.2">
      <c r="A136" s="18"/>
      <c r="B136" s="272" t="s">
        <v>151</v>
      </c>
      <c r="C136" s="273"/>
      <c r="D136" s="12" t="s">
        <v>120</v>
      </c>
      <c r="E136" s="21"/>
      <c r="F136" s="20"/>
      <c r="G136" s="20"/>
    </row>
    <row r="137" spans="1:8" ht="24" customHeight="1" x14ac:dyDescent="0.2">
      <c r="A137" s="22"/>
      <c r="B137" s="23" t="s">
        <v>120</v>
      </c>
      <c r="C137" s="23" t="s">
        <v>152</v>
      </c>
      <c r="D137" s="23" t="s">
        <v>153</v>
      </c>
      <c r="E137" s="22"/>
      <c r="F137" s="22"/>
      <c r="G137" s="22"/>
    </row>
    <row r="138" spans="1:8" ht="18" customHeight="1" x14ac:dyDescent="0.2">
      <c r="A138" s="22"/>
      <c r="B138" s="23" t="s">
        <v>154</v>
      </c>
      <c r="C138" s="23" t="s">
        <v>155</v>
      </c>
      <c r="D138" s="23" t="s">
        <v>156</v>
      </c>
      <c r="E138" s="22"/>
      <c r="F138" s="22"/>
      <c r="G138" s="22"/>
    </row>
    <row r="139" spans="1:8" ht="17.100000000000001" customHeight="1" x14ac:dyDescent="0.2">
      <c r="A139" s="22"/>
      <c r="B139" s="4" t="s">
        <v>157</v>
      </c>
      <c r="C139" s="24">
        <v>16.049299999999999</v>
      </c>
      <c r="D139" s="24">
        <v>15.1623</v>
      </c>
      <c r="E139" s="22"/>
      <c r="F139" s="19"/>
      <c r="G139" s="25"/>
    </row>
    <row r="140" spans="1:8" ht="17.100000000000001" customHeight="1" x14ac:dyDescent="0.2">
      <c r="A140" s="22"/>
      <c r="B140" s="4" t="s">
        <v>1120</v>
      </c>
      <c r="C140" s="24">
        <v>16.049299999999999</v>
      </c>
      <c r="D140" s="24">
        <v>15.1622</v>
      </c>
      <c r="E140" s="22"/>
      <c r="F140" s="19"/>
      <c r="G140" s="25"/>
    </row>
    <row r="141" spans="1:8" ht="17.100000000000001" customHeight="1" x14ac:dyDescent="0.2">
      <c r="A141" s="22"/>
      <c r="B141" s="4" t="s">
        <v>158</v>
      </c>
      <c r="C141" s="24">
        <v>15.645300000000001</v>
      </c>
      <c r="D141" s="24">
        <v>14.7872</v>
      </c>
      <c r="E141" s="22"/>
      <c r="F141" s="19"/>
      <c r="G141" s="25"/>
    </row>
    <row r="142" spans="1:8" ht="17.100000000000001" customHeight="1" x14ac:dyDescent="0.2">
      <c r="A142" s="22"/>
      <c r="B142" s="4" t="s">
        <v>1121</v>
      </c>
      <c r="C142" s="24">
        <v>15.6454</v>
      </c>
      <c r="D142" s="24">
        <v>14.7872</v>
      </c>
      <c r="E142" s="22"/>
      <c r="F142" s="19"/>
      <c r="G142" s="25"/>
    </row>
    <row r="143" spans="1:8" ht="14.1" customHeight="1" x14ac:dyDescent="0.2">
      <c r="A143" s="22"/>
      <c r="B143" s="22"/>
      <c r="C143" s="22"/>
      <c r="D143" s="22"/>
      <c r="E143" s="22"/>
      <c r="F143" s="22"/>
      <c r="G143" s="22"/>
    </row>
    <row r="144" spans="1:8" ht="17.100000000000001" customHeight="1" x14ac:dyDescent="0.2">
      <c r="A144" s="22"/>
      <c r="B144" s="272" t="s">
        <v>1122</v>
      </c>
      <c r="C144" s="273"/>
      <c r="D144" s="2" t="s">
        <v>149</v>
      </c>
      <c r="E144" s="22"/>
      <c r="F144" s="22"/>
      <c r="G144" s="22"/>
    </row>
    <row r="145" spans="1:15" ht="14.1" customHeight="1" x14ac:dyDescent="0.2">
      <c r="A145" s="22"/>
      <c r="B145" s="19"/>
      <c r="C145" s="19"/>
      <c r="D145" s="22"/>
      <c r="E145" s="22"/>
      <c r="F145" s="22"/>
      <c r="G145" s="22"/>
    </row>
    <row r="146" spans="1:15" ht="29.1" customHeight="1" x14ac:dyDescent="0.2">
      <c r="A146" s="22"/>
      <c r="B146" s="272" t="s">
        <v>160</v>
      </c>
      <c r="C146" s="273"/>
      <c r="D146" s="2" t="s">
        <v>149</v>
      </c>
      <c r="E146" s="22"/>
      <c r="F146" s="22"/>
      <c r="G146" s="22"/>
    </row>
    <row r="147" spans="1:15" ht="29.1" customHeight="1" x14ac:dyDescent="0.2">
      <c r="A147" s="22"/>
      <c r="B147" s="272" t="s">
        <v>161</v>
      </c>
      <c r="C147" s="273"/>
      <c r="D147" s="2" t="s">
        <v>149</v>
      </c>
      <c r="E147" s="22"/>
      <c r="F147" s="22"/>
      <c r="G147" s="22"/>
    </row>
    <row r="148" spans="1:15" ht="17.100000000000001" customHeight="1" x14ac:dyDescent="0.2">
      <c r="A148" s="22"/>
      <c r="B148" s="272" t="s">
        <v>162</v>
      </c>
      <c r="C148" s="273"/>
      <c r="D148" s="27">
        <v>0.19389100000000001</v>
      </c>
      <c r="E148" s="22"/>
      <c r="F148" s="19"/>
      <c r="G148" s="25"/>
    </row>
    <row r="149" spans="1:15" ht="17.100000000000001" customHeight="1" x14ac:dyDescent="0.2">
      <c r="A149" s="22"/>
      <c r="B149" s="272" t="s">
        <v>163</v>
      </c>
      <c r="C149" s="273"/>
      <c r="D149" s="2" t="s">
        <v>149</v>
      </c>
      <c r="E149" s="22"/>
      <c r="F149" s="22"/>
      <c r="G149" s="22"/>
    </row>
    <row r="155" spans="1:15" x14ac:dyDescent="0.2">
      <c r="J155" s="170"/>
      <c r="K155" s="170"/>
      <c r="L155" s="170"/>
      <c r="M155" s="170"/>
      <c r="N155" s="170"/>
      <c r="O155" s="170"/>
    </row>
  </sheetData>
  <mergeCells count="13">
    <mergeCell ref="B148:C148"/>
    <mergeCell ref="B149:C149"/>
    <mergeCell ref="B134:C134"/>
    <mergeCell ref="B135:C135"/>
    <mergeCell ref="B136:C136"/>
    <mergeCell ref="B144:C144"/>
    <mergeCell ref="B146:C146"/>
    <mergeCell ref="B147:C147"/>
    <mergeCell ref="J2:N2"/>
    <mergeCell ref="B133:C13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515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5848</v>
      </c>
      <c r="F7" s="6">
        <v>72.298823999999996</v>
      </c>
      <c r="G7" s="7">
        <v>3.4521237000000003E-2</v>
      </c>
      <c r="H7" s="6"/>
    </row>
    <row r="8" spans="1:14" ht="29.1" customHeight="1" x14ac:dyDescent="0.2">
      <c r="A8" s="3">
        <v>2</v>
      </c>
      <c r="B8" s="4" t="s">
        <v>217</v>
      </c>
      <c r="C8" s="4" t="s">
        <v>218</v>
      </c>
      <c r="D8" s="4" t="s">
        <v>219</v>
      </c>
      <c r="E8" s="5">
        <v>1808</v>
      </c>
      <c r="F8" s="6">
        <v>70.954055999999994</v>
      </c>
      <c r="G8" s="7">
        <v>3.3879136999999997E-2</v>
      </c>
      <c r="H8" s="6"/>
    </row>
    <row r="9" spans="1:14" ht="17.100000000000001" customHeight="1" x14ac:dyDescent="0.2">
      <c r="A9" s="3">
        <v>3</v>
      </c>
      <c r="B9" s="4" t="s">
        <v>182</v>
      </c>
      <c r="C9" s="4" t="s">
        <v>183</v>
      </c>
      <c r="D9" s="4" t="s">
        <v>80</v>
      </c>
      <c r="E9" s="5">
        <v>11929</v>
      </c>
      <c r="F9" s="6">
        <v>68.466495499999994</v>
      </c>
      <c r="G9" s="7">
        <v>3.2691377000000001E-2</v>
      </c>
      <c r="H9" s="6"/>
    </row>
    <row r="10" spans="1:14" ht="17.100000000000001" customHeight="1" x14ac:dyDescent="0.2">
      <c r="A10" s="3">
        <v>4</v>
      </c>
      <c r="B10" s="4" t="s">
        <v>246</v>
      </c>
      <c r="C10" s="4" t="s">
        <v>247</v>
      </c>
      <c r="D10" s="4" t="s">
        <v>248</v>
      </c>
      <c r="E10" s="5">
        <v>35443</v>
      </c>
      <c r="F10" s="6">
        <v>64.488538500000004</v>
      </c>
      <c r="G10" s="7">
        <v>3.0791981999999999E-2</v>
      </c>
      <c r="H10" s="6"/>
    </row>
    <row r="11" spans="1:14" ht="29.1" customHeight="1" x14ac:dyDescent="0.2">
      <c r="A11" s="3">
        <v>5</v>
      </c>
      <c r="B11" s="4" t="s">
        <v>192</v>
      </c>
      <c r="C11" s="4" t="s">
        <v>193</v>
      </c>
      <c r="D11" s="4" t="s">
        <v>80</v>
      </c>
      <c r="E11" s="5">
        <v>17793</v>
      </c>
      <c r="F11" s="6">
        <v>64.3127985</v>
      </c>
      <c r="G11" s="7">
        <v>3.0708070000000001E-2</v>
      </c>
      <c r="H11" s="6"/>
    </row>
    <row r="12" spans="1:14" ht="17.100000000000001" customHeight="1" x14ac:dyDescent="0.2">
      <c r="A12" s="3">
        <v>6</v>
      </c>
      <c r="B12" s="4" t="s">
        <v>78</v>
      </c>
      <c r="C12" s="4" t="s">
        <v>79</v>
      </c>
      <c r="D12" s="4" t="s">
        <v>80</v>
      </c>
      <c r="E12" s="5">
        <v>12315</v>
      </c>
      <c r="F12" s="6">
        <v>60.201877500000002</v>
      </c>
      <c r="G12" s="7">
        <v>2.8745188000000001E-2</v>
      </c>
      <c r="H12" s="6"/>
    </row>
    <row r="13" spans="1:14" ht="17.100000000000001" customHeight="1" x14ac:dyDescent="0.2">
      <c r="A13" s="3">
        <v>7</v>
      </c>
      <c r="B13" s="4" t="s">
        <v>279</v>
      </c>
      <c r="C13" s="4" t="s">
        <v>280</v>
      </c>
      <c r="D13" s="4" t="s">
        <v>28</v>
      </c>
      <c r="E13" s="5">
        <v>8948</v>
      </c>
      <c r="F13" s="6">
        <v>60.184247999999997</v>
      </c>
      <c r="G13" s="7">
        <v>2.8736769999999998E-2</v>
      </c>
      <c r="H13" s="6"/>
      <c r="J13" s="169" t="s">
        <v>1145</v>
      </c>
    </row>
    <row r="14" spans="1:14" ht="17.100000000000001" customHeight="1" x14ac:dyDescent="0.2">
      <c r="A14" s="3">
        <v>8</v>
      </c>
      <c r="B14" s="4" t="s">
        <v>177</v>
      </c>
      <c r="C14" s="4" t="s">
        <v>178</v>
      </c>
      <c r="D14" s="4" t="s">
        <v>85</v>
      </c>
      <c r="E14" s="5">
        <v>59758</v>
      </c>
      <c r="F14" s="6">
        <v>55.754213999999997</v>
      </c>
      <c r="G14" s="7">
        <v>2.6621518E-2</v>
      </c>
      <c r="H14" s="6"/>
    </row>
    <row r="15" spans="1:14" ht="17.100000000000001" customHeight="1" x14ac:dyDescent="0.2">
      <c r="A15" s="3">
        <v>9</v>
      </c>
      <c r="B15" s="4" t="s">
        <v>201</v>
      </c>
      <c r="C15" s="4" t="s">
        <v>202</v>
      </c>
      <c r="D15" s="4" t="s">
        <v>203</v>
      </c>
      <c r="E15" s="5">
        <v>10907</v>
      </c>
      <c r="F15" s="6">
        <v>54.916744999999999</v>
      </c>
      <c r="G15" s="7">
        <v>2.6221642999999999E-2</v>
      </c>
      <c r="H15" s="6"/>
    </row>
    <row r="16" spans="1:14" ht="17.100000000000001" customHeight="1" x14ac:dyDescent="0.2">
      <c r="A16" s="3">
        <v>10</v>
      </c>
      <c r="B16" s="4" t="s">
        <v>272</v>
      </c>
      <c r="C16" s="4" t="s">
        <v>273</v>
      </c>
      <c r="D16" s="4" t="s">
        <v>28</v>
      </c>
      <c r="E16" s="5">
        <v>6418</v>
      </c>
      <c r="F16" s="6">
        <v>51.632809999999999</v>
      </c>
      <c r="G16" s="7">
        <v>2.4653629999999999E-2</v>
      </c>
      <c r="H16" s="6"/>
    </row>
    <row r="17" spans="1:8" ht="17.100000000000001" customHeight="1" x14ac:dyDescent="0.2">
      <c r="A17" s="3">
        <v>11</v>
      </c>
      <c r="B17" s="4" t="s">
        <v>249</v>
      </c>
      <c r="C17" s="4" t="s">
        <v>250</v>
      </c>
      <c r="D17" s="4" t="s">
        <v>994</v>
      </c>
      <c r="E17" s="5">
        <v>1308</v>
      </c>
      <c r="F17" s="6">
        <v>49.179492000000003</v>
      </c>
      <c r="G17" s="7">
        <v>2.3482220000000002E-2</v>
      </c>
      <c r="H17" s="6"/>
    </row>
    <row r="18" spans="1:8" ht="17.100000000000001" customHeight="1" x14ac:dyDescent="0.2">
      <c r="A18" s="3">
        <v>12</v>
      </c>
      <c r="B18" s="4" t="s">
        <v>34</v>
      </c>
      <c r="C18" s="4" t="s">
        <v>35</v>
      </c>
      <c r="D18" s="4" t="s">
        <v>28</v>
      </c>
      <c r="E18" s="5">
        <v>3493</v>
      </c>
      <c r="F18" s="6">
        <v>47.333643000000002</v>
      </c>
      <c r="G18" s="7">
        <v>2.2600863999999998E-2</v>
      </c>
      <c r="H18" s="6"/>
    </row>
    <row r="19" spans="1:8" ht="17.100000000000001" customHeight="1" x14ac:dyDescent="0.2">
      <c r="A19" s="3">
        <v>13</v>
      </c>
      <c r="B19" s="4" t="s">
        <v>172</v>
      </c>
      <c r="C19" s="4" t="s">
        <v>173</v>
      </c>
      <c r="D19" s="4" t="s">
        <v>994</v>
      </c>
      <c r="E19" s="5">
        <v>8856</v>
      </c>
      <c r="F19" s="6">
        <v>46.963368000000003</v>
      </c>
      <c r="G19" s="7">
        <v>2.2424065E-2</v>
      </c>
      <c r="H19" s="6"/>
    </row>
    <row r="20" spans="1:8" ht="17.100000000000001" customHeight="1" x14ac:dyDescent="0.2">
      <c r="A20" s="3">
        <v>14</v>
      </c>
      <c r="B20" s="4" t="s">
        <v>237</v>
      </c>
      <c r="C20" s="4" t="s">
        <v>238</v>
      </c>
      <c r="D20" s="4" t="s">
        <v>239</v>
      </c>
      <c r="E20" s="5">
        <v>15930</v>
      </c>
      <c r="F20" s="6">
        <v>44.739404999999998</v>
      </c>
      <c r="G20" s="7">
        <v>2.1362167000000001E-2</v>
      </c>
      <c r="H20" s="6"/>
    </row>
    <row r="21" spans="1:8" ht="17.100000000000001" customHeight="1" x14ac:dyDescent="0.2">
      <c r="A21" s="3">
        <v>15</v>
      </c>
      <c r="B21" s="4" t="s">
        <v>277</v>
      </c>
      <c r="C21" s="4" t="s">
        <v>278</v>
      </c>
      <c r="D21" s="4" t="s">
        <v>92</v>
      </c>
      <c r="E21" s="5">
        <v>3688</v>
      </c>
      <c r="F21" s="6">
        <v>43.035271999999999</v>
      </c>
      <c r="G21" s="7">
        <v>2.0548477999999998E-2</v>
      </c>
      <c r="H21" s="6"/>
    </row>
    <row r="22" spans="1:8" ht="17.100000000000001" customHeight="1" x14ac:dyDescent="0.2">
      <c r="A22" s="3">
        <v>16</v>
      </c>
      <c r="B22" s="4" t="s">
        <v>480</v>
      </c>
      <c r="C22" s="4" t="s">
        <v>481</v>
      </c>
      <c r="D22" s="4" t="s">
        <v>80</v>
      </c>
      <c r="E22" s="5">
        <v>4578</v>
      </c>
      <c r="F22" s="6">
        <v>41.980260000000001</v>
      </c>
      <c r="G22" s="7">
        <v>2.0044731E-2</v>
      </c>
      <c r="H22" s="6"/>
    </row>
    <row r="23" spans="1:8" ht="17.100000000000001" customHeight="1" x14ac:dyDescent="0.2">
      <c r="A23" s="3">
        <v>17</v>
      </c>
      <c r="B23" s="4" t="s">
        <v>32</v>
      </c>
      <c r="C23" s="4" t="s">
        <v>33</v>
      </c>
      <c r="D23" s="4" t="s">
        <v>28</v>
      </c>
      <c r="E23" s="5">
        <v>2365</v>
      </c>
      <c r="F23" s="6">
        <v>40.537282500000003</v>
      </c>
      <c r="G23" s="7">
        <v>1.9355738000000001E-2</v>
      </c>
      <c r="H23" s="6"/>
    </row>
    <row r="24" spans="1:8" ht="29.1" customHeight="1" x14ac:dyDescent="0.2">
      <c r="A24" s="3">
        <v>18</v>
      </c>
      <c r="B24" s="4" t="s">
        <v>211</v>
      </c>
      <c r="C24" s="4" t="s">
        <v>212</v>
      </c>
      <c r="D24" s="4" t="s">
        <v>198</v>
      </c>
      <c r="E24" s="5">
        <v>7139</v>
      </c>
      <c r="F24" s="6">
        <v>40.5102555</v>
      </c>
      <c r="G24" s="7">
        <v>1.9342833E-2</v>
      </c>
      <c r="H24" s="6"/>
    </row>
    <row r="25" spans="1:8" ht="17.100000000000001" customHeight="1" x14ac:dyDescent="0.2">
      <c r="A25" s="3">
        <v>19</v>
      </c>
      <c r="B25" s="4" t="s">
        <v>184</v>
      </c>
      <c r="C25" s="4" t="s">
        <v>185</v>
      </c>
      <c r="D25" s="4" t="s">
        <v>186</v>
      </c>
      <c r="E25" s="5">
        <v>3450</v>
      </c>
      <c r="F25" s="6">
        <v>36.664875000000002</v>
      </c>
      <c r="G25" s="7">
        <v>1.7506740999999999E-2</v>
      </c>
      <c r="H25" s="6"/>
    </row>
    <row r="26" spans="1:8" ht="17.100000000000001" customHeight="1" x14ac:dyDescent="0.2">
      <c r="A26" s="3">
        <v>20</v>
      </c>
      <c r="B26" s="4" t="s">
        <v>90</v>
      </c>
      <c r="C26" s="4" t="s">
        <v>91</v>
      </c>
      <c r="D26" s="4" t="s">
        <v>92</v>
      </c>
      <c r="E26" s="5">
        <v>7883</v>
      </c>
      <c r="F26" s="6">
        <v>36.628359500000002</v>
      </c>
      <c r="G26" s="7">
        <v>1.7489306E-2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2656</v>
      </c>
      <c r="F27" s="6">
        <v>36.431024000000001</v>
      </c>
      <c r="G27" s="7">
        <v>1.7395081999999999E-2</v>
      </c>
      <c r="H27" s="6"/>
    </row>
    <row r="28" spans="1:8" ht="17.100000000000001" customHeight="1" x14ac:dyDescent="0.2">
      <c r="A28" s="3">
        <v>22</v>
      </c>
      <c r="B28" s="4" t="s">
        <v>174</v>
      </c>
      <c r="C28" s="4" t="s">
        <v>175</v>
      </c>
      <c r="D28" s="4" t="s">
        <v>176</v>
      </c>
      <c r="E28" s="5">
        <v>3437</v>
      </c>
      <c r="F28" s="6">
        <v>36.158958499999997</v>
      </c>
      <c r="G28" s="7">
        <v>1.7265177E-2</v>
      </c>
      <c r="H28" s="6"/>
    </row>
    <row r="29" spans="1:8" ht="29.1" customHeight="1" x14ac:dyDescent="0.2">
      <c r="A29" s="3">
        <v>23</v>
      </c>
      <c r="B29" s="4" t="s">
        <v>43</v>
      </c>
      <c r="C29" s="4" t="s">
        <v>44</v>
      </c>
      <c r="D29" s="4" t="s">
        <v>25</v>
      </c>
      <c r="E29" s="5">
        <v>1515</v>
      </c>
      <c r="F29" s="6">
        <v>36.0910875</v>
      </c>
      <c r="G29" s="7">
        <v>1.7232768999999998E-2</v>
      </c>
      <c r="H29" s="6"/>
    </row>
    <row r="30" spans="1:8" ht="29.1" customHeight="1" x14ac:dyDescent="0.2">
      <c r="A30" s="3">
        <v>24</v>
      </c>
      <c r="B30" s="4" t="s">
        <v>189</v>
      </c>
      <c r="C30" s="4" t="s">
        <v>190</v>
      </c>
      <c r="D30" s="4" t="s">
        <v>191</v>
      </c>
      <c r="E30" s="5">
        <v>5082</v>
      </c>
      <c r="F30" s="6">
        <v>35.779820999999998</v>
      </c>
      <c r="G30" s="7">
        <v>1.7084146000000001E-2</v>
      </c>
      <c r="H30" s="6"/>
    </row>
    <row r="31" spans="1:8" ht="17.100000000000001" customHeight="1" x14ac:dyDescent="0.2">
      <c r="A31" s="3">
        <v>25</v>
      </c>
      <c r="B31" s="4" t="s">
        <v>484</v>
      </c>
      <c r="C31" s="4" t="s">
        <v>485</v>
      </c>
      <c r="D31" s="4" t="s">
        <v>85</v>
      </c>
      <c r="E31" s="5">
        <v>3328</v>
      </c>
      <c r="F31" s="6">
        <v>35.659520000000001</v>
      </c>
      <c r="G31" s="7">
        <v>1.7026705E-2</v>
      </c>
      <c r="H31" s="6"/>
    </row>
    <row r="32" spans="1:8" ht="29.1" customHeight="1" x14ac:dyDescent="0.2">
      <c r="A32" s="3">
        <v>26</v>
      </c>
      <c r="B32" s="4" t="s">
        <v>478</v>
      </c>
      <c r="C32" s="4" t="s">
        <v>479</v>
      </c>
      <c r="D32" s="4" t="s">
        <v>42</v>
      </c>
      <c r="E32" s="5">
        <v>1942</v>
      </c>
      <c r="F32" s="6">
        <v>35.551223</v>
      </c>
      <c r="G32" s="7">
        <v>1.6974995E-2</v>
      </c>
      <c r="H32" s="6"/>
    </row>
    <row r="33" spans="1:8" ht="17.100000000000001" customHeight="1" x14ac:dyDescent="0.2">
      <c r="A33" s="3">
        <v>27</v>
      </c>
      <c r="B33" s="4" t="s">
        <v>179</v>
      </c>
      <c r="C33" s="4" t="s">
        <v>180</v>
      </c>
      <c r="D33" s="4" t="s">
        <v>181</v>
      </c>
      <c r="E33" s="5">
        <v>2367</v>
      </c>
      <c r="F33" s="6">
        <v>34.925085000000003</v>
      </c>
      <c r="G33" s="7">
        <v>1.6676027E-2</v>
      </c>
      <c r="H33" s="6"/>
    </row>
    <row r="34" spans="1:8" ht="17.100000000000001" customHeight="1" x14ac:dyDescent="0.2">
      <c r="A34" s="3">
        <v>28</v>
      </c>
      <c r="B34" s="4" t="s">
        <v>281</v>
      </c>
      <c r="C34" s="4" t="s">
        <v>282</v>
      </c>
      <c r="D34" s="4" t="s">
        <v>28</v>
      </c>
      <c r="E34" s="5">
        <v>1501</v>
      </c>
      <c r="F34" s="6">
        <v>34.225051499999999</v>
      </c>
      <c r="G34" s="7">
        <v>1.6341774999999999E-2</v>
      </c>
      <c r="H34" s="6"/>
    </row>
    <row r="35" spans="1:8" ht="17.100000000000001" customHeight="1" x14ac:dyDescent="0.2">
      <c r="A35" s="3">
        <v>29</v>
      </c>
      <c r="B35" s="4" t="s">
        <v>213</v>
      </c>
      <c r="C35" s="4" t="s">
        <v>214</v>
      </c>
      <c r="D35" s="4" t="s">
        <v>13</v>
      </c>
      <c r="E35" s="5">
        <v>40346</v>
      </c>
      <c r="F35" s="6">
        <v>33.144238999999999</v>
      </c>
      <c r="G35" s="7">
        <v>1.5825709E-2</v>
      </c>
      <c r="H35" s="6"/>
    </row>
    <row r="36" spans="1:8" ht="17.100000000000001" customHeight="1" x14ac:dyDescent="0.2">
      <c r="A36" s="3">
        <v>30</v>
      </c>
      <c r="B36" s="4" t="s">
        <v>492</v>
      </c>
      <c r="C36" s="4" t="s">
        <v>493</v>
      </c>
      <c r="D36" s="4"/>
      <c r="E36" s="5">
        <v>3820</v>
      </c>
      <c r="F36" s="6">
        <v>31.03368</v>
      </c>
      <c r="G36" s="7">
        <v>1.4817959E-2</v>
      </c>
      <c r="H36" s="6"/>
    </row>
    <row r="37" spans="1:8" ht="29.1" customHeight="1" x14ac:dyDescent="0.2">
      <c r="A37" s="3">
        <v>31</v>
      </c>
      <c r="B37" s="4" t="s">
        <v>285</v>
      </c>
      <c r="C37" s="4" t="s">
        <v>286</v>
      </c>
      <c r="D37" s="4" t="s">
        <v>233</v>
      </c>
      <c r="E37" s="5">
        <v>5379</v>
      </c>
      <c r="F37" s="6">
        <v>29.888413499999999</v>
      </c>
      <c r="G37" s="7">
        <v>1.4271117E-2</v>
      </c>
      <c r="H37" s="6"/>
    </row>
    <row r="38" spans="1:8" ht="17.100000000000001" customHeight="1" x14ac:dyDescent="0.2">
      <c r="A38" s="3">
        <v>32</v>
      </c>
      <c r="B38" s="4" t="s">
        <v>283</v>
      </c>
      <c r="C38" s="4" t="s">
        <v>284</v>
      </c>
      <c r="D38" s="4" t="s">
        <v>176</v>
      </c>
      <c r="E38" s="5">
        <v>3807</v>
      </c>
      <c r="F38" s="6">
        <v>29.824038000000002</v>
      </c>
      <c r="G38" s="7">
        <v>1.4240378999999999E-2</v>
      </c>
      <c r="H38" s="6"/>
    </row>
    <row r="39" spans="1:8" ht="29.1" customHeight="1" x14ac:dyDescent="0.2">
      <c r="A39" s="3">
        <v>33</v>
      </c>
      <c r="B39" s="4" t="s">
        <v>224</v>
      </c>
      <c r="C39" s="4" t="s">
        <v>225</v>
      </c>
      <c r="D39" s="4" t="s">
        <v>198</v>
      </c>
      <c r="E39" s="5">
        <v>1815</v>
      </c>
      <c r="F39" s="6">
        <v>29.505547499999999</v>
      </c>
      <c r="G39" s="7">
        <v>1.4088306E-2</v>
      </c>
      <c r="H39" s="6"/>
    </row>
    <row r="40" spans="1:8" ht="17.100000000000001" customHeight="1" x14ac:dyDescent="0.2">
      <c r="A40" s="3">
        <v>34</v>
      </c>
      <c r="B40" s="4" t="s">
        <v>194</v>
      </c>
      <c r="C40" s="4" t="s">
        <v>195</v>
      </c>
      <c r="D40" s="4" t="s">
        <v>85</v>
      </c>
      <c r="E40" s="5">
        <v>6030</v>
      </c>
      <c r="F40" s="6">
        <v>29.167110000000001</v>
      </c>
      <c r="G40" s="7">
        <v>1.3926709000000001E-2</v>
      </c>
      <c r="H40" s="6"/>
    </row>
    <row r="41" spans="1:8" ht="17.100000000000001" customHeight="1" x14ac:dyDescent="0.2">
      <c r="A41" s="3">
        <v>35</v>
      </c>
      <c r="B41" s="4" t="s">
        <v>228</v>
      </c>
      <c r="C41" s="4" t="s">
        <v>229</v>
      </c>
      <c r="D41" s="4" t="s">
        <v>230</v>
      </c>
      <c r="E41" s="5">
        <v>9664</v>
      </c>
      <c r="F41" s="6">
        <v>28.557120000000001</v>
      </c>
      <c r="G41" s="7">
        <v>1.3635451E-2</v>
      </c>
      <c r="H41" s="6"/>
    </row>
    <row r="42" spans="1:8" ht="29.1" customHeight="1" x14ac:dyDescent="0.2">
      <c r="A42" s="3">
        <v>36</v>
      </c>
      <c r="B42" s="4" t="s">
        <v>234</v>
      </c>
      <c r="C42" s="4" t="s">
        <v>235</v>
      </c>
      <c r="D42" s="4" t="s">
        <v>236</v>
      </c>
      <c r="E42" s="5">
        <v>31221</v>
      </c>
      <c r="F42" s="6">
        <v>28.426720499999998</v>
      </c>
      <c r="G42" s="7">
        <v>1.3573188E-2</v>
      </c>
      <c r="H42" s="6"/>
    </row>
    <row r="43" spans="1:8" ht="17.100000000000001" customHeight="1" x14ac:dyDescent="0.2">
      <c r="A43" s="3">
        <v>37</v>
      </c>
      <c r="B43" s="4" t="s">
        <v>199</v>
      </c>
      <c r="C43" s="4" t="s">
        <v>200</v>
      </c>
      <c r="D43" s="4" t="s">
        <v>13</v>
      </c>
      <c r="E43" s="5">
        <v>7838</v>
      </c>
      <c r="F43" s="6">
        <v>28.259909</v>
      </c>
      <c r="G43" s="7">
        <v>1.3493539000000001E-2</v>
      </c>
      <c r="H43" s="6"/>
    </row>
    <row r="44" spans="1:8" ht="17.100000000000001" customHeight="1" x14ac:dyDescent="0.2">
      <c r="A44" s="3">
        <v>38</v>
      </c>
      <c r="B44" s="4" t="s">
        <v>363</v>
      </c>
      <c r="C44" s="4" t="s">
        <v>364</v>
      </c>
      <c r="D44" s="4" t="s">
        <v>95</v>
      </c>
      <c r="E44" s="5">
        <v>700</v>
      </c>
      <c r="F44" s="6">
        <v>25.893699999999999</v>
      </c>
      <c r="G44" s="7">
        <v>1.2363722000000001E-2</v>
      </c>
      <c r="H44" s="6"/>
    </row>
    <row r="45" spans="1:8" ht="29.1" customHeight="1" x14ac:dyDescent="0.2">
      <c r="A45" s="3">
        <v>39</v>
      </c>
      <c r="B45" s="4" t="s">
        <v>196</v>
      </c>
      <c r="C45" s="4" t="s">
        <v>197</v>
      </c>
      <c r="D45" s="4" t="s">
        <v>198</v>
      </c>
      <c r="E45" s="5">
        <v>7291</v>
      </c>
      <c r="F45" s="6">
        <v>25.7481665</v>
      </c>
      <c r="G45" s="7">
        <v>1.2294232E-2</v>
      </c>
      <c r="H45" s="6"/>
    </row>
    <row r="46" spans="1:8" ht="17.100000000000001" customHeight="1" x14ac:dyDescent="0.2">
      <c r="A46" s="3">
        <v>40</v>
      </c>
      <c r="B46" s="4" t="s">
        <v>204</v>
      </c>
      <c r="C46" s="4" t="s">
        <v>205</v>
      </c>
      <c r="D46" s="4" t="s">
        <v>85</v>
      </c>
      <c r="E46" s="5">
        <v>3092</v>
      </c>
      <c r="F46" s="6">
        <v>24.055759999999999</v>
      </c>
      <c r="G46" s="7">
        <v>1.1486142E-2</v>
      </c>
      <c r="H46" s="6"/>
    </row>
    <row r="47" spans="1:8" ht="17.100000000000001" customHeight="1" x14ac:dyDescent="0.2">
      <c r="A47" s="3">
        <v>41</v>
      </c>
      <c r="B47" s="4" t="s">
        <v>270</v>
      </c>
      <c r="C47" s="4" t="s">
        <v>271</v>
      </c>
      <c r="D47" s="4" t="s">
        <v>28</v>
      </c>
      <c r="E47" s="5">
        <v>2237</v>
      </c>
      <c r="F47" s="6">
        <v>22.890102500000001</v>
      </c>
      <c r="G47" s="7">
        <v>1.0929563999999999E-2</v>
      </c>
      <c r="H47" s="6"/>
    </row>
    <row r="48" spans="1:8" ht="29.1" customHeight="1" x14ac:dyDescent="0.2">
      <c r="A48" s="3">
        <v>42</v>
      </c>
      <c r="B48" s="4" t="s">
        <v>208</v>
      </c>
      <c r="C48" s="4" t="s">
        <v>209</v>
      </c>
      <c r="D48" s="4" t="s">
        <v>210</v>
      </c>
      <c r="E48" s="5">
        <v>1570</v>
      </c>
      <c r="F48" s="6">
        <v>22.399190000000001</v>
      </c>
      <c r="G48" s="7">
        <v>1.0695163000000001E-2</v>
      </c>
      <c r="H48" s="6"/>
    </row>
    <row r="49" spans="1:8" ht="17.100000000000001" customHeight="1" x14ac:dyDescent="0.2">
      <c r="A49" s="3">
        <v>43</v>
      </c>
      <c r="B49" s="4" t="s">
        <v>215</v>
      </c>
      <c r="C49" s="4" t="s">
        <v>216</v>
      </c>
      <c r="D49" s="4" t="s">
        <v>186</v>
      </c>
      <c r="E49" s="5">
        <v>4776</v>
      </c>
      <c r="F49" s="6">
        <v>21.740352000000001</v>
      </c>
      <c r="G49" s="7">
        <v>1.0380581E-2</v>
      </c>
      <c r="H49" s="6"/>
    </row>
    <row r="50" spans="1:8" ht="17.100000000000001" customHeight="1" x14ac:dyDescent="0.2">
      <c r="A50" s="3">
        <v>44</v>
      </c>
      <c r="B50" s="4" t="s">
        <v>482</v>
      </c>
      <c r="C50" s="4" t="s">
        <v>483</v>
      </c>
      <c r="D50" s="4" t="s">
        <v>47</v>
      </c>
      <c r="E50" s="5">
        <v>2841</v>
      </c>
      <c r="F50" s="6">
        <v>20.950954500000002</v>
      </c>
      <c r="G50" s="7">
        <v>1.0003659999999999E-2</v>
      </c>
      <c r="H50" s="6"/>
    </row>
    <row r="51" spans="1:8" ht="17.100000000000001" customHeight="1" x14ac:dyDescent="0.2">
      <c r="A51" s="3">
        <v>45</v>
      </c>
      <c r="B51" s="4" t="s">
        <v>291</v>
      </c>
      <c r="C51" s="4" t="s">
        <v>292</v>
      </c>
      <c r="D51" s="4" t="s">
        <v>95</v>
      </c>
      <c r="E51" s="5">
        <v>3304</v>
      </c>
      <c r="F51" s="6">
        <v>20.863108</v>
      </c>
      <c r="G51" s="7">
        <v>9.9617149999999995E-3</v>
      </c>
      <c r="H51" s="6"/>
    </row>
    <row r="52" spans="1:8" ht="53.1" customHeight="1" x14ac:dyDescent="0.2">
      <c r="A52" s="3">
        <v>46</v>
      </c>
      <c r="B52" s="4" t="s">
        <v>251</v>
      </c>
      <c r="C52" s="4" t="s">
        <v>1141</v>
      </c>
      <c r="D52" s="4" t="s">
        <v>75</v>
      </c>
      <c r="E52" s="5">
        <v>10454</v>
      </c>
      <c r="F52" s="6">
        <v>20.751190000000001</v>
      </c>
      <c r="G52" s="7">
        <v>9.9082760000000006E-3</v>
      </c>
      <c r="H52" s="6"/>
    </row>
    <row r="53" spans="1:8" ht="17.100000000000001" customHeight="1" x14ac:dyDescent="0.2">
      <c r="A53" s="3">
        <v>47</v>
      </c>
      <c r="B53" s="4" t="s">
        <v>252</v>
      </c>
      <c r="C53" s="4" t="s">
        <v>253</v>
      </c>
      <c r="D53" s="4" t="s">
        <v>254</v>
      </c>
      <c r="E53" s="5">
        <v>17427</v>
      </c>
      <c r="F53" s="6">
        <v>20.677135499999999</v>
      </c>
      <c r="G53" s="7">
        <v>9.8729170000000002E-3</v>
      </c>
      <c r="H53" s="6"/>
    </row>
    <row r="54" spans="1:8" ht="29.1" customHeight="1" x14ac:dyDescent="0.2">
      <c r="A54" s="3">
        <v>48</v>
      </c>
      <c r="B54" s="4" t="s">
        <v>293</v>
      </c>
      <c r="C54" s="4" t="s">
        <v>294</v>
      </c>
      <c r="D54" s="4" t="s">
        <v>295</v>
      </c>
      <c r="E54" s="5">
        <v>6271</v>
      </c>
      <c r="F54" s="6">
        <v>20.481086000000001</v>
      </c>
      <c r="G54" s="7">
        <v>9.7793069999999992E-3</v>
      </c>
      <c r="H54" s="6"/>
    </row>
    <row r="55" spans="1:8" ht="29.1" customHeight="1" x14ac:dyDescent="0.2">
      <c r="A55" s="3">
        <v>49</v>
      </c>
      <c r="B55" s="4" t="s">
        <v>265</v>
      </c>
      <c r="C55" s="4" t="s">
        <v>266</v>
      </c>
      <c r="D55" s="4" t="s">
        <v>198</v>
      </c>
      <c r="E55" s="5">
        <v>472</v>
      </c>
      <c r="F55" s="6">
        <v>20.146612000000001</v>
      </c>
      <c r="G55" s="7">
        <v>9.6196029999999991E-3</v>
      </c>
      <c r="H55" s="6"/>
    </row>
    <row r="56" spans="1:8" ht="17.100000000000001" customHeight="1" x14ac:dyDescent="0.2">
      <c r="A56" s="3">
        <v>50</v>
      </c>
      <c r="B56" s="4" t="s">
        <v>287</v>
      </c>
      <c r="C56" s="4" t="s">
        <v>288</v>
      </c>
      <c r="D56" s="4" t="s">
        <v>85</v>
      </c>
      <c r="E56" s="5">
        <v>38221</v>
      </c>
      <c r="F56" s="6">
        <v>18.900284500000001</v>
      </c>
      <c r="G56" s="7">
        <v>9.0245059999999998E-3</v>
      </c>
      <c r="H56" s="6"/>
    </row>
    <row r="57" spans="1:8" ht="17.100000000000001" customHeight="1" x14ac:dyDescent="0.2">
      <c r="A57" s="3">
        <v>51</v>
      </c>
      <c r="B57" s="4" t="s">
        <v>261</v>
      </c>
      <c r="C57" s="4" t="s">
        <v>262</v>
      </c>
      <c r="D57" s="4" t="s">
        <v>106</v>
      </c>
      <c r="E57" s="5">
        <v>2336</v>
      </c>
      <c r="F57" s="6">
        <v>16.940671999999999</v>
      </c>
      <c r="G57" s="7">
        <v>8.0888309999999995E-3</v>
      </c>
      <c r="H57" s="6"/>
    </row>
    <row r="58" spans="1:8" ht="17.100000000000001" customHeight="1" x14ac:dyDescent="0.2">
      <c r="A58" s="3">
        <v>52</v>
      </c>
      <c r="B58" s="4" t="s">
        <v>486</v>
      </c>
      <c r="C58" s="4" t="s">
        <v>487</v>
      </c>
      <c r="D58" s="4" t="s">
        <v>28</v>
      </c>
      <c r="E58" s="5">
        <v>2300</v>
      </c>
      <c r="F58" s="6">
        <v>16.5715</v>
      </c>
      <c r="G58" s="7">
        <v>7.9125580000000001E-3</v>
      </c>
      <c r="H58" s="6"/>
    </row>
    <row r="59" spans="1:8" ht="29.1" customHeight="1" x14ac:dyDescent="0.2">
      <c r="A59" s="3">
        <v>53</v>
      </c>
      <c r="B59" s="4" t="s">
        <v>298</v>
      </c>
      <c r="C59" s="4" t="s">
        <v>299</v>
      </c>
      <c r="D59" s="4" t="s">
        <v>25</v>
      </c>
      <c r="E59" s="5">
        <v>8397</v>
      </c>
      <c r="F59" s="6">
        <v>15.395899500000001</v>
      </c>
      <c r="G59" s="7">
        <v>7.3512330000000004E-3</v>
      </c>
      <c r="H59" s="6"/>
    </row>
    <row r="60" spans="1:8" ht="29.1" customHeight="1" x14ac:dyDescent="0.2">
      <c r="A60" s="3">
        <v>54</v>
      </c>
      <c r="B60" s="4" t="s">
        <v>498</v>
      </c>
      <c r="C60" s="4" t="s">
        <v>499</v>
      </c>
      <c r="D60" s="4" t="s">
        <v>198</v>
      </c>
      <c r="E60" s="5">
        <v>4476</v>
      </c>
      <c r="F60" s="6">
        <v>14.790941999999999</v>
      </c>
      <c r="G60" s="7">
        <v>7.0623780000000002E-3</v>
      </c>
      <c r="H60" s="6"/>
    </row>
    <row r="61" spans="1:8" ht="17.100000000000001" customHeight="1" x14ac:dyDescent="0.2">
      <c r="A61" s="3">
        <v>55</v>
      </c>
      <c r="B61" s="4" t="s">
        <v>240</v>
      </c>
      <c r="C61" s="4" t="s">
        <v>241</v>
      </c>
      <c r="D61" s="4" t="s">
        <v>80</v>
      </c>
      <c r="E61" s="5">
        <v>2393</v>
      </c>
      <c r="F61" s="6">
        <v>12.921003499999999</v>
      </c>
      <c r="G61" s="7">
        <v>6.1695200000000004E-3</v>
      </c>
      <c r="H61" s="6"/>
    </row>
    <row r="62" spans="1:8" ht="17.100000000000001" customHeight="1" x14ac:dyDescent="0.2">
      <c r="A62" s="3">
        <v>56</v>
      </c>
      <c r="B62" s="4" t="s">
        <v>257</v>
      </c>
      <c r="C62" s="4" t="s">
        <v>258</v>
      </c>
      <c r="D62" s="4" t="s">
        <v>186</v>
      </c>
      <c r="E62" s="5">
        <v>11831</v>
      </c>
      <c r="F62" s="6">
        <v>11.499732</v>
      </c>
      <c r="G62" s="7">
        <v>5.4908910000000003E-3</v>
      </c>
      <c r="H62" s="6"/>
    </row>
    <row r="63" spans="1:8" ht="17.100000000000001" customHeight="1" x14ac:dyDescent="0.2">
      <c r="A63" s="3">
        <v>57</v>
      </c>
      <c r="B63" s="4" t="s">
        <v>115</v>
      </c>
      <c r="C63" s="4" t="s">
        <v>116</v>
      </c>
      <c r="D63" s="4" t="s">
        <v>92</v>
      </c>
      <c r="E63" s="5">
        <v>14375</v>
      </c>
      <c r="F63" s="6">
        <v>10.465</v>
      </c>
      <c r="G63" s="7">
        <v>4.9968269999999997E-3</v>
      </c>
      <c r="H63" s="6"/>
    </row>
    <row r="64" spans="1:8" ht="17.100000000000001" customHeight="1" x14ac:dyDescent="0.2">
      <c r="A64" s="3">
        <v>58</v>
      </c>
      <c r="B64" s="4" t="s">
        <v>303</v>
      </c>
      <c r="C64" s="4" t="s">
        <v>304</v>
      </c>
      <c r="D64" s="4" t="s">
        <v>19</v>
      </c>
      <c r="E64" s="5">
        <v>5306</v>
      </c>
      <c r="F64" s="6">
        <v>10.025687</v>
      </c>
      <c r="G64" s="7">
        <v>4.7870639999999997E-3</v>
      </c>
      <c r="H64" s="6"/>
    </row>
    <row r="65" spans="1:8" ht="17.100000000000001" customHeight="1" x14ac:dyDescent="0.2">
      <c r="A65" s="3">
        <v>59</v>
      </c>
      <c r="B65" s="4" t="s">
        <v>300</v>
      </c>
      <c r="C65" s="4" t="s">
        <v>301</v>
      </c>
      <c r="D65" s="4" t="s">
        <v>302</v>
      </c>
      <c r="E65" s="5">
        <v>1566</v>
      </c>
      <c r="F65" s="6">
        <v>9.7522649999999995</v>
      </c>
      <c r="G65" s="7">
        <v>4.6565110000000003E-3</v>
      </c>
      <c r="H65" s="6"/>
    </row>
    <row r="66" spans="1:8" ht="29.1" customHeight="1" x14ac:dyDescent="0.2">
      <c r="A66" s="3">
        <v>60</v>
      </c>
      <c r="B66" s="4" t="s">
        <v>274</v>
      </c>
      <c r="C66" s="4" t="s">
        <v>275</v>
      </c>
      <c r="D66" s="4" t="s">
        <v>219</v>
      </c>
      <c r="E66" s="5">
        <v>1125</v>
      </c>
      <c r="F66" s="6">
        <v>7.6066874999999996</v>
      </c>
      <c r="G66" s="7">
        <v>3.6320409999999999E-3</v>
      </c>
      <c r="H66" s="6"/>
    </row>
    <row r="67" spans="1:8" ht="17.100000000000001" customHeight="1" x14ac:dyDescent="0.2">
      <c r="A67" s="3">
        <v>61</v>
      </c>
      <c r="B67" s="4" t="s">
        <v>242</v>
      </c>
      <c r="C67" s="4" t="s">
        <v>243</v>
      </c>
      <c r="D67" s="4" t="s">
        <v>80</v>
      </c>
      <c r="E67" s="5">
        <v>2084</v>
      </c>
      <c r="F67" s="6">
        <v>4.4399620000000004</v>
      </c>
      <c r="G67" s="7">
        <v>2.1199930000000001E-3</v>
      </c>
      <c r="H67" s="6"/>
    </row>
    <row r="68" spans="1:8" ht="14.1" customHeight="1" x14ac:dyDescent="0.2">
      <c r="A68" s="1"/>
      <c r="B68" s="1"/>
      <c r="C68" s="2" t="s">
        <v>119</v>
      </c>
      <c r="D68" s="1"/>
      <c r="E68" s="1" t="s">
        <v>120</v>
      </c>
      <c r="F68" s="9">
        <v>2019.3183595</v>
      </c>
      <c r="G68" s="10">
        <v>0.96418396299999998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121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119</v>
      </c>
      <c r="D71" s="1"/>
      <c r="E71" s="1" t="s">
        <v>120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122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119</v>
      </c>
      <c r="D74" s="1"/>
      <c r="E74" s="1" t="s">
        <v>120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123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119</v>
      </c>
      <c r="D77" s="1"/>
      <c r="E77" s="1" t="s">
        <v>120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124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119</v>
      </c>
      <c r="D80" s="1"/>
      <c r="E80" s="1" t="s">
        <v>120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125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119</v>
      </c>
      <c r="D83" s="1"/>
      <c r="E83" s="1" t="s">
        <v>120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8" customHeight="1" x14ac:dyDescent="0.2">
      <c r="A85" s="1"/>
      <c r="B85" s="1"/>
      <c r="C85" s="2" t="s">
        <v>126</v>
      </c>
      <c r="D85" s="1"/>
      <c r="E85" s="1"/>
      <c r="F85" s="9">
        <v>2019.3183595</v>
      </c>
      <c r="G85" s="10">
        <v>0.96418396299999998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127</v>
      </c>
      <c r="D87" s="1"/>
      <c r="E87" s="1"/>
      <c r="F87" s="12"/>
      <c r="G87" s="12"/>
      <c r="H87" s="6"/>
    </row>
    <row r="88" spans="1:8" ht="24" customHeight="1" x14ac:dyDescent="0.2">
      <c r="A88" s="1"/>
      <c r="B88" s="1"/>
      <c r="C88" s="2" t="s">
        <v>10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119</v>
      </c>
      <c r="D89" s="1"/>
      <c r="E89" s="1" t="s">
        <v>120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128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129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119</v>
      </c>
      <c r="D95" s="1"/>
      <c r="E95" s="1" t="s">
        <v>120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130</v>
      </c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119</v>
      </c>
      <c r="D98" s="1"/>
      <c r="E98" s="1" t="s">
        <v>120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131</v>
      </c>
      <c r="D100" s="1"/>
      <c r="E100" s="1"/>
      <c r="F100" s="9">
        <v>0</v>
      </c>
      <c r="G100" s="10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132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133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119</v>
      </c>
      <c r="D104" s="1"/>
      <c r="E104" s="1" t="s">
        <v>120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134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135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 t="s">
        <v>120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136</v>
      </c>
      <c r="D112" s="1"/>
      <c r="E112" s="1"/>
      <c r="F112" s="12"/>
      <c r="G112" s="12"/>
      <c r="H112" s="6"/>
    </row>
    <row r="113" spans="1:8" ht="17.100000000000001" customHeight="1" x14ac:dyDescent="0.2">
      <c r="A113" s="3">
        <v>1</v>
      </c>
      <c r="B113" s="4"/>
      <c r="C113" s="4" t="s">
        <v>137</v>
      </c>
      <c r="D113" s="4"/>
      <c r="E113" s="8"/>
      <c r="F113" s="6">
        <v>109.4974864</v>
      </c>
      <c r="G113" s="7">
        <v>5.2282850999999998E-2</v>
      </c>
      <c r="H113" s="6">
        <v>4.1713246754849944</v>
      </c>
    </row>
    <row r="114" spans="1:8" ht="14.1" customHeight="1" x14ac:dyDescent="0.2">
      <c r="A114" s="1"/>
      <c r="B114" s="1"/>
      <c r="C114" s="2" t="s">
        <v>119</v>
      </c>
      <c r="D114" s="1"/>
      <c r="E114" s="1" t="s">
        <v>120</v>
      </c>
      <c r="F114" s="9">
        <v>109.4974864</v>
      </c>
      <c r="G114" s="10">
        <v>5.2282850999999998E-2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138</v>
      </c>
      <c r="D116" s="1"/>
      <c r="E116" s="1"/>
      <c r="F116" s="9">
        <v>109.4974864</v>
      </c>
      <c r="G116" s="10">
        <v>5.2282850999999998E-2</v>
      </c>
      <c r="H116" s="6"/>
    </row>
    <row r="117" spans="1:8" ht="14.1" customHeight="1" x14ac:dyDescent="0.2">
      <c r="A117" s="1"/>
      <c r="B117" s="1"/>
      <c r="C117" s="12"/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139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140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141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142</v>
      </c>
      <c r="D123" s="1"/>
      <c r="E123" s="1"/>
      <c r="F123" s="1"/>
      <c r="G123" s="1"/>
      <c r="H123" s="6"/>
    </row>
    <row r="124" spans="1:8" ht="14.1" customHeight="1" x14ac:dyDescent="0.2">
      <c r="A124" s="1"/>
      <c r="B124" s="1"/>
      <c r="C124" s="2" t="s">
        <v>119</v>
      </c>
      <c r="D124" s="1"/>
      <c r="E124" s="1" t="s">
        <v>120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24" customHeight="1" x14ac:dyDescent="0.2">
      <c r="A127" s="1"/>
      <c r="B127" s="1"/>
      <c r="C127" s="2" t="s">
        <v>143</v>
      </c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2" t="s">
        <v>119</v>
      </c>
      <c r="D128" s="1"/>
      <c r="E128" s="1" t="s">
        <v>120</v>
      </c>
      <c r="F128" s="13">
        <v>0</v>
      </c>
      <c r="G128" s="14">
        <v>0</v>
      </c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14.1" customHeight="1" x14ac:dyDescent="0.2">
      <c r="A130" s="1"/>
      <c r="B130" s="4"/>
      <c r="C130" s="4"/>
      <c r="D130" s="2"/>
      <c r="E130" s="1"/>
      <c r="F130" s="4"/>
      <c r="G130" s="8"/>
      <c r="H130" s="6"/>
    </row>
    <row r="131" spans="1:8" ht="18" customHeight="1" x14ac:dyDescent="0.2">
      <c r="A131" s="8"/>
      <c r="B131" s="4"/>
      <c r="C131" s="4" t="s">
        <v>144</v>
      </c>
      <c r="D131" s="4"/>
      <c r="E131" s="8"/>
      <c r="F131" s="6">
        <v>-34.486926910000001</v>
      </c>
      <c r="G131" s="7">
        <v>-1.6466814999999999E-2</v>
      </c>
      <c r="H131" s="6"/>
    </row>
    <row r="132" spans="1:8" ht="14.1" customHeight="1" x14ac:dyDescent="0.2">
      <c r="A132" s="11"/>
      <c r="B132" s="11"/>
      <c r="C132" s="2" t="s">
        <v>145</v>
      </c>
      <c r="D132" s="15"/>
      <c r="E132" s="15"/>
      <c r="F132" s="9">
        <v>2094.3289189900001</v>
      </c>
      <c r="G132" s="10">
        <v>0.99999999900000003</v>
      </c>
      <c r="H132" s="6"/>
    </row>
    <row r="133" spans="1:8" ht="14.1" customHeight="1" x14ac:dyDescent="0.2">
      <c r="A133" s="18"/>
      <c r="B133" s="18"/>
      <c r="C133" s="18"/>
      <c r="D133" s="20"/>
      <c r="E133" s="20"/>
      <c r="F133" s="20"/>
      <c r="G133" s="20"/>
    </row>
    <row r="134" spans="1:8" ht="14.1" customHeight="1" x14ac:dyDescent="0.2">
      <c r="A134" s="18"/>
      <c r="B134" s="265" t="s">
        <v>147</v>
      </c>
      <c r="C134" s="266"/>
      <c r="D134" s="12" t="s">
        <v>120</v>
      </c>
      <c r="E134" s="21"/>
      <c r="F134" s="20"/>
      <c r="G134" s="20"/>
    </row>
    <row r="135" spans="1:8" ht="29.1" customHeight="1" x14ac:dyDescent="0.2">
      <c r="A135" s="18"/>
      <c r="B135" s="272" t="s">
        <v>148</v>
      </c>
      <c r="C135" s="273"/>
      <c r="D135" s="2" t="s">
        <v>149</v>
      </c>
      <c r="E135" s="21"/>
      <c r="F135" s="20"/>
      <c r="G135" s="20"/>
    </row>
    <row r="136" spans="1:8" ht="17.100000000000001" customHeight="1" x14ac:dyDescent="0.2">
      <c r="A136" s="18"/>
      <c r="B136" s="272" t="s">
        <v>150</v>
      </c>
      <c r="C136" s="273"/>
      <c r="D136" s="2" t="s">
        <v>149</v>
      </c>
      <c r="E136" s="21"/>
      <c r="F136" s="20"/>
      <c r="G136" s="20"/>
    </row>
    <row r="137" spans="1:8" ht="17.100000000000001" customHeight="1" x14ac:dyDescent="0.2">
      <c r="A137" s="18"/>
      <c r="B137" s="272" t="s">
        <v>151</v>
      </c>
      <c r="C137" s="273"/>
      <c r="D137" s="12" t="s">
        <v>120</v>
      </c>
      <c r="E137" s="21"/>
      <c r="F137" s="20"/>
      <c r="G137" s="20"/>
    </row>
    <row r="138" spans="1:8" ht="24" customHeight="1" x14ac:dyDescent="0.2">
      <c r="A138" s="22"/>
      <c r="B138" s="23" t="s">
        <v>120</v>
      </c>
      <c r="C138" s="23" t="s">
        <v>152</v>
      </c>
      <c r="D138" s="23" t="s">
        <v>153</v>
      </c>
      <c r="E138" s="22"/>
      <c r="F138" s="22"/>
      <c r="G138" s="22"/>
    </row>
    <row r="139" spans="1:8" ht="18" customHeight="1" x14ac:dyDescent="0.2">
      <c r="A139" s="22"/>
      <c r="B139" s="23" t="s">
        <v>154</v>
      </c>
      <c r="C139" s="23" t="s">
        <v>155</v>
      </c>
      <c r="D139" s="23" t="s">
        <v>156</v>
      </c>
      <c r="E139" s="22"/>
      <c r="F139" s="22"/>
      <c r="G139" s="22"/>
    </row>
    <row r="140" spans="1:8" ht="17.100000000000001" customHeight="1" x14ac:dyDescent="0.2">
      <c r="A140" s="22"/>
      <c r="B140" s="4" t="s">
        <v>157</v>
      </c>
      <c r="C140" s="24">
        <v>18.348199999999999</v>
      </c>
      <c r="D140" s="24">
        <v>17.3108</v>
      </c>
      <c r="E140" s="22"/>
      <c r="F140" s="19"/>
      <c r="G140" s="25"/>
    </row>
    <row r="141" spans="1:8" ht="17.100000000000001" customHeight="1" x14ac:dyDescent="0.2">
      <c r="A141" s="22"/>
      <c r="B141" s="4" t="s">
        <v>1120</v>
      </c>
      <c r="C141" s="24">
        <v>17.7181</v>
      </c>
      <c r="D141" s="24">
        <v>16.7163</v>
      </c>
      <c r="E141" s="22"/>
      <c r="F141" s="19"/>
      <c r="G141" s="25"/>
    </row>
    <row r="142" spans="1:8" ht="17.100000000000001" customHeight="1" x14ac:dyDescent="0.2">
      <c r="A142" s="22"/>
      <c r="B142" s="4" t="s">
        <v>158</v>
      </c>
      <c r="C142" s="24">
        <v>18.1205</v>
      </c>
      <c r="D142" s="24">
        <v>17.0945</v>
      </c>
      <c r="E142" s="22"/>
      <c r="F142" s="19"/>
      <c r="G142" s="25"/>
    </row>
    <row r="143" spans="1:8" ht="17.100000000000001" customHeight="1" x14ac:dyDescent="0.2">
      <c r="A143" s="22"/>
      <c r="B143" s="4" t="s">
        <v>1121</v>
      </c>
      <c r="C143" s="24">
        <v>17.491800000000001</v>
      </c>
      <c r="D143" s="24">
        <v>16.5014</v>
      </c>
      <c r="E143" s="22"/>
      <c r="F143" s="19"/>
      <c r="G143" s="25"/>
    </row>
    <row r="144" spans="1:8" ht="14.1" customHeight="1" x14ac:dyDescent="0.2">
      <c r="A144" s="22"/>
      <c r="B144" s="22"/>
      <c r="C144" s="22"/>
      <c r="D144" s="22"/>
      <c r="E144" s="22"/>
      <c r="F144" s="22"/>
      <c r="G144" s="22"/>
    </row>
    <row r="145" spans="1:15" ht="17.100000000000001" customHeight="1" x14ac:dyDescent="0.2">
      <c r="A145" s="22"/>
      <c r="B145" s="272" t="s">
        <v>1122</v>
      </c>
      <c r="C145" s="273"/>
      <c r="D145" s="2" t="s">
        <v>149</v>
      </c>
      <c r="E145" s="22"/>
      <c r="F145" s="22"/>
      <c r="G145" s="22"/>
    </row>
    <row r="146" spans="1:15" ht="14.1" customHeight="1" x14ac:dyDescent="0.2">
      <c r="A146" s="22"/>
      <c r="B146" s="19"/>
      <c r="C146" s="19"/>
      <c r="D146" s="22"/>
      <c r="E146" s="22"/>
      <c r="F146" s="22"/>
      <c r="G146" s="22"/>
    </row>
    <row r="147" spans="1:15" ht="29.1" customHeight="1" x14ac:dyDescent="0.2">
      <c r="A147" s="22"/>
      <c r="B147" s="272" t="s">
        <v>160</v>
      </c>
      <c r="C147" s="273"/>
      <c r="D147" s="2" t="s">
        <v>149</v>
      </c>
      <c r="E147" s="22"/>
      <c r="F147" s="22"/>
      <c r="G147" s="22"/>
    </row>
    <row r="148" spans="1:15" ht="29.1" customHeight="1" x14ac:dyDescent="0.2">
      <c r="A148" s="22"/>
      <c r="B148" s="272" t="s">
        <v>161</v>
      </c>
      <c r="C148" s="273"/>
      <c r="D148" s="2" t="s">
        <v>149</v>
      </c>
      <c r="E148" s="22"/>
      <c r="F148" s="22"/>
      <c r="G148" s="22"/>
    </row>
    <row r="149" spans="1:15" ht="17.100000000000001" customHeight="1" x14ac:dyDescent="0.2">
      <c r="A149" s="22"/>
      <c r="B149" s="272" t="s">
        <v>162</v>
      </c>
      <c r="C149" s="273"/>
      <c r="D149" s="27">
        <v>0.20441000000000001</v>
      </c>
      <c r="E149" s="22"/>
      <c r="F149" s="19"/>
      <c r="G149" s="25"/>
    </row>
    <row r="150" spans="1:15" ht="17.100000000000001" customHeight="1" x14ac:dyDescent="0.2">
      <c r="A150" s="22"/>
      <c r="B150" s="272" t="s">
        <v>163</v>
      </c>
      <c r="C150" s="273"/>
      <c r="D150" s="2" t="s">
        <v>149</v>
      </c>
      <c r="E150" s="22"/>
      <c r="F150" s="22"/>
      <c r="G150" s="22"/>
    </row>
    <row r="155" spans="1:15" x14ac:dyDescent="0.2">
      <c r="J155" s="170"/>
      <c r="K155" s="170"/>
      <c r="L155" s="170"/>
      <c r="M155" s="170"/>
      <c r="N155" s="170"/>
      <c r="O155" s="170"/>
    </row>
  </sheetData>
  <mergeCells count="13">
    <mergeCell ref="B149:C149"/>
    <mergeCell ref="B150:C150"/>
    <mergeCell ref="B135:C135"/>
    <mergeCell ref="B136:C136"/>
    <mergeCell ref="B137:C137"/>
    <mergeCell ref="B145:C145"/>
    <mergeCell ref="B147:C147"/>
    <mergeCell ref="B148:C148"/>
    <mergeCell ref="J2:N2"/>
    <mergeCell ref="B134:C13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13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516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19709</v>
      </c>
      <c r="F7" s="6">
        <v>148.37920650000001</v>
      </c>
      <c r="G7" s="7">
        <v>8.8529244000000007E-2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5610</v>
      </c>
      <c r="F8" s="6">
        <v>147.691665</v>
      </c>
      <c r="G8" s="7">
        <v>8.8119028000000002E-2</v>
      </c>
      <c r="H8" s="6"/>
    </row>
    <row r="9" spans="1:14" ht="17.100000000000001" customHeight="1" x14ac:dyDescent="0.2">
      <c r="A9" s="3">
        <v>3</v>
      </c>
      <c r="B9" s="4" t="s">
        <v>406</v>
      </c>
      <c r="C9" s="4" t="s">
        <v>407</v>
      </c>
      <c r="D9" s="4" t="s">
        <v>994</v>
      </c>
      <c r="E9" s="5">
        <v>8300</v>
      </c>
      <c r="F9" s="6">
        <v>124.7988</v>
      </c>
      <c r="G9" s="7">
        <v>7.4460185999999998E-2</v>
      </c>
      <c r="H9" s="6"/>
    </row>
    <row r="10" spans="1:14" ht="17.100000000000001" customHeight="1" x14ac:dyDescent="0.2">
      <c r="A10" s="3">
        <v>4</v>
      </c>
      <c r="B10" s="4" t="s">
        <v>374</v>
      </c>
      <c r="C10" s="4" t="s">
        <v>375</v>
      </c>
      <c r="D10" s="4" t="s">
        <v>19</v>
      </c>
      <c r="E10" s="5">
        <v>7350</v>
      </c>
      <c r="F10" s="6">
        <v>102.087825</v>
      </c>
      <c r="G10" s="7">
        <v>6.0909867999999999E-2</v>
      </c>
      <c r="H10" s="6"/>
    </row>
    <row r="11" spans="1:14" ht="17.100000000000001" customHeight="1" x14ac:dyDescent="0.2">
      <c r="A11" s="3">
        <v>5</v>
      </c>
      <c r="B11" s="4" t="s">
        <v>50</v>
      </c>
      <c r="C11" s="4" t="s">
        <v>51</v>
      </c>
      <c r="D11" s="4" t="s">
        <v>19</v>
      </c>
      <c r="E11" s="5">
        <v>17595</v>
      </c>
      <c r="F11" s="6">
        <v>82.362195</v>
      </c>
      <c r="G11" s="7">
        <v>4.9140731999999999E-2</v>
      </c>
      <c r="H11" s="6"/>
    </row>
    <row r="12" spans="1:14" ht="29.1" customHeight="1" x14ac:dyDescent="0.2">
      <c r="A12" s="3">
        <v>6</v>
      </c>
      <c r="B12" s="4" t="s">
        <v>408</v>
      </c>
      <c r="C12" s="4" t="s">
        <v>409</v>
      </c>
      <c r="D12" s="4" t="s">
        <v>85</v>
      </c>
      <c r="E12" s="5">
        <v>3376</v>
      </c>
      <c r="F12" s="6">
        <v>77.875879999999995</v>
      </c>
      <c r="G12" s="7">
        <v>4.6464009000000001E-2</v>
      </c>
      <c r="H12" s="6"/>
    </row>
    <row r="13" spans="1:14" ht="29.1" customHeight="1" x14ac:dyDescent="0.2">
      <c r="A13" s="3">
        <v>7</v>
      </c>
      <c r="B13" s="4" t="s">
        <v>217</v>
      </c>
      <c r="C13" s="4" t="s">
        <v>218</v>
      </c>
      <c r="D13" s="4" t="s">
        <v>219</v>
      </c>
      <c r="E13" s="5">
        <v>1505</v>
      </c>
      <c r="F13" s="6">
        <v>59.062972500000001</v>
      </c>
      <c r="G13" s="7">
        <v>3.5239441000000003E-2</v>
      </c>
      <c r="H13" s="6"/>
      <c r="J13" s="169" t="s">
        <v>1145</v>
      </c>
    </row>
    <row r="14" spans="1:14" ht="17.100000000000001" customHeight="1" x14ac:dyDescent="0.2">
      <c r="A14" s="3">
        <v>8</v>
      </c>
      <c r="B14" s="4" t="s">
        <v>319</v>
      </c>
      <c r="C14" s="4" t="s">
        <v>320</v>
      </c>
      <c r="D14" s="4" t="s">
        <v>19</v>
      </c>
      <c r="E14" s="5">
        <v>8341</v>
      </c>
      <c r="F14" s="6">
        <v>57.152532000000001</v>
      </c>
      <c r="G14" s="7">
        <v>3.4099591999999998E-2</v>
      </c>
      <c r="H14" s="6"/>
    </row>
    <row r="15" spans="1:14" ht="17.100000000000001" customHeight="1" x14ac:dyDescent="0.2">
      <c r="A15" s="3">
        <v>9</v>
      </c>
      <c r="B15" s="4" t="s">
        <v>11</v>
      </c>
      <c r="C15" s="4" t="s">
        <v>12</v>
      </c>
      <c r="D15" s="4" t="s">
        <v>13</v>
      </c>
      <c r="E15" s="5">
        <v>3340</v>
      </c>
      <c r="F15" s="6">
        <v>55.260300000000001</v>
      </c>
      <c r="G15" s="7">
        <v>3.2970606999999999E-2</v>
      </c>
      <c r="H15" s="6"/>
    </row>
    <row r="16" spans="1:14" ht="17.100000000000001" customHeight="1" x14ac:dyDescent="0.2">
      <c r="A16" s="3">
        <v>10</v>
      </c>
      <c r="B16" s="4" t="s">
        <v>316</v>
      </c>
      <c r="C16" s="4" t="s">
        <v>317</v>
      </c>
      <c r="D16" s="4" t="s">
        <v>318</v>
      </c>
      <c r="E16" s="5">
        <v>4786</v>
      </c>
      <c r="F16" s="6">
        <v>50.56409</v>
      </c>
      <c r="G16" s="7">
        <v>3.0168652000000001E-2</v>
      </c>
      <c r="H16" s="6"/>
    </row>
    <row r="17" spans="1:8" ht="17.100000000000001" customHeight="1" x14ac:dyDescent="0.2">
      <c r="A17" s="3">
        <v>11</v>
      </c>
      <c r="B17" s="4" t="s">
        <v>20</v>
      </c>
      <c r="C17" s="4" t="s">
        <v>21</v>
      </c>
      <c r="D17" s="4" t="s">
        <v>22</v>
      </c>
      <c r="E17" s="5">
        <v>6757</v>
      </c>
      <c r="F17" s="6">
        <v>47.312514</v>
      </c>
      <c r="G17" s="7">
        <v>2.8228626E-2</v>
      </c>
      <c r="H17" s="6"/>
    </row>
    <row r="18" spans="1:8" ht="29.1" customHeight="1" x14ac:dyDescent="0.2">
      <c r="A18" s="3">
        <v>12</v>
      </c>
      <c r="B18" s="4" t="s">
        <v>23</v>
      </c>
      <c r="C18" s="4" t="s">
        <v>24</v>
      </c>
      <c r="D18" s="4" t="s">
        <v>25</v>
      </c>
      <c r="E18" s="5">
        <v>746</v>
      </c>
      <c r="F18" s="6">
        <v>45.376196</v>
      </c>
      <c r="G18" s="7">
        <v>2.7073336999999999E-2</v>
      </c>
      <c r="H18" s="6"/>
    </row>
    <row r="19" spans="1:8" ht="17.100000000000001" customHeight="1" x14ac:dyDescent="0.2">
      <c r="A19" s="3">
        <v>13</v>
      </c>
      <c r="B19" s="4" t="s">
        <v>453</v>
      </c>
      <c r="C19" s="4" t="s">
        <v>454</v>
      </c>
      <c r="D19" s="4" t="s">
        <v>396</v>
      </c>
      <c r="E19" s="5">
        <v>9000</v>
      </c>
      <c r="F19" s="6">
        <v>39.919499999999999</v>
      </c>
      <c r="G19" s="7">
        <v>2.3817643999999999E-2</v>
      </c>
      <c r="H19" s="6"/>
    </row>
    <row r="20" spans="1:8" ht="29.1" customHeight="1" x14ac:dyDescent="0.2">
      <c r="A20" s="3">
        <v>14</v>
      </c>
      <c r="B20" s="4" t="s">
        <v>354</v>
      </c>
      <c r="C20" s="4" t="s">
        <v>355</v>
      </c>
      <c r="D20" s="4" t="s">
        <v>356</v>
      </c>
      <c r="E20" s="5">
        <v>4000</v>
      </c>
      <c r="F20" s="6">
        <v>37.795999999999999</v>
      </c>
      <c r="G20" s="7">
        <v>2.2550674999999999E-2</v>
      </c>
      <c r="H20" s="6"/>
    </row>
    <row r="21" spans="1:8" ht="17.100000000000001" customHeight="1" x14ac:dyDescent="0.2">
      <c r="A21" s="3">
        <v>15</v>
      </c>
      <c r="B21" s="4" t="s">
        <v>412</v>
      </c>
      <c r="C21" s="4" t="s">
        <v>413</v>
      </c>
      <c r="D21" s="4" t="s">
        <v>323</v>
      </c>
      <c r="E21" s="5">
        <v>3200</v>
      </c>
      <c r="F21" s="6">
        <v>37.572800000000001</v>
      </c>
      <c r="G21" s="7">
        <v>2.2417505000000001E-2</v>
      </c>
      <c r="H21" s="6"/>
    </row>
    <row r="22" spans="1:8" ht="17.100000000000001" customHeight="1" x14ac:dyDescent="0.2">
      <c r="A22" s="3">
        <v>16</v>
      </c>
      <c r="B22" s="4" t="s">
        <v>237</v>
      </c>
      <c r="C22" s="4" t="s">
        <v>238</v>
      </c>
      <c r="D22" s="4" t="s">
        <v>239</v>
      </c>
      <c r="E22" s="5">
        <v>13359</v>
      </c>
      <c r="F22" s="6">
        <v>37.5187515</v>
      </c>
      <c r="G22" s="7">
        <v>2.2385256999999999E-2</v>
      </c>
      <c r="H22" s="6"/>
    </row>
    <row r="23" spans="1:8" ht="17.100000000000001" customHeight="1" x14ac:dyDescent="0.2">
      <c r="A23" s="3">
        <v>17</v>
      </c>
      <c r="B23" s="4" t="s">
        <v>425</v>
      </c>
      <c r="C23" s="4" t="s">
        <v>426</v>
      </c>
      <c r="D23" s="4" t="s">
        <v>418</v>
      </c>
      <c r="E23" s="5">
        <v>12606</v>
      </c>
      <c r="F23" s="6">
        <v>34.118138999999999</v>
      </c>
      <c r="G23" s="7">
        <v>2.0356309E-2</v>
      </c>
      <c r="H23" s="6"/>
    </row>
    <row r="24" spans="1:8" ht="17.100000000000001" customHeight="1" x14ac:dyDescent="0.2">
      <c r="A24" s="3">
        <v>18</v>
      </c>
      <c r="B24" s="4" t="s">
        <v>410</v>
      </c>
      <c r="C24" s="4" t="s">
        <v>411</v>
      </c>
      <c r="D24" s="4" t="s">
        <v>994</v>
      </c>
      <c r="E24" s="5">
        <v>960</v>
      </c>
      <c r="F24" s="6">
        <v>32.297759999999997</v>
      </c>
      <c r="G24" s="7">
        <v>1.9270195E-2</v>
      </c>
      <c r="H24" s="6"/>
    </row>
    <row r="25" spans="1:8" ht="17.100000000000001" customHeight="1" x14ac:dyDescent="0.2">
      <c r="A25" s="3">
        <v>19</v>
      </c>
      <c r="B25" s="4" t="s">
        <v>473</v>
      </c>
      <c r="C25" s="4" t="s">
        <v>474</v>
      </c>
      <c r="D25" s="4" t="s">
        <v>80</v>
      </c>
      <c r="E25" s="5">
        <v>1421</v>
      </c>
      <c r="F25" s="6">
        <v>31.489360000000001</v>
      </c>
      <c r="G25" s="7">
        <v>1.8787870000000002E-2</v>
      </c>
      <c r="H25" s="6"/>
    </row>
    <row r="26" spans="1:8" ht="17.100000000000001" customHeight="1" x14ac:dyDescent="0.2">
      <c r="A26" s="3">
        <v>20</v>
      </c>
      <c r="B26" s="4" t="s">
        <v>419</v>
      </c>
      <c r="C26" s="4" t="s">
        <v>420</v>
      </c>
      <c r="D26" s="4" t="s">
        <v>994</v>
      </c>
      <c r="E26" s="5">
        <v>3000</v>
      </c>
      <c r="F26" s="6">
        <v>31.2225</v>
      </c>
      <c r="G26" s="7">
        <v>1.862865E-2</v>
      </c>
      <c r="H26" s="6"/>
    </row>
    <row r="27" spans="1:8" ht="17.100000000000001" customHeight="1" x14ac:dyDescent="0.2">
      <c r="A27" s="3">
        <v>21</v>
      </c>
      <c r="B27" s="4" t="s">
        <v>431</v>
      </c>
      <c r="C27" s="4" t="s">
        <v>432</v>
      </c>
      <c r="D27" s="4" t="s">
        <v>19</v>
      </c>
      <c r="E27" s="5">
        <v>1570</v>
      </c>
      <c r="F27" s="6">
        <v>28.995545</v>
      </c>
      <c r="G27" s="7">
        <v>1.7299954999999999E-2</v>
      </c>
      <c r="H27" s="6"/>
    </row>
    <row r="28" spans="1:8" ht="17.100000000000001" customHeight="1" x14ac:dyDescent="0.2">
      <c r="A28" s="3">
        <v>22</v>
      </c>
      <c r="B28" s="4" t="s">
        <v>93</v>
      </c>
      <c r="C28" s="4" t="s">
        <v>94</v>
      </c>
      <c r="D28" s="4" t="s">
        <v>95</v>
      </c>
      <c r="E28" s="5">
        <v>1240</v>
      </c>
      <c r="F28" s="6">
        <v>28.527439999999999</v>
      </c>
      <c r="G28" s="7">
        <v>1.7020664000000001E-2</v>
      </c>
      <c r="H28" s="6"/>
    </row>
    <row r="29" spans="1:8" ht="17.100000000000001" customHeight="1" x14ac:dyDescent="0.2">
      <c r="A29" s="3">
        <v>23</v>
      </c>
      <c r="B29" s="4" t="s">
        <v>324</v>
      </c>
      <c r="C29" s="4" t="s">
        <v>325</v>
      </c>
      <c r="D29" s="4" t="s">
        <v>19</v>
      </c>
      <c r="E29" s="5">
        <v>25574</v>
      </c>
      <c r="F29" s="6">
        <v>25.637934999999999</v>
      </c>
      <c r="G29" s="7">
        <v>1.5296664999999999E-2</v>
      </c>
      <c r="H29" s="6"/>
    </row>
    <row r="30" spans="1:8" ht="17.100000000000001" customHeight="1" x14ac:dyDescent="0.2">
      <c r="A30" s="3">
        <v>24</v>
      </c>
      <c r="B30" s="4" t="s">
        <v>429</v>
      </c>
      <c r="C30" s="4" t="s">
        <v>430</v>
      </c>
      <c r="D30" s="4" t="s">
        <v>19</v>
      </c>
      <c r="E30" s="5">
        <v>2719</v>
      </c>
      <c r="F30" s="6">
        <v>25.309811499999999</v>
      </c>
      <c r="G30" s="7">
        <v>1.5100893000000001E-2</v>
      </c>
      <c r="H30" s="6"/>
    </row>
    <row r="31" spans="1:8" ht="29.1" customHeight="1" x14ac:dyDescent="0.2">
      <c r="A31" s="3">
        <v>25</v>
      </c>
      <c r="B31" s="4" t="s">
        <v>189</v>
      </c>
      <c r="C31" s="4" t="s">
        <v>190</v>
      </c>
      <c r="D31" s="4" t="s">
        <v>191</v>
      </c>
      <c r="E31" s="5">
        <v>3500</v>
      </c>
      <c r="F31" s="6">
        <v>24.641749999999998</v>
      </c>
      <c r="G31" s="7">
        <v>1.4702299E-2</v>
      </c>
      <c r="H31" s="6"/>
    </row>
    <row r="32" spans="1:8" ht="17.100000000000001" customHeight="1" x14ac:dyDescent="0.2">
      <c r="A32" s="3">
        <v>26</v>
      </c>
      <c r="B32" s="4" t="s">
        <v>45</v>
      </c>
      <c r="C32" s="4" t="s">
        <v>46</v>
      </c>
      <c r="D32" s="4" t="s">
        <v>47</v>
      </c>
      <c r="E32" s="5">
        <v>3551</v>
      </c>
      <c r="F32" s="6">
        <v>23.097479499999999</v>
      </c>
      <c r="G32" s="7">
        <v>1.3780923E-2</v>
      </c>
      <c r="H32" s="6"/>
    </row>
    <row r="33" spans="1:8" ht="29.1" customHeight="1" x14ac:dyDescent="0.2">
      <c r="A33" s="3">
        <v>27</v>
      </c>
      <c r="B33" s="4" t="s">
        <v>414</v>
      </c>
      <c r="C33" s="4" t="s">
        <v>415</v>
      </c>
      <c r="D33" s="4" t="s">
        <v>198</v>
      </c>
      <c r="E33" s="5">
        <v>2650</v>
      </c>
      <c r="F33" s="6">
        <v>22.805900000000001</v>
      </c>
      <c r="G33" s="7">
        <v>1.3606953999999999E-2</v>
      </c>
      <c r="H33" s="6"/>
    </row>
    <row r="34" spans="1:8" ht="17.100000000000001" customHeight="1" x14ac:dyDescent="0.2">
      <c r="A34" s="3">
        <v>28</v>
      </c>
      <c r="B34" s="4" t="s">
        <v>346</v>
      </c>
      <c r="C34" s="4" t="s">
        <v>347</v>
      </c>
      <c r="D34" s="4" t="s">
        <v>106</v>
      </c>
      <c r="E34" s="5">
        <v>6000</v>
      </c>
      <c r="F34" s="6">
        <v>22.670999999999999</v>
      </c>
      <c r="G34" s="7">
        <v>1.3526467E-2</v>
      </c>
      <c r="H34" s="6"/>
    </row>
    <row r="35" spans="1:8" ht="17.100000000000001" customHeight="1" x14ac:dyDescent="0.2">
      <c r="A35" s="3">
        <v>29</v>
      </c>
      <c r="B35" s="4" t="s">
        <v>314</v>
      </c>
      <c r="C35" s="4" t="s">
        <v>315</v>
      </c>
      <c r="D35" s="4" t="s">
        <v>19</v>
      </c>
      <c r="E35" s="5">
        <v>25000</v>
      </c>
      <c r="F35" s="6">
        <v>22.212499999999999</v>
      </c>
      <c r="G35" s="7">
        <v>1.3252907E-2</v>
      </c>
      <c r="H35" s="6"/>
    </row>
    <row r="36" spans="1:8" ht="17.100000000000001" customHeight="1" x14ac:dyDescent="0.2">
      <c r="A36" s="3">
        <v>30</v>
      </c>
      <c r="B36" s="4" t="s">
        <v>58</v>
      </c>
      <c r="C36" s="4" t="s">
        <v>59</v>
      </c>
      <c r="D36" s="4" t="s">
        <v>16</v>
      </c>
      <c r="E36" s="5">
        <v>5912</v>
      </c>
      <c r="F36" s="6">
        <v>19.284943999999999</v>
      </c>
      <c r="G36" s="7">
        <v>1.1506205E-2</v>
      </c>
      <c r="H36" s="6"/>
    </row>
    <row r="37" spans="1:8" ht="17.100000000000001" customHeight="1" x14ac:dyDescent="0.2">
      <c r="A37" s="3">
        <v>31</v>
      </c>
      <c r="B37" s="4" t="s">
        <v>517</v>
      </c>
      <c r="C37" s="4" t="s">
        <v>518</v>
      </c>
      <c r="D37" s="4" t="s">
        <v>302</v>
      </c>
      <c r="E37" s="5">
        <v>7000</v>
      </c>
      <c r="F37" s="6">
        <v>18.991</v>
      </c>
      <c r="G37" s="7">
        <v>1.1330824999999999E-2</v>
      </c>
      <c r="H37" s="6"/>
    </row>
    <row r="38" spans="1:8" ht="17.100000000000001" customHeight="1" x14ac:dyDescent="0.2">
      <c r="A38" s="3">
        <v>32</v>
      </c>
      <c r="B38" s="4" t="s">
        <v>416</v>
      </c>
      <c r="C38" s="4" t="s">
        <v>417</v>
      </c>
      <c r="D38" s="4" t="s">
        <v>418</v>
      </c>
      <c r="E38" s="5">
        <v>788</v>
      </c>
      <c r="F38" s="6">
        <v>18.543610000000001</v>
      </c>
      <c r="G38" s="7">
        <v>1.1063893999999999E-2</v>
      </c>
      <c r="H38" s="6"/>
    </row>
    <row r="39" spans="1:8" ht="29.1" customHeight="1" x14ac:dyDescent="0.2">
      <c r="A39" s="3">
        <v>33</v>
      </c>
      <c r="B39" s="4" t="s">
        <v>519</v>
      </c>
      <c r="C39" s="4" t="s">
        <v>520</v>
      </c>
      <c r="D39" s="4" t="s">
        <v>25</v>
      </c>
      <c r="E39" s="5">
        <v>1871</v>
      </c>
      <c r="F39" s="6">
        <v>18.232894999999999</v>
      </c>
      <c r="G39" s="7">
        <v>1.0878508E-2</v>
      </c>
      <c r="H39" s="6"/>
    </row>
    <row r="40" spans="1:8" ht="29.1" customHeight="1" x14ac:dyDescent="0.2">
      <c r="A40" s="3">
        <v>34</v>
      </c>
      <c r="B40" s="4" t="s">
        <v>521</v>
      </c>
      <c r="C40" s="4" t="s">
        <v>522</v>
      </c>
      <c r="D40" s="4" t="s">
        <v>198</v>
      </c>
      <c r="E40" s="5">
        <v>1814</v>
      </c>
      <c r="F40" s="6">
        <v>18.012112999999999</v>
      </c>
      <c r="G40" s="7">
        <v>1.0746779999999999E-2</v>
      </c>
      <c r="H40" s="6"/>
    </row>
    <row r="41" spans="1:8" ht="29.1" customHeight="1" x14ac:dyDescent="0.2">
      <c r="A41" s="3">
        <v>35</v>
      </c>
      <c r="B41" s="4" t="s">
        <v>382</v>
      </c>
      <c r="C41" s="4" t="s">
        <v>383</v>
      </c>
      <c r="D41" s="4" t="s">
        <v>233</v>
      </c>
      <c r="E41" s="5">
        <v>2272</v>
      </c>
      <c r="F41" s="6">
        <v>17.261520000000001</v>
      </c>
      <c r="G41" s="7">
        <v>1.0298945E-2</v>
      </c>
      <c r="H41" s="6"/>
    </row>
    <row r="42" spans="1:8" ht="29.1" customHeight="1" x14ac:dyDescent="0.2">
      <c r="A42" s="3">
        <v>36</v>
      </c>
      <c r="B42" s="4" t="s">
        <v>350</v>
      </c>
      <c r="C42" s="4" t="s">
        <v>351</v>
      </c>
      <c r="D42" s="4" t="s">
        <v>198</v>
      </c>
      <c r="E42" s="5">
        <v>462</v>
      </c>
      <c r="F42" s="6">
        <v>13.217589</v>
      </c>
      <c r="G42" s="7">
        <v>7.8861669999999995E-3</v>
      </c>
      <c r="H42" s="6"/>
    </row>
    <row r="43" spans="1:8" ht="17.100000000000001" customHeight="1" x14ac:dyDescent="0.2">
      <c r="A43" s="3">
        <v>37</v>
      </c>
      <c r="B43" s="4" t="s">
        <v>421</v>
      </c>
      <c r="C43" s="4" t="s">
        <v>422</v>
      </c>
      <c r="D43" s="4" t="s">
        <v>994</v>
      </c>
      <c r="E43" s="5">
        <v>2582</v>
      </c>
      <c r="F43" s="6">
        <v>12.343251</v>
      </c>
      <c r="G43" s="7">
        <v>7.3645000000000004E-3</v>
      </c>
      <c r="H43" s="6"/>
    </row>
    <row r="44" spans="1:8" ht="17.100000000000001" customHeight="1" x14ac:dyDescent="0.2">
      <c r="A44" s="3">
        <v>38</v>
      </c>
      <c r="B44" s="4" t="s">
        <v>438</v>
      </c>
      <c r="C44" s="4" t="s">
        <v>1057</v>
      </c>
      <c r="D44" s="4" t="s">
        <v>22</v>
      </c>
      <c r="E44" s="5">
        <v>482</v>
      </c>
      <c r="F44" s="6">
        <v>1.5995170000000001</v>
      </c>
      <c r="G44" s="7">
        <v>9.5433900000000001E-4</v>
      </c>
      <c r="H44" s="6"/>
    </row>
    <row r="45" spans="1:8" ht="14.1" customHeight="1" x14ac:dyDescent="0.2">
      <c r="A45" s="1"/>
      <c r="B45" s="1"/>
      <c r="C45" s="2" t="s">
        <v>119</v>
      </c>
      <c r="D45" s="1"/>
      <c r="E45" s="1" t="s">
        <v>120</v>
      </c>
      <c r="F45" s="9">
        <v>1641.2447865000004</v>
      </c>
      <c r="G45" s="10">
        <v>0.97923531699999988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121</v>
      </c>
      <c r="D47" s="1"/>
      <c r="E47" s="1"/>
      <c r="F47" s="1"/>
      <c r="G47" s="1"/>
      <c r="H47" s="6"/>
    </row>
    <row r="48" spans="1:8" ht="14.1" customHeight="1" x14ac:dyDescent="0.2">
      <c r="A48" s="1"/>
      <c r="B48" s="1"/>
      <c r="C48" s="2" t="s">
        <v>119</v>
      </c>
      <c r="D48" s="1"/>
      <c r="E48" s="1" t="s">
        <v>120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122</v>
      </c>
      <c r="D50" s="1"/>
      <c r="E50" s="1"/>
      <c r="F50" s="1"/>
      <c r="G50" s="1"/>
      <c r="H50" s="6"/>
    </row>
    <row r="51" spans="1:8" ht="14.1" customHeight="1" x14ac:dyDescent="0.2">
      <c r="A51" s="1"/>
      <c r="B51" s="1"/>
      <c r="C51" s="2" t="s">
        <v>119</v>
      </c>
      <c r="D51" s="1"/>
      <c r="E51" s="1" t="s">
        <v>120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123</v>
      </c>
      <c r="D53" s="1"/>
      <c r="E53" s="1"/>
      <c r="F53" s="1"/>
      <c r="G53" s="1"/>
      <c r="H53" s="6"/>
    </row>
    <row r="54" spans="1:8" ht="14.1" customHeight="1" x14ac:dyDescent="0.2">
      <c r="A54" s="1"/>
      <c r="B54" s="1"/>
      <c r="C54" s="2" t="s">
        <v>119</v>
      </c>
      <c r="D54" s="1"/>
      <c r="E54" s="1" t="s">
        <v>120</v>
      </c>
      <c r="F54" s="9">
        <v>0</v>
      </c>
      <c r="G54" s="10">
        <v>0</v>
      </c>
      <c r="H54" s="6"/>
    </row>
    <row r="55" spans="1:8" ht="14.1" customHeight="1" x14ac:dyDescent="0.2">
      <c r="A55" s="1"/>
      <c r="B55" s="1"/>
      <c r="C55" s="11"/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124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119</v>
      </c>
      <c r="D57" s="1"/>
      <c r="E57" s="1" t="s">
        <v>120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125</v>
      </c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119</v>
      </c>
      <c r="D60" s="1"/>
      <c r="E60" s="1" t="s">
        <v>120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8" customHeight="1" x14ac:dyDescent="0.2">
      <c r="A62" s="1"/>
      <c r="B62" s="1"/>
      <c r="C62" s="2" t="s">
        <v>126</v>
      </c>
      <c r="D62" s="1"/>
      <c r="E62" s="1"/>
      <c r="F62" s="9">
        <v>1641.2447864999999</v>
      </c>
      <c r="G62" s="10">
        <v>0.97923531699999999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127</v>
      </c>
      <c r="D64" s="1"/>
      <c r="E64" s="1"/>
      <c r="F64" s="12"/>
      <c r="G64" s="12"/>
      <c r="H64" s="6"/>
    </row>
    <row r="65" spans="1:8" ht="24" customHeight="1" x14ac:dyDescent="0.2">
      <c r="A65" s="1"/>
      <c r="B65" s="1"/>
      <c r="C65" s="2" t="s">
        <v>10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119</v>
      </c>
      <c r="D66" s="1"/>
      <c r="E66" s="1" t="s">
        <v>120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128</v>
      </c>
      <c r="D68" s="1"/>
      <c r="E68" s="1"/>
      <c r="F68" s="1"/>
      <c r="G68" s="1"/>
      <c r="H68" s="6"/>
    </row>
    <row r="69" spans="1:8" ht="14.1" customHeight="1" x14ac:dyDescent="0.2">
      <c r="A69" s="1"/>
      <c r="B69" s="1"/>
      <c r="C69" s="2" t="s">
        <v>119</v>
      </c>
      <c r="D69" s="1"/>
      <c r="E69" s="1" t="s">
        <v>120</v>
      </c>
      <c r="F69" s="13">
        <v>0</v>
      </c>
      <c r="G69" s="14">
        <v>0</v>
      </c>
      <c r="H69" s="6"/>
    </row>
    <row r="70" spans="1:8" ht="14.1" customHeight="1" x14ac:dyDescent="0.2">
      <c r="A70" s="1"/>
      <c r="B70" s="1"/>
      <c r="C70" s="11"/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129</v>
      </c>
      <c r="D71" s="1"/>
      <c r="E71" s="1"/>
      <c r="F71" s="1"/>
      <c r="G71" s="1"/>
      <c r="H71" s="6"/>
    </row>
    <row r="72" spans="1:8" ht="14.1" customHeight="1" x14ac:dyDescent="0.2">
      <c r="A72" s="1"/>
      <c r="B72" s="1"/>
      <c r="C72" s="2" t="s">
        <v>119</v>
      </c>
      <c r="D72" s="1"/>
      <c r="E72" s="1" t="s">
        <v>120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130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119</v>
      </c>
      <c r="D75" s="1"/>
      <c r="E75" s="1" t="s">
        <v>120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131</v>
      </c>
      <c r="D77" s="1"/>
      <c r="E77" s="1"/>
      <c r="F77" s="9">
        <v>0</v>
      </c>
      <c r="G77" s="10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132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133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134</v>
      </c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135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136</v>
      </c>
      <c r="D89" s="1"/>
      <c r="E89" s="1"/>
      <c r="F89" s="12"/>
      <c r="G89" s="12"/>
      <c r="H89" s="6"/>
    </row>
    <row r="90" spans="1:8" ht="17.100000000000001" customHeight="1" x14ac:dyDescent="0.2">
      <c r="A90" s="3">
        <v>1</v>
      </c>
      <c r="B90" s="4"/>
      <c r="C90" s="4" t="s">
        <v>137</v>
      </c>
      <c r="D90" s="4"/>
      <c r="E90" s="8"/>
      <c r="F90" s="6">
        <v>26.709047699999999</v>
      </c>
      <c r="G90" s="7">
        <v>1.5935735999999999E-2</v>
      </c>
      <c r="H90" s="6">
        <v>4.1713246754849944</v>
      </c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9">
        <v>26.709047699999999</v>
      </c>
      <c r="G91" s="10">
        <v>1.5935735999999999E-2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138</v>
      </c>
      <c r="D93" s="1"/>
      <c r="E93" s="1"/>
      <c r="F93" s="9">
        <v>26.709047699999999</v>
      </c>
      <c r="G93" s="10">
        <v>1.5935735999999999E-2</v>
      </c>
      <c r="H93" s="6"/>
    </row>
    <row r="94" spans="1:8" ht="14.1" customHeight="1" x14ac:dyDescent="0.2">
      <c r="A94" s="1"/>
      <c r="B94" s="1"/>
      <c r="C94" s="12"/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139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140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141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142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119</v>
      </c>
      <c r="D101" s="1"/>
      <c r="E101" s="1" t="s">
        <v>120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24" customHeight="1" x14ac:dyDescent="0.2">
      <c r="A104" s="1"/>
      <c r="B104" s="1"/>
      <c r="C104" s="2" t="s">
        <v>143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4"/>
      <c r="C107" s="4"/>
      <c r="D107" s="2"/>
      <c r="E107" s="1"/>
      <c r="F107" s="4"/>
      <c r="G107" s="8"/>
      <c r="H107" s="6"/>
    </row>
    <row r="108" spans="1:8" ht="18" customHeight="1" x14ac:dyDescent="0.2">
      <c r="A108" s="8"/>
      <c r="B108" s="4"/>
      <c r="C108" s="4" t="s">
        <v>144</v>
      </c>
      <c r="D108" s="4"/>
      <c r="E108" s="8"/>
      <c r="F108" s="6">
        <v>8.0935431900000001</v>
      </c>
      <c r="G108" s="7">
        <v>4.8289470000000001E-3</v>
      </c>
      <c r="H108" s="6"/>
    </row>
    <row r="109" spans="1:8" ht="14.1" customHeight="1" x14ac:dyDescent="0.2">
      <c r="A109" s="11"/>
      <c r="B109" s="11"/>
      <c r="C109" s="2" t="s">
        <v>145</v>
      </c>
      <c r="D109" s="15"/>
      <c r="E109" s="15"/>
      <c r="F109" s="9">
        <v>1676.0473773900001</v>
      </c>
      <c r="G109" s="10">
        <v>1</v>
      </c>
      <c r="H109" s="6"/>
    </row>
    <row r="110" spans="1:8" ht="14.1" customHeight="1" x14ac:dyDescent="0.2">
      <c r="A110" s="18"/>
      <c r="B110" s="18"/>
      <c r="C110" s="18"/>
      <c r="D110" s="20"/>
      <c r="E110" s="20"/>
      <c r="F110" s="20"/>
      <c r="G110" s="20"/>
    </row>
    <row r="111" spans="1:8" ht="14.1" customHeight="1" x14ac:dyDescent="0.2">
      <c r="A111" s="18"/>
      <c r="B111" s="265" t="s">
        <v>147</v>
      </c>
      <c r="C111" s="266"/>
      <c r="D111" s="12" t="s">
        <v>120</v>
      </c>
      <c r="E111" s="21"/>
      <c r="F111" s="20"/>
      <c r="G111" s="20"/>
    </row>
    <row r="112" spans="1:8" ht="29.1" customHeight="1" x14ac:dyDescent="0.2">
      <c r="A112" s="18"/>
      <c r="B112" s="272" t="s">
        <v>148</v>
      </c>
      <c r="C112" s="273"/>
      <c r="D112" s="2" t="s">
        <v>149</v>
      </c>
      <c r="E112" s="21"/>
      <c r="F112" s="20"/>
      <c r="G112" s="20"/>
    </row>
    <row r="113" spans="1:7" ht="17.100000000000001" customHeight="1" x14ac:dyDescent="0.2">
      <c r="A113" s="18"/>
      <c r="B113" s="272" t="s">
        <v>150</v>
      </c>
      <c r="C113" s="273"/>
      <c r="D113" s="2" t="s">
        <v>149</v>
      </c>
      <c r="E113" s="21"/>
      <c r="F113" s="20"/>
      <c r="G113" s="20"/>
    </row>
    <row r="114" spans="1:7" ht="17.100000000000001" customHeight="1" x14ac:dyDescent="0.2">
      <c r="A114" s="18"/>
      <c r="B114" s="272" t="s">
        <v>151</v>
      </c>
      <c r="C114" s="273"/>
      <c r="D114" s="12" t="s">
        <v>120</v>
      </c>
      <c r="E114" s="21"/>
      <c r="F114" s="20"/>
      <c r="G114" s="20"/>
    </row>
    <row r="115" spans="1:7" ht="24" customHeight="1" x14ac:dyDescent="0.2">
      <c r="A115" s="22"/>
      <c r="B115" s="23" t="s">
        <v>120</v>
      </c>
      <c r="C115" s="23" t="s">
        <v>152</v>
      </c>
      <c r="D115" s="23" t="s">
        <v>153</v>
      </c>
      <c r="E115" s="22"/>
      <c r="F115" s="22"/>
      <c r="G115" s="22"/>
    </row>
    <row r="116" spans="1:7" ht="18" customHeight="1" x14ac:dyDescent="0.2">
      <c r="A116" s="22"/>
      <c r="B116" s="23" t="s">
        <v>154</v>
      </c>
      <c r="C116" s="23" t="s">
        <v>155</v>
      </c>
      <c r="D116" s="23" t="s">
        <v>156</v>
      </c>
      <c r="E116" s="22"/>
      <c r="F116" s="22"/>
      <c r="G116" s="22"/>
    </row>
    <row r="117" spans="1:7" ht="17.100000000000001" customHeight="1" x14ac:dyDescent="0.2">
      <c r="A117" s="22"/>
      <c r="B117" s="4" t="s">
        <v>157</v>
      </c>
      <c r="C117" s="24">
        <v>21.791699999999999</v>
      </c>
      <c r="D117" s="24">
        <v>21.1983</v>
      </c>
      <c r="E117" s="22"/>
      <c r="F117" s="19"/>
      <c r="G117" s="25"/>
    </row>
    <row r="118" spans="1:7" ht="17.100000000000001" customHeight="1" x14ac:dyDescent="0.2">
      <c r="A118" s="22"/>
      <c r="B118" s="4" t="s">
        <v>1120</v>
      </c>
      <c r="C118" s="24">
        <v>18.153300000000002</v>
      </c>
      <c r="D118" s="24">
        <v>17.659099999999999</v>
      </c>
      <c r="E118" s="22"/>
      <c r="F118" s="19"/>
      <c r="G118" s="25"/>
    </row>
    <row r="119" spans="1:7" ht="17.100000000000001" customHeight="1" x14ac:dyDescent="0.2">
      <c r="A119" s="22"/>
      <c r="B119" s="4" t="s">
        <v>158</v>
      </c>
      <c r="C119" s="24">
        <v>21.2712</v>
      </c>
      <c r="D119" s="24">
        <v>20.7164</v>
      </c>
      <c r="E119" s="22"/>
      <c r="F119" s="19"/>
      <c r="G119" s="25"/>
    </row>
    <row r="120" spans="1:7" ht="17.100000000000001" customHeight="1" x14ac:dyDescent="0.2">
      <c r="A120" s="22"/>
      <c r="B120" s="4" t="s">
        <v>1121</v>
      </c>
      <c r="C120" s="24">
        <v>17.659300000000002</v>
      </c>
      <c r="D120" s="24">
        <v>17.198699999999999</v>
      </c>
      <c r="E120" s="22"/>
      <c r="F120" s="19"/>
      <c r="G120" s="25"/>
    </row>
    <row r="121" spans="1:7" ht="14.1" customHeight="1" x14ac:dyDescent="0.2">
      <c r="A121" s="22"/>
      <c r="B121" s="22"/>
      <c r="C121" s="22"/>
      <c r="D121" s="22"/>
      <c r="E121" s="22"/>
      <c r="F121" s="22"/>
      <c r="G121" s="22"/>
    </row>
    <row r="122" spans="1:7" ht="17.100000000000001" customHeight="1" x14ac:dyDescent="0.2">
      <c r="A122" s="22"/>
      <c r="B122" s="272" t="s">
        <v>1122</v>
      </c>
      <c r="C122" s="273"/>
      <c r="D122" s="2" t="s">
        <v>149</v>
      </c>
      <c r="E122" s="22"/>
      <c r="F122" s="22"/>
      <c r="G122" s="22"/>
    </row>
    <row r="123" spans="1:7" ht="14.1" customHeight="1" x14ac:dyDescent="0.2">
      <c r="A123" s="22"/>
      <c r="B123" s="19"/>
      <c r="C123" s="19"/>
      <c r="D123" s="22"/>
      <c r="E123" s="22"/>
      <c r="F123" s="22"/>
      <c r="G123" s="22"/>
    </row>
    <row r="124" spans="1:7" ht="29.1" customHeight="1" x14ac:dyDescent="0.2">
      <c r="A124" s="22"/>
      <c r="B124" s="272" t="s">
        <v>160</v>
      </c>
      <c r="C124" s="273"/>
      <c r="D124" s="2" t="s">
        <v>149</v>
      </c>
      <c r="E124" s="22"/>
      <c r="F124" s="22"/>
      <c r="G124" s="22"/>
    </row>
    <row r="125" spans="1:7" ht="29.1" customHeight="1" x14ac:dyDescent="0.2">
      <c r="A125" s="22"/>
      <c r="B125" s="272" t="s">
        <v>161</v>
      </c>
      <c r="C125" s="273"/>
      <c r="D125" s="2" t="s">
        <v>149</v>
      </c>
      <c r="E125" s="22"/>
      <c r="F125" s="22"/>
      <c r="G125" s="22"/>
    </row>
    <row r="126" spans="1:7" ht="17.100000000000001" customHeight="1" x14ac:dyDescent="0.2">
      <c r="A126" s="22"/>
      <c r="B126" s="272" t="s">
        <v>162</v>
      </c>
      <c r="C126" s="273"/>
      <c r="D126" s="27">
        <v>3.7178000000000003E-2</v>
      </c>
      <c r="E126" s="22"/>
      <c r="F126" s="19"/>
      <c r="G126" s="25"/>
    </row>
    <row r="127" spans="1:7" ht="17.100000000000001" customHeight="1" x14ac:dyDescent="0.2">
      <c r="A127" s="22"/>
      <c r="B127" s="272" t="s">
        <v>163</v>
      </c>
      <c r="C127" s="273"/>
      <c r="D127" s="2" t="s">
        <v>149</v>
      </c>
      <c r="E127" s="22"/>
      <c r="F127" s="22"/>
      <c r="G127" s="22"/>
    </row>
    <row r="130" spans="10:15" x14ac:dyDescent="0.2">
      <c r="J130" s="170"/>
      <c r="K130" s="170"/>
      <c r="L130" s="170"/>
      <c r="M130" s="170"/>
      <c r="N130" s="170"/>
      <c r="O130" s="170"/>
    </row>
  </sheetData>
  <mergeCells count="13">
    <mergeCell ref="B126:C126"/>
    <mergeCell ref="B127:C127"/>
    <mergeCell ref="B112:C112"/>
    <mergeCell ref="B113:C113"/>
    <mergeCell ref="B114:C114"/>
    <mergeCell ref="B122:C122"/>
    <mergeCell ref="B124:C124"/>
    <mergeCell ref="B125:C125"/>
    <mergeCell ref="J2:N2"/>
    <mergeCell ref="B111:C11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12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523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13152</v>
      </c>
      <c r="F7" s="6">
        <v>99.014831999999998</v>
      </c>
      <c r="G7" s="7">
        <v>9.0223319999999996E-2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3744</v>
      </c>
      <c r="F8" s="6">
        <v>98.566416000000004</v>
      </c>
      <c r="G8" s="7">
        <v>8.9814719000000001E-2</v>
      </c>
      <c r="H8" s="6"/>
    </row>
    <row r="9" spans="1:14" ht="17.100000000000001" customHeight="1" x14ac:dyDescent="0.2">
      <c r="A9" s="3">
        <v>3</v>
      </c>
      <c r="B9" s="4" t="s">
        <v>406</v>
      </c>
      <c r="C9" s="4" t="s">
        <v>407</v>
      </c>
      <c r="D9" s="4" t="s">
        <v>994</v>
      </c>
      <c r="E9" s="5">
        <v>5779</v>
      </c>
      <c r="F9" s="6">
        <v>86.893044000000003</v>
      </c>
      <c r="G9" s="7">
        <v>7.9177823999999994E-2</v>
      </c>
      <c r="H9" s="6"/>
    </row>
    <row r="10" spans="1:14" ht="17.100000000000001" customHeight="1" x14ac:dyDescent="0.2">
      <c r="A10" s="3">
        <v>4</v>
      </c>
      <c r="B10" s="4" t="s">
        <v>374</v>
      </c>
      <c r="C10" s="4" t="s">
        <v>375</v>
      </c>
      <c r="D10" s="4" t="s">
        <v>19</v>
      </c>
      <c r="E10" s="5">
        <v>4906</v>
      </c>
      <c r="F10" s="6">
        <v>68.141886999999997</v>
      </c>
      <c r="G10" s="7">
        <v>6.2091579000000001E-2</v>
      </c>
      <c r="H10" s="6"/>
    </row>
    <row r="11" spans="1:14" ht="17.100000000000001" customHeight="1" x14ac:dyDescent="0.2">
      <c r="A11" s="3">
        <v>5</v>
      </c>
      <c r="B11" s="4" t="s">
        <v>50</v>
      </c>
      <c r="C11" s="4" t="s">
        <v>51</v>
      </c>
      <c r="D11" s="4" t="s">
        <v>19</v>
      </c>
      <c r="E11" s="5">
        <v>12485</v>
      </c>
      <c r="F11" s="6">
        <v>58.442284999999998</v>
      </c>
      <c r="G11" s="7">
        <v>5.3253202999999999E-2</v>
      </c>
      <c r="H11" s="6"/>
    </row>
    <row r="12" spans="1:14" ht="29.1" customHeight="1" x14ac:dyDescent="0.2">
      <c r="A12" s="3">
        <v>6</v>
      </c>
      <c r="B12" s="4" t="s">
        <v>408</v>
      </c>
      <c r="C12" s="4" t="s">
        <v>409</v>
      </c>
      <c r="D12" s="4" t="s">
        <v>85</v>
      </c>
      <c r="E12" s="5">
        <v>2230</v>
      </c>
      <c r="F12" s="6">
        <v>51.440525000000001</v>
      </c>
      <c r="G12" s="7">
        <v>4.6873128999999999E-2</v>
      </c>
      <c r="H12" s="6"/>
    </row>
    <row r="13" spans="1:14" ht="17.100000000000001" customHeight="1" x14ac:dyDescent="0.2">
      <c r="A13" s="3">
        <v>7</v>
      </c>
      <c r="B13" s="4" t="s">
        <v>11</v>
      </c>
      <c r="C13" s="4" t="s">
        <v>12</v>
      </c>
      <c r="D13" s="4" t="s">
        <v>13</v>
      </c>
      <c r="E13" s="5">
        <v>2233</v>
      </c>
      <c r="F13" s="6">
        <v>36.944985000000003</v>
      </c>
      <c r="G13" s="7">
        <v>3.3664645E-2</v>
      </c>
      <c r="H13" s="6"/>
      <c r="J13" s="169" t="s">
        <v>1145</v>
      </c>
    </row>
    <row r="14" spans="1:14" ht="17.100000000000001" customHeight="1" x14ac:dyDescent="0.2">
      <c r="A14" s="3">
        <v>8</v>
      </c>
      <c r="B14" s="4" t="s">
        <v>319</v>
      </c>
      <c r="C14" s="4" t="s">
        <v>320</v>
      </c>
      <c r="D14" s="4" t="s">
        <v>19</v>
      </c>
      <c r="E14" s="5">
        <v>5335</v>
      </c>
      <c r="F14" s="6">
        <v>36.555419999999998</v>
      </c>
      <c r="G14" s="7">
        <v>3.330967E-2</v>
      </c>
      <c r="H14" s="6"/>
    </row>
    <row r="15" spans="1:14" ht="17.100000000000001" customHeight="1" x14ac:dyDescent="0.2">
      <c r="A15" s="3">
        <v>9</v>
      </c>
      <c r="B15" s="4" t="s">
        <v>453</v>
      </c>
      <c r="C15" s="4" t="s">
        <v>454</v>
      </c>
      <c r="D15" s="4" t="s">
        <v>396</v>
      </c>
      <c r="E15" s="5">
        <v>7590</v>
      </c>
      <c r="F15" s="6">
        <v>33.665444999999998</v>
      </c>
      <c r="G15" s="7">
        <v>3.0676294999999999E-2</v>
      </c>
      <c r="H15" s="6"/>
    </row>
    <row r="16" spans="1:14" ht="17.100000000000001" customHeight="1" x14ac:dyDescent="0.2">
      <c r="A16" s="3">
        <v>10</v>
      </c>
      <c r="B16" s="4" t="s">
        <v>316</v>
      </c>
      <c r="C16" s="4" t="s">
        <v>317</v>
      </c>
      <c r="D16" s="4" t="s">
        <v>318</v>
      </c>
      <c r="E16" s="5">
        <v>3142</v>
      </c>
      <c r="F16" s="6">
        <v>33.195230000000002</v>
      </c>
      <c r="G16" s="7">
        <v>3.0247830999999999E-2</v>
      </c>
      <c r="H16" s="6"/>
    </row>
    <row r="17" spans="1:8" ht="17.100000000000001" customHeight="1" x14ac:dyDescent="0.2">
      <c r="A17" s="3">
        <v>11</v>
      </c>
      <c r="B17" s="4" t="s">
        <v>20</v>
      </c>
      <c r="C17" s="4" t="s">
        <v>21</v>
      </c>
      <c r="D17" s="4" t="s">
        <v>22</v>
      </c>
      <c r="E17" s="5">
        <v>4570</v>
      </c>
      <c r="F17" s="6">
        <v>31.999140000000001</v>
      </c>
      <c r="G17" s="7">
        <v>2.9157941E-2</v>
      </c>
      <c r="H17" s="6"/>
    </row>
    <row r="18" spans="1:8" ht="29.1" customHeight="1" x14ac:dyDescent="0.2">
      <c r="A18" s="3">
        <v>12</v>
      </c>
      <c r="B18" s="4" t="s">
        <v>23</v>
      </c>
      <c r="C18" s="4" t="s">
        <v>24</v>
      </c>
      <c r="D18" s="4" t="s">
        <v>25</v>
      </c>
      <c r="E18" s="5">
        <v>501</v>
      </c>
      <c r="F18" s="6">
        <v>30.473825999999999</v>
      </c>
      <c r="G18" s="7">
        <v>2.7768060000000001E-2</v>
      </c>
      <c r="H18" s="6"/>
    </row>
    <row r="19" spans="1:8" ht="17.100000000000001" customHeight="1" x14ac:dyDescent="0.2">
      <c r="A19" s="3">
        <v>13</v>
      </c>
      <c r="B19" s="4" t="s">
        <v>425</v>
      </c>
      <c r="C19" s="4" t="s">
        <v>426</v>
      </c>
      <c r="D19" s="4" t="s">
        <v>418</v>
      </c>
      <c r="E19" s="5">
        <v>8677</v>
      </c>
      <c r="F19" s="6">
        <v>23.4843005</v>
      </c>
      <c r="G19" s="7">
        <v>2.1399133000000001E-2</v>
      </c>
      <c r="H19" s="6"/>
    </row>
    <row r="20" spans="1:8" ht="17.100000000000001" customHeight="1" x14ac:dyDescent="0.2">
      <c r="A20" s="3">
        <v>14</v>
      </c>
      <c r="B20" s="4" t="s">
        <v>410</v>
      </c>
      <c r="C20" s="4" t="s">
        <v>411</v>
      </c>
      <c r="D20" s="4" t="s">
        <v>994</v>
      </c>
      <c r="E20" s="5">
        <v>672</v>
      </c>
      <c r="F20" s="6">
        <v>22.608432000000001</v>
      </c>
      <c r="G20" s="7">
        <v>2.0601033000000001E-2</v>
      </c>
      <c r="H20" s="6"/>
    </row>
    <row r="21" spans="1:8" ht="17.100000000000001" customHeight="1" x14ac:dyDescent="0.2">
      <c r="A21" s="3">
        <v>15</v>
      </c>
      <c r="B21" s="4" t="s">
        <v>431</v>
      </c>
      <c r="C21" s="4" t="s">
        <v>432</v>
      </c>
      <c r="D21" s="4" t="s">
        <v>19</v>
      </c>
      <c r="E21" s="5">
        <v>1213</v>
      </c>
      <c r="F21" s="6">
        <v>22.402290499999999</v>
      </c>
      <c r="G21" s="7">
        <v>2.0413194999999999E-2</v>
      </c>
      <c r="H21" s="6"/>
    </row>
    <row r="22" spans="1:8" ht="17.100000000000001" customHeight="1" x14ac:dyDescent="0.2">
      <c r="A22" s="3">
        <v>16</v>
      </c>
      <c r="B22" s="4" t="s">
        <v>412</v>
      </c>
      <c r="C22" s="4" t="s">
        <v>413</v>
      </c>
      <c r="D22" s="4" t="s">
        <v>323</v>
      </c>
      <c r="E22" s="5">
        <v>1859</v>
      </c>
      <c r="F22" s="6">
        <v>21.827448499999999</v>
      </c>
      <c r="G22" s="7">
        <v>1.9889392999999998E-2</v>
      </c>
      <c r="H22" s="6"/>
    </row>
    <row r="23" spans="1:8" ht="17.100000000000001" customHeight="1" x14ac:dyDescent="0.2">
      <c r="A23" s="3">
        <v>17</v>
      </c>
      <c r="B23" s="4" t="s">
        <v>473</v>
      </c>
      <c r="C23" s="4" t="s">
        <v>474</v>
      </c>
      <c r="D23" s="4" t="s">
        <v>80</v>
      </c>
      <c r="E23" s="5">
        <v>959</v>
      </c>
      <c r="F23" s="6">
        <v>21.251439999999999</v>
      </c>
      <c r="G23" s="7">
        <v>1.9364527999999999E-2</v>
      </c>
      <c r="H23" s="6"/>
    </row>
    <row r="24" spans="1:8" ht="29.1" customHeight="1" x14ac:dyDescent="0.2">
      <c r="A24" s="3">
        <v>18</v>
      </c>
      <c r="B24" s="4" t="s">
        <v>217</v>
      </c>
      <c r="C24" s="4" t="s">
        <v>218</v>
      </c>
      <c r="D24" s="4" t="s">
        <v>219</v>
      </c>
      <c r="E24" s="5">
        <v>526</v>
      </c>
      <c r="F24" s="6">
        <v>20.642607000000002</v>
      </c>
      <c r="G24" s="7">
        <v>1.8809752999999999E-2</v>
      </c>
      <c r="H24" s="6"/>
    </row>
    <row r="25" spans="1:8" ht="29.1" customHeight="1" x14ac:dyDescent="0.2">
      <c r="A25" s="3">
        <v>19</v>
      </c>
      <c r="B25" s="4" t="s">
        <v>189</v>
      </c>
      <c r="C25" s="4" t="s">
        <v>190</v>
      </c>
      <c r="D25" s="4" t="s">
        <v>191</v>
      </c>
      <c r="E25" s="5">
        <v>2788</v>
      </c>
      <c r="F25" s="6">
        <v>19.628914000000002</v>
      </c>
      <c r="G25" s="7">
        <v>1.7886065999999999E-2</v>
      </c>
      <c r="H25" s="6"/>
    </row>
    <row r="26" spans="1:8" ht="29.1" customHeight="1" x14ac:dyDescent="0.2">
      <c r="A26" s="3">
        <v>20</v>
      </c>
      <c r="B26" s="4" t="s">
        <v>354</v>
      </c>
      <c r="C26" s="4" t="s">
        <v>355</v>
      </c>
      <c r="D26" s="4" t="s">
        <v>356</v>
      </c>
      <c r="E26" s="5">
        <v>2059</v>
      </c>
      <c r="F26" s="6">
        <v>19.455490999999999</v>
      </c>
      <c r="G26" s="7">
        <v>1.7728041E-2</v>
      </c>
      <c r="H26" s="6"/>
    </row>
    <row r="27" spans="1:8" ht="17.100000000000001" customHeight="1" x14ac:dyDescent="0.2">
      <c r="A27" s="3">
        <v>21</v>
      </c>
      <c r="B27" s="4" t="s">
        <v>419</v>
      </c>
      <c r="C27" s="4" t="s">
        <v>420</v>
      </c>
      <c r="D27" s="4" t="s">
        <v>994</v>
      </c>
      <c r="E27" s="5">
        <v>1859</v>
      </c>
      <c r="F27" s="6">
        <v>19.347542499999999</v>
      </c>
      <c r="G27" s="7">
        <v>1.7629677E-2</v>
      </c>
      <c r="H27" s="6"/>
    </row>
    <row r="28" spans="1:8" ht="17.100000000000001" customHeight="1" x14ac:dyDescent="0.2">
      <c r="A28" s="3">
        <v>22</v>
      </c>
      <c r="B28" s="4" t="s">
        <v>93</v>
      </c>
      <c r="C28" s="4" t="s">
        <v>94</v>
      </c>
      <c r="D28" s="4" t="s">
        <v>95</v>
      </c>
      <c r="E28" s="5">
        <v>827</v>
      </c>
      <c r="F28" s="6">
        <v>19.025962</v>
      </c>
      <c r="G28" s="7">
        <v>1.7336649999999999E-2</v>
      </c>
      <c r="H28" s="6"/>
    </row>
    <row r="29" spans="1:8" ht="17.100000000000001" customHeight="1" x14ac:dyDescent="0.2">
      <c r="A29" s="3">
        <v>23</v>
      </c>
      <c r="B29" s="4" t="s">
        <v>314</v>
      </c>
      <c r="C29" s="4" t="s">
        <v>315</v>
      </c>
      <c r="D29" s="4" t="s">
        <v>19</v>
      </c>
      <c r="E29" s="5">
        <v>20799</v>
      </c>
      <c r="F29" s="6">
        <v>18.4799115</v>
      </c>
      <c r="G29" s="7">
        <v>1.6839083000000001E-2</v>
      </c>
      <c r="H29" s="6"/>
    </row>
    <row r="30" spans="1:8" ht="17.100000000000001" customHeight="1" x14ac:dyDescent="0.2">
      <c r="A30" s="3">
        <v>24</v>
      </c>
      <c r="B30" s="4" t="s">
        <v>429</v>
      </c>
      <c r="C30" s="4" t="s">
        <v>430</v>
      </c>
      <c r="D30" s="4" t="s">
        <v>19</v>
      </c>
      <c r="E30" s="5">
        <v>1787</v>
      </c>
      <c r="F30" s="6">
        <v>16.634289500000001</v>
      </c>
      <c r="G30" s="7">
        <v>1.5157333E-2</v>
      </c>
      <c r="H30" s="6"/>
    </row>
    <row r="31" spans="1:8" ht="17.100000000000001" customHeight="1" x14ac:dyDescent="0.2">
      <c r="A31" s="3">
        <v>25</v>
      </c>
      <c r="B31" s="4" t="s">
        <v>237</v>
      </c>
      <c r="C31" s="4" t="s">
        <v>238</v>
      </c>
      <c r="D31" s="4" t="s">
        <v>239</v>
      </c>
      <c r="E31" s="5">
        <v>5791</v>
      </c>
      <c r="F31" s="6">
        <v>16.2640235</v>
      </c>
      <c r="G31" s="7">
        <v>1.4819943E-2</v>
      </c>
      <c r="H31" s="6"/>
    </row>
    <row r="32" spans="1:8" ht="17.100000000000001" customHeight="1" x14ac:dyDescent="0.2">
      <c r="A32" s="3">
        <v>26</v>
      </c>
      <c r="B32" s="4" t="s">
        <v>45</v>
      </c>
      <c r="C32" s="4" t="s">
        <v>46</v>
      </c>
      <c r="D32" s="4" t="s">
        <v>47</v>
      </c>
      <c r="E32" s="5">
        <v>2372</v>
      </c>
      <c r="F32" s="6">
        <v>15.428674000000001</v>
      </c>
      <c r="G32" s="7">
        <v>1.4058764E-2</v>
      </c>
      <c r="H32" s="6"/>
    </row>
    <row r="33" spans="1:8" ht="17.100000000000001" customHeight="1" x14ac:dyDescent="0.2">
      <c r="A33" s="3">
        <v>27</v>
      </c>
      <c r="B33" s="4" t="s">
        <v>346</v>
      </c>
      <c r="C33" s="4" t="s">
        <v>347</v>
      </c>
      <c r="D33" s="4" t="s">
        <v>106</v>
      </c>
      <c r="E33" s="5">
        <v>3810</v>
      </c>
      <c r="F33" s="6">
        <v>14.396084999999999</v>
      </c>
      <c r="G33" s="7">
        <v>1.3117859000000001E-2</v>
      </c>
      <c r="H33" s="6"/>
    </row>
    <row r="34" spans="1:8" ht="17.100000000000001" customHeight="1" x14ac:dyDescent="0.2">
      <c r="A34" s="3">
        <v>28</v>
      </c>
      <c r="B34" s="4" t="s">
        <v>58</v>
      </c>
      <c r="C34" s="4" t="s">
        <v>59</v>
      </c>
      <c r="D34" s="4" t="s">
        <v>16</v>
      </c>
      <c r="E34" s="5">
        <v>3989</v>
      </c>
      <c r="F34" s="6">
        <v>13.012117999999999</v>
      </c>
      <c r="G34" s="7">
        <v>1.1856774E-2</v>
      </c>
      <c r="H34" s="6"/>
    </row>
    <row r="35" spans="1:8" ht="17.100000000000001" customHeight="1" x14ac:dyDescent="0.2">
      <c r="A35" s="3">
        <v>29</v>
      </c>
      <c r="B35" s="4" t="s">
        <v>517</v>
      </c>
      <c r="C35" s="4" t="s">
        <v>518</v>
      </c>
      <c r="D35" s="4" t="s">
        <v>302</v>
      </c>
      <c r="E35" s="5">
        <v>4646</v>
      </c>
      <c r="F35" s="6">
        <v>12.604597999999999</v>
      </c>
      <c r="G35" s="7">
        <v>1.1485438000000001E-2</v>
      </c>
      <c r="H35" s="6"/>
    </row>
    <row r="36" spans="1:8" ht="29.1" customHeight="1" x14ac:dyDescent="0.2">
      <c r="A36" s="3">
        <v>30</v>
      </c>
      <c r="B36" s="4" t="s">
        <v>519</v>
      </c>
      <c r="C36" s="4" t="s">
        <v>520</v>
      </c>
      <c r="D36" s="4" t="s">
        <v>25</v>
      </c>
      <c r="E36" s="5">
        <v>1266</v>
      </c>
      <c r="F36" s="6">
        <v>12.33717</v>
      </c>
      <c r="G36" s="7">
        <v>1.1241755000000001E-2</v>
      </c>
      <c r="H36" s="6"/>
    </row>
    <row r="37" spans="1:8" ht="17.100000000000001" customHeight="1" x14ac:dyDescent="0.2">
      <c r="A37" s="3">
        <v>31</v>
      </c>
      <c r="B37" s="4" t="s">
        <v>324</v>
      </c>
      <c r="C37" s="4" t="s">
        <v>325</v>
      </c>
      <c r="D37" s="4" t="s">
        <v>19</v>
      </c>
      <c r="E37" s="5">
        <v>12176</v>
      </c>
      <c r="F37" s="6">
        <v>12.206440000000001</v>
      </c>
      <c r="G37" s="7">
        <v>1.1122632E-2</v>
      </c>
      <c r="H37" s="6"/>
    </row>
    <row r="38" spans="1:8" ht="17.100000000000001" customHeight="1" x14ac:dyDescent="0.2">
      <c r="A38" s="3">
        <v>32</v>
      </c>
      <c r="B38" s="4" t="s">
        <v>416</v>
      </c>
      <c r="C38" s="4" t="s">
        <v>417</v>
      </c>
      <c r="D38" s="4" t="s">
        <v>418</v>
      </c>
      <c r="E38" s="5">
        <v>517</v>
      </c>
      <c r="F38" s="6">
        <v>12.1663025</v>
      </c>
      <c r="G38" s="7">
        <v>1.1086057999999999E-2</v>
      </c>
      <c r="H38" s="6"/>
    </row>
    <row r="39" spans="1:8" ht="29.1" customHeight="1" x14ac:dyDescent="0.2">
      <c r="A39" s="3">
        <v>33</v>
      </c>
      <c r="B39" s="4" t="s">
        <v>521</v>
      </c>
      <c r="C39" s="4" t="s">
        <v>522</v>
      </c>
      <c r="D39" s="4" t="s">
        <v>198</v>
      </c>
      <c r="E39" s="5">
        <v>1213</v>
      </c>
      <c r="F39" s="6">
        <v>12.0444835</v>
      </c>
      <c r="G39" s="7">
        <v>1.0975056E-2</v>
      </c>
      <c r="H39" s="6"/>
    </row>
    <row r="40" spans="1:8" ht="29.1" customHeight="1" x14ac:dyDescent="0.2">
      <c r="A40" s="3">
        <v>34</v>
      </c>
      <c r="B40" s="4" t="s">
        <v>382</v>
      </c>
      <c r="C40" s="4" t="s">
        <v>383</v>
      </c>
      <c r="D40" s="4" t="s">
        <v>233</v>
      </c>
      <c r="E40" s="5">
        <v>1535</v>
      </c>
      <c r="F40" s="6">
        <v>11.662162500000001</v>
      </c>
      <c r="G40" s="7">
        <v>1.0626681000000001E-2</v>
      </c>
      <c r="H40" s="6"/>
    </row>
    <row r="41" spans="1:8" ht="29.1" customHeight="1" x14ac:dyDescent="0.2">
      <c r="A41" s="3">
        <v>35</v>
      </c>
      <c r="B41" s="4" t="s">
        <v>350</v>
      </c>
      <c r="C41" s="4" t="s">
        <v>351</v>
      </c>
      <c r="D41" s="4" t="s">
        <v>198</v>
      </c>
      <c r="E41" s="5">
        <v>311</v>
      </c>
      <c r="F41" s="6">
        <v>8.8975545</v>
      </c>
      <c r="G41" s="7">
        <v>8.1075420000000006E-3</v>
      </c>
      <c r="H41" s="6"/>
    </row>
    <row r="42" spans="1:8" ht="17.100000000000001" customHeight="1" x14ac:dyDescent="0.2">
      <c r="A42" s="3">
        <v>36</v>
      </c>
      <c r="B42" s="4" t="s">
        <v>421</v>
      </c>
      <c r="C42" s="4" t="s">
        <v>422</v>
      </c>
      <c r="D42" s="4" t="s">
        <v>994</v>
      </c>
      <c r="E42" s="5">
        <v>1742</v>
      </c>
      <c r="F42" s="6">
        <v>8.3276310000000002</v>
      </c>
      <c r="G42" s="7">
        <v>7.5882220000000004E-3</v>
      </c>
      <c r="H42" s="6"/>
    </row>
    <row r="43" spans="1:8" ht="17.100000000000001" customHeight="1" x14ac:dyDescent="0.2">
      <c r="A43" s="3">
        <v>37</v>
      </c>
      <c r="B43" s="4" t="s">
        <v>438</v>
      </c>
      <c r="C43" s="4" t="s">
        <v>1057</v>
      </c>
      <c r="D43" s="4" t="s">
        <v>22</v>
      </c>
      <c r="E43" s="5">
        <v>327</v>
      </c>
      <c r="F43" s="6">
        <v>1.0851495</v>
      </c>
      <c r="G43" s="7">
        <v>9.8879900000000006E-4</v>
      </c>
      <c r="H43" s="6"/>
    </row>
    <row r="44" spans="1:8" ht="14.1" customHeight="1" x14ac:dyDescent="0.2">
      <c r="A44" s="1"/>
      <c r="B44" s="1"/>
      <c r="C44" s="2" t="s">
        <v>119</v>
      </c>
      <c r="D44" s="1"/>
      <c r="E44" s="1" t="s">
        <v>120</v>
      </c>
      <c r="F44" s="9">
        <v>1060.5540560000004</v>
      </c>
      <c r="G44" s="10">
        <v>0.96638762399999978</v>
      </c>
      <c r="H44" s="6"/>
    </row>
    <row r="45" spans="1:8" ht="14.1" customHeight="1" x14ac:dyDescent="0.2">
      <c r="A45" s="1"/>
      <c r="B45" s="1"/>
      <c r="C45" s="11"/>
      <c r="D45" s="1"/>
      <c r="E45" s="1"/>
      <c r="F45" s="12"/>
      <c r="G45" s="12"/>
      <c r="H45" s="6"/>
    </row>
    <row r="46" spans="1:8" ht="14.1" customHeight="1" x14ac:dyDescent="0.2">
      <c r="A46" s="1"/>
      <c r="B46" s="1"/>
      <c r="C46" s="2" t="s">
        <v>121</v>
      </c>
      <c r="D46" s="1"/>
      <c r="E46" s="1"/>
      <c r="F46" s="1"/>
      <c r="G46" s="1"/>
      <c r="H46" s="6"/>
    </row>
    <row r="47" spans="1:8" ht="14.1" customHeight="1" x14ac:dyDescent="0.2">
      <c r="A47" s="1"/>
      <c r="B47" s="1"/>
      <c r="C47" s="2" t="s">
        <v>119</v>
      </c>
      <c r="D47" s="1"/>
      <c r="E47" s="1" t="s">
        <v>120</v>
      </c>
      <c r="F47" s="13">
        <v>0</v>
      </c>
      <c r="G47" s="14">
        <v>0</v>
      </c>
      <c r="H47" s="6"/>
    </row>
    <row r="48" spans="1:8" ht="14.1" customHeight="1" x14ac:dyDescent="0.2">
      <c r="A48" s="1"/>
      <c r="B48" s="1"/>
      <c r="C48" s="11"/>
      <c r="D48" s="1"/>
      <c r="E48" s="1"/>
      <c r="F48" s="12"/>
      <c r="G48" s="12"/>
      <c r="H48" s="6"/>
    </row>
    <row r="49" spans="1:8" ht="14.1" customHeight="1" x14ac:dyDescent="0.2">
      <c r="A49" s="1"/>
      <c r="B49" s="1"/>
      <c r="C49" s="2" t="s">
        <v>122</v>
      </c>
      <c r="D49" s="1"/>
      <c r="E49" s="1"/>
      <c r="F49" s="1"/>
      <c r="G49" s="1"/>
      <c r="H49" s="6"/>
    </row>
    <row r="50" spans="1:8" ht="14.1" customHeight="1" x14ac:dyDescent="0.2">
      <c r="A50" s="1"/>
      <c r="B50" s="1"/>
      <c r="C50" s="2" t="s">
        <v>119</v>
      </c>
      <c r="D50" s="1"/>
      <c r="E50" s="1" t="s">
        <v>120</v>
      </c>
      <c r="F50" s="13">
        <v>0</v>
      </c>
      <c r="G50" s="14">
        <v>0</v>
      </c>
      <c r="H50" s="6"/>
    </row>
    <row r="51" spans="1:8" ht="14.1" customHeight="1" x14ac:dyDescent="0.2">
      <c r="A51" s="1"/>
      <c r="B51" s="1"/>
      <c r="C51" s="11"/>
      <c r="D51" s="1"/>
      <c r="E51" s="1"/>
      <c r="F51" s="12"/>
      <c r="G51" s="12"/>
      <c r="H51" s="6"/>
    </row>
    <row r="52" spans="1:8" ht="14.1" customHeight="1" x14ac:dyDescent="0.2">
      <c r="A52" s="1"/>
      <c r="B52" s="1"/>
      <c r="C52" s="2" t="s">
        <v>123</v>
      </c>
      <c r="D52" s="1"/>
      <c r="E52" s="1"/>
      <c r="F52" s="1"/>
      <c r="G52" s="1"/>
      <c r="H52" s="6"/>
    </row>
    <row r="53" spans="1:8" ht="14.1" customHeight="1" x14ac:dyDescent="0.2">
      <c r="A53" s="1"/>
      <c r="B53" s="1"/>
      <c r="C53" s="2" t="s">
        <v>119</v>
      </c>
      <c r="D53" s="1"/>
      <c r="E53" s="1" t="s">
        <v>120</v>
      </c>
      <c r="F53" s="9">
        <v>0</v>
      </c>
      <c r="G53" s="10">
        <v>0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124</v>
      </c>
      <c r="D55" s="1"/>
      <c r="E55" s="1"/>
      <c r="F55" s="12"/>
      <c r="G55" s="12"/>
      <c r="H55" s="6"/>
    </row>
    <row r="56" spans="1:8" ht="14.1" customHeight="1" x14ac:dyDescent="0.2">
      <c r="A56" s="1"/>
      <c r="B56" s="1"/>
      <c r="C56" s="2" t="s">
        <v>119</v>
      </c>
      <c r="D56" s="1"/>
      <c r="E56" s="1" t="s">
        <v>120</v>
      </c>
      <c r="F56" s="13">
        <v>0</v>
      </c>
      <c r="G56" s="14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125</v>
      </c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119</v>
      </c>
      <c r="D59" s="1"/>
      <c r="E59" s="1" t="s">
        <v>120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8" customHeight="1" x14ac:dyDescent="0.2">
      <c r="A61" s="1"/>
      <c r="B61" s="1"/>
      <c r="C61" s="2" t="s">
        <v>126</v>
      </c>
      <c r="D61" s="1"/>
      <c r="E61" s="1"/>
      <c r="F61" s="9">
        <v>1060.5540559999999</v>
      </c>
      <c r="G61" s="10">
        <v>0.966387624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127</v>
      </c>
      <c r="D63" s="1"/>
      <c r="E63" s="1"/>
      <c r="F63" s="12"/>
      <c r="G63" s="12"/>
      <c r="H63" s="6"/>
    </row>
    <row r="64" spans="1:8" ht="24" customHeight="1" x14ac:dyDescent="0.2">
      <c r="A64" s="1"/>
      <c r="B64" s="1"/>
      <c r="C64" s="2" t="s">
        <v>10</v>
      </c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119</v>
      </c>
      <c r="D65" s="1"/>
      <c r="E65" s="1" t="s">
        <v>120</v>
      </c>
      <c r="F65" s="13">
        <v>0</v>
      </c>
      <c r="G65" s="14">
        <v>0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128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119</v>
      </c>
      <c r="D68" s="1"/>
      <c r="E68" s="1" t="s">
        <v>120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129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119</v>
      </c>
      <c r="D71" s="1"/>
      <c r="E71" s="1" t="s">
        <v>120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130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119</v>
      </c>
      <c r="D74" s="1"/>
      <c r="E74" s="1" t="s">
        <v>120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131</v>
      </c>
      <c r="D76" s="1"/>
      <c r="E76" s="1"/>
      <c r="F76" s="9">
        <v>0</v>
      </c>
      <c r="G76" s="10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132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133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119</v>
      </c>
      <c r="D80" s="1"/>
      <c r="E80" s="1" t="s">
        <v>120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134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119</v>
      </c>
      <c r="D83" s="1"/>
      <c r="E83" s="1" t="s">
        <v>120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135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119</v>
      </c>
      <c r="D86" s="1"/>
      <c r="E86" s="1" t="s">
        <v>120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136</v>
      </c>
      <c r="D88" s="1"/>
      <c r="E88" s="1"/>
      <c r="F88" s="12"/>
      <c r="G88" s="12"/>
      <c r="H88" s="6"/>
    </row>
    <row r="89" spans="1:8" ht="17.100000000000001" customHeight="1" x14ac:dyDescent="0.2">
      <c r="A89" s="3">
        <v>1</v>
      </c>
      <c r="B89" s="4"/>
      <c r="C89" s="4" t="s">
        <v>137</v>
      </c>
      <c r="D89" s="4"/>
      <c r="E89" s="8"/>
      <c r="F89" s="6">
        <v>32.179922300000001</v>
      </c>
      <c r="G89" s="7">
        <v>2.9322672000000001E-2</v>
      </c>
      <c r="H89" s="6">
        <v>4.1713246754849944</v>
      </c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9">
        <v>32.179922300000001</v>
      </c>
      <c r="G90" s="10">
        <v>2.9322672000000001E-2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138</v>
      </c>
      <c r="D92" s="1"/>
      <c r="E92" s="1"/>
      <c r="F92" s="9">
        <v>32.179922300000001</v>
      </c>
      <c r="G92" s="10">
        <v>2.9322672000000001E-2</v>
      </c>
      <c r="H92" s="6"/>
    </row>
    <row r="93" spans="1:8" ht="14.1" customHeight="1" x14ac:dyDescent="0.2">
      <c r="A93" s="1"/>
      <c r="B93" s="1"/>
      <c r="C93" s="12"/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139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140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141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142</v>
      </c>
      <c r="D99" s="1"/>
      <c r="E99" s="1"/>
      <c r="F99" s="1"/>
      <c r="G99" s="1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24" customHeight="1" x14ac:dyDescent="0.2">
      <c r="A103" s="1"/>
      <c r="B103" s="1"/>
      <c r="C103" s="2" t="s">
        <v>143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119</v>
      </c>
      <c r="D104" s="1"/>
      <c r="E104" s="1" t="s">
        <v>120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4"/>
      <c r="C106" s="4"/>
      <c r="D106" s="2"/>
      <c r="E106" s="1"/>
      <c r="F106" s="4"/>
      <c r="G106" s="8"/>
      <c r="H106" s="6"/>
    </row>
    <row r="107" spans="1:8" ht="18" customHeight="1" x14ac:dyDescent="0.2">
      <c r="A107" s="8"/>
      <c r="B107" s="4"/>
      <c r="C107" s="4" t="s">
        <v>144</v>
      </c>
      <c r="D107" s="4"/>
      <c r="E107" s="8"/>
      <c r="F107" s="6">
        <v>4.7077019900000003</v>
      </c>
      <c r="G107" s="7">
        <v>4.2897059999999999E-3</v>
      </c>
      <c r="H107" s="6"/>
    </row>
    <row r="108" spans="1:8" ht="14.1" customHeight="1" x14ac:dyDescent="0.2">
      <c r="A108" s="11"/>
      <c r="B108" s="11"/>
      <c r="C108" s="2" t="s">
        <v>145</v>
      </c>
      <c r="D108" s="15"/>
      <c r="E108" s="15"/>
      <c r="F108" s="9">
        <v>1097.44168029</v>
      </c>
      <c r="G108" s="10">
        <v>1.0000000019999999</v>
      </c>
      <c r="H108" s="6"/>
    </row>
    <row r="109" spans="1:8" ht="14.1" customHeight="1" x14ac:dyDescent="0.2">
      <c r="A109" s="18"/>
      <c r="B109" s="18"/>
      <c r="C109" s="18"/>
      <c r="D109" s="20"/>
      <c r="E109" s="20"/>
      <c r="F109" s="20"/>
      <c r="G109" s="20"/>
    </row>
    <row r="110" spans="1:8" ht="14.1" customHeight="1" x14ac:dyDescent="0.2">
      <c r="A110" s="18"/>
      <c r="B110" s="265" t="s">
        <v>147</v>
      </c>
      <c r="C110" s="266"/>
      <c r="D110" s="12" t="s">
        <v>120</v>
      </c>
      <c r="E110" s="21"/>
      <c r="F110" s="20"/>
      <c r="G110" s="20"/>
    </row>
    <row r="111" spans="1:8" ht="29.1" customHeight="1" x14ac:dyDescent="0.2">
      <c r="A111" s="18"/>
      <c r="B111" s="272" t="s">
        <v>148</v>
      </c>
      <c r="C111" s="273"/>
      <c r="D111" s="2" t="s">
        <v>149</v>
      </c>
      <c r="E111" s="21"/>
      <c r="F111" s="20"/>
      <c r="G111" s="20"/>
    </row>
    <row r="112" spans="1:8" ht="17.100000000000001" customHeight="1" x14ac:dyDescent="0.2">
      <c r="A112" s="18"/>
      <c r="B112" s="272" t="s">
        <v>150</v>
      </c>
      <c r="C112" s="273"/>
      <c r="D112" s="2" t="s">
        <v>149</v>
      </c>
      <c r="E112" s="21"/>
      <c r="F112" s="20"/>
      <c r="G112" s="20"/>
    </row>
    <row r="113" spans="1:15" ht="17.100000000000001" customHeight="1" x14ac:dyDescent="0.2">
      <c r="A113" s="18"/>
      <c r="B113" s="272" t="s">
        <v>151</v>
      </c>
      <c r="C113" s="273"/>
      <c r="D113" s="12" t="s">
        <v>120</v>
      </c>
      <c r="E113" s="21"/>
      <c r="F113" s="20"/>
      <c r="G113" s="20"/>
    </row>
    <row r="114" spans="1:15" ht="24" customHeight="1" x14ac:dyDescent="0.2">
      <c r="A114" s="22"/>
      <c r="B114" s="23" t="s">
        <v>120</v>
      </c>
      <c r="C114" s="23" t="s">
        <v>152</v>
      </c>
      <c r="D114" s="23" t="s">
        <v>153</v>
      </c>
      <c r="E114" s="22"/>
      <c r="F114" s="22"/>
      <c r="G114" s="22"/>
    </row>
    <row r="115" spans="1:15" ht="18" customHeight="1" x14ac:dyDescent="0.2">
      <c r="A115" s="22"/>
      <c r="B115" s="23" t="s">
        <v>154</v>
      </c>
      <c r="C115" s="23" t="s">
        <v>155</v>
      </c>
      <c r="D115" s="23" t="s">
        <v>156</v>
      </c>
      <c r="E115" s="22"/>
      <c r="F115" s="22"/>
      <c r="G115" s="22"/>
    </row>
    <row r="116" spans="1:15" ht="17.100000000000001" customHeight="1" x14ac:dyDescent="0.2">
      <c r="A116" s="22"/>
      <c r="B116" s="4" t="s">
        <v>157</v>
      </c>
      <c r="C116" s="24">
        <v>23.727399999999999</v>
      </c>
      <c r="D116" s="24">
        <v>23.106200000000001</v>
      </c>
      <c r="E116" s="22"/>
      <c r="F116" s="19"/>
      <c r="G116" s="25"/>
    </row>
    <row r="117" spans="1:15" ht="17.100000000000001" customHeight="1" x14ac:dyDescent="0.2">
      <c r="A117" s="22"/>
      <c r="B117" s="4" t="s">
        <v>1120</v>
      </c>
      <c r="C117" s="24">
        <v>19.224799999999998</v>
      </c>
      <c r="D117" s="24">
        <v>18.721499999999999</v>
      </c>
      <c r="E117" s="22"/>
      <c r="F117" s="19"/>
      <c r="G117" s="25"/>
    </row>
    <row r="118" spans="1:15" ht="17.100000000000001" customHeight="1" x14ac:dyDescent="0.2">
      <c r="A118" s="22"/>
      <c r="B118" s="4" t="s">
        <v>158</v>
      </c>
      <c r="C118" s="24">
        <v>23.1737</v>
      </c>
      <c r="D118" s="24">
        <v>22.5627</v>
      </c>
      <c r="E118" s="22"/>
      <c r="F118" s="19"/>
      <c r="G118" s="25"/>
    </row>
    <row r="119" spans="1:15" ht="17.100000000000001" customHeight="1" x14ac:dyDescent="0.2">
      <c r="A119" s="22"/>
      <c r="B119" s="4" t="s">
        <v>1121</v>
      </c>
      <c r="C119" s="24">
        <v>18.7041</v>
      </c>
      <c r="D119" s="24">
        <v>18.210899999999999</v>
      </c>
      <c r="E119" s="22"/>
      <c r="F119" s="19"/>
      <c r="G119" s="25"/>
    </row>
    <row r="120" spans="1:15" ht="14.1" customHeight="1" x14ac:dyDescent="0.2">
      <c r="A120" s="22"/>
      <c r="B120" s="22"/>
      <c r="C120" s="22"/>
      <c r="D120" s="22"/>
      <c r="E120" s="22"/>
      <c r="F120" s="22"/>
      <c r="G120" s="22"/>
    </row>
    <row r="121" spans="1:15" ht="17.100000000000001" customHeight="1" x14ac:dyDescent="0.2">
      <c r="A121" s="22"/>
      <c r="B121" s="272" t="s">
        <v>1122</v>
      </c>
      <c r="C121" s="273"/>
      <c r="D121" s="2" t="s">
        <v>149</v>
      </c>
      <c r="E121" s="22"/>
      <c r="F121" s="22"/>
      <c r="G121" s="22"/>
    </row>
    <row r="122" spans="1:15" ht="14.1" customHeight="1" x14ac:dyDescent="0.2">
      <c r="A122" s="22"/>
      <c r="B122" s="19"/>
      <c r="C122" s="19"/>
      <c r="D122" s="22"/>
      <c r="E122" s="22"/>
      <c r="F122" s="22"/>
      <c r="G122" s="22"/>
    </row>
    <row r="123" spans="1:15" ht="29.1" customHeight="1" x14ac:dyDescent="0.2">
      <c r="A123" s="22"/>
      <c r="B123" s="272" t="s">
        <v>160</v>
      </c>
      <c r="C123" s="273"/>
      <c r="D123" s="2" t="s">
        <v>149</v>
      </c>
      <c r="E123" s="22"/>
      <c r="F123" s="22"/>
      <c r="G123" s="22"/>
    </row>
    <row r="124" spans="1:15" ht="29.1" customHeight="1" x14ac:dyDescent="0.2">
      <c r="A124" s="22"/>
      <c r="B124" s="272" t="s">
        <v>161</v>
      </c>
      <c r="C124" s="273"/>
      <c r="D124" s="2" t="s">
        <v>149</v>
      </c>
      <c r="E124" s="22"/>
      <c r="F124" s="22"/>
      <c r="G124" s="22"/>
    </row>
    <row r="125" spans="1:15" ht="17.100000000000001" customHeight="1" x14ac:dyDescent="0.2">
      <c r="A125" s="22"/>
      <c r="B125" s="272" t="s">
        <v>162</v>
      </c>
      <c r="C125" s="273"/>
      <c r="D125" s="27">
        <v>3.8149000000000002E-2</v>
      </c>
      <c r="E125" s="22"/>
      <c r="F125" s="19"/>
      <c r="G125" s="25"/>
    </row>
    <row r="126" spans="1:15" ht="17.100000000000001" customHeight="1" x14ac:dyDescent="0.2">
      <c r="A126" s="22"/>
      <c r="B126" s="272" t="s">
        <v>163</v>
      </c>
      <c r="C126" s="273"/>
      <c r="D126" s="2" t="s">
        <v>149</v>
      </c>
      <c r="E126" s="22"/>
      <c r="F126" s="22"/>
      <c r="G126" s="22"/>
    </row>
    <row r="127" spans="1:15" x14ac:dyDescent="0.2">
      <c r="J127" s="170"/>
      <c r="K127" s="170"/>
      <c r="L127" s="170"/>
      <c r="M127" s="170"/>
      <c r="N127" s="170"/>
      <c r="O127" s="170"/>
    </row>
  </sheetData>
  <mergeCells count="13">
    <mergeCell ref="B125:C125"/>
    <mergeCell ref="B126:C126"/>
    <mergeCell ref="B111:C111"/>
    <mergeCell ref="B112:C112"/>
    <mergeCell ref="B113:C113"/>
    <mergeCell ref="B121:C121"/>
    <mergeCell ref="B123:C123"/>
    <mergeCell ref="B124:C124"/>
    <mergeCell ref="J2:N2"/>
    <mergeCell ref="B110:C110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15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524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21893</v>
      </c>
      <c r="F7" s="6">
        <v>270.66315900000001</v>
      </c>
      <c r="G7" s="7">
        <v>3.8908462999999997E-2</v>
      </c>
      <c r="H7" s="6"/>
    </row>
    <row r="8" spans="1:14" ht="29.1" customHeight="1" x14ac:dyDescent="0.2">
      <c r="A8" s="3">
        <v>2</v>
      </c>
      <c r="B8" s="4" t="s">
        <v>217</v>
      </c>
      <c r="C8" s="4" t="s">
        <v>218</v>
      </c>
      <c r="D8" s="4" t="s">
        <v>219</v>
      </c>
      <c r="E8" s="5">
        <v>6170</v>
      </c>
      <c r="F8" s="6">
        <v>242.138565</v>
      </c>
      <c r="G8" s="7">
        <v>3.4807985999999999E-2</v>
      </c>
      <c r="H8" s="6"/>
    </row>
    <row r="9" spans="1:14" ht="17.100000000000001" customHeight="1" x14ac:dyDescent="0.2">
      <c r="A9" s="3">
        <v>3</v>
      </c>
      <c r="B9" s="4" t="s">
        <v>182</v>
      </c>
      <c r="C9" s="4" t="s">
        <v>183</v>
      </c>
      <c r="D9" s="4" t="s">
        <v>80</v>
      </c>
      <c r="E9" s="5">
        <v>42158</v>
      </c>
      <c r="F9" s="6">
        <v>241.96584100000001</v>
      </c>
      <c r="G9" s="7">
        <v>3.4783156000000003E-2</v>
      </c>
      <c r="H9" s="6"/>
    </row>
    <row r="10" spans="1:14" ht="17.100000000000001" customHeight="1" x14ac:dyDescent="0.2">
      <c r="A10" s="3">
        <v>4</v>
      </c>
      <c r="B10" s="4" t="s">
        <v>179</v>
      </c>
      <c r="C10" s="4" t="s">
        <v>180</v>
      </c>
      <c r="D10" s="4" t="s">
        <v>181</v>
      </c>
      <c r="E10" s="5">
        <v>16028</v>
      </c>
      <c r="F10" s="6">
        <v>236.49314000000001</v>
      </c>
      <c r="G10" s="7">
        <v>3.3996443000000001E-2</v>
      </c>
      <c r="H10" s="6"/>
    </row>
    <row r="11" spans="1:14" ht="17.100000000000001" customHeight="1" x14ac:dyDescent="0.2">
      <c r="A11" s="3">
        <v>5</v>
      </c>
      <c r="B11" s="4" t="s">
        <v>78</v>
      </c>
      <c r="C11" s="4" t="s">
        <v>79</v>
      </c>
      <c r="D11" s="4" t="s">
        <v>80</v>
      </c>
      <c r="E11" s="5">
        <v>44275</v>
      </c>
      <c r="F11" s="6">
        <v>216.43833749999999</v>
      </c>
      <c r="G11" s="7">
        <v>3.1113518E-2</v>
      </c>
      <c r="H11" s="6"/>
    </row>
    <row r="12" spans="1:14" ht="17.100000000000001" customHeight="1" x14ac:dyDescent="0.2">
      <c r="A12" s="3">
        <v>6</v>
      </c>
      <c r="B12" s="4" t="s">
        <v>246</v>
      </c>
      <c r="C12" s="4" t="s">
        <v>247</v>
      </c>
      <c r="D12" s="4" t="s">
        <v>248</v>
      </c>
      <c r="E12" s="5">
        <v>115517</v>
      </c>
      <c r="F12" s="6">
        <v>210.18318149999999</v>
      </c>
      <c r="G12" s="7">
        <v>3.0214325E-2</v>
      </c>
      <c r="H12" s="6"/>
      <c r="J12" s="169" t="s">
        <v>1173</v>
      </c>
    </row>
    <row r="13" spans="1:14" ht="17.100000000000001" customHeight="1" x14ac:dyDescent="0.2">
      <c r="A13" s="3">
        <v>7</v>
      </c>
      <c r="B13" s="4" t="s">
        <v>237</v>
      </c>
      <c r="C13" s="4" t="s">
        <v>238</v>
      </c>
      <c r="D13" s="4" t="s">
        <v>239</v>
      </c>
      <c r="E13" s="5">
        <v>72529</v>
      </c>
      <c r="F13" s="6">
        <v>203.69769650000001</v>
      </c>
      <c r="G13" s="7">
        <v>2.9282020999999998E-2</v>
      </c>
      <c r="H13" s="6"/>
    </row>
    <row r="14" spans="1:14" ht="17.100000000000001" customHeight="1" x14ac:dyDescent="0.2">
      <c r="A14" s="3">
        <v>8</v>
      </c>
      <c r="B14" s="4" t="s">
        <v>172</v>
      </c>
      <c r="C14" s="4" t="s">
        <v>173</v>
      </c>
      <c r="D14" s="4" t="s">
        <v>994</v>
      </c>
      <c r="E14" s="5">
        <v>37699</v>
      </c>
      <c r="F14" s="6">
        <v>199.91779700000001</v>
      </c>
      <c r="G14" s="7">
        <v>2.8738652E-2</v>
      </c>
      <c r="H14" s="6"/>
    </row>
    <row r="15" spans="1:14" ht="17.100000000000001" customHeight="1" x14ac:dyDescent="0.2">
      <c r="A15" s="3">
        <v>9</v>
      </c>
      <c r="B15" s="4" t="s">
        <v>90</v>
      </c>
      <c r="C15" s="4" t="s">
        <v>91</v>
      </c>
      <c r="D15" s="4" t="s">
        <v>92</v>
      </c>
      <c r="E15" s="5">
        <v>40332</v>
      </c>
      <c r="F15" s="6">
        <v>187.402638</v>
      </c>
      <c r="G15" s="7">
        <v>2.6939568000000001E-2</v>
      </c>
      <c r="H15" s="6"/>
    </row>
    <row r="16" spans="1:14" ht="17.100000000000001" customHeight="1" x14ac:dyDescent="0.2">
      <c r="A16" s="3">
        <v>10</v>
      </c>
      <c r="B16" s="4" t="s">
        <v>177</v>
      </c>
      <c r="C16" s="4" t="s">
        <v>178</v>
      </c>
      <c r="D16" s="4" t="s">
        <v>85</v>
      </c>
      <c r="E16" s="5">
        <v>192978</v>
      </c>
      <c r="F16" s="6">
        <v>180.048474</v>
      </c>
      <c r="G16" s="7">
        <v>2.5882390000000002E-2</v>
      </c>
      <c r="H16" s="6"/>
    </row>
    <row r="17" spans="1:8" ht="17.100000000000001" customHeight="1" x14ac:dyDescent="0.2">
      <c r="A17" s="3">
        <v>11</v>
      </c>
      <c r="B17" s="4" t="s">
        <v>201</v>
      </c>
      <c r="C17" s="4" t="s">
        <v>202</v>
      </c>
      <c r="D17" s="4" t="s">
        <v>203</v>
      </c>
      <c r="E17" s="5">
        <v>35423</v>
      </c>
      <c r="F17" s="6">
        <v>178.354805</v>
      </c>
      <c r="G17" s="7">
        <v>2.5638920999999999E-2</v>
      </c>
      <c r="H17" s="6"/>
    </row>
    <row r="18" spans="1:8" ht="17.100000000000001" customHeight="1" x14ac:dyDescent="0.2">
      <c r="A18" s="3">
        <v>12</v>
      </c>
      <c r="B18" s="4" t="s">
        <v>272</v>
      </c>
      <c r="C18" s="4" t="s">
        <v>273</v>
      </c>
      <c r="D18" s="4" t="s">
        <v>28</v>
      </c>
      <c r="E18" s="5">
        <v>21716</v>
      </c>
      <c r="F18" s="6">
        <v>174.70522</v>
      </c>
      <c r="G18" s="7">
        <v>2.5114285E-2</v>
      </c>
      <c r="H18" s="6"/>
    </row>
    <row r="19" spans="1:8" ht="17.100000000000001" customHeight="1" x14ac:dyDescent="0.2">
      <c r="A19" s="3">
        <v>13</v>
      </c>
      <c r="B19" s="4" t="s">
        <v>32</v>
      </c>
      <c r="C19" s="4" t="s">
        <v>33</v>
      </c>
      <c r="D19" s="4" t="s">
        <v>28</v>
      </c>
      <c r="E19" s="5">
        <v>10116</v>
      </c>
      <c r="F19" s="6">
        <v>173.39329799999999</v>
      </c>
      <c r="G19" s="7">
        <v>2.4925692999999999E-2</v>
      </c>
      <c r="H19" s="6"/>
    </row>
    <row r="20" spans="1:8" ht="17.100000000000001" customHeight="1" x14ac:dyDescent="0.2">
      <c r="A20" s="3">
        <v>14</v>
      </c>
      <c r="B20" s="4" t="s">
        <v>34</v>
      </c>
      <c r="C20" s="4" t="s">
        <v>35</v>
      </c>
      <c r="D20" s="4" t="s">
        <v>28</v>
      </c>
      <c r="E20" s="5">
        <v>12434</v>
      </c>
      <c r="F20" s="6">
        <v>168.493134</v>
      </c>
      <c r="G20" s="7">
        <v>2.4221283E-2</v>
      </c>
      <c r="H20" s="6"/>
    </row>
    <row r="21" spans="1:8" ht="29.1" customHeight="1" x14ac:dyDescent="0.2">
      <c r="A21" s="3">
        <v>15</v>
      </c>
      <c r="B21" s="4" t="s">
        <v>478</v>
      </c>
      <c r="C21" s="4" t="s">
        <v>479</v>
      </c>
      <c r="D21" s="4" t="s">
        <v>42</v>
      </c>
      <c r="E21" s="5">
        <v>9062</v>
      </c>
      <c r="F21" s="6">
        <v>165.89350300000001</v>
      </c>
      <c r="G21" s="7">
        <v>2.384758E-2</v>
      </c>
      <c r="H21" s="6"/>
    </row>
    <row r="22" spans="1:8" ht="17.100000000000001" customHeight="1" x14ac:dyDescent="0.2">
      <c r="A22" s="3">
        <v>16</v>
      </c>
      <c r="B22" s="4" t="s">
        <v>199</v>
      </c>
      <c r="C22" s="4" t="s">
        <v>200</v>
      </c>
      <c r="D22" s="4" t="s">
        <v>13</v>
      </c>
      <c r="E22" s="5">
        <v>44883</v>
      </c>
      <c r="F22" s="6">
        <v>161.82565650000001</v>
      </c>
      <c r="G22" s="7">
        <v>2.3262817000000002E-2</v>
      </c>
      <c r="H22" s="6"/>
    </row>
    <row r="23" spans="1:8" ht="29.1" customHeight="1" x14ac:dyDescent="0.2">
      <c r="A23" s="3">
        <v>17</v>
      </c>
      <c r="B23" s="4" t="s">
        <v>196</v>
      </c>
      <c r="C23" s="4" t="s">
        <v>197</v>
      </c>
      <c r="D23" s="4" t="s">
        <v>198</v>
      </c>
      <c r="E23" s="5">
        <v>42854</v>
      </c>
      <c r="F23" s="6">
        <v>151.33890099999999</v>
      </c>
      <c r="G23" s="7">
        <v>2.1755321000000001E-2</v>
      </c>
      <c r="H23" s="6"/>
    </row>
    <row r="24" spans="1:8" ht="17.100000000000001" customHeight="1" x14ac:dyDescent="0.2">
      <c r="A24" s="3">
        <v>18</v>
      </c>
      <c r="B24" s="4" t="s">
        <v>204</v>
      </c>
      <c r="C24" s="4" t="s">
        <v>205</v>
      </c>
      <c r="D24" s="4" t="s">
        <v>85</v>
      </c>
      <c r="E24" s="5">
        <v>17235</v>
      </c>
      <c r="F24" s="6">
        <v>134.0883</v>
      </c>
      <c r="G24" s="7">
        <v>1.9275507000000001E-2</v>
      </c>
      <c r="H24" s="6"/>
    </row>
    <row r="25" spans="1:8" ht="29.1" customHeight="1" x14ac:dyDescent="0.2">
      <c r="A25" s="3">
        <v>19</v>
      </c>
      <c r="B25" s="4" t="s">
        <v>43</v>
      </c>
      <c r="C25" s="4" t="s">
        <v>44</v>
      </c>
      <c r="D25" s="4" t="s">
        <v>25</v>
      </c>
      <c r="E25" s="5">
        <v>5414</v>
      </c>
      <c r="F25" s="6">
        <v>128.97501500000001</v>
      </c>
      <c r="G25" s="7">
        <v>1.8540460000000002E-2</v>
      </c>
      <c r="H25" s="6"/>
    </row>
    <row r="26" spans="1:8" ht="17.100000000000001" customHeight="1" x14ac:dyDescent="0.2">
      <c r="A26" s="3">
        <v>20</v>
      </c>
      <c r="B26" s="4" t="s">
        <v>184</v>
      </c>
      <c r="C26" s="4" t="s">
        <v>185</v>
      </c>
      <c r="D26" s="4" t="s">
        <v>186</v>
      </c>
      <c r="E26" s="5">
        <v>11420</v>
      </c>
      <c r="F26" s="6">
        <v>121.36605</v>
      </c>
      <c r="G26" s="7">
        <v>1.7446653999999999E-2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8551</v>
      </c>
      <c r="F27" s="6">
        <v>117.28979150000001</v>
      </c>
      <c r="G27" s="7">
        <v>1.6860681999999998E-2</v>
      </c>
      <c r="H27" s="6"/>
    </row>
    <row r="28" spans="1:8" ht="29.1" customHeight="1" x14ac:dyDescent="0.2">
      <c r="A28" s="3">
        <v>22</v>
      </c>
      <c r="B28" s="4" t="s">
        <v>285</v>
      </c>
      <c r="C28" s="4" t="s">
        <v>286</v>
      </c>
      <c r="D28" s="4" t="s">
        <v>233</v>
      </c>
      <c r="E28" s="5">
        <v>21059</v>
      </c>
      <c r="F28" s="6">
        <v>117.01433350000001</v>
      </c>
      <c r="G28" s="7">
        <v>1.6821084E-2</v>
      </c>
      <c r="H28" s="6"/>
    </row>
    <row r="29" spans="1:8" ht="17.100000000000001" customHeight="1" x14ac:dyDescent="0.2">
      <c r="A29" s="3">
        <v>23</v>
      </c>
      <c r="B29" s="4" t="s">
        <v>194</v>
      </c>
      <c r="C29" s="4" t="s">
        <v>195</v>
      </c>
      <c r="D29" s="4" t="s">
        <v>85</v>
      </c>
      <c r="E29" s="5">
        <v>23946</v>
      </c>
      <c r="F29" s="6">
        <v>115.826802</v>
      </c>
      <c r="G29" s="7">
        <v>1.6650373999999999E-2</v>
      </c>
      <c r="H29" s="6"/>
    </row>
    <row r="30" spans="1:8" ht="29.1" customHeight="1" x14ac:dyDescent="0.2">
      <c r="A30" s="3">
        <v>24</v>
      </c>
      <c r="B30" s="4" t="s">
        <v>189</v>
      </c>
      <c r="C30" s="4" t="s">
        <v>190</v>
      </c>
      <c r="D30" s="4" t="s">
        <v>191</v>
      </c>
      <c r="E30" s="5">
        <v>16350</v>
      </c>
      <c r="F30" s="6">
        <v>115.11217499999999</v>
      </c>
      <c r="G30" s="7">
        <v>1.6547645E-2</v>
      </c>
      <c r="H30" s="6"/>
    </row>
    <row r="31" spans="1:8" ht="17.100000000000001" customHeight="1" x14ac:dyDescent="0.2">
      <c r="A31" s="3">
        <v>25</v>
      </c>
      <c r="B31" s="4" t="s">
        <v>228</v>
      </c>
      <c r="C31" s="4" t="s">
        <v>229</v>
      </c>
      <c r="D31" s="4" t="s">
        <v>230</v>
      </c>
      <c r="E31" s="5">
        <v>38459</v>
      </c>
      <c r="F31" s="6">
        <v>113.646345</v>
      </c>
      <c r="G31" s="7">
        <v>1.6336928000000001E-2</v>
      </c>
      <c r="H31" s="6"/>
    </row>
    <row r="32" spans="1:8" ht="29.1" customHeight="1" x14ac:dyDescent="0.2">
      <c r="A32" s="3">
        <v>26</v>
      </c>
      <c r="B32" s="4" t="s">
        <v>293</v>
      </c>
      <c r="C32" s="4" t="s">
        <v>294</v>
      </c>
      <c r="D32" s="4" t="s">
        <v>295</v>
      </c>
      <c r="E32" s="5">
        <v>33525</v>
      </c>
      <c r="F32" s="6">
        <v>109.49265</v>
      </c>
      <c r="G32" s="7">
        <v>1.5739824999999999E-2</v>
      </c>
      <c r="H32" s="6"/>
    </row>
    <row r="33" spans="1:8" ht="17.100000000000001" customHeight="1" x14ac:dyDescent="0.2">
      <c r="A33" s="3">
        <v>27</v>
      </c>
      <c r="B33" s="4" t="s">
        <v>480</v>
      </c>
      <c r="C33" s="4" t="s">
        <v>481</v>
      </c>
      <c r="D33" s="4" t="s">
        <v>80</v>
      </c>
      <c r="E33" s="5">
        <v>11132</v>
      </c>
      <c r="F33" s="6">
        <v>102.08044</v>
      </c>
      <c r="G33" s="7">
        <v>1.4674302E-2</v>
      </c>
      <c r="H33" s="6"/>
    </row>
    <row r="34" spans="1:8" ht="29.1" customHeight="1" x14ac:dyDescent="0.2">
      <c r="A34" s="3">
        <v>28</v>
      </c>
      <c r="B34" s="4" t="s">
        <v>234</v>
      </c>
      <c r="C34" s="4" t="s">
        <v>235</v>
      </c>
      <c r="D34" s="4" t="s">
        <v>236</v>
      </c>
      <c r="E34" s="5">
        <v>107569</v>
      </c>
      <c r="F34" s="6">
        <v>97.941574500000002</v>
      </c>
      <c r="G34" s="7">
        <v>1.4079331E-2</v>
      </c>
      <c r="H34" s="6"/>
    </row>
    <row r="35" spans="1:8" ht="17.100000000000001" customHeight="1" x14ac:dyDescent="0.2">
      <c r="A35" s="3">
        <v>29</v>
      </c>
      <c r="B35" s="4" t="s">
        <v>283</v>
      </c>
      <c r="C35" s="4" t="s">
        <v>284</v>
      </c>
      <c r="D35" s="4" t="s">
        <v>176</v>
      </c>
      <c r="E35" s="5">
        <v>12295</v>
      </c>
      <c r="F35" s="6">
        <v>96.319029999999998</v>
      </c>
      <c r="G35" s="7">
        <v>1.3846086000000001E-2</v>
      </c>
      <c r="H35" s="6"/>
    </row>
    <row r="36" spans="1:8" ht="17.100000000000001" customHeight="1" x14ac:dyDescent="0.2">
      <c r="A36" s="3">
        <v>30</v>
      </c>
      <c r="B36" s="4" t="s">
        <v>259</v>
      </c>
      <c r="C36" s="4" t="s">
        <v>260</v>
      </c>
      <c r="D36" s="4" t="s">
        <v>186</v>
      </c>
      <c r="E36" s="5">
        <v>65797</v>
      </c>
      <c r="F36" s="6">
        <v>95.767533499999999</v>
      </c>
      <c r="G36" s="7">
        <v>1.3766807000000001E-2</v>
      </c>
      <c r="H36" s="6"/>
    </row>
    <row r="37" spans="1:8" ht="17.100000000000001" customHeight="1" x14ac:dyDescent="0.2">
      <c r="A37" s="3">
        <v>31</v>
      </c>
      <c r="B37" s="4" t="s">
        <v>291</v>
      </c>
      <c r="C37" s="4" t="s">
        <v>292</v>
      </c>
      <c r="D37" s="4" t="s">
        <v>95</v>
      </c>
      <c r="E37" s="5">
        <v>14616</v>
      </c>
      <c r="F37" s="6">
        <v>92.292732000000001</v>
      </c>
      <c r="G37" s="7">
        <v>1.3267296E-2</v>
      </c>
      <c r="H37" s="6"/>
    </row>
    <row r="38" spans="1:8" ht="29.1" customHeight="1" x14ac:dyDescent="0.2">
      <c r="A38" s="3">
        <v>32</v>
      </c>
      <c r="B38" s="4" t="s">
        <v>206</v>
      </c>
      <c r="C38" s="4" t="s">
        <v>207</v>
      </c>
      <c r="D38" s="4" t="s">
        <v>191</v>
      </c>
      <c r="E38" s="5">
        <v>19323</v>
      </c>
      <c r="F38" s="6">
        <v>90.711823499999994</v>
      </c>
      <c r="G38" s="7">
        <v>1.3040037000000001E-2</v>
      </c>
      <c r="H38" s="6"/>
    </row>
    <row r="39" spans="1:8" ht="29.1" customHeight="1" x14ac:dyDescent="0.2">
      <c r="A39" s="3">
        <v>33</v>
      </c>
      <c r="B39" s="4" t="s">
        <v>226</v>
      </c>
      <c r="C39" s="4" t="s">
        <v>227</v>
      </c>
      <c r="D39" s="4" t="s">
        <v>80</v>
      </c>
      <c r="E39" s="5">
        <v>5046</v>
      </c>
      <c r="F39" s="6">
        <v>89.193095999999997</v>
      </c>
      <c r="G39" s="7">
        <v>1.2821716E-2</v>
      </c>
      <c r="H39" s="6"/>
    </row>
    <row r="40" spans="1:8" ht="17.100000000000001" customHeight="1" x14ac:dyDescent="0.2">
      <c r="A40" s="3">
        <v>34</v>
      </c>
      <c r="B40" s="4" t="s">
        <v>252</v>
      </c>
      <c r="C40" s="4" t="s">
        <v>253</v>
      </c>
      <c r="D40" s="4" t="s">
        <v>254</v>
      </c>
      <c r="E40" s="5">
        <v>73868</v>
      </c>
      <c r="F40" s="6">
        <v>87.644381999999993</v>
      </c>
      <c r="G40" s="7">
        <v>1.2599084999999999E-2</v>
      </c>
      <c r="H40" s="6"/>
    </row>
    <row r="41" spans="1:8" ht="17.100000000000001" customHeight="1" x14ac:dyDescent="0.2">
      <c r="A41" s="3">
        <v>35</v>
      </c>
      <c r="B41" s="4" t="s">
        <v>281</v>
      </c>
      <c r="C41" s="4" t="s">
        <v>282</v>
      </c>
      <c r="D41" s="4" t="s">
        <v>28</v>
      </c>
      <c r="E41" s="5">
        <v>3837</v>
      </c>
      <c r="F41" s="6">
        <v>87.489355500000002</v>
      </c>
      <c r="G41" s="7">
        <v>1.2576800000000001E-2</v>
      </c>
      <c r="H41" s="6"/>
    </row>
    <row r="42" spans="1:8" ht="29.1" customHeight="1" x14ac:dyDescent="0.2">
      <c r="A42" s="3">
        <v>36</v>
      </c>
      <c r="B42" s="4" t="s">
        <v>208</v>
      </c>
      <c r="C42" s="4" t="s">
        <v>209</v>
      </c>
      <c r="D42" s="4" t="s">
        <v>210</v>
      </c>
      <c r="E42" s="5">
        <v>6040</v>
      </c>
      <c r="F42" s="6">
        <v>86.17268</v>
      </c>
      <c r="G42" s="7">
        <v>1.2387525E-2</v>
      </c>
      <c r="H42" s="6"/>
    </row>
    <row r="43" spans="1:8" ht="17.100000000000001" customHeight="1" x14ac:dyDescent="0.2">
      <c r="A43" s="3">
        <v>37</v>
      </c>
      <c r="B43" s="4" t="s">
        <v>213</v>
      </c>
      <c r="C43" s="4" t="s">
        <v>214</v>
      </c>
      <c r="D43" s="4" t="s">
        <v>13</v>
      </c>
      <c r="E43" s="5">
        <v>104608</v>
      </c>
      <c r="F43" s="6">
        <v>85.935472000000004</v>
      </c>
      <c r="G43" s="7">
        <v>1.2353424999999999E-2</v>
      </c>
      <c r="H43" s="6"/>
    </row>
    <row r="44" spans="1:8" ht="17.100000000000001" customHeight="1" x14ac:dyDescent="0.2">
      <c r="A44" s="3">
        <v>38</v>
      </c>
      <c r="B44" s="4" t="s">
        <v>492</v>
      </c>
      <c r="C44" s="4" t="s">
        <v>493</v>
      </c>
      <c r="D44" s="4"/>
      <c r="E44" s="5">
        <v>10328</v>
      </c>
      <c r="F44" s="6">
        <v>83.904672000000005</v>
      </c>
      <c r="G44" s="7">
        <v>1.2061493E-2</v>
      </c>
      <c r="H44" s="6"/>
    </row>
    <row r="45" spans="1:8" ht="17.100000000000001" customHeight="1" x14ac:dyDescent="0.2">
      <c r="A45" s="3">
        <v>39</v>
      </c>
      <c r="B45" s="4" t="s">
        <v>215</v>
      </c>
      <c r="C45" s="4" t="s">
        <v>216</v>
      </c>
      <c r="D45" s="4" t="s">
        <v>186</v>
      </c>
      <c r="E45" s="5">
        <v>17730</v>
      </c>
      <c r="F45" s="6">
        <v>80.706959999999995</v>
      </c>
      <c r="G45" s="7">
        <v>1.1601815E-2</v>
      </c>
      <c r="H45" s="6"/>
    </row>
    <row r="46" spans="1:8" ht="29.1" customHeight="1" x14ac:dyDescent="0.2">
      <c r="A46" s="3">
        <v>40</v>
      </c>
      <c r="B46" s="4" t="s">
        <v>298</v>
      </c>
      <c r="C46" s="4" t="s">
        <v>299</v>
      </c>
      <c r="D46" s="4" t="s">
        <v>25</v>
      </c>
      <c r="E46" s="5">
        <v>43268</v>
      </c>
      <c r="F46" s="6">
        <v>79.331878000000003</v>
      </c>
      <c r="G46" s="7">
        <v>1.1404143E-2</v>
      </c>
      <c r="H46" s="6"/>
    </row>
    <row r="47" spans="1:8" ht="17.100000000000001" customHeight="1" x14ac:dyDescent="0.2">
      <c r="A47" s="3">
        <v>41</v>
      </c>
      <c r="B47" s="4" t="s">
        <v>270</v>
      </c>
      <c r="C47" s="4" t="s">
        <v>271</v>
      </c>
      <c r="D47" s="4" t="s">
        <v>28</v>
      </c>
      <c r="E47" s="5">
        <v>6630</v>
      </c>
      <c r="F47" s="6">
        <v>67.841475000000003</v>
      </c>
      <c r="G47" s="7">
        <v>9.7523709999999993E-3</v>
      </c>
      <c r="H47" s="6"/>
    </row>
    <row r="48" spans="1:8" ht="53.1" customHeight="1" x14ac:dyDescent="0.2">
      <c r="A48" s="3">
        <v>42</v>
      </c>
      <c r="B48" s="4" t="s">
        <v>251</v>
      </c>
      <c r="C48" s="4" t="s">
        <v>1141</v>
      </c>
      <c r="D48" s="4" t="s">
        <v>75</v>
      </c>
      <c r="E48" s="5">
        <v>33472</v>
      </c>
      <c r="F48" s="6">
        <v>66.441919999999996</v>
      </c>
      <c r="G48" s="7">
        <v>9.5511820000000001E-3</v>
      </c>
      <c r="H48" s="6"/>
    </row>
    <row r="49" spans="1:8" ht="29.1" customHeight="1" x14ac:dyDescent="0.2">
      <c r="A49" s="3">
        <v>43</v>
      </c>
      <c r="B49" s="4" t="s">
        <v>231</v>
      </c>
      <c r="C49" s="4" t="s">
        <v>232</v>
      </c>
      <c r="D49" s="4" t="s">
        <v>233</v>
      </c>
      <c r="E49" s="5">
        <v>18519</v>
      </c>
      <c r="F49" s="6">
        <v>65.575778999999997</v>
      </c>
      <c r="G49" s="7">
        <v>9.4266720000000005E-3</v>
      </c>
      <c r="H49" s="6"/>
    </row>
    <row r="50" spans="1:8" ht="17.100000000000001" customHeight="1" x14ac:dyDescent="0.2">
      <c r="A50" s="3">
        <v>44</v>
      </c>
      <c r="B50" s="4" t="s">
        <v>287</v>
      </c>
      <c r="C50" s="4" t="s">
        <v>288</v>
      </c>
      <c r="D50" s="4" t="s">
        <v>85</v>
      </c>
      <c r="E50" s="5">
        <v>124593</v>
      </c>
      <c r="F50" s="6">
        <v>61.611238499999999</v>
      </c>
      <c r="G50" s="7">
        <v>8.85676E-3</v>
      </c>
      <c r="H50" s="6"/>
    </row>
    <row r="51" spans="1:8" ht="17.100000000000001" customHeight="1" x14ac:dyDescent="0.2">
      <c r="A51" s="3">
        <v>45</v>
      </c>
      <c r="B51" s="4" t="s">
        <v>303</v>
      </c>
      <c r="C51" s="4" t="s">
        <v>304</v>
      </c>
      <c r="D51" s="4" t="s">
        <v>19</v>
      </c>
      <c r="E51" s="5">
        <v>31204</v>
      </c>
      <c r="F51" s="6">
        <v>58.959958</v>
      </c>
      <c r="G51" s="7">
        <v>8.4756320000000003E-3</v>
      </c>
      <c r="H51" s="6"/>
    </row>
    <row r="52" spans="1:8" ht="29.1" customHeight="1" x14ac:dyDescent="0.2">
      <c r="A52" s="3">
        <v>46</v>
      </c>
      <c r="B52" s="4" t="s">
        <v>255</v>
      </c>
      <c r="C52" s="4" t="s">
        <v>256</v>
      </c>
      <c r="D52" s="4" t="s">
        <v>210</v>
      </c>
      <c r="E52" s="5">
        <v>26477</v>
      </c>
      <c r="F52" s="6">
        <v>57.839006500000004</v>
      </c>
      <c r="G52" s="7">
        <v>8.3144929999999992E-3</v>
      </c>
      <c r="H52" s="6"/>
    </row>
    <row r="53" spans="1:8" ht="17.100000000000001" customHeight="1" x14ac:dyDescent="0.2">
      <c r="A53" s="3">
        <v>47</v>
      </c>
      <c r="B53" s="4" t="s">
        <v>244</v>
      </c>
      <c r="C53" s="4" t="s">
        <v>245</v>
      </c>
      <c r="D53" s="4" t="s">
        <v>95</v>
      </c>
      <c r="E53" s="5">
        <v>10808</v>
      </c>
      <c r="F53" s="6">
        <v>56.769019999999998</v>
      </c>
      <c r="G53" s="7">
        <v>8.16068E-3</v>
      </c>
      <c r="H53" s="6"/>
    </row>
    <row r="54" spans="1:8" ht="29.1" customHeight="1" x14ac:dyDescent="0.2">
      <c r="A54" s="3">
        <v>48</v>
      </c>
      <c r="B54" s="4" t="s">
        <v>498</v>
      </c>
      <c r="C54" s="4" t="s">
        <v>499</v>
      </c>
      <c r="D54" s="4" t="s">
        <v>198</v>
      </c>
      <c r="E54" s="5">
        <v>16923</v>
      </c>
      <c r="F54" s="6">
        <v>55.922053499999997</v>
      </c>
      <c r="G54" s="7">
        <v>8.0389260000000001E-3</v>
      </c>
      <c r="H54" s="6"/>
    </row>
    <row r="55" spans="1:8" ht="17.100000000000001" customHeight="1" x14ac:dyDescent="0.2">
      <c r="A55" s="3">
        <v>49</v>
      </c>
      <c r="B55" s="4" t="s">
        <v>289</v>
      </c>
      <c r="C55" s="4" t="s">
        <v>290</v>
      </c>
      <c r="D55" s="4" t="s">
        <v>106</v>
      </c>
      <c r="E55" s="5">
        <v>23492</v>
      </c>
      <c r="F55" s="6">
        <v>52.810015999999997</v>
      </c>
      <c r="G55" s="7">
        <v>7.591563E-3</v>
      </c>
      <c r="H55" s="6"/>
    </row>
    <row r="56" spans="1:8" ht="17.100000000000001" customHeight="1" x14ac:dyDescent="0.2">
      <c r="A56" s="3">
        <v>50</v>
      </c>
      <c r="B56" s="4" t="s">
        <v>261</v>
      </c>
      <c r="C56" s="4" t="s">
        <v>262</v>
      </c>
      <c r="D56" s="4" t="s">
        <v>106</v>
      </c>
      <c r="E56" s="5">
        <v>7165</v>
      </c>
      <c r="F56" s="6">
        <v>51.96058</v>
      </c>
      <c r="G56" s="7">
        <v>7.4694549999999998E-3</v>
      </c>
      <c r="H56" s="6"/>
    </row>
    <row r="57" spans="1:8" ht="17.100000000000001" customHeight="1" x14ac:dyDescent="0.2">
      <c r="A57" s="3">
        <v>51</v>
      </c>
      <c r="B57" s="4" t="s">
        <v>96</v>
      </c>
      <c r="C57" s="4" t="s">
        <v>97</v>
      </c>
      <c r="D57" s="4" t="s">
        <v>80</v>
      </c>
      <c r="E57" s="5">
        <v>1940</v>
      </c>
      <c r="F57" s="6">
        <v>51.080199999999998</v>
      </c>
      <c r="G57" s="7">
        <v>7.3428979999999996E-3</v>
      </c>
      <c r="H57" s="6"/>
    </row>
    <row r="58" spans="1:8" ht="17.100000000000001" customHeight="1" x14ac:dyDescent="0.2">
      <c r="A58" s="3">
        <v>52</v>
      </c>
      <c r="B58" s="4" t="s">
        <v>240</v>
      </c>
      <c r="C58" s="4" t="s">
        <v>241</v>
      </c>
      <c r="D58" s="4" t="s">
        <v>80</v>
      </c>
      <c r="E58" s="5">
        <v>9272</v>
      </c>
      <c r="F58" s="6">
        <v>50.064163999999998</v>
      </c>
      <c r="G58" s="7">
        <v>7.1968409999999998E-3</v>
      </c>
      <c r="H58" s="6"/>
    </row>
    <row r="59" spans="1:8" ht="17.100000000000001" customHeight="1" x14ac:dyDescent="0.2">
      <c r="A59" s="3">
        <v>53</v>
      </c>
      <c r="B59" s="4" t="s">
        <v>107</v>
      </c>
      <c r="C59" s="4" t="s">
        <v>108</v>
      </c>
      <c r="D59" s="4" t="s">
        <v>13</v>
      </c>
      <c r="E59" s="5">
        <v>39491</v>
      </c>
      <c r="F59" s="6">
        <v>46.046506000000001</v>
      </c>
      <c r="G59" s="7">
        <v>6.6192930000000001E-3</v>
      </c>
      <c r="H59" s="6"/>
    </row>
    <row r="60" spans="1:8" ht="29.1" customHeight="1" x14ac:dyDescent="0.2">
      <c r="A60" s="3">
        <v>54</v>
      </c>
      <c r="B60" s="4" t="s">
        <v>265</v>
      </c>
      <c r="C60" s="4" t="s">
        <v>266</v>
      </c>
      <c r="D60" s="4" t="s">
        <v>198</v>
      </c>
      <c r="E60" s="5">
        <v>1052</v>
      </c>
      <c r="F60" s="6">
        <v>44.903041999999999</v>
      </c>
      <c r="G60" s="7">
        <v>6.4549170000000001E-3</v>
      </c>
      <c r="H60" s="6"/>
    </row>
    <row r="61" spans="1:8" ht="17.100000000000001" customHeight="1" x14ac:dyDescent="0.2">
      <c r="A61" s="3">
        <v>55</v>
      </c>
      <c r="B61" s="4" t="s">
        <v>242</v>
      </c>
      <c r="C61" s="4" t="s">
        <v>243</v>
      </c>
      <c r="D61" s="4" t="s">
        <v>80</v>
      </c>
      <c r="E61" s="5">
        <v>20113</v>
      </c>
      <c r="F61" s="6">
        <v>42.8507465</v>
      </c>
      <c r="G61" s="7">
        <v>6.1598950000000003E-3</v>
      </c>
      <c r="H61" s="6"/>
    </row>
    <row r="62" spans="1:8" ht="17.100000000000001" customHeight="1" x14ac:dyDescent="0.2">
      <c r="A62" s="3">
        <v>56</v>
      </c>
      <c r="B62" s="4" t="s">
        <v>257</v>
      </c>
      <c r="C62" s="4" t="s">
        <v>258</v>
      </c>
      <c r="D62" s="4" t="s">
        <v>186</v>
      </c>
      <c r="E62" s="5">
        <v>38161</v>
      </c>
      <c r="F62" s="6">
        <v>37.092492</v>
      </c>
      <c r="G62" s="7">
        <v>5.3321330000000002E-3</v>
      </c>
      <c r="H62" s="6"/>
    </row>
    <row r="63" spans="1:8" ht="17.100000000000001" customHeight="1" x14ac:dyDescent="0.2">
      <c r="A63" s="3">
        <v>57</v>
      </c>
      <c r="B63" s="4" t="s">
        <v>296</v>
      </c>
      <c r="C63" s="4" t="s">
        <v>297</v>
      </c>
      <c r="D63" s="4" t="s">
        <v>31</v>
      </c>
      <c r="E63" s="5">
        <v>40010</v>
      </c>
      <c r="F63" s="6">
        <v>35.388845000000003</v>
      </c>
      <c r="G63" s="7">
        <v>5.0872290000000004E-3</v>
      </c>
      <c r="H63" s="6"/>
    </row>
    <row r="64" spans="1:8" ht="17.100000000000001" customHeight="1" x14ac:dyDescent="0.2">
      <c r="A64" s="3">
        <v>58</v>
      </c>
      <c r="B64" s="4" t="s">
        <v>115</v>
      </c>
      <c r="C64" s="4" t="s">
        <v>116</v>
      </c>
      <c r="D64" s="4" t="s">
        <v>92</v>
      </c>
      <c r="E64" s="5">
        <v>45125</v>
      </c>
      <c r="F64" s="6">
        <v>32.850999999999999</v>
      </c>
      <c r="G64" s="7">
        <v>4.722408E-3</v>
      </c>
      <c r="H64" s="6"/>
    </row>
    <row r="65" spans="1:8" ht="17.100000000000001" customHeight="1" x14ac:dyDescent="0.2">
      <c r="A65" s="3">
        <v>59</v>
      </c>
      <c r="B65" s="4" t="s">
        <v>300</v>
      </c>
      <c r="C65" s="4" t="s">
        <v>301</v>
      </c>
      <c r="D65" s="4" t="s">
        <v>302</v>
      </c>
      <c r="E65" s="5">
        <v>4284</v>
      </c>
      <c r="F65" s="6">
        <v>26.678609999999999</v>
      </c>
      <c r="G65" s="7">
        <v>3.8351129999999998E-3</v>
      </c>
      <c r="H65" s="6"/>
    </row>
    <row r="66" spans="1:8" ht="29.1" customHeight="1" x14ac:dyDescent="0.2">
      <c r="A66" s="3">
        <v>60</v>
      </c>
      <c r="B66" s="4" t="s">
        <v>274</v>
      </c>
      <c r="C66" s="4" t="s">
        <v>275</v>
      </c>
      <c r="D66" s="4" t="s">
        <v>219</v>
      </c>
      <c r="E66" s="5">
        <v>3563</v>
      </c>
      <c r="F66" s="6">
        <v>24.091224499999999</v>
      </c>
      <c r="G66" s="7">
        <v>3.4631699999999998E-3</v>
      </c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9">
        <v>6678.0343144999997</v>
      </c>
      <c r="G67" s="10">
        <v>0.95998307299999996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121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122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123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119</v>
      </c>
      <c r="D76" s="1"/>
      <c r="E76" s="1" t="s">
        <v>120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124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125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8" customHeight="1" x14ac:dyDescent="0.2">
      <c r="A84" s="1"/>
      <c r="B84" s="1"/>
      <c r="C84" s="2" t="s">
        <v>126</v>
      </c>
      <c r="D84" s="1"/>
      <c r="E84" s="1"/>
      <c r="F84" s="9">
        <v>6678.0343144999997</v>
      </c>
      <c r="G84" s="10">
        <v>0.95998307299999996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127</v>
      </c>
      <c r="D86" s="1"/>
      <c r="E86" s="1"/>
      <c r="F86" s="12"/>
      <c r="G86" s="12"/>
      <c r="H86" s="6"/>
    </row>
    <row r="87" spans="1:8" ht="24" customHeight="1" x14ac:dyDescent="0.2">
      <c r="A87" s="1"/>
      <c r="B87" s="1"/>
      <c r="C87" s="2" t="s">
        <v>10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128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129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130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131</v>
      </c>
      <c r="D99" s="1"/>
      <c r="E99" s="1"/>
      <c r="F99" s="9">
        <v>0</v>
      </c>
      <c r="G99" s="10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132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133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134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135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136</v>
      </c>
      <c r="D111" s="1"/>
      <c r="E111" s="1"/>
      <c r="F111" s="12"/>
      <c r="G111" s="12"/>
      <c r="H111" s="6"/>
    </row>
    <row r="112" spans="1:8" ht="17.100000000000001" customHeight="1" x14ac:dyDescent="0.2">
      <c r="A112" s="3">
        <v>1</v>
      </c>
      <c r="B112" s="4"/>
      <c r="C112" s="4" t="s">
        <v>137</v>
      </c>
      <c r="D112" s="4"/>
      <c r="E112" s="8"/>
      <c r="F112" s="6">
        <v>296.4877166</v>
      </c>
      <c r="G112" s="7">
        <v>4.2620803999999998E-2</v>
      </c>
      <c r="H112" s="6">
        <v>4.1713246754849944</v>
      </c>
    </row>
    <row r="113" spans="1:8" ht="14.1" customHeight="1" x14ac:dyDescent="0.2">
      <c r="A113" s="1"/>
      <c r="B113" s="1"/>
      <c r="C113" s="2" t="s">
        <v>119</v>
      </c>
      <c r="D113" s="1"/>
      <c r="E113" s="1" t="s">
        <v>120</v>
      </c>
      <c r="F113" s="9">
        <v>296.4877166</v>
      </c>
      <c r="G113" s="10">
        <v>4.2620803999999998E-2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138</v>
      </c>
      <c r="D115" s="1"/>
      <c r="E115" s="1"/>
      <c r="F115" s="9">
        <v>296.4877166</v>
      </c>
      <c r="G115" s="10">
        <v>4.2620803999999998E-2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139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140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119</v>
      </c>
      <c r="D119" s="1"/>
      <c r="E119" s="1" t="s">
        <v>120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141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142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143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8" ht="18" customHeight="1" x14ac:dyDescent="0.2">
      <c r="A130" s="8"/>
      <c r="B130" s="4"/>
      <c r="C130" s="4" t="s">
        <v>144</v>
      </c>
      <c r="D130" s="4"/>
      <c r="E130" s="8"/>
      <c r="F130" s="6">
        <v>-18.11362871</v>
      </c>
      <c r="G130" s="7">
        <v>-2.6038770000000001E-3</v>
      </c>
      <c r="H130" s="6"/>
    </row>
    <row r="131" spans="1:8" ht="14.1" customHeight="1" x14ac:dyDescent="0.2">
      <c r="A131" s="11"/>
      <c r="B131" s="11"/>
      <c r="C131" s="2" t="s">
        <v>145</v>
      </c>
      <c r="D131" s="15"/>
      <c r="E131" s="15"/>
      <c r="F131" s="9">
        <v>6956.4084023900004</v>
      </c>
      <c r="G131" s="10">
        <v>1</v>
      </c>
      <c r="H131" s="6"/>
    </row>
    <row r="132" spans="1:8" ht="14.1" customHeight="1" x14ac:dyDescent="0.2">
      <c r="A132" s="18"/>
      <c r="B132" s="18"/>
      <c r="C132" s="18"/>
      <c r="D132" s="20"/>
      <c r="E132" s="20"/>
      <c r="F132" s="20"/>
      <c r="G132" s="20"/>
    </row>
    <row r="133" spans="1:8" ht="14.1" customHeight="1" x14ac:dyDescent="0.2">
      <c r="A133" s="18"/>
      <c r="B133" s="265" t="s">
        <v>147</v>
      </c>
      <c r="C133" s="266"/>
      <c r="D133" s="12" t="s">
        <v>120</v>
      </c>
      <c r="E133" s="21"/>
      <c r="F133" s="20"/>
      <c r="G133" s="20"/>
    </row>
    <row r="134" spans="1:8" ht="29.1" customHeight="1" x14ac:dyDescent="0.2">
      <c r="A134" s="18"/>
      <c r="B134" s="272" t="s">
        <v>148</v>
      </c>
      <c r="C134" s="273"/>
      <c r="D134" s="2" t="s">
        <v>149</v>
      </c>
      <c r="E134" s="21"/>
      <c r="F134" s="20"/>
      <c r="G134" s="20"/>
    </row>
    <row r="135" spans="1:8" ht="17.100000000000001" customHeight="1" x14ac:dyDescent="0.2">
      <c r="A135" s="18"/>
      <c r="B135" s="272" t="s">
        <v>150</v>
      </c>
      <c r="C135" s="273"/>
      <c r="D135" s="2" t="s">
        <v>149</v>
      </c>
      <c r="E135" s="21"/>
      <c r="F135" s="20"/>
      <c r="G135" s="20"/>
    </row>
    <row r="136" spans="1:8" ht="17.100000000000001" customHeight="1" x14ac:dyDescent="0.2">
      <c r="A136" s="18"/>
      <c r="B136" s="272" t="s">
        <v>151</v>
      </c>
      <c r="C136" s="273"/>
      <c r="D136" s="12" t="s">
        <v>120</v>
      </c>
      <c r="E136" s="21"/>
      <c r="F136" s="20"/>
      <c r="G136" s="20"/>
    </row>
    <row r="137" spans="1:8" ht="24" customHeight="1" x14ac:dyDescent="0.2">
      <c r="A137" s="22"/>
      <c r="B137" s="23" t="s">
        <v>120</v>
      </c>
      <c r="C137" s="23" t="s">
        <v>152</v>
      </c>
      <c r="D137" s="23" t="s">
        <v>153</v>
      </c>
      <c r="E137" s="22"/>
      <c r="F137" s="22"/>
      <c r="G137" s="22"/>
    </row>
    <row r="138" spans="1:8" ht="18" customHeight="1" x14ac:dyDescent="0.2">
      <c r="A138" s="22"/>
      <c r="B138" s="23" t="s">
        <v>154</v>
      </c>
      <c r="C138" s="23" t="s">
        <v>155</v>
      </c>
      <c r="D138" s="23" t="s">
        <v>156</v>
      </c>
      <c r="E138" s="22"/>
      <c r="F138" s="22"/>
      <c r="G138" s="22"/>
    </row>
    <row r="139" spans="1:8" ht="17.100000000000001" customHeight="1" x14ac:dyDescent="0.2">
      <c r="A139" s="22"/>
      <c r="B139" s="4" t="s">
        <v>157</v>
      </c>
      <c r="C139" s="24">
        <v>19.3383</v>
      </c>
      <c r="D139" s="24">
        <v>17.964300000000001</v>
      </c>
      <c r="E139" s="22"/>
      <c r="F139" s="19"/>
      <c r="G139" s="25"/>
    </row>
    <row r="140" spans="1:8" ht="17.100000000000001" customHeight="1" x14ac:dyDescent="0.2">
      <c r="A140" s="22"/>
      <c r="B140" s="4" t="s">
        <v>1120</v>
      </c>
      <c r="C140" s="24">
        <v>17.811900000000001</v>
      </c>
      <c r="D140" s="24">
        <v>16.546399999999998</v>
      </c>
      <c r="E140" s="22"/>
      <c r="F140" s="19"/>
      <c r="G140" s="25"/>
    </row>
    <row r="141" spans="1:8" ht="17.100000000000001" customHeight="1" x14ac:dyDescent="0.2">
      <c r="A141" s="22"/>
      <c r="B141" s="4" t="s">
        <v>158</v>
      </c>
      <c r="C141" s="24">
        <v>18.886399999999998</v>
      </c>
      <c r="D141" s="24">
        <v>17.543399999999998</v>
      </c>
      <c r="E141" s="22"/>
      <c r="F141" s="19"/>
      <c r="G141" s="25"/>
    </row>
    <row r="142" spans="1:8" ht="17.100000000000001" customHeight="1" x14ac:dyDescent="0.2">
      <c r="A142" s="22"/>
      <c r="B142" s="4" t="s">
        <v>1121</v>
      </c>
      <c r="C142" s="24">
        <v>17.3794</v>
      </c>
      <c r="D142" s="24">
        <v>16.143599999999999</v>
      </c>
      <c r="E142" s="22"/>
      <c r="F142" s="19"/>
      <c r="G142" s="25"/>
    </row>
    <row r="143" spans="1:8" ht="14.1" customHeight="1" x14ac:dyDescent="0.2">
      <c r="A143" s="22"/>
      <c r="B143" s="22"/>
      <c r="C143" s="22"/>
      <c r="D143" s="22"/>
      <c r="E143" s="22"/>
      <c r="F143" s="22"/>
      <c r="G143" s="22"/>
    </row>
    <row r="144" spans="1:8" ht="17.100000000000001" customHeight="1" x14ac:dyDescent="0.2">
      <c r="A144" s="22"/>
      <c r="B144" s="272" t="s">
        <v>1122</v>
      </c>
      <c r="C144" s="273"/>
      <c r="D144" s="2" t="s">
        <v>149</v>
      </c>
      <c r="E144" s="22"/>
      <c r="F144" s="22"/>
      <c r="G144" s="22"/>
    </row>
    <row r="145" spans="1:15" ht="14.1" customHeight="1" x14ac:dyDescent="0.2">
      <c r="A145" s="22"/>
      <c r="B145" s="19"/>
      <c r="C145" s="19"/>
      <c r="D145" s="22"/>
      <c r="E145" s="22"/>
      <c r="F145" s="22"/>
      <c r="G145" s="22"/>
    </row>
    <row r="146" spans="1:15" ht="29.1" customHeight="1" x14ac:dyDescent="0.2">
      <c r="A146" s="22"/>
      <c r="B146" s="272" t="s">
        <v>160</v>
      </c>
      <c r="C146" s="273"/>
      <c r="D146" s="2" t="s">
        <v>149</v>
      </c>
      <c r="E146" s="22"/>
      <c r="F146" s="22"/>
      <c r="G146" s="22"/>
    </row>
    <row r="147" spans="1:15" ht="29.1" customHeight="1" x14ac:dyDescent="0.2">
      <c r="A147" s="22"/>
      <c r="B147" s="272" t="s">
        <v>161</v>
      </c>
      <c r="C147" s="273"/>
      <c r="D147" s="2" t="s">
        <v>149</v>
      </c>
      <c r="E147" s="22"/>
      <c r="F147" s="22"/>
      <c r="G147" s="22"/>
    </row>
    <row r="148" spans="1:15" ht="17.100000000000001" customHeight="1" x14ac:dyDescent="0.2">
      <c r="A148" s="22"/>
      <c r="B148" s="272" t="s">
        <v>162</v>
      </c>
      <c r="C148" s="273"/>
      <c r="D148" s="27">
        <v>0.20585100000000001</v>
      </c>
      <c r="E148" s="22"/>
      <c r="F148" s="19"/>
      <c r="G148" s="25"/>
    </row>
    <row r="149" spans="1:15" ht="17.100000000000001" customHeight="1" x14ac:dyDescent="0.2">
      <c r="A149" s="22"/>
      <c r="B149" s="272" t="s">
        <v>163</v>
      </c>
      <c r="C149" s="273"/>
      <c r="D149" s="2" t="s">
        <v>149</v>
      </c>
      <c r="E149" s="22"/>
      <c r="F149" s="22"/>
      <c r="G149" s="22"/>
    </row>
    <row r="156" spans="1:15" x14ac:dyDescent="0.2">
      <c r="J156" s="170"/>
      <c r="K156" s="170"/>
      <c r="L156" s="170"/>
      <c r="M156" s="170"/>
      <c r="N156" s="170"/>
      <c r="O156" s="170"/>
    </row>
  </sheetData>
  <mergeCells count="13">
    <mergeCell ref="B148:C148"/>
    <mergeCell ref="B149:C149"/>
    <mergeCell ref="B134:C134"/>
    <mergeCell ref="B135:C135"/>
    <mergeCell ref="B136:C136"/>
    <mergeCell ref="B144:C144"/>
    <mergeCell ref="B146:C146"/>
    <mergeCell ref="B147:C147"/>
    <mergeCell ref="J2:N2"/>
    <mergeCell ref="B133:C13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525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11885</v>
      </c>
      <c r="F7" s="6">
        <v>146.93425500000001</v>
      </c>
      <c r="G7" s="7">
        <v>4.3798043000000002E-2</v>
      </c>
      <c r="H7" s="6"/>
    </row>
    <row r="8" spans="1:14" ht="17.100000000000001" customHeight="1" x14ac:dyDescent="0.2">
      <c r="A8" s="3">
        <v>2</v>
      </c>
      <c r="B8" s="4" t="s">
        <v>182</v>
      </c>
      <c r="C8" s="4" t="s">
        <v>183</v>
      </c>
      <c r="D8" s="4" t="s">
        <v>80</v>
      </c>
      <c r="E8" s="5">
        <v>20331</v>
      </c>
      <c r="F8" s="6">
        <v>116.6897745</v>
      </c>
      <c r="G8" s="7">
        <v>3.4782792999999999E-2</v>
      </c>
      <c r="H8" s="6"/>
    </row>
    <row r="9" spans="1:14" ht="29.1" customHeight="1" x14ac:dyDescent="0.2">
      <c r="A9" s="3">
        <v>3</v>
      </c>
      <c r="B9" s="4" t="s">
        <v>217</v>
      </c>
      <c r="C9" s="4" t="s">
        <v>218</v>
      </c>
      <c r="D9" s="4" t="s">
        <v>219</v>
      </c>
      <c r="E9" s="5">
        <v>2944</v>
      </c>
      <c r="F9" s="6">
        <v>115.535808</v>
      </c>
      <c r="G9" s="7">
        <v>3.4438819000000002E-2</v>
      </c>
      <c r="H9" s="6"/>
    </row>
    <row r="10" spans="1:14" ht="17.100000000000001" customHeight="1" x14ac:dyDescent="0.2">
      <c r="A10" s="3">
        <v>4</v>
      </c>
      <c r="B10" s="4" t="s">
        <v>179</v>
      </c>
      <c r="C10" s="4" t="s">
        <v>180</v>
      </c>
      <c r="D10" s="4" t="s">
        <v>181</v>
      </c>
      <c r="E10" s="5">
        <v>7740</v>
      </c>
      <c r="F10" s="6">
        <v>114.2037</v>
      </c>
      <c r="G10" s="7">
        <v>3.4041745999999998E-2</v>
      </c>
      <c r="H10" s="6"/>
    </row>
    <row r="11" spans="1:14" ht="17.100000000000001" customHeight="1" x14ac:dyDescent="0.2">
      <c r="A11" s="3">
        <v>5</v>
      </c>
      <c r="B11" s="4" t="s">
        <v>78</v>
      </c>
      <c r="C11" s="4" t="s">
        <v>79</v>
      </c>
      <c r="D11" s="4" t="s">
        <v>80</v>
      </c>
      <c r="E11" s="5">
        <v>21376</v>
      </c>
      <c r="F11" s="6">
        <v>104.496576</v>
      </c>
      <c r="G11" s="7">
        <v>3.1148254E-2</v>
      </c>
      <c r="H11" s="6"/>
    </row>
    <row r="12" spans="1:14" ht="17.100000000000001" customHeight="1" x14ac:dyDescent="0.2">
      <c r="A12" s="3">
        <v>6</v>
      </c>
      <c r="B12" s="4" t="s">
        <v>172</v>
      </c>
      <c r="C12" s="4" t="s">
        <v>173</v>
      </c>
      <c r="D12" s="4" t="s">
        <v>994</v>
      </c>
      <c r="E12" s="5">
        <v>19582</v>
      </c>
      <c r="F12" s="6">
        <v>103.843346</v>
      </c>
      <c r="G12" s="7">
        <v>3.0953540000000002E-2</v>
      </c>
      <c r="H12" s="6"/>
    </row>
    <row r="13" spans="1:14" ht="17.100000000000001" customHeight="1" x14ac:dyDescent="0.2">
      <c r="A13" s="3">
        <v>7</v>
      </c>
      <c r="B13" s="4" t="s">
        <v>246</v>
      </c>
      <c r="C13" s="4" t="s">
        <v>247</v>
      </c>
      <c r="D13" s="4" t="s">
        <v>248</v>
      </c>
      <c r="E13" s="5">
        <v>55680</v>
      </c>
      <c r="F13" s="6">
        <v>101.30976</v>
      </c>
      <c r="G13" s="7">
        <v>3.0198330999999998E-2</v>
      </c>
      <c r="H13" s="6"/>
      <c r="J13" s="169" t="s">
        <v>1173</v>
      </c>
    </row>
    <row r="14" spans="1:14" ht="17.100000000000001" customHeight="1" x14ac:dyDescent="0.2">
      <c r="A14" s="3">
        <v>8</v>
      </c>
      <c r="B14" s="4" t="s">
        <v>237</v>
      </c>
      <c r="C14" s="4" t="s">
        <v>238</v>
      </c>
      <c r="D14" s="4" t="s">
        <v>239</v>
      </c>
      <c r="E14" s="5">
        <v>35324</v>
      </c>
      <c r="F14" s="6">
        <v>99.207453999999998</v>
      </c>
      <c r="G14" s="7">
        <v>2.9571677000000001E-2</v>
      </c>
      <c r="H14" s="6"/>
    </row>
    <row r="15" spans="1:14" ht="17.100000000000001" customHeight="1" x14ac:dyDescent="0.2">
      <c r="A15" s="3">
        <v>9</v>
      </c>
      <c r="B15" s="4" t="s">
        <v>201</v>
      </c>
      <c r="C15" s="4" t="s">
        <v>202</v>
      </c>
      <c r="D15" s="4" t="s">
        <v>203</v>
      </c>
      <c r="E15" s="5">
        <v>17365</v>
      </c>
      <c r="F15" s="6">
        <v>87.432775000000007</v>
      </c>
      <c r="G15" s="7">
        <v>2.6061890000000001E-2</v>
      </c>
      <c r="H15" s="6"/>
    </row>
    <row r="16" spans="1:14" ht="17.100000000000001" customHeight="1" x14ac:dyDescent="0.2">
      <c r="A16" s="3">
        <v>10</v>
      </c>
      <c r="B16" s="4" t="s">
        <v>90</v>
      </c>
      <c r="C16" s="4" t="s">
        <v>91</v>
      </c>
      <c r="D16" s="4" t="s">
        <v>92</v>
      </c>
      <c r="E16" s="5">
        <v>18429</v>
      </c>
      <c r="F16" s="6">
        <v>85.630348499999997</v>
      </c>
      <c r="G16" s="7">
        <v>2.5524623999999999E-2</v>
      </c>
      <c r="H16" s="6"/>
    </row>
    <row r="17" spans="1:8" ht="17.100000000000001" customHeight="1" x14ac:dyDescent="0.2">
      <c r="A17" s="3">
        <v>11</v>
      </c>
      <c r="B17" s="4" t="s">
        <v>32</v>
      </c>
      <c r="C17" s="4" t="s">
        <v>33</v>
      </c>
      <c r="D17" s="4" t="s">
        <v>28</v>
      </c>
      <c r="E17" s="5">
        <v>4869</v>
      </c>
      <c r="F17" s="6">
        <v>83.457094499999997</v>
      </c>
      <c r="G17" s="7">
        <v>2.4876822999999999E-2</v>
      </c>
      <c r="H17" s="6"/>
    </row>
    <row r="18" spans="1:8" ht="17.100000000000001" customHeight="1" x14ac:dyDescent="0.2">
      <c r="A18" s="3">
        <v>12</v>
      </c>
      <c r="B18" s="4" t="s">
        <v>177</v>
      </c>
      <c r="C18" s="4" t="s">
        <v>178</v>
      </c>
      <c r="D18" s="4" t="s">
        <v>85</v>
      </c>
      <c r="E18" s="5">
        <v>88789</v>
      </c>
      <c r="F18" s="6">
        <v>82.840136999999999</v>
      </c>
      <c r="G18" s="7">
        <v>2.469292E-2</v>
      </c>
      <c r="H18" s="6"/>
    </row>
    <row r="19" spans="1:8" ht="17.100000000000001" customHeight="1" x14ac:dyDescent="0.2">
      <c r="A19" s="3">
        <v>13</v>
      </c>
      <c r="B19" s="4" t="s">
        <v>272</v>
      </c>
      <c r="C19" s="4" t="s">
        <v>273</v>
      </c>
      <c r="D19" s="4" t="s">
        <v>28</v>
      </c>
      <c r="E19" s="5">
        <v>10245</v>
      </c>
      <c r="F19" s="6">
        <v>82.421025</v>
      </c>
      <c r="G19" s="7">
        <v>2.4567992E-2</v>
      </c>
      <c r="H19" s="6"/>
    </row>
    <row r="20" spans="1:8" ht="29.1" customHeight="1" x14ac:dyDescent="0.2">
      <c r="A20" s="3">
        <v>14</v>
      </c>
      <c r="B20" s="4" t="s">
        <v>478</v>
      </c>
      <c r="C20" s="4" t="s">
        <v>479</v>
      </c>
      <c r="D20" s="4" t="s">
        <v>42</v>
      </c>
      <c r="E20" s="5">
        <v>4362</v>
      </c>
      <c r="F20" s="6">
        <v>79.852952999999999</v>
      </c>
      <c r="G20" s="7">
        <v>2.3802502999999999E-2</v>
      </c>
      <c r="H20" s="6"/>
    </row>
    <row r="21" spans="1:8" ht="17.100000000000001" customHeight="1" x14ac:dyDescent="0.2">
      <c r="A21" s="3">
        <v>15</v>
      </c>
      <c r="B21" s="4" t="s">
        <v>34</v>
      </c>
      <c r="C21" s="4" t="s">
        <v>35</v>
      </c>
      <c r="D21" s="4" t="s">
        <v>28</v>
      </c>
      <c r="E21" s="5">
        <v>5766</v>
      </c>
      <c r="F21" s="6">
        <v>78.135065999999995</v>
      </c>
      <c r="G21" s="7">
        <v>2.3290437000000001E-2</v>
      </c>
      <c r="H21" s="6"/>
    </row>
    <row r="22" spans="1:8" ht="29.1" customHeight="1" x14ac:dyDescent="0.2">
      <c r="A22" s="3">
        <v>16</v>
      </c>
      <c r="B22" s="4" t="s">
        <v>196</v>
      </c>
      <c r="C22" s="4" t="s">
        <v>197</v>
      </c>
      <c r="D22" s="4" t="s">
        <v>198</v>
      </c>
      <c r="E22" s="5">
        <v>20115</v>
      </c>
      <c r="F22" s="6">
        <v>71.036122500000005</v>
      </c>
      <c r="G22" s="7">
        <v>2.1174388999999998E-2</v>
      </c>
      <c r="H22" s="6"/>
    </row>
    <row r="23" spans="1:8" ht="17.100000000000001" customHeight="1" x14ac:dyDescent="0.2">
      <c r="A23" s="3">
        <v>17</v>
      </c>
      <c r="B23" s="4" t="s">
        <v>281</v>
      </c>
      <c r="C23" s="4" t="s">
        <v>282</v>
      </c>
      <c r="D23" s="4" t="s">
        <v>28</v>
      </c>
      <c r="E23" s="5">
        <v>2835</v>
      </c>
      <c r="F23" s="6">
        <v>64.642252499999998</v>
      </c>
      <c r="G23" s="7">
        <v>1.9268509999999999E-2</v>
      </c>
      <c r="H23" s="6"/>
    </row>
    <row r="24" spans="1:8" ht="17.100000000000001" customHeight="1" x14ac:dyDescent="0.2">
      <c r="A24" s="3">
        <v>18</v>
      </c>
      <c r="B24" s="4" t="s">
        <v>204</v>
      </c>
      <c r="C24" s="4" t="s">
        <v>205</v>
      </c>
      <c r="D24" s="4" t="s">
        <v>85</v>
      </c>
      <c r="E24" s="5">
        <v>8007</v>
      </c>
      <c r="F24" s="6">
        <v>62.294460000000001</v>
      </c>
      <c r="G24" s="7">
        <v>1.8568682E-2</v>
      </c>
      <c r="H24" s="6"/>
    </row>
    <row r="25" spans="1:8" ht="17.100000000000001" customHeight="1" x14ac:dyDescent="0.2">
      <c r="A25" s="3">
        <v>19</v>
      </c>
      <c r="B25" s="4" t="s">
        <v>199</v>
      </c>
      <c r="C25" s="4" t="s">
        <v>200</v>
      </c>
      <c r="D25" s="4" t="s">
        <v>13</v>
      </c>
      <c r="E25" s="5">
        <v>17176</v>
      </c>
      <c r="F25" s="6">
        <v>61.928068000000003</v>
      </c>
      <c r="G25" s="7">
        <v>1.8459468E-2</v>
      </c>
      <c r="H25" s="6"/>
    </row>
    <row r="26" spans="1:8" ht="17.100000000000001" customHeight="1" x14ac:dyDescent="0.2">
      <c r="A26" s="3">
        <v>20</v>
      </c>
      <c r="B26" s="4" t="s">
        <v>184</v>
      </c>
      <c r="C26" s="4" t="s">
        <v>185</v>
      </c>
      <c r="D26" s="4" t="s">
        <v>186</v>
      </c>
      <c r="E26" s="5">
        <v>5601</v>
      </c>
      <c r="F26" s="6">
        <v>59.524627500000001</v>
      </c>
      <c r="G26" s="7">
        <v>1.7743051999999999E-2</v>
      </c>
      <c r="H26" s="6"/>
    </row>
    <row r="27" spans="1:8" ht="29.1" customHeight="1" x14ac:dyDescent="0.2">
      <c r="A27" s="3">
        <v>21</v>
      </c>
      <c r="B27" s="4" t="s">
        <v>43</v>
      </c>
      <c r="C27" s="4" t="s">
        <v>44</v>
      </c>
      <c r="D27" s="4" t="s">
        <v>25</v>
      </c>
      <c r="E27" s="5">
        <v>2480</v>
      </c>
      <c r="F27" s="6">
        <v>59.079799999999999</v>
      </c>
      <c r="G27" s="7">
        <v>1.7610458999999998E-2</v>
      </c>
      <c r="H27" s="6"/>
    </row>
    <row r="28" spans="1:8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181</v>
      </c>
      <c r="E28" s="5">
        <v>4114</v>
      </c>
      <c r="F28" s="6">
        <v>56.429681000000002</v>
      </c>
      <c r="G28" s="7">
        <v>1.6820512999999999E-2</v>
      </c>
      <c r="H28" s="6"/>
    </row>
    <row r="29" spans="1:8" ht="29.1" customHeight="1" x14ac:dyDescent="0.2">
      <c r="A29" s="3">
        <v>23</v>
      </c>
      <c r="B29" s="4" t="s">
        <v>189</v>
      </c>
      <c r="C29" s="4" t="s">
        <v>190</v>
      </c>
      <c r="D29" s="4" t="s">
        <v>191</v>
      </c>
      <c r="E29" s="5">
        <v>7893</v>
      </c>
      <c r="F29" s="6">
        <v>55.570666500000002</v>
      </c>
      <c r="G29" s="7">
        <v>1.6564459E-2</v>
      </c>
      <c r="H29" s="6"/>
    </row>
    <row r="30" spans="1:8" ht="17.100000000000001" customHeight="1" x14ac:dyDescent="0.2">
      <c r="A30" s="3">
        <v>24</v>
      </c>
      <c r="B30" s="4" t="s">
        <v>194</v>
      </c>
      <c r="C30" s="4" t="s">
        <v>195</v>
      </c>
      <c r="D30" s="4" t="s">
        <v>85</v>
      </c>
      <c r="E30" s="5">
        <v>11325</v>
      </c>
      <c r="F30" s="6">
        <v>54.779024999999997</v>
      </c>
      <c r="G30" s="7">
        <v>1.6328486999999999E-2</v>
      </c>
      <c r="H30" s="6"/>
    </row>
    <row r="31" spans="1:8" ht="29.1" customHeight="1" x14ac:dyDescent="0.2">
      <c r="A31" s="3">
        <v>25</v>
      </c>
      <c r="B31" s="4" t="s">
        <v>285</v>
      </c>
      <c r="C31" s="4" t="s">
        <v>286</v>
      </c>
      <c r="D31" s="4" t="s">
        <v>233</v>
      </c>
      <c r="E31" s="5">
        <v>9605</v>
      </c>
      <c r="F31" s="6">
        <v>53.370182499999999</v>
      </c>
      <c r="G31" s="7">
        <v>1.5908539999999999E-2</v>
      </c>
      <c r="H31" s="6"/>
    </row>
    <row r="32" spans="1:8" ht="17.100000000000001" customHeight="1" x14ac:dyDescent="0.2">
      <c r="A32" s="3">
        <v>26</v>
      </c>
      <c r="B32" s="4" t="s">
        <v>228</v>
      </c>
      <c r="C32" s="4" t="s">
        <v>229</v>
      </c>
      <c r="D32" s="4" t="s">
        <v>230</v>
      </c>
      <c r="E32" s="5">
        <v>17911</v>
      </c>
      <c r="F32" s="6">
        <v>52.927005000000001</v>
      </c>
      <c r="G32" s="7">
        <v>1.5776438E-2</v>
      </c>
      <c r="H32" s="6"/>
    </row>
    <row r="33" spans="1:8" ht="29.1" customHeight="1" x14ac:dyDescent="0.2">
      <c r="A33" s="3">
        <v>27</v>
      </c>
      <c r="B33" s="4" t="s">
        <v>255</v>
      </c>
      <c r="C33" s="4" t="s">
        <v>256</v>
      </c>
      <c r="D33" s="4" t="s">
        <v>210</v>
      </c>
      <c r="E33" s="5">
        <v>23991</v>
      </c>
      <c r="F33" s="6">
        <v>52.408339499999997</v>
      </c>
      <c r="G33" s="7">
        <v>1.5621835000000001E-2</v>
      </c>
      <c r="H33" s="6"/>
    </row>
    <row r="34" spans="1:8" ht="17.100000000000001" customHeight="1" x14ac:dyDescent="0.2">
      <c r="A34" s="3">
        <v>28</v>
      </c>
      <c r="B34" s="4" t="s">
        <v>480</v>
      </c>
      <c r="C34" s="4" t="s">
        <v>481</v>
      </c>
      <c r="D34" s="4" t="s">
        <v>80</v>
      </c>
      <c r="E34" s="5">
        <v>5646</v>
      </c>
      <c r="F34" s="6">
        <v>51.773820000000001</v>
      </c>
      <c r="G34" s="7">
        <v>1.5432698E-2</v>
      </c>
      <c r="H34" s="6"/>
    </row>
    <row r="35" spans="1:8" ht="17.100000000000001" customHeight="1" x14ac:dyDescent="0.2">
      <c r="A35" s="3">
        <v>29</v>
      </c>
      <c r="B35" s="4" t="s">
        <v>283</v>
      </c>
      <c r="C35" s="4" t="s">
        <v>284</v>
      </c>
      <c r="D35" s="4" t="s">
        <v>176</v>
      </c>
      <c r="E35" s="5">
        <v>5920</v>
      </c>
      <c r="F35" s="6">
        <v>46.377279999999999</v>
      </c>
      <c r="G35" s="7">
        <v>1.3824102E-2</v>
      </c>
      <c r="H35" s="6"/>
    </row>
    <row r="36" spans="1:8" ht="29.1" customHeight="1" x14ac:dyDescent="0.2">
      <c r="A36" s="3">
        <v>30</v>
      </c>
      <c r="B36" s="4" t="s">
        <v>293</v>
      </c>
      <c r="C36" s="4" t="s">
        <v>294</v>
      </c>
      <c r="D36" s="4" t="s">
        <v>295</v>
      </c>
      <c r="E36" s="5">
        <v>13939</v>
      </c>
      <c r="F36" s="6">
        <v>45.524774000000001</v>
      </c>
      <c r="G36" s="7">
        <v>1.3569988E-2</v>
      </c>
      <c r="H36" s="6"/>
    </row>
    <row r="37" spans="1:8" ht="17.100000000000001" customHeight="1" x14ac:dyDescent="0.2">
      <c r="A37" s="3">
        <v>31</v>
      </c>
      <c r="B37" s="4" t="s">
        <v>259</v>
      </c>
      <c r="C37" s="4" t="s">
        <v>260</v>
      </c>
      <c r="D37" s="4" t="s">
        <v>186</v>
      </c>
      <c r="E37" s="5">
        <v>31256</v>
      </c>
      <c r="F37" s="6">
        <v>45.493107999999999</v>
      </c>
      <c r="G37" s="7">
        <v>1.3560549E-2</v>
      </c>
      <c r="H37" s="6"/>
    </row>
    <row r="38" spans="1:8" ht="17.100000000000001" customHeight="1" x14ac:dyDescent="0.2">
      <c r="A38" s="3">
        <v>32</v>
      </c>
      <c r="B38" s="4" t="s">
        <v>252</v>
      </c>
      <c r="C38" s="4" t="s">
        <v>253</v>
      </c>
      <c r="D38" s="4" t="s">
        <v>254</v>
      </c>
      <c r="E38" s="5">
        <v>38110</v>
      </c>
      <c r="F38" s="6">
        <v>45.217514999999999</v>
      </c>
      <c r="G38" s="7">
        <v>1.34784E-2</v>
      </c>
      <c r="H38" s="6"/>
    </row>
    <row r="39" spans="1:8" ht="17.100000000000001" customHeight="1" x14ac:dyDescent="0.2">
      <c r="A39" s="3">
        <v>33</v>
      </c>
      <c r="B39" s="4" t="s">
        <v>291</v>
      </c>
      <c r="C39" s="4" t="s">
        <v>292</v>
      </c>
      <c r="D39" s="4" t="s">
        <v>95</v>
      </c>
      <c r="E39" s="5">
        <v>6770</v>
      </c>
      <c r="F39" s="6">
        <v>42.749164999999998</v>
      </c>
      <c r="G39" s="7">
        <v>1.2742636E-2</v>
      </c>
      <c r="H39" s="6"/>
    </row>
    <row r="40" spans="1:8" ht="29.1" customHeight="1" x14ac:dyDescent="0.2">
      <c r="A40" s="3">
        <v>34</v>
      </c>
      <c r="B40" s="4" t="s">
        <v>208</v>
      </c>
      <c r="C40" s="4" t="s">
        <v>209</v>
      </c>
      <c r="D40" s="4" t="s">
        <v>210</v>
      </c>
      <c r="E40" s="5">
        <v>2929</v>
      </c>
      <c r="F40" s="6">
        <v>41.788043000000002</v>
      </c>
      <c r="G40" s="7">
        <v>1.2456146E-2</v>
      </c>
      <c r="H40" s="6"/>
    </row>
    <row r="41" spans="1:8" ht="29.1" customHeight="1" x14ac:dyDescent="0.2">
      <c r="A41" s="3">
        <v>35</v>
      </c>
      <c r="B41" s="4" t="s">
        <v>206</v>
      </c>
      <c r="C41" s="4" t="s">
        <v>207</v>
      </c>
      <c r="D41" s="4" t="s">
        <v>191</v>
      </c>
      <c r="E41" s="5">
        <v>8864</v>
      </c>
      <c r="F41" s="6">
        <v>41.612048000000001</v>
      </c>
      <c r="G41" s="7">
        <v>1.2403684999999999E-2</v>
      </c>
      <c r="H41" s="6"/>
    </row>
    <row r="42" spans="1:8" ht="17.100000000000001" customHeight="1" x14ac:dyDescent="0.2">
      <c r="A42" s="3">
        <v>36</v>
      </c>
      <c r="B42" s="4" t="s">
        <v>213</v>
      </c>
      <c r="C42" s="4" t="s">
        <v>214</v>
      </c>
      <c r="D42" s="4" t="s">
        <v>13</v>
      </c>
      <c r="E42" s="5">
        <v>50158</v>
      </c>
      <c r="F42" s="6">
        <v>41.204796999999999</v>
      </c>
      <c r="G42" s="7">
        <v>1.2282292E-2</v>
      </c>
      <c r="H42" s="6"/>
    </row>
    <row r="43" spans="1:8" ht="29.1" customHeight="1" x14ac:dyDescent="0.2">
      <c r="A43" s="3">
        <v>37</v>
      </c>
      <c r="B43" s="4" t="s">
        <v>234</v>
      </c>
      <c r="C43" s="4" t="s">
        <v>235</v>
      </c>
      <c r="D43" s="4" t="s">
        <v>236</v>
      </c>
      <c r="E43" s="5">
        <v>44513</v>
      </c>
      <c r="F43" s="6">
        <v>40.529086499999998</v>
      </c>
      <c r="G43" s="7">
        <v>1.2080877E-2</v>
      </c>
      <c r="H43" s="6"/>
    </row>
    <row r="44" spans="1:8" ht="29.1" customHeight="1" x14ac:dyDescent="0.2">
      <c r="A44" s="3">
        <v>38</v>
      </c>
      <c r="B44" s="4" t="s">
        <v>298</v>
      </c>
      <c r="C44" s="4" t="s">
        <v>299</v>
      </c>
      <c r="D44" s="4" t="s">
        <v>25</v>
      </c>
      <c r="E44" s="5">
        <v>22052</v>
      </c>
      <c r="F44" s="6">
        <v>40.432341999999998</v>
      </c>
      <c r="G44" s="7">
        <v>1.205204E-2</v>
      </c>
      <c r="H44" s="6"/>
    </row>
    <row r="45" spans="1:8" ht="17.100000000000001" customHeight="1" x14ac:dyDescent="0.2">
      <c r="A45" s="3">
        <v>39</v>
      </c>
      <c r="B45" s="4" t="s">
        <v>215</v>
      </c>
      <c r="C45" s="4" t="s">
        <v>216</v>
      </c>
      <c r="D45" s="4" t="s">
        <v>186</v>
      </c>
      <c r="E45" s="5">
        <v>8650</v>
      </c>
      <c r="F45" s="6">
        <v>39.3748</v>
      </c>
      <c r="G45" s="7">
        <v>1.1736808E-2</v>
      </c>
      <c r="H45" s="6"/>
    </row>
    <row r="46" spans="1:8" ht="17.100000000000001" customHeight="1" x14ac:dyDescent="0.2">
      <c r="A46" s="3">
        <v>40</v>
      </c>
      <c r="B46" s="4" t="s">
        <v>492</v>
      </c>
      <c r="C46" s="4" t="s">
        <v>493</v>
      </c>
      <c r="D46" s="4"/>
      <c r="E46" s="5">
        <v>4775</v>
      </c>
      <c r="F46" s="6">
        <v>38.792099999999998</v>
      </c>
      <c r="G46" s="7">
        <v>1.1563118000000001E-2</v>
      </c>
      <c r="H46" s="6"/>
    </row>
    <row r="47" spans="1:8" ht="29.1" customHeight="1" x14ac:dyDescent="0.2">
      <c r="A47" s="3">
        <v>41</v>
      </c>
      <c r="B47" s="4" t="s">
        <v>226</v>
      </c>
      <c r="C47" s="4" t="s">
        <v>227</v>
      </c>
      <c r="D47" s="4" t="s">
        <v>80</v>
      </c>
      <c r="E47" s="5">
        <v>2075</v>
      </c>
      <c r="F47" s="6">
        <v>36.677700000000002</v>
      </c>
      <c r="G47" s="7">
        <v>1.0932859E-2</v>
      </c>
      <c r="H47" s="6"/>
    </row>
    <row r="48" spans="1:8" ht="17.100000000000001" customHeight="1" x14ac:dyDescent="0.2">
      <c r="A48" s="3">
        <v>42</v>
      </c>
      <c r="B48" s="4" t="s">
        <v>270</v>
      </c>
      <c r="C48" s="4" t="s">
        <v>271</v>
      </c>
      <c r="D48" s="4" t="s">
        <v>28</v>
      </c>
      <c r="E48" s="5">
        <v>3399</v>
      </c>
      <c r="F48" s="6">
        <v>34.780267500000001</v>
      </c>
      <c r="G48" s="7">
        <v>1.0367273999999999E-2</v>
      </c>
      <c r="H48" s="6"/>
    </row>
    <row r="49" spans="1:8" ht="17.100000000000001" customHeight="1" x14ac:dyDescent="0.2">
      <c r="A49" s="3">
        <v>43</v>
      </c>
      <c r="B49" s="4" t="s">
        <v>240</v>
      </c>
      <c r="C49" s="4" t="s">
        <v>241</v>
      </c>
      <c r="D49" s="4" t="s">
        <v>80</v>
      </c>
      <c r="E49" s="5">
        <v>5918</v>
      </c>
      <c r="F49" s="6">
        <v>31.954241</v>
      </c>
      <c r="G49" s="7">
        <v>9.5248940000000008E-3</v>
      </c>
      <c r="H49" s="6"/>
    </row>
    <row r="50" spans="1:8" ht="29.1" customHeight="1" x14ac:dyDescent="0.2">
      <c r="A50" s="3">
        <v>44</v>
      </c>
      <c r="B50" s="4" t="s">
        <v>231</v>
      </c>
      <c r="C50" s="4" t="s">
        <v>232</v>
      </c>
      <c r="D50" s="4" t="s">
        <v>233</v>
      </c>
      <c r="E50" s="5">
        <v>8921</v>
      </c>
      <c r="F50" s="6">
        <v>31.589261</v>
      </c>
      <c r="G50" s="7">
        <v>9.4161009999999996E-3</v>
      </c>
      <c r="H50" s="6"/>
    </row>
    <row r="51" spans="1:8" ht="51" x14ac:dyDescent="0.2">
      <c r="A51" s="3">
        <v>45</v>
      </c>
      <c r="B51" s="4" t="s">
        <v>251</v>
      </c>
      <c r="C51" s="4" t="s">
        <v>1141</v>
      </c>
      <c r="D51" s="4" t="s">
        <v>75</v>
      </c>
      <c r="E51" s="5">
        <v>15720</v>
      </c>
      <c r="F51" s="6">
        <v>31.2042</v>
      </c>
      <c r="G51" s="7">
        <v>9.3013220000000008E-3</v>
      </c>
      <c r="H51" s="6"/>
    </row>
    <row r="52" spans="1:8" ht="17.100000000000001" customHeight="1" x14ac:dyDescent="0.2">
      <c r="A52" s="3">
        <v>46</v>
      </c>
      <c r="B52" s="4" t="s">
        <v>287</v>
      </c>
      <c r="C52" s="4" t="s">
        <v>288</v>
      </c>
      <c r="D52" s="4" t="s">
        <v>85</v>
      </c>
      <c r="E52" s="5">
        <v>60160</v>
      </c>
      <c r="F52" s="6">
        <v>29.749120000000001</v>
      </c>
      <c r="G52" s="7">
        <v>8.867593E-3</v>
      </c>
      <c r="H52" s="6"/>
    </row>
    <row r="53" spans="1:8" ht="17.100000000000001" customHeight="1" x14ac:dyDescent="0.2">
      <c r="A53" s="3">
        <v>47</v>
      </c>
      <c r="B53" s="4" t="s">
        <v>303</v>
      </c>
      <c r="C53" s="4" t="s">
        <v>304</v>
      </c>
      <c r="D53" s="4" t="s">
        <v>19</v>
      </c>
      <c r="E53" s="5">
        <v>15024</v>
      </c>
      <c r="F53" s="6">
        <v>28.387848000000002</v>
      </c>
      <c r="G53" s="7">
        <v>8.4618269999999999E-3</v>
      </c>
      <c r="H53" s="6"/>
    </row>
    <row r="54" spans="1:8" ht="17.100000000000001" customHeight="1" x14ac:dyDescent="0.2">
      <c r="A54" s="3">
        <v>48</v>
      </c>
      <c r="B54" s="4" t="s">
        <v>289</v>
      </c>
      <c r="C54" s="4" t="s">
        <v>290</v>
      </c>
      <c r="D54" s="4" t="s">
        <v>106</v>
      </c>
      <c r="E54" s="5">
        <v>12025</v>
      </c>
      <c r="F54" s="6">
        <v>27.0322</v>
      </c>
      <c r="G54" s="7">
        <v>8.0577359999999994E-3</v>
      </c>
      <c r="H54" s="6"/>
    </row>
    <row r="55" spans="1:8" ht="17.100000000000001" customHeight="1" x14ac:dyDescent="0.2">
      <c r="A55" s="3">
        <v>49</v>
      </c>
      <c r="B55" s="4" t="s">
        <v>244</v>
      </c>
      <c r="C55" s="4" t="s">
        <v>245</v>
      </c>
      <c r="D55" s="4" t="s">
        <v>95</v>
      </c>
      <c r="E55" s="5">
        <v>5084</v>
      </c>
      <c r="F55" s="6">
        <v>26.703710000000001</v>
      </c>
      <c r="G55" s="7">
        <v>7.9598199999999994E-3</v>
      </c>
      <c r="H55" s="6"/>
    </row>
    <row r="56" spans="1:8" ht="29.1" customHeight="1" x14ac:dyDescent="0.2">
      <c r="A56" s="3">
        <v>50</v>
      </c>
      <c r="B56" s="4" t="s">
        <v>498</v>
      </c>
      <c r="C56" s="4" t="s">
        <v>499</v>
      </c>
      <c r="D56" s="4" t="s">
        <v>198</v>
      </c>
      <c r="E56" s="5">
        <v>7802</v>
      </c>
      <c r="F56" s="6">
        <v>25.781708999999999</v>
      </c>
      <c r="G56" s="7">
        <v>7.6849910000000004E-3</v>
      </c>
      <c r="H56" s="6"/>
    </row>
    <row r="57" spans="1:8" ht="17.100000000000001" customHeight="1" x14ac:dyDescent="0.2">
      <c r="A57" s="3">
        <v>51</v>
      </c>
      <c r="B57" s="4" t="s">
        <v>96</v>
      </c>
      <c r="C57" s="4" t="s">
        <v>97</v>
      </c>
      <c r="D57" s="4" t="s">
        <v>80</v>
      </c>
      <c r="E57" s="5">
        <v>937</v>
      </c>
      <c r="F57" s="6">
        <v>24.671209999999999</v>
      </c>
      <c r="G57" s="7">
        <v>7.3539740000000001E-3</v>
      </c>
      <c r="H57" s="6"/>
    </row>
    <row r="58" spans="1:8" ht="17.100000000000001" customHeight="1" x14ac:dyDescent="0.2">
      <c r="A58" s="3">
        <v>52</v>
      </c>
      <c r="B58" s="4" t="s">
        <v>261</v>
      </c>
      <c r="C58" s="4" t="s">
        <v>262</v>
      </c>
      <c r="D58" s="4" t="s">
        <v>106</v>
      </c>
      <c r="E58" s="5">
        <v>3248</v>
      </c>
      <c r="F58" s="6">
        <v>23.554496</v>
      </c>
      <c r="G58" s="7">
        <v>7.0211049999999997E-3</v>
      </c>
      <c r="H58" s="6"/>
    </row>
    <row r="59" spans="1:8" ht="29.1" customHeight="1" x14ac:dyDescent="0.2">
      <c r="A59" s="3">
        <v>53</v>
      </c>
      <c r="B59" s="4" t="s">
        <v>265</v>
      </c>
      <c r="C59" s="4" t="s">
        <v>266</v>
      </c>
      <c r="D59" s="4" t="s">
        <v>198</v>
      </c>
      <c r="E59" s="5">
        <v>482</v>
      </c>
      <c r="F59" s="6">
        <v>20.573447000000002</v>
      </c>
      <c r="G59" s="7">
        <v>6.1325160000000002E-3</v>
      </c>
      <c r="H59" s="6"/>
    </row>
    <row r="60" spans="1:8" ht="17.100000000000001" customHeight="1" x14ac:dyDescent="0.2">
      <c r="A60" s="3">
        <v>54</v>
      </c>
      <c r="B60" s="4" t="s">
        <v>300</v>
      </c>
      <c r="C60" s="4" t="s">
        <v>301</v>
      </c>
      <c r="D60" s="4" t="s">
        <v>302</v>
      </c>
      <c r="E60" s="5">
        <v>3231</v>
      </c>
      <c r="F60" s="6">
        <v>20.121052500000001</v>
      </c>
      <c r="G60" s="7">
        <v>5.9976669999999999E-3</v>
      </c>
      <c r="H60" s="6"/>
    </row>
    <row r="61" spans="1:8" ht="17.100000000000001" customHeight="1" x14ac:dyDescent="0.2">
      <c r="A61" s="3">
        <v>55</v>
      </c>
      <c r="B61" s="4" t="s">
        <v>107</v>
      </c>
      <c r="C61" s="4" t="s">
        <v>108</v>
      </c>
      <c r="D61" s="4" t="s">
        <v>13</v>
      </c>
      <c r="E61" s="5">
        <v>15969</v>
      </c>
      <c r="F61" s="6">
        <v>18.619854</v>
      </c>
      <c r="G61" s="7">
        <v>5.5501910000000003E-3</v>
      </c>
      <c r="H61" s="6"/>
    </row>
    <row r="62" spans="1:8" ht="17.100000000000001" customHeight="1" x14ac:dyDescent="0.2">
      <c r="A62" s="3">
        <v>56</v>
      </c>
      <c r="B62" s="4" t="s">
        <v>257</v>
      </c>
      <c r="C62" s="4" t="s">
        <v>258</v>
      </c>
      <c r="D62" s="4" t="s">
        <v>186</v>
      </c>
      <c r="E62" s="5">
        <v>18377</v>
      </c>
      <c r="F62" s="6">
        <v>17.862444</v>
      </c>
      <c r="G62" s="7">
        <v>5.324423E-3</v>
      </c>
      <c r="H62" s="6"/>
    </row>
    <row r="63" spans="1:8" ht="17.100000000000001" customHeight="1" x14ac:dyDescent="0.2">
      <c r="A63" s="3">
        <v>57</v>
      </c>
      <c r="B63" s="4" t="s">
        <v>115</v>
      </c>
      <c r="C63" s="4" t="s">
        <v>116</v>
      </c>
      <c r="D63" s="4" t="s">
        <v>92</v>
      </c>
      <c r="E63" s="5">
        <v>21625</v>
      </c>
      <c r="F63" s="6">
        <v>15.743</v>
      </c>
      <c r="G63" s="7">
        <v>4.6926609999999999E-3</v>
      </c>
      <c r="H63" s="6"/>
    </row>
    <row r="64" spans="1:8" ht="29.1" customHeight="1" x14ac:dyDescent="0.2">
      <c r="A64" s="3">
        <v>58</v>
      </c>
      <c r="B64" s="4" t="s">
        <v>274</v>
      </c>
      <c r="C64" s="4" t="s">
        <v>275</v>
      </c>
      <c r="D64" s="4" t="s">
        <v>219</v>
      </c>
      <c r="E64" s="5">
        <v>1745</v>
      </c>
      <c r="F64" s="6">
        <v>11.7988175</v>
      </c>
      <c r="G64" s="7">
        <v>3.5169820000000001E-3</v>
      </c>
      <c r="H64" s="6"/>
    </row>
    <row r="65" spans="1:8" ht="14.1" customHeight="1" x14ac:dyDescent="0.2">
      <c r="A65" s="1"/>
      <c r="B65" s="1"/>
      <c r="C65" s="2" t="s">
        <v>119</v>
      </c>
      <c r="D65" s="1"/>
      <c r="E65" s="1" t="s">
        <v>120</v>
      </c>
      <c r="F65" s="9">
        <v>3203.6537585000001</v>
      </c>
      <c r="G65" s="10">
        <v>0.95494249899999994</v>
      </c>
      <c r="H65" s="6"/>
    </row>
    <row r="66" spans="1:8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121</v>
      </c>
      <c r="D67" s="1"/>
      <c r="E67" s="1"/>
      <c r="F67" s="1"/>
      <c r="G67" s="1"/>
      <c r="H67" s="6"/>
    </row>
    <row r="68" spans="1:8" ht="14.1" customHeight="1" x14ac:dyDescent="0.2">
      <c r="A68" s="1"/>
      <c r="B68" s="1"/>
      <c r="C68" s="2" t="s">
        <v>119</v>
      </c>
      <c r="D68" s="1"/>
      <c r="E68" s="1" t="s">
        <v>120</v>
      </c>
      <c r="F68" s="13">
        <v>0</v>
      </c>
      <c r="G68" s="14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122</v>
      </c>
      <c r="D70" s="1"/>
      <c r="E70" s="1"/>
      <c r="F70" s="1"/>
      <c r="G70" s="1"/>
      <c r="H70" s="6"/>
    </row>
    <row r="71" spans="1:8" ht="14.1" customHeight="1" x14ac:dyDescent="0.2">
      <c r="A71" s="1"/>
      <c r="B71" s="1"/>
      <c r="C71" s="2" t="s">
        <v>119</v>
      </c>
      <c r="D71" s="1"/>
      <c r="E71" s="1" t="s">
        <v>120</v>
      </c>
      <c r="F71" s="13">
        <v>0</v>
      </c>
      <c r="G71" s="14">
        <v>0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123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119</v>
      </c>
      <c r="D74" s="1"/>
      <c r="E74" s="1" t="s">
        <v>120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124</v>
      </c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119</v>
      </c>
      <c r="D77" s="1"/>
      <c r="E77" s="1" t="s">
        <v>120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125</v>
      </c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119</v>
      </c>
      <c r="D80" s="1"/>
      <c r="E80" s="1" t="s">
        <v>120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8" customHeight="1" x14ac:dyDescent="0.2">
      <c r="A82" s="1"/>
      <c r="B82" s="1"/>
      <c r="C82" s="2" t="s">
        <v>126</v>
      </c>
      <c r="D82" s="1"/>
      <c r="E82" s="1"/>
      <c r="F82" s="9">
        <v>3203.6537585000001</v>
      </c>
      <c r="G82" s="10">
        <v>0.95494249899999994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127</v>
      </c>
      <c r="D84" s="1"/>
      <c r="E84" s="1"/>
      <c r="F84" s="12"/>
      <c r="G84" s="12"/>
      <c r="H84" s="6"/>
    </row>
    <row r="85" spans="1:8" ht="24" customHeight="1" x14ac:dyDescent="0.2">
      <c r="A85" s="1"/>
      <c r="B85" s="1"/>
      <c r="C85" s="2" t="s">
        <v>10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119</v>
      </c>
      <c r="D86" s="1"/>
      <c r="E86" s="1" t="s">
        <v>120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128</v>
      </c>
      <c r="D88" s="1"/>
      <c r="E88" s="1"/>
      <c r="F88" s="1"/>
      <c r="G88" s="1"/>
      <c r="H88" s="6"/>
    </row>
    <row r="89" spans="1:8" ht="14.1" customHeight="1" x14ac:dyDescent="0.2">
      <c r="A89" s="1"/>
      <c r="B89" s="1"/>
      <c r="C89" s="2" t="s">
        <v>119</v>
      </c>
      <c r="D89" s="1"/>
      <c r="E89" s="1" t="s">
        <v>120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129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130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 t="s">
        <v>120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131</v>
      </c>
      <c r="D97" s="1"/>
      <c r="E97" s="1"/>
      <c r="F97" s="9">
        <v>0</v>
      </c>
      <c r="G97" s="10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132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133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119</v>
      </c>
      <c r="D101" s="1"/>
      <c r="E101" s="1" t="s">
        <v>120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134</v>
      </c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119</v>
      </c>
      <c r="D104" s="1"/>
      <c r="E104" s="1" t="s">
        <v>120</v>
      </c>
      <c r="F104" s="13">
        <v>0</v>
      </c>
      <c r="G104" s="14">
        <v>0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135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136</v>
      </c>
      <c r="D109" s="1"/>
      <c r="E109" s="1"/>
      <c r="F109" s="12"/>
      <c r="G109" s="12"/>
      <c r="H109" s="6"/>
    </row>
    <row r="110" spans="1:8" ht="17.100000000000001" customHeight="1" x14ac:dyDescent="0.2">
      <c r="A110" s="3">
        <v>1</v>
      </c>
      <c r="B110" s="4"/>
      <c r="C110" s="4" t="s">
        <v>137</v>
      </c>
      <c r="D110" s="4"/>
      <c r="E110" s="8"/>
      <c r="F110" s="6">
        <v>135.58300539999999</v>
      </c>
      <c r="G110" s="7">
        <v>4.0414472E-2</v>
      </c>
      <c r="H110" s="6">
        <v>4.1713246754849944</v>
      </c>
    </row>
    <row r="111" spans="1:8" ht="14.1" customHeight="1" x14ac:dyDescent="0.2">
      <c r="A111" s="1"/>
      <c r="B111" s="1"/>
      <c r="C111" s="2" t="s">
        <v>119</v>
      </c>
      <c r="D111" s="1"/>
      <c r="E111" s="1" t="s">
        <v>120</v>
      </c>
      <c r="F111" s="9">
        <v>135.58300539999999</v>
      </c>
      <c r="G111" s="10">
        <v>4.0414472E-2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138</v>
      </c>
      <c r="D113" s="1"/>
      <c r="E113" s="1"/>
      <c r="F113" s="9">
        <v>135.58300539999999</v>
      </c>
      <c r="G113" s="10">
        <v>4.0414472E-2</v>
      </c>
      <c r="H113" s="6"/>
    </row>
    <row r="114" spans="1:8" ht="14.1" customHeight="1" x14ac:dyDescent="0.2">
      <c r="A114" s="1"/>
      <c r="B114" s="1"/>
      <c r="C114" s="12"/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139</v>
      </c>
      <c r="D115" s="1"/>
      <c r="E115" s="1"/>
      <c r="F115" s="1"/>
      <c r="G115" s="1"/>
      <c r="H115" s="6"/>
    </row>
    <row r="116" spans="1:8" ht="14.1" customHeight="1" x14ac:dyDescent="0.2">
      <c r="A116" s="1"/>
      <c r="B116" s="1"/>
      <c r="C116" s="2" t="s">
        <v>140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141</v>
      </c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142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119</v>
      </c>
      <c r="D121" s="1"/>
      <c r="E121" s="1" t="s">
        <v>120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24" customHeight="1" x14ac:dyDescent="0.2">
      <c r="A124" s="1"/>
      <c r="B124" s="1"/>
      <c r="C124" s="2" t="s">
        <v>143</v>
      </c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119</v>
      </c>
      <c r="D125" s="1"/>
      <c r="E125" s="1" t="s">
        <v>120</v>
      </c>
      <c r="F125" s="13">
        <v>0</v>
      </c>
      <c r="G125" s="14">
        <v>0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4"/>
      <c r="C127" s="4"/>
      <c r="D127" s="2"/>
      <c r="E127" s="1"/>
      <c r="F127" s="4"/>
      <c r="G127" s="8"/>
      <c r="H127" s="6"/>
    </row>
    <row r="128" spans="1:8" ht="18" customHeight="1" x14ac:dyDescent="0.2">
      <c r="A128" s="8"/>
      <c r="B128" s="4"/>
      <c r="C128" s="4" t="s">
        <v>144</v>
      </c>
      <c r="D128" s="4"/>
      <c r="E128" s="8"/>
      <c r="F128" s="6">
        <v>15.576491689999999</v>
      </c>
      <c r="G128" s="7">
        <v>4.6430280000000004E-3</v>
      </c>
      <c r="H128" s="6"/>
    </row>
    <row r="129" spans="1:8" ht="14.1" customHeight="1" x14ac:dyDescent="0.2">
      <c r="A129" s="11"/>
      <c r="B129" s="11"/>
      <c r="C129" s="2" t="s">
        <v>145</v>
      </c>
      <c r="D129" s="15"/>
      <c r="E129" s="15"/>
      <c r="F129" s="9">
        <v>3354.8132555900002</v>
      </c>
      <c r="G129" s="10">
        <v>0.99999999900000003</v>
      </c>
      <c r="H129" s="6"/>
    </row>
    <row r="130" spans="1:8" ht="14.1" customHeight="1" x14ac:dyDescent="0.2">
      <c r="A130" s="18"/>
      <c r="B130" s="18"/>
      <c r="C130" s="18"/>
      <c r="D130" s="20"/>
      <c r="E130" s="20"/>
      <c r="F130" s="20"/>
      <c r="G130" s="20"/>
    </row>
    <row r="131" spans="1:8" ht="14.1" customHeight="1" x14ac:dyDescent="0.2">
      <c r="A131" s="18"/>
      <c r="B131" s="265" t="s">
        <v>147</v>
      </c>
      <c r="C131" s="266"/>
      <c r="D131" s="12" t="s">
        <v>120</v>
      </c>
      <c r="E131" s="21"/>
      <c r="F131" s="20"/>
      <c r="G131" s="20"/>
    </row>
    <row r="132" spans="1:8" ht="29.1" customHeight="1" x14ac:dyDescent="0.2">
      <c r="A132" s="18"/>
      <c r="B132" s="272" t="s">
        <v>148</v>
      </c>
      <c r="C132" s="273"/>
      <c r="D132" s="2" t="s">
        <v>149</v>
      </c>
      <c r="E132" s="21"/>
      <c r="F132" s="20"/>
      <c r="G132" s="20"/>
    </row>
    <row r="133" spans="1:8" ht="17.100000000000001" customHeight="1" x14ac:dyDescent="0.2">
      <c r="A133" s="18"/>
      <c r="B133" s="272" t="s">
        <v>150</v>
      </c>
      <c r="C133" s="273"/>
      <c r="D133" s="2" t="s">
        <v>149</v>
      </c>
      <c r="E133" s="21"/>
      <c r="F133" s="20"/>
      <c r="G133" s="20"/>
    </row>
    <row r="134" spans="1:8" ht="17.100000000000001" customHeight="1" x14ac:dyDescent="0.2">
      <c r="A134" s="18"/>
      <c r="B134" s="272" t="s">
        <v>151</v>
      </c>
      <c r="C134" s="273"/>
      <c r="D134" s="12" t="s">
        <v>120</v>
      </c>
      <c r="E134" s="21"/>
      <c r="F134" s="20"/>
      <c r="G134" s="20"/>
    </row>
    <row r="135" spans="1:8" ht="24" customHeight="1" x14ac:dyDescent="0.2">
      <c r="A135" s="22"/>
      <c r="B135" s="23" t="s">
        <v>120</v>
      </c>
      <c r="C135" s="23" t="s">
        <v>152</v>
      </c>
      <c r="D135" s="23" t="s">
        <v>153</v>
      </c>
      <c r="E135" s="22"/>
      <c r="F135" s="22"/>
      <c r="G135" s="22"/>
    </row>
    <row r="136" spans="1:8" ht="18" customHeight="1" x14ac:dyDescent="0.2">
      <c r="A136" s="22"/>
      <c r="B136" s="23" t="s">
        <v>154</v>
      </c>
      <c r="C136" s="23" t="s">
        <v>155</v>
      </c>
      <c r="D136" s="23" t="s">
        <v>156</v>
      </c>
      <c r="E136" s="22"/>
      <c r="F136" s="22"/>
      <c r="G136" s="22"/>
    </row>
    <row r="137" spans="1:8" ht="17.100000000000001" customHeight="1" x14ac:dyDescent="0.2">
      <c r="A137" s="22"/>
      <c r="B137" s="4" t="s">
        <v>157</v>
      </c>
      <c r="C137" s="24">
        <v>16.623100000000001</v>
      </c>
      <c r="D137" s="24">
        <v>15.4465</v>
      </c>
      <c r="E137" s="22"/>
      <c r="F137" s="19"/>
      <c r="G137" s="25"/>
    </row>
    <row r="138" spans="1:8" ht="17.100000000000001" customHeight="1" x14ac:dyDescent="0.2">
      <c r="A138" s="22"/>
      <c r="B138" s="4" t="s">
        <v>1120</v>
      </c>
      <c r="C138" s="24">
        <v>16.623100000000001</v>
      </c>
      <c r="D138" s="24">
        <v>15.4465</v>
      </c>
      <c r="E138" s="22"/>
      <c r="F138" s="19"/>
      <c r="G138" s="25"/>
    </row>
    <row r="139" spans="1:8" ht="17.100000000000001" customHeight="1" x14ac:dyDescent="0.2">
      <c r="A139" s="22"/>
      <c r="B139" s="4" t="s">
        <v>158</v>
      </c>
      <c r="C139" s="24">
        <v>16.314800000000002</v>
      </c>
      <c r="D139" s="24">
        <v>15.1593</v>
      </c>
      <c r="E139" s="22"/>
      <c r="F139" s="19"/>
      <c r="G139" s="25"/>
    </row>
    <row r="140" spans="1:8" ht="17.100000000000001" customHeight="1" x14ac:dyDescent="0.2">
      <c r="A140" s="22"/>
      <c r="B140" s="4" t="s">
        <v>1121</v>
      </c>
      <c r="C140" s="24">
        <v>16.314599999999999</v>
      </c>
      <c r="D140" s="24">
        <v>15.1592</v>
      </c>
      <c r="E140" s="22"/>
      <c r="F140" s="19"/>
      <c r="G140" s="25"/>
    </row>
    <row r="141" spans="1:8" ht="14.1" customHeight="1" x14ac:dyDescent="0.2">
      <c r="A141" s="22"/>
      <c r="B141" s="22"/>
      <c r="C141" s="22"/>
      <c r="D141" s="22"/>
      <c r="E141" s="22"/>
      <c r="F141" s="22"/>
      <c r="G141" s="22"/>
    </row>
    <row r="142" spans="1:8" ht="17.100000000000001" customHeight="1" x14ac:dyDescent="0.2">
      <c r="A142" s="22"/>
      <c r="B142" s="272" t="s">
        <v>1122</v>
      </c>
      <c r="C142" s="273"/>
      <c r="D142" s="2" t="s">
        <v>149</v>
      </c>
      <c r="E142" s="22"/>
      <c r="F142" s="22"/>
      <c r="G142" s="22"/>
    </row>
    <row r="143" spans="1:8" ht="14.1" customHeight="1" x14ac:dyDescent="0.2">
      <c r="A143" s="22"/>
      <c r="B143" s="19"/>
      <c r="C143" s="19"/>
      <c r="D143" s="22"/>
      <c r="E143" s="22"/>
      <c r="F143" s="22"/>
      <c r="G143" s="22"/>
    </row>
    <row r="144" spans="1:8" ht="29.1" customHeight="1" x14ac:dyDescent="0.2">
      <c r="A144" s="22"/>
      <c r="B144" s="272" t="s">
        <v>160</v>
      </c>
      <c r="C144" s="273"/>
      <c r="D144" s="2" t="s">
        <v>149</v>
      </c>
      <c r="E144" s="22"/>
      <c r="F144" s="22"/>
      <c r="G144" s="22"/>
    </row>
    <row r="145" spans="1:15" ht="29.1" customHeight="1" x14ac:dyDescent="0.2">
      <c r="A145" s="22"/>
      <c r="B145" s="272" t="s">
        <v>161</v>
      </c>
      <c r="C145" s="273"/>
      <c r="D145" s="2" t="s">
        <v>149</v>
      </c>
      <c r="E145" s="22"/>
      <c r="F145" s="22"/>
      <c r="G145" s="22"/>
    </row>
    <row r="146" spans="1:15" ht="17.100000000000001" customHeight="1" x14ac:dyDescent="0.2">
      <c r="A146" s="22"/>
      <c r="B146" s="272" t="s">
        <v>162</v>
      </c>
      <c r="C146" s="273"/>
      <c r="D146" s="27">
        <v>0.206791</v>
      </c>
      <c r="E146" s="22"/>
      <c r="F146" s="19"/>
      <c r="G146" s="25"/>
    </row>
    <row r="147" spans="1:15" ht="17.100000000000001" customHeight="1" x14ac:dyDescent="0.2">
      <c r="A147" s="22"/>
      <c r="B147" s="272" t="s">
        <v>163</v>
      </c>
      <c r="C147" s="273"/>
      <c r="D147" s="2" t="s">
        <v>149</v>
      </c>
      <c r="E147" s="22"/>
      <c r="F147" s="22"/>
      <c r="G147" s="22"/>
    </row>
    <row r="155" spans="1:15" x14ac:dyDescent="0.2">
      <c r="J155" s="170"/>
      <c r="K155" s="170"/>
      <c r="L155" s="170"/>
      <c r="M155" s="170"/>
      <c r="N155" s="170"/>
      <c r="O155" s="170"/>
    </row>
  </sheetData>
  <mergeCells count="13">
    <mergeCell ref="B146:C146"/>
    <mergeCell ref="B147:C147"/>
    <mergeCell ref="B132:C132"/>
    <mergeCell ref="B133:C133"/>
    <mergeCell ref="B134:C134"/>
    <mergeCell ref="B142:C142"/>
    <mergeCell ref="B144:C144"/>
    <mergeCell ref="B145:C145"/>
    <mergeCell ref="J2:N2"/>
    <mergeCell ref="B131:C13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154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526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11088</v>
      </c>
      <c r="F7" s="6">
        <v>137.08094399999999</v>
      </c>
      <c r="G7" s="7">
        <v>4.1537559000000002E-2</v>
      </c>
      <c r="H7" s="6"/>
    </row>
    <row r="8" spans="1:14" ht="29.1" customHeight="1" x14ac:dyDescent="0.2">
      <c r="A8" s="3">
        <v>2</v>
      </c>
      <c r="B8" s="4" t="s">
        <v>217</v>
      </c>
      <c r="C8" s="4" t="s">
        <v>218</v>
      </c>
      <c r="D8" s="4" t="s">
        <v>219</v>
      </c>
      <c r="E8" s="5">
        <v>2837</v>
      </c>
      <c r="F8" s="6">
        <v>111.3366465</v>
      </c>
      <c r="G8" s="7">
        <v>3.3736654999999997E-2</v>
      </c>
      <c r="H8" s="6"/>
    </row>
    <row r="9" spans="1:14" ht="17.100000000000001" customHeight="1" x14ac:dyDescent="0.2">
      <c r="A9" s="3">
        <v>3</v>
      </c>
      <c r="B9" s="4" t="s">
        <v>182</v>
      </c>
      <c r="C9" s="4" t="s">
        <v>183</v>
      </c>
      <c r="D9" s="4" t="s">
        <v>80</v>
      </c>
      <c r="E9" s="5">
        <v>18995</v>
      </c>
      <c r="F9" s="6">
        <v>109.02180250000001</v>
      </c>
      <c r="G9" s="7">
        <v>3.3035223000000002E-2</v>
      </c>
      <c r="H9" s="6"/>
    </row>
    <row r="10" spans="1:14" ht="17.100000000000001" customHeight="1" x14ac:dyDescent="0.2">
      <c r="A10" s="3">
        <v>4</v>
      </c>
      <c r="B10" s="4" t="s">
        <v>179</v>
      </c>
      <c r="C10" s="4" t="s">
        <v>180</v>
      </c>
      <c r="D10" s="4" t="s">
        <v>181</v>
      </c>
      <c r="E10" s="5">
        <v>7370</v>
      </c>
      <c r="F10" s="6">
        <v>108.74435</v>
      </c>
      <c r="G10" s="7">
        <v>3.2951150999999998E-2</v>
      </c>
      <c r="H10" s="6"/>
    </row>
    <row r="11" spans="1:14" ht="17.100000000000001" customHeight="1" x14ac:dyDescent="0.2">
      <c r="A11" s="3">
        <v>5</v>
      </c>
      <c r="B11" s="4" t="s">
        <v>246</v>
      </c>
      <c r="C11" s="4" t="s">
        <v>247</v>
      </c>
      <c r="D11" s="4" t="s">
        <v>248</v>
      </c>
      <c r="E11" s="5">
        <v>55513</v>
      </c>
      <c r="F11" s="6">
        <v>101.0059035</v>
      </c>
      <c r="G11" s="7">
        <v>3.0606286999999999E-2</v>
      </c>
      <c r="H11" s="6"/>
    </row>
    <row r="12" spans="1:14" ht="17.100000000000001" customHeight="1" x14ac:dyDescent="0.2">
      <c r="A12" s="3">
        <v>6</v>
      </c>
      <c r="B12" s="4" t="s">
        <v>201</v>
      </c>
      <c r="C12" s="4" t="s">
        <v>202</v>
      </c>
      <c r="D12" s="4" t="s">
        <v>203</v>
      </c>
      <c r="E12" s="5">
        <v>19524</v>
      </c>
      <c r="F12" s="6">
        <v>98.303340000000006</v>
      </c>
      <c r="G12" s="7">
        <v>2.9787370000000001E-2</v>
      </c>
      <c r="H12" s="6"/>
    </row>
    <row r="13" spans="1:14" ht="17.100000000000001" customHeight="1" x14ac:dyDescent="0.2">
      <c r="A13" s="3">
        <v>7</v>
      </c>
      <c r="B13" s="4" t="s">
        <v>78</v>
      </c>
      <c r="C13" s="4" t="s">
        <v>79</v>
      </c>
      <c r="D13" s="4" t="s">
        <v>80</v>
      </c>
      <c r="E13" s="5">
        <v>19239</v>
      </c>
      <c r="F13" s="6">
        <v>94.049851500000003</v>
      </c>
      <c r="G13" s="7">
        <v>2.84985E-2</v>
      </c>
      <c r="H13" s="6"/>
      <c r="J13" s="169" t="s">
        <v>1173</v>
      </c>
    </row>
    <row r="14" spans="1:14" ht="17.100000000000001" customHeight="1" x14ac:dyDescent="0.2">
      <c r="A14" s="3">
        <v>8</v>
      </c>
      <c r="B14" s="4" t="s">
        <v>177</v>
      </c>
      <c r="C14" s="4" t="s">
        <v>178</v>
      </c>
      <c r="D14" s="4" t="s">
        <v>85</v>
      </c>
      <c r="E14" s="5">
        <v>96084</v>
      </c>
      <c r="F14" s="6">
        <v>89.646372</v>
      </c>
      <c r="G14" s="7">
        <v>2.716418E-2</v>
      </c>
      <c r="H14" s="6"/>
    </row>
    <row r="15" spans="1:14" ht="17.100000000000001" customHeight="1" x14ac:dyDescent="0.2">
      <c r="A15" s="3">
        <v>9</v>
      </c>
      <c r="B15" s="4" t="s">
        <v>237</v>
      </c>
      <c r="C15" s="4" t="s">
        <v>238</v>
      </c>
      <c r="D15" s="4" t="s">
        <v>239</v>
      </c>
      <c r="E15" s="5">
        <v>30513</v>
      </c>
      <c r="F15" s="6">
        <v>85.695760500000006</v>
      </c>
      <c r="G15" s="7">
        <v>2.5967086E-2</v>
      </c>
      <c r="H15" s="6"/>
    </row>
    <row r="16" spans="1:14" ht="17.100000000000001" customHeight="1" x14ac:dyDescent="0.2">
      <c r="A16" s="3">
        <v>10</v>
      </c>
      <c r="B16" s="4" t="s">
        <v>272</v>
      </c>
      <c r="C16" s="4" t="s">
        <v>273</v>
      </c>
      <c r="D16" s="4" t="s">
        <v>28</v>
      </c>
      <c r="E16" s="5">
        <v>10425</v>
      </c>
      <c r="F16" s="6">
        <v>83.869124999999997</v>
      </c>
      <c r="G16" s="7">
        <v>2.5413589E-2</v>
      </c>
      <c r="H16" s="6"/>
    </row>
    <row r="17" spans="1:8" ht="17.100000000000001" customHeight="1" x14ac:dyDescent="0.2">
      <c r="A17" s="3">
        <v>11</v>
      </c>
      <c r="B17" s="4" t="s">
        <v>32</v>
      </c>
      <c r="C17" s="4" t="s">
        <v>33</v>
      </c>
      <c r="D17" s="4" t="s">
        <v>28</v>
      </c>
      <c r="E17" s="5">
        <v>4628</v>
      </c>
      <c r="F17" s="6">
        <v>79.326233999999999</v>
      </c>
      <c r="G17" s="7">
        <v>2.4037025E-2</v>
      </c>
      <c r="H17" s="6"/>
    </row>
    <row r="18" spans="1:8" ht="17.100000000000001" customHeight="1" x14ac:dyDescent="0.2">
      <c r="A18" s="3">
        <v>12</v>
      </c>
      <c r="B18" s="4" t="s">
        <v>34</v>
      </c>
      <c r="C18" s="4" t="s">
        <v>35</v>
      </c>
      <c r="D18" s="4" t="s">
        <v>28</v>
      </c>
      <c r="E18" s="5">
        <v>5782</v>
      </c>
      <c r="F18" s="6">
        <v>78.351882000000003</v>
      </c>
      <c r="G18" s="7">
        <v>2.3741781999999999E-2</v>
      </c>
      <c r="H18" s="6"/>
    </row>
    <row r="19" spans="1:8" ht="17.100000000000001" customHeight="1" x14ac:dyDescent="0.2">
      <c r="A19" s="3">
        <v>13</v>
      </c>
      <c r="B19" s="4" t="s">
        <v>90</v>
      </c>
      <c r="C19" s="4" t="s">
        <v>91</v>
      </c>
      <c r="D19" s="4" t="s">
        <v>92</v>
      </c>
      <c r="E19" s="5">
        <v>16682</v>
      </c>
      <c r="F19" s="6">
        <v>77.512912999999998</v>
      </c>
      <c r="G19" s="7">
        <v>2.3487562E-2</v>
      </c>
      <c r="H19" s="6"/>
    </row>
    <row r="20" spans="1:8" ht="17.100000000000001" customHeight="1" x14ac:dyDescent="0.2">
      <c r="A20" s="3">
        <v>14</v>
      </c>
      <c r="B20" s="4" t="s">
        <v>249</v>
      </c>
      <c r="C20" s="4" t="s">
        <v>250</v>
      </c>
      <c r="D20" s="4" t="s">
        <v>994</v>
      </c>
      <c r="E20" s="5">
        <v>2026</v>
      </c>
      <c r="F20" s="6">
        <v>76.175573999999997</v>
      </c>
      <c r="G20" s="7">
        <v>2.3082328999999999E-2</v>
      </c>
      <c r="H20" s="6"/>
    </row>
    <row r="21" spans="1:8" ht="17.100000000000001" customHeight="1" x14ac:dyDescent="0.2">
      <c r="A21" s="3">
        <v>15</v>
      </c>
      <c r="B21" s="4" t="s">
        <v>172</v>
      </c>
      <c r="C21" s="4" t="s">
        <v>173</v>
      </c>
      <c r="D21" s="4" t="s">
        <v>994</v>
      </c>
      <c r="E21" s="5">
        <v>14311</v>
      </c>
      <c r="F21" s="6">
        <v>75.891233</v>
      </c>
      <c r="G21" s="7">
        <v>2.2996169E-2</v>
      </c>
      <c r="H21" s="6"/>
    </row>
    <row r="22" spans="1:8" ht="29.1" customHeight="1" x14ac:dyDescent="0.2">
      <c r="A22" s="3">
        <v>16</v>
      </c>
      <c r="B22" s="4" t="s">
        <v>478</v>
      </c>
      <c r="C22" s="4" t="s">
        <v>479</v>
      </c>
      <c r="D22" s="4" t="s">
        <v>42</v>
      </c>
      <c r="E22" s="5">
        <v>3793</v>
      </c>
      <c r="F22" s="6">
        <v>69.4365545</v>
      </c>
      <c r="G22" s="7">
        <v>2.1040306000000002E-2</v>
      </c>
      <c r="H22" s="6"/>
    </row>
    <row r="23" spans="1:8" ht="29.1" customHeight="1" x14ac:dyDescent="0.2">
      <c r="A23" s="3">
        <v>17</v>
      </c>
      <c r="B23" s="4" t="s">
        <v>211</v>
      </c>
      <c r="C23" s="4" t="s">
        <v>212</v>
      </c>
      <c r="D23" s="4" t="s">
        <v>198</v>
      </c>
      <c r="E23" s="5">
        <v>11402</v>
      </c>
      <c r="F23" s="6">
        <v>64.700648999999999</v>
      </c>
      <c r="G23" s="7">
        <v>1.9605256000000001E-2</v>
      </c>
      <c r="H23" s="6"/>
    </row>
    <row r="24" spans="1:8" ht="29.1" customHeight="1" x14ac:dyDescent="0.2">
      <c r="A24" s="3">
        <v>18</v>
      </c>
      <c r="B24" s="4" t="s">
        <v>196</v>
      </c>
      <c r="C24" s="4" t="s">
        <v>197</v>
      </c>
      <c r="D24" s="4" t="s">
        <v>198</v>
      </c>
      <c r="E24" s="5">
        <v>17579</v>
      </c>
      <c r="F24" s="6">
        <v>62.0802385</v>
      </c>
      <c r="G24" s="7">
        <v>1.8811233E-2</v>
      </c>
      <c r="H24" s="6"/>
    </row>
    <row r="25" spans="1:8" ht="17.100000000000001" customHeight="1" x14ac:dyDescent="0.2">
      <c r="A25" s="3">
        <v>19</v>
      </c>
      <c r="B25" s="4" t="s">
        <v>199</v>
      </c>
      <c r="C25" s="4" t="s">
        <v>200</v>
      </c>
      <c r="D25" s="4" t="s">
        <v>13</v>
      </c>
      <c r="E25" s="5">
        <v>16845</v>
      </c>
      <c r="F25" s="6">
        <v>60.734647500000001</v>
      </c>
      <c r="G25" s="7">
        <v>1.8403499E-2</v>
      </c>
      <c r="H25" s="6"/>
    </row>
    <row r="26" spans="1:8" ht="17.100000000000001" customHeight="1" x14ac:dyDescent="0.2">
      <c r="A26" s="3">
        <v>20</v>
      </c>
      <c r="B26" s="4" t="s">
        <v>184</v>
      </c>
      <c r="C26" s="4" t="s">
        <v>185</v>
      </c>
      <c r="D26" s="4" t="s">
        <v>186</v>
      </c>
      <c r="E26" s="5">
        <v>5601</v>
      </c>
      <c r="F26" s="6">
        <v>59.524627500000001</v>
      </c>
      <c r="G26" s="7">
        <v>1.8036844999999999E-2</v>
      </c>
      <c r="H26" s="6"/>
    </row>
    <row r="27" spans="1:8" ht="17.100000000000001" customHeight="1" x14ac:dyDescent="0.2">
      <c r="A27" s="3">
        <v>21</v>
      </c>
      <c r="B27" s="4" t="s">
        <v>187</v>
      </c>
      <c r="C27" s="4" t="s">
        <v>188</v>
      </c>
      <c r="D27" s="4" t="s">
        <v>181</v>
      </c>
      <c r="E27" s="5">
        <v>4116</v>
      </c>
      <c r="F27" s="6">
        <v>56.457113999999997</v>
      </c>
      <c r="G27" s="7">
        <v>1.7107343000000001E-2</v>
      </c>
      <c r="H27" s="6"/>
    </row>
    <row r="28" spans="1:8" ht="29.1" customHeight="1" x14ac:dyDescent="0.2">
      <c r="A28" s="3">
        <v>22</v>
      </c>
      <c r="B28" s="4" t="s">
        <v>43</v>
      </c>
      <c r="C28" s="4" t="s">
        <v>44</v>
      </c>
      <c r="D28" s="4" t="s">
        <v>25</v>
      </c>
      <c r="E28" s="5">
        <v>2325</v>
      </c>
      <c r="F28" s="6">
        <v>55.3873125</v>
      </c>
      <c r="G28" s="7">
        <v>1.6783177E-2</v>
      </c>
      <c r="H28" s="6"/>
    </row>
    <row r="29" spans="1:8" ht="17.100000000000001" customHeight="1" x14ac:dyDescent="0.2">
      <c r="A29" s="3">
        <v>23</v>
      </c>
      <c r="B29" s="4" t="s">
        <v>228</v>
      </c>
      <c r="C29" s="4" t="s">
        <v>229</v>
      </c>
      <c r="D29" s="4" t="s">
        <v>230</v>
      </c>
      <c r="E29" s="5">
        <v>18738</v>
      </c>
      <c r="F29" s="6">
        <v>55.37079</v>
      </c>
      <c r="G29" s="7">
        <v>1.6778171000000001E-2</v>
      </c>
      <c r="H29" s="6"/>
    </row>
    <row r="30" spans="1:8" ht="29.1" customHeight="1" x14ac:dyDescent="0.2">
      <c r="A30" s="3">
        <v>24</v>
      </c>
      <c r="B30" s="4" t="s">
        <v>189</v>
      </c>
      <c r="C30" s="4" t="s">
        <v>190</v>
      </c>
      <c r="D30" s="4" t="s">
        <v>191</v>
      </c>
      <c r="E30" s="5">
        <v>7853</v>
      </c>
      <c r="F30" s="6">
        <v>55.289046499999998</v>
      </c>
      <c r="G30" s="7">
        <v>1.6753401000000001E-2</v>
      </c>
      <c r="H30" s="6"/>
    </row>
    <row r="31" spans="1:8" ht="17.100000000000001" customHeight="1" x14ac:dyDescent="0.2">
      <c r="A31" s="3">
        <v>25</v>
      </c>
      <c r="B31" s="4" t="s">
        <v>194</v>
      </c>
      <c r="C31" s="4" t="s">
        <v>195</v>
      </c>
      <c r="D31" s="4" t="s">
        <v>85</v>
      </c>
      <c r="E31" s="5">
        <v>11118</v>
      </c>
      <c r="F31" s="6">
        <v>53.777766</v>
      </c>
      <c r="G31" s="7">
        <v>1.6295461000000001E-2</v>
      </c>
      <c r="H31" s="6"/>
    </row>
    <row r="32" spans="1:8" ht="17.100000000000001" customHeight="1" x14ac:dyDescent="0.2">
      <c r="A32" s="3">
        <v>26</v>
      </c>
      <c r="B32" s="4" t="s">
        <v>204</v>
      </c>
      <c r="C32" s="4" t="s">
        <v>205</v>
      </c>
      <c r="D32" s="4" t="s">
        <v>85</v>
      </c>
      <c r="E32" s="5">
        <v>6848</v>
      </c>
      <c r="F32" s="6">
        <v>53.277439999999999</v>
      </c>
      <c r="G32" s="7">
        <v>1.6143853999999999E-2</v>
      </c>
      <c r="H32" s="6"/>
    </row>
    <row r="33" spans="1:8" ht="29.1" customHeight="1" x14ac:dyDescent="0.2">
      <c r="A33" s="3">
        <v>27</v>
      </c>
      <c r="B33" s="4" t="s">
        <v>285</v>
      </c>
      <c r="C33" s="4" t="s">
        <v>286</v>
      </c>
      <c r="D33" s="4" t="s">
        <v>233</v>
      </c>
      <c r="E33" s="5">
        <v>9162</v>
      </c>
      <c r="F33" s="6">
        <v>50.908653000000001</v>
      </c>
      <c r="G33" s="7">
        <v>1.5426077E-2</v>
      </c>
      <c r="H33" s="6"/>
    </row>
    <row r="34" spans="1:8" ht="17.100000000000001" customHeight="1" x14ac:dyDescent="0.2">
      <c r="A34" s="3">
        <v>28</v>
      </c>
      <c r="B34" s="4" t="s">
        <v>480</v>
      </c>
      <c r="C34" s="4" t="s">
        <v>481</v>
      </c>
      <c r="D34" s="4" t="s">
        <v>80</v>
      </c>
      <c r="E34" s="5">
        <v>5377</v>
      </c>
      <c r="F34" s="6">
        <v>49.307090000000002</v>
      </c>
      <c r="G34" s="7">
        <v>1.4940779E-2</v>
      </c>
      <c r="H34" s="6"/>
    </row>
    <row r="35" spans="1:8" ht="17.100000000000001" customHeight="1" x14ac:dyDescent="0.2">
      <c r="A35" s="3">
        <v>29</v>
      </c>
      <c r="B35" s="4" t="s">
        <v>259</v>
      </c>
      <c r="C35" s="4" t="s">
        <v>260</v>
      </c>
      <c r="D35" s="4" t="s">
        <v>186</v>
      </c>
      <c r="E35" s="5">
        <v>33431</v>
      </c>
      <c r="F35" s="6">
        <v>48.658820499999997</v>
      </c>
      <c r="G35" s="7">
        <v>1.4744344E-2</v>
      </c>
      <c r="H35" s="6"/>
    </row>
    <row r="36" spans="1:8" ht="29.1" customHeight="1" x14ac:dyDescent="0.2">
      <c r="A36" s="3">
        <v>30</v>
      </c>
      <c r="B36" s="4" t="s">
        <v>293</v>
      </c>
      <c r="C36" s="4" t="s">
        <v>294</v>
      </c>
      <c r="D36" s="4" t="s">
        <v>295</v>
      </c>
      <c r="E36" s="5">
        <v>14616</v>
      </c>
      <c r="F36" s="6">
        <v>47.735855999999998</v>
      </c>
      <c r="G36" s="7">
        <v>1.4464672E-2</v>
      </c>
      <c r="H36" s="6"/>
    </row>
    <row r="37" spans="1:8" ht="17.100000000000001" customHeight="1" x14ac:dyDescent="0.2">
      <c r="A37" s="3">
        <v>31</v>
      </c>
      <c r="B37" s="4" t="s">
        <v>283</v>
      </c>
      <c r="C37" s="4" t="s">
        <v>284</v>
      </c>
      <c r="D37" s="4" t="s">
        <v>176</v>
      </c>
      <c r="E37" s="5">
        <v>6046</v>
      </c>
      <c r="F37" s="6">
        <v>47.364364000000002</v>
      </c>
      <c r="G37" s="7">
        <v>1.4352105E-2</v>
      </c>
      <c r="H37" s="6"/>
    </row>
    <row r="38" spans="1:8" ht="29.1" customHeight="1" x14ac:dyDescent="0.2">
      <c r="A38" s="3">
        <v>32</v>
      </c>
      <c r="B38" s="4" t="s">
        <v>206</v>
      </c>
      <c r="C38" s="4" t="s">
        <v>207</v>
      </c>
      <c r="D38" s="4" t="s">
        <v>191</v>
      </c>
      <c r="E38" s="5">
        <v>9854</v>
      </c>
      <c r="F38" s="6">
        <v>46.259602999999998</v>
      </c>
      <c r="G38" s="7">
        <v>1.4017346E-2</v>
      </c>
      <c r="H38" s="6"/>
    </row>
    <row r="39" spans="1:8" ht="17.100000000000001" customHeight="1" x14ac:dyDescent="0.2">
      <c r="A39" s="3">
        <v>33</v>
      </c>
      <c r="B39" s="4" t="s">
        <v>291</v>
      </c>
      <c r="C39" s="4" t="s">
        <v>292</v>
      </c>
      <c r="D39" s="4" t="s">
        <v>95</v>
      </c>
      <c r="E39" s="5">
        <v>7135</v>
      </c>
      <c r="F39" s="6">
        <v>45.053957500000003</v>
      </c>
      <c r="G39" s="7">
        <v>1.3652017000000001E-2</v>
      </c>
      <c r="H39" s="6"/>
    </row>
    <row r="40" spans="1:8" ht="29.1" customHeight="1" x14ac:dyDescent="0.2">
      <c r="A40" s="3">
        <v>34</v>
      </c>
      <c r="B40" s="4" t="s">
        <v>192</v>
      </c>
      <c r="C40" s="4" t="s">
        <v>193</v>
      </c>
      <c r="D40" s="4" t="s">
        <v>80</v>
      </c>
      <c r="E40" s="5">
        <v>12218</v>
      </c>
      <c r="F40" s="6">
        <v>44.161960999999998</v>
      </c>
      <c r="G40" s="7">
        <v>1.3381729E-2</v>
      </c>
      <c r="H40" s="6"/>
    </row>
    <row r="41" spans="1:8" ht="17.100000000000001" customHeight="1" x14ac:dyDescent="0.2">
      <c r="A41" s="3">
        <v>35</v>
      </c>
      <c r="B41" s="4" t="s">
        <v>213</v>
      </c>
      <c r="C41" s="4" t="s">
        <v>214</v>
      </c>
      <c r="D41" s="4" t="s">
        <v>13</v>
      </c>
      <c r="E41" s="5">
        <v>51989</v>
      </c>
      <c r="F41" s="6">
        <v>42.708963500000003</v>
      </c>
      <c r="G41" s="7">
        <v>1.2941449000000001E-2</v>
      </c>
      <c r="H41" s="6"/>
    </row>
    <row r="42" spans="1:8" ht="29.1" customHeight="1" x14ac:dyDescent="0.2">
      <c r="A42" s="3">
        <v>36</v>
      </c>
      <c r="B42" s="4" t="s">
        <v>208</v>
      </c>
      <c r="C42" s="4" t="s">
        <v>209</v>
      </c>
      <c r="D42" s="4" t="s">
        <v>210</v>
      </c>
      <c r="E42" s="5">
        <v>2902</v>
      </c>
      <c r="F42" s="6">
        <v>41.402833999999999</v>
      </c>
      <c r="G42" s="7">
        <v>1.2545673E-2</v>
      </c>
      <c r="H42" s="6"/>
    </row>
    <row r="43" spans="1:8" ht="29.1" customHeight="1" x14ac:dyDescent="0.2">
      <c r="A43" s="3">
        <v>37</v>
      </c>
      <c r="B43" s="4" t="s">
        <v>226</v>
      </c>
      <c r="C43" s="4" t="s">
        <v>227</v>
      </c>
      <c r="D43" s="4" t="s">
        <v>80</v>
      </c>
      <c r="E43" s="5">
        <v>2262</v>
      </c>
      <c r="F43" s="6">
        <v>39.983111999999998</v>
      </c>
      <c r="G43" s="7">
        <v>1.2115476E-2</v>
      </c>
      <c r="H43" s="6"/>
    </row>
    <row r="44" spans="1:8" ht="29.1" customHeight="1" x14ac:dyDescent="0.2">
      <c r="A44" s="3">
        <v>38</v>
      </c>
      <c r="B44" s="4" t="s">
        <v>234</v>
      </c>
      <c r="C44" s="4" t="s">
        <v>235</v>
      </c>
      <c r="D44" s="4" t="s">
        <v>236</v>
      </c>
      <c r="E44" s="5">
        <v>43509</v>
      </c>
      <c r="F44" s="6">
        <v>39.6149445</v>
      </c>
      <c r="G44" s="7">
        <v>1.2003916E-2</v>
      </c>
      <c r="H44" s="6"/>
    </row>
    <row r="45" spans="1:8" ht="17.100000000000001" customHeight="1" x14ac:dyDescent="0.2">
      <c r="A45" s="3">
        <v>39</v>
      </c>
      <c r="B45" s="4" t="s">
        <v>215</v>
      </c>
      <c r="C45" s="4" t="s">
        <v>216</v>
      </c>
      <c r="D45" s="4" t="s">
        <v>186</v>
      </c>
      <c r="E45" s="5">
        <v>8543</v>
      </c>
      <c r="F45" s="6">
        <v>38.887735999999997</v>
      </c>
      <c r="G45" s="7">
        <v>1.1783561E-2</v>
      </c>
      <c r="H45" s="6"/>
    </row>
    <row r="46" spans="1:8" ht="17.100000000000001" customHeight="1" x14ac:dyDescent="0.2">
      <c r="A46" s="3">
        <v>40</v>
      </c>
      <c r="B46" s="4" t="s">
        <v>492</v>
      </c>
      <c r="C46" s="4" t="s">
        <v>493</v>
      </c>
      <c r="D46" s="4"/>
      <c r="E46" s="5">
        <v>4552</v>
      </c>
      <c r="F46" s="6">
        <v>36.980448000000003</v>
      </c>
      <c r="G46" s="7">
        <v>1.1205624000000001E-2</v>
      </c>
      <c r="H46" s="6"/>
    </row>
    <row r="47" spans="1:8" ht="17.100000000000001" customHeight="1" x14ac:dyDescent="0.2">
      <c r="A47" s="3">
        <v>41</v>
      </c>
      <c r="B47" s="4" t="s">
        <v>174</v>
      </c>
      <c r="C47" s="4" t="s">
        <v>175</v>
      </c>
      <c r="D47" s="4" t="s">
        <v>176</v>
      </c>
      <c r="E47" s="5">
        <v>3490</v>
      </c>
      <c r="F47" s="6">
        <v>36.716545000000004</v>
      </c>
      <c r="G47" s="7">
        <v>1.1125658E-2</v>
      </c>
      <c r="H47" s="6"/>
    </row>
    <row r="48" spans="1:8" ht="17.100000000000001" customHeight="1" x14ac:dyDescent="0.2">
      <c r="A48" s="3">
        <v>42</v>
      </c>
      <c r="B48" s="4" t="s">
        <v>240</v>
      </c>
      <c r="C48" s="4" t="s">
        <v>241</v>
      </c>
      <c r="D48" s="4" t="s">
        <v>80</v>
      </c>
      <c r="E48" s="5">
        <v>6322</v>
      </c>
      <c r="F48" s="6">
        <v>34.135638999999998</v>
      </c>
      <c r="G48" s="7">
        <v>1.0343605000000001E-2</v>
      </c>
      <c r="H48" s="6"/>
    </row>
    <row r="49" spans="1:8" ht="17.100000000000001" customHeight="1" x14ac:dyDescent="0.2">
      <c r="A49" s="3">
        <v>43</v>
      </c>
      <c r="B49" s="4" t="s">
        <v>270</v>
      </c>
      <c r="C49" s="4" t="s">
        <v>271</v>
      </c>
      <c r="D49" s="4" t="s">
        <v>28</v>
      </c>
      <c r="E49" s="5">
        <v>3232</v>
      </c>
      <c r="F49" s="6">
        <v>33.071440000000003</v>
      </c>
      <c r="G49" s="7">
        <v>1.0021136999999999E-2</v>
      </c>
      <c r="H49" s="6"/>
    </row>
    <row r="50" spans="1:8" ht="53.1" customHeight="1" x14ac:dyDescent="0.2">
      <c r="A50" s="3">
        <v>44</v>
      </c>
      <c r="B50" s="4" t="s">
        <v>251</v>
      </c>
      <c r="C50" s="4" t="s">
        <v>1141</v>
      </c>
      <c r="D50" s="4" t="s">
        <v>75</v>
      </c>
      <c r="E50" s="5">
        <v>16461</v>
      </c>
      <c r="F50" s="6">
        <v>32.675085000000003</v>
      </c>
      <c r="G50" s="7">
        <v>9.9010350000000007E-3</v>
      </c>
      <c r="H50" s="6"/>
    </row>
    <row r="51" spans="1:8" ht="29.1" customHeight="1" x14ac:dyDescent="0.2">
      <c r="A51" s="3">
        <v>45</v>
      </c>
      <c r="B51" s="4" t="s">
        <v>224</v>
      </c>
      <c r="C51" s="4" t="s">
        <v>225</v>
      </c>
      <c r="D51" s="4" t="s">
        <v>198</v>
      </c>
      <c r="E51" s="5">
        <v>1976</v>
      </c>
      <c r="F51" s="6">
        <v>32.122844000000001</v>
      </c>
      <c r="G51" s="7">
        <v>9.7336980000000007E-3</v>
      </c>
      <c r="H51" s="6"/>
    </row>
    <row r="52" spans="1:8" ht="29.1" customHeight="1" x14ac:dyDescent="0.2">
      <c r="A52" s="3">
        <v>46</v>
      </c>
      <c r="B52" s="4" t="s">
        <v>231</v>
      </c>
      <c r="C52" s="4" t="s">
        <v>232</v>
      </c>
      <c r="D52" s="4" t="s">
        <v>233</v>
      </c>
      <c r="E52" s="5">
        <v>8877</v>
      </c>
      <c r="F52" s="6">
        <v>31.433457000000001</v>
      </c>
      <c r="G52" s="7">
        <v>9.5248039999999996E-3</v>
      </c>
      <c r="H52" s="6"/>
    </row>
    <row r="53" spans="1:8" ht="17.100000000000001" customHeight="1" x14ac:dyDescent="0.2">
      <c r="A53" s="3">
        <v>47</v>
      </c>
      <c r="B53" s="4" t="s">
        <v>252</v>
      </c>
      <c r="C53" s="4" t="s">
        <v>253</v>
      </c>
      <c r="D53" s="4" t="s">
        <v>254</v>
      </c>
      <c r="E53" s="5">
        <v>26084</v>
      </c>
      <c r="F53" s="6">
        <v>30.948665999999999</v>
      </c>
      <c r="G53" s="7">
        <v>9.3779050000000006E-3</v>
      </c>
      <c r="H53" s="6"/>
    </row>
    <row r="54" spans="1:8" ht="17.100000000000001" customHeight="1" x14ac:dyDescent="0.2">
      <c r="A54" s="3">
        <v>48</v>
      </c>
      <c r="B54" s="4" t="s">
        <v>287</v>
      </c>
      <c r="C54" s="4" t="s">
        <v>288</v>
      </c>
      <c r="D54" s="4" t="s">
        <v>85</v>
      </c>
      <c r="E54" s="5">
        <v>59662</v>
      </c>
      <c r="F54" s="6">
        <v>29.502859000000001</v>
      </c>
      <c r="G54" s="7">
        <v>8.9398040000000008E-3</v>
      </c>
      <c r="H54" s="6"/>
    </row>
    <row r="55" spans="1:8" ht="17.100000000000001" customHeight="1" x14ac:dyDescent="0.2">
      <c r="A55" s="3">
        <v>49</v>
      </c>
      <c r="B55" s="4" t="s">
        <v>303</v>
      </c>
      <c r="C55" s="4" t="s">
        <v>304</v>
      </c>
      <c r="D55" s="4" t="s">
        <v>19</v>
      </c>
      <c r="E55" s="5">
        <v>14960</v>
      </c>
      <c r="F55" s="6">
        <v>28.266919999999999</v>
      </c>
      <c r="G55" s="7">
        <v>8.565296E-3</v>
      </c>
      <c r="H55" s="6"/>
    </row>
    <row r="56" spans="1:8" ht="17.100000000000001" customHeight="1" x14ac:dyDescent="0.2">
      <c r="A56" s="3">
        <v>50</v>
      </c>
      <c r="B56" s="4" t="s">
        <v>244</v>
      </c>
      <c r="C56" s="4" t="s">
        <v>245</v>
      </c>
      <c r="D56" s="4" t="s">
        <v>95</v>
      </c>
      <c r="E56" s="5">
        <v>5294</v>
      </c>
      <c r="F56" s="6">
        <v>27.806735</v>
      </c>
      <c r="G56" s="7">
        <v>8.4258530000000005E-3</v>
      </c>
      <c r="H56" s="6"/>
    </row>
    <row r="57" spans="1:8" ht="17.100000000000001" customHeight="1" x14ac:dyDescent="0.2">
      <c r="A57" s="3">
        <v>51</v>
      </c>
      <c r="B57" s="4" t="s">
        <v>261</v>
      </c>
      <c r="C57" s="4" t="s">
        <v>262</v>
      </c>
      <c r="D57" s="4" t="s">
        <v>106</v>
      </c>
      <c r="E57" s="5">
        <v>3629</v>
      </c>
      <c r="F57" s="6">
        <v>26.317508</v>
      </c>
      <c r="G57" s="7">
        <v>7.9745949999999993E-3</v>
      </c>
      <c r="H57" s="6"/>
    </row>
    <row r="58" spans="1:8" ht="29.1" customHeight="1" x14ac:dyDescent="0.2">
      <c r="A58" s="3">
        <v>52</v>
      </c>
      <c r="B58" s="4" t="s">
        <v>498</v>
      </c>
      <c r="C58" s="4" t="s">
        <v>499</v>
      </c>
      <c r="D58" s="4" t="s">
        <v>198</v>
      </c>
      <c r="E58" s="5">
        <v>7914</v>
      </c>
      <c r="F58" s="6">
        <v>26.151813000000001</v>
      </c>
      <c r="G58" s="7">
        <v>7.9243869999999998E-3</v>
      </c>
      <c r="H58" s="6"/>
    </row>
    <row r="59" spans="1:8" ht="17.100000000000001" customHeight="1" x14ac:dyDescent="0.2">
      <c r="A59" s="3">
        <v>53</v>
      </c>
      <c r="B59" s="4" t="s">
        <v>96</v>
      </c>
      <c r="C59" s="4" t="s">
        <v>97</v>
      </c>
      <c r="D59" s="4" t="s">
        <v>80</v>
      </c>
      <c r="E59" s="5">
        <v>928</v>
      </c>
      <c r="F59" s="6">
        <v>24.434239999999999</v>
      </c>
      <c r="G59" s="7">
        <v>7.4039370000000002E-3</v>
      </c>
      <c r="H59" s="6"/>
    </row>
    <row r="60" spans="1:8" ht="29.1" customHeight="1" x14ac:dyDescent="0.2">
      <c r="A60" s="3">
        <v>54</v>
      </c>
      <c r="B60" s="4" t="s">
        <v>298</v>
      </c>
      <c r="C60" s="4" t="s">
        <v>299</v>
      </c>
      <c r="D60" s="4" t="s">
        <v>25</v>
      </c>
      <c r="E60" s="5">
        <v>13060</v>
      </c>
      <c r="F60" s="6">
        <v>23.945509999999999</v>
      </c>
      <c r="G60" s="7">
        <v>7.2558450000000003E-3</v>
      </c>
      <c r="H60" s="6"/>
    </row>
    <row r="61" spans="1:8" ht="29.1" customHeight="1" x14ac:dyDescent="0.2">
      <c r="A61" s="3">
        <v>55</v>
      </c>
      <c r="B61" s="4" t="s">
        <v>265</v>
      </c>
      <c r="C61" s="4" t="s">
        <v>266</v>
      </c>
      <c r="D61" s="4" t="s">
        <v>198</v>
      </c>
      <c r="E61" s="5">
        <v>536</v>
      </c>
      <c r="F61" s="6">
        <v>22.878356</v>
      </c>
      <c r="G61" s="7">
        <v>6.9324809999999999E-3</v>
      </c>
      <c r="H61" s="6"/>
    </row>
    <row r="62" spans="1:8" ht="17.100000000000001" customHeight="1" x14ac:dyDescent="0.2">
      <c r="A62" s="3">
        <v>56</v>
      </c>
      <c r="B62" s="4" t="s">
        <v>107</v>
      </c>
      <c r="C62" s="4" t="s">
        <v>108</v>
      </c>
      <c r="D62" s="4" t="s">
        <v>13</v>
      </c>
      <c r="E62" s="5">
        <v>15361</v>
      </c>
      <c r="F62" s="6">
        <v>17.910926</v>
      </c>
      <c r="G62" s="7">
        <v>5.427276E-3</v>
      </c>
      <c r="H62" s="6"/>
    </row>
    <row r="63" spans="1:8" ht="17.100000000000001" customHeight="1" x14ac:dyDescent="0.2">
      <c r="A63" s="3">
        <v>57</v>
      </c>
      <c r="B63" s="4" t="s">
        <v>257</v>
      </c>
      <c r="C63" s="4" t="s">
        <v>258</v>
      </c>
      <c r="D63" s="4" t="s">
        <v>186</v>
      </c>
      <c r="E63" s="5">
        <v>18334</v>
      </c>
      <c r="F63" s="6">
        <v>17.820647999999998</v>
      </c>
      <c r="G63" s="7">
        <v>5.3999210000000002E-3</v>
      </c>
      <c r="H63" s="6"/>
    </row>
    <row r="64" spans="1:8" ht="17.100000000000001" customHeight="1" x14ac:dyDescent="0.2">
      <c r="A64" s="3">
        <v>58</v>
      </c>
      <c r="B64" s="4" t="s">
        <v>115</v>
      </c>
      <c r="C64" s="4" t="s">
        <v>116</v>
      </c>
      <c r="D64" s="4" t="s">
        <v>92</v>
      </c>
      <c r="E64" s="5">
        <v>21625</v>
      </c>
      <c r="F64" s="6">
        <v>15.743</v>
      </c>
      <c r="G64" s="7">
        <v>4.7703620000000002E-3</v>
      </c>
      <c r="H64" s="6"/>
    </row>
    <row r="65" spans="1:8" ht="17.100000000000001" customHeight="1" x14ac:dyDescent="0.2">
      <c r="A65" s="3">
        <v>59</v>
      </c>
      <c r="B65" s="4" t="s">
        <v>242</v>
      </c>
      <c r="C65" s="4" t="s">
        <v>243</v>
      </c>
      <c r="D65" s="4" t="s">
        <v>80</v>
      </c>
      <c r="E65" s="5">
        <v>7251</v>
      </c>
      <c r="F65" s="6">
        <v>15.4482555</v>
      </c>
      <c r="G65" s="7">
        <v>4.6810510000000003E-3</v>
      </c>
      <c r="H65" s="6"/>
    </row>
    <row r="66" spans="1:8" ht="17.100000000000001" customHeight="1" x14ac:dyDescent="0.2">
      <c r="A66" s="3">
        <v>60</v>
      </c>
      <c r="B66" s="4" t="s">
        <v>300</v>
      </c>
      <c r="C66" s="4" t="s">
        <v>301</v>
      </c>
      <c r="D66" s="4" t="s">
        <v>302</v>
      </c>
      <c r="E66" s="5">
        <v>2169</v>
      </c>
      <c r="F66" s="6">
        <v>13.5074475</v>
      </c>
      <c r="G66" s="7">
        <v>4.0929570000000004E-3</v>
      </c>
      <c r="H66" s="6"/>
    </row>
    <row r="67" spans="1:8" ht="29.1" customHeight="1" x14ac:dyDescent="0.2">
      <c r="A67" s="3">
        <v>61</v>
      </c>
      <c r="B67" s="4" t="s">
        <v>274</v>
      </c>
      <c r="C67" s="4" t="s">
        <v>275</v>
      </c>
      <c r="D67" s="4" t="s">
        <v>219</v>
      </c>
      <c r="E67" s="5">
        <v>1926</v>
      </c>
      <c r="F67" s="6">
        <v>13.022648999999999</v>
      </c>
      <c r="G67" s="7">
        <v>3.9460559999999999E-3</v>
      </c>
      <c r="H67" s="6"/>
    </row>
    <row r="68" spans="1:8" ht="17.100000000000001" customHeight="1" x14ac:dyDescent="0.2">
      <c r="A68" s="3">
        <v>62</v>
      </c>
      <c r="B68" s="4" t="s">
        <v>289</v>
      </c>
      <c r="C68" s="4" t="s">
        <v>290</v>
      </c>
      <c r="D68" s="4" t="s">
        <v>106</v>
      </c>
      <c r="E68" s="5">
        <v>4206</v>
      </c>
      <c r="F68" s="6">
        <v>9.4550879999999999</v>
      </c>
      <c r="G68" s="7">
        <v>2.865032E-3</v>
      </c>
      <c r="H68" s="6"/>
    </row>
    <row r="69" spans="1:8" ht="17.100000000000001" customHeight="1" x14ac:dyDescent="0.2">
      <c r="A69" s="3">
        <v>63</v>
      </c>
      <c r="B69" s="4" t="s">
        <v>277</v>
      </c>
      <c r="C69" s="4" t="s">
        <v>278</v>
      </c>
      <c r="D69" s="4" t="s">
        <v>92</v>
      </c>
      <c r="E69" s="5">
        <v>771</v>
      </c>
      <c r="F69" s="6">
        <v>8.9967989999999993</v>
      </c>
      <c r="G69" s="7">
        <v>2.7261640000000001E-3</v>
      </c>
      <c r="H69" s="6"/>
    </row>
    <row r="70" spans="1:8" ht="14.1" customHeight="1" x14ac:dyDescent="0.2">
      <c r="A70" s="1"/>
      <c r="B70" s="1"/>
      <c r="C70" s="2" t="s">
        <v>119</v>
      </c>
      <c r="D70" s="1"/>
      <c r="E70" s="1" t="s">
        <v>120</v>
      </c>
      <c r="F70" s="9">
        <v>3223.3888904999999</v>
      </c>
      <c r="G70" s="10">
        <v>0.97673463999999999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121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122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119</v>
      </c>
      <c r="D76" s="1"/>
      <c r="E76" s="1" t="s">
        <v>120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123</v>
      </c>
      <c r="D78" s="1"/>
      <c r="E78" s="1"/>
      <c r="F78" s="1"/>
      <c r="G78" s="1"/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124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125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119</v>
      </c>
      <c r="D85" s="1"/>
      <c r="E85" s="1" t="s">
        <v>120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8" customHeight="1" x14ac:dyDescent="0.2">
      <c r="A87" s="1"/>
      <c r="B87" s="1"/>
      <c r="C87" s="2" t="s">
        <v>126</v>
      </c>
      <c r="D87" s="1"/>
      <c r="E87" s="1"/>
      <c r="F87" s="9">
        <v>3223.3888904999999</v>
      </c>
      <c r="G87" s="10">
        <v>0.97673463999999999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127</v>
      </c>
      <c r="D89" s="1"/>
      <c r="E89" s="1"/>
      <c r="F89" s="12"/>
      <c r="G89" s="12"/>
      <c r="H89" s="6"/>
    </row>
    <row r="90" spans="1:8" ht="24" customHeight="1" x14ac:dyDescent="0.2">
      <c r="A90" s="1"/>
      <c r="B90" s="1"/>
      <c r="C90" s="2" t="s">
        <v>10</v>
      </c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128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129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130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131</v>
      </c>
      <c r="D102" s="1"/>
      <c r="E102" s="1"/>
      <c r="F102" s="9">
        <v>0</v>
      </c>
      <c r="G102" s="10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132</v>
      </c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133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134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135</v>
      </c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119</v>
      </c>
      <c r="D112" s="1"/>
      <c r="E112" s="1" t="s">
        <v>120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136</v>
      </c>
      <c r="D114" s="1"/>
      <c r="E114" s="1"/>
      <c r="F114" s="12"/>
      <c r="G114" s="12"/>
      <c r="H114" s="6"/>
    </row>
    <row r="115" spans="1:8" ht="17.100000000000001" customHeight="1" x14ac:dyDescent="0.2">
      <c r="A115" s="3">
        <v>1</v>
      </c>
      <c r="B115" s="4"/>
      <c r="C115" s="4" t="s">
        <v>137</v>
      </c>
      <c r="D115" s="4"/>
      <c r="E115" s="8"/>
      <c r="F115" s="6">
        <v>115.36721559999999</v>
      </c>
      <c r="G115" s="7">
        <v>3.4957977000000001E-2</v>
      </c>
      <c r="H115" s="6">
        <v>4.1713246754849944</v>
      </c>
    </row>
    <row r="116" spans="1:8" ht="14.1" customHeight="1" x14ac:dyDescent="0.2">
      <c r="A116" s="1"/>
      <c r="B116" s="1"/>
      <c r="C116" s="2" t="s">
        <v>119</v>
      </c>
      <c r="D116" s="1"/>
      <c r="E116" s="1" t="s">
        <v>120</v>
      </c>
      <c r="F116" s="9">
        <v>115.36721559999999</v>
      </c>
      <c r="G116" s="10">
        <v>3.4957977000000001E-2</v>
      </c>
      <c r="H116" s="6"/>
    </row>
    <row r="117" spans="1:8" ht="14.1" customHeight="1" x14ac:dyDescent="0.2">
      <c r="A117" s="1"/>
      <c r="B117" s="1"/>
      <c r="C117" s="11"/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138</v>
      </c>
      <c r="D118" s="1"/>
      <c r="E118" s="1"/>
      <c r="F118" s="9">
        <v>115.36721559999999</v>
      </c>
      <c r="G118" s="10">
        <v>3.4957977000000001E-2</v>
      </c>
      <c r="H118" s="6"/>
    </row>
    <row r="119" spans="1:8" ht="14.1" customHeight="1" x14ac:dyDescent="0.2">
      <c r="A119" s="1"/>
      <c r="B119" s="1"/>
      <c r="C119" s="12"/>
      <c r="D119" s="1"/>
      <c r="E119" s="1"/>
      <c r="F119" s="1"/>
      <c r="G119" s="1"/>
      <c r="H119" s="6"/>
    </row>
    <row r="120" spans="1:8" ht="14.1" customHeight="1" x14ac:dyDescent="0.2">
      <c r="A120" s="1"/>
      <c r="B120" s="1"/>
      <c r="C120" s="2" t="s">
        <v>139</v>
      </c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140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119</v>
      </c>
      <c r="D122" s="1"/>
      <c r="E122" s="1" t="s">
        <v>120</v>
      </c>
      <c r="F122" s="13">
        <v>0</v>
      </c>
      <c r="G122" s="14">
        <v>0</v>
      </c>
      <c r="H122" s="6"/>
    </row>
    <row r="123" spans="1:8" ht="14.1" customHeight="1" x14ac:dyDescent="0.2">
      <c r="A123" s="1"/>
      <c r="B123" s="1"/>
      <c r="C123" s="11"/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141</v>
      </c>
      <c r="D124" s="1"/>
      <c r="E124" s="1"/>
      <c r="F124" s="1"/>
      <c r="G124" s="1"/>
      <c r="H124" s="6"/>
    </row>
    <row r="125" spans="1:8" ht="14.1" customHeight="1" x14ac:dyDescent="0.2">
      <c r="A125" s="1"/>
      <c r="B125" s="1"/>
      <c r="C125" s="2" t="s">
        <v>142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119</v>
      </c>
      <c r="D126" s="1"/>
      <c r="E126" s="1" t="s">
        <v>120</v>
      </c>
      <c r="F126" s="13">
        <v>0</v>
      </c>
      <c r="G126" s="14">
        <v>0</v>
      </c>
      <c r="H126" s="6"/>
    </row>
    <row r="127" spans="1:8" ht="14.1" customHeight="1" x14ac:dyDescent="0.2">
      <c r="A127" s="1"/>
      <c r="B127" s="1"/>
      <c r="C127" s="11"/>
      <c r="D127" s="1"/>
      <c r="E127" s="1"/>
      <c r="F127" s="12"/>
      <c r="G127" s="12"/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24" customHeight="1" x14ac:dyDescent="0.2">
      <c r="A129" s="1"/>
      <c r="B129" s="1"/>
      <c r="C129" s="2" t="s">
        <v>143</v>
      </c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119</v>
      </c>
      <c r="D130" s="1"/>
      <c r="E130" s="1" t="s">
        <v>120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4"/>
      <c r="C132" s="4"/>
      <c r="D132" s="2"/>
      <c r="E132" s="1"/>
      <c r="F132" s="4"/>
      <c r="G132" s="8"/>
      <c r="H132" s="6"/>
    </row>
    <row r="133" spans="1:8" ht="18" customHeight="1" x14ac:dyDescent="0.2">
      <c r="A133" s="8"/>
      <c r="B133" s="4"/>
      <c r="C133" s="4" t="s">
        <v>144</v>
      </c>
      <c r="D133" s="4"/>
      <c r="E133" s="8"/>
      <c r="F133" s="6">
        <v>-38.587596990000002</v>
      </c>
      <c r="G133" s="7">
        <v>-1.1692614E-2</v>
      </c>
      <c r="H133" s="6"/>
    </row>
    <row r="134" spans="1:8" ht="14.1" customHeight="1" x14ac:dyDescent="0.2">
      <c r="A134" s="11"/>
      <c r="B134" s="11"/>
      <c r="C134" s="2" t="s">
        <v>145</v>
      </c>
      <c r="D134" s="15"/>
      <c r="E134" s="15"/>
      <c r="F134" s="9">
        <v>3300.1685091099998</v>
      </c>
      <c r="G134" s="10">
        <v>1.000000003</v>
      </c>
      <c r="H134" s="6"/>
    </row>
    <row r="135" spans="1:8" ht="14.1" customHeight="1" x14ac:dyDescent="0.2">
      <c r="A135" s="18"/>
      <c r="B135" s="18"/>
      <c r="C135" s="18"/>
      <c r="D135" s="20"/>
      <c r="E135" s="20"/>
      <c r="F135" s="20"/>
      <c r="G135" s="20"/>
    </row>
    <row r="136" spans="1:8" ht="14.1" customHeight="1" x14ac:dyDescent="0.2">
      <c r="A136" s="18"/>
      <c r="B136" s="265" t="s">
        <v>147</v>
      </c>
      <c r="C136" s="266"/>
      <c r="D136" s="12" t="s">
        <v>120</v>
      </c>
      <c r="E136" s="21"/>
      <c r="F136" s="20"/>
      <c r="G136" s="20"/>
    </row>
    <row r="137" spans="1:8" ht="29.1" customHeight="1" x14ac:dyDescent="0.2">
      <c r="A137" s="18"/>
      <c r="B137" s="272" t="s">
        <v>148</v>
      </c>
      <c r="C137" s="273"/>
      <c r="D137" s="2" t="s">
        <v>149</v>
      </c>
      <c r="E137" s="21"/>
      <c r="F137" s="20"/>
      <c r="G137" s="20"/>
    </row>
    <row r="138" spans="1:8" ht="17.100000000000001" customHeight="1" x14ac:dyDescent="0.2">
      <c r="A138" s="18"/>
      <c r="B138" s="272" t="s">
        <v>150</v>
      </c>
      <c r="C138" s="273"/>
      <c r="D138" s="2" t="s">
        <v>149</v>
      </c>
      <c r="E138" s="21"/>
      <c r="F138" s="20"/>
      <c r="G138" s="20"/>
    </row>
    <row r="139" spans="1:8" ht="17.100000000000001" customHeight="1" x14ac:dyDescent="0.2">
      <c r="A139" s="18"/>
      <c r="B139" s="272" t="s">
        <v>151</v>
      </c>
      <c r="C139" s="273"/>
      <c r="D139" s="12" t="s">
        <v>120</v>
      </c>
      <c r="E139" s="21"/>
      <c r="F139" s="20"/>
      <c r="G139" s="20"/>
    </row>
    <row r="140" spans="1:8" ht="24" customHeight="1" x14ac:dyDescent="0.2">
      <c r="A140" s="22"/>
      <c r="B140" s="23" t="s">
        <v>120</v>
      </c>
      <c r="C140" s="23" t="s">
        <v>152</v>
      </c>
      <c r="D140" s="23" t="s">
        <v>153</v>
      </c>
      <c r="E140" s="22"/>
      <c r="F140" s="22"/>
      <c r="G140" s="22"/>
    </row>
    <row r="141" spans="1:8" ht="18" customHeight="1" x14ac:dyDescent="0.2">
      <c r="A141" s="22"/>
      <c r="B141" s="23" t="s">
        <v>154</v>
      </c>
      <c r="C141" s="23" t="s">
        <v>155</v>
      </c>
      <c r="D141" s="23" t="s">
        <v>156</v>
      </c>
      <c r="E141" s="22"/>
      <c r="F141" s="22"/>
      <c r="G141" s="22"/>
    </row>
    <row r="142" spans="1:8" ht="17.100000000000001" customHeight="1" x14ac:dyDescent="0.2">
      <c r="A142" s="22"/>
      <c r="B142" s="4" t="s">
        <v>157</v>
      </c>
      <c r="C142" s="24">
        <v>16.471900000000002</v>
      </c>
      <c r="D142" s="24">
        <v>15.263299999999999</v>
      </c>
      <c r="E142" s="22"/>
      <c r="F142" s="19"/>
      <c r="G142" s="25"/>
    </row>
    <row r="143" spans="1:8" ht="17.100000000000001" customHeight="1" x14ac:dyDescent="0.2">
      <c r="A143" s="22"/>
      <c r="B143" s="4" t="s">
        <v>1120</v>
      </c>
      <c r="C143" s="24">
        <v>16.471900000000002</v>
      </c>
      <c r="D143" s="24">
        <v>15.263299999999999</v>
      </c>
      <c r="E143" s="22"/>
      <c r="F143" s="19"/>
      <c r="G143" s="25"/>
    </row>
    <row r="144" spans="1:8" ht="17.100000000000001" customHeight="1" x14ac:dyDescent="0.2">
      <c r="A144" s="22"/>
      <c r="B144" s="4" t="s">
        <v>158</v>
      </c>
      <c r="C144" s="24">
        <v>16.133299999999998</v>
      </c>
      <c r="D144" s="24">
        <v>14.9453</v>
      </c>
      <c r="E144" s="22"/>
      <c r="F144" s="19"/>
      <c r="G144" s="25"/>
    </row>
    <row r="145" spans="1:15" ht="17.100000000000001" customHeight="1" x14ac:dyDescent="0.2">
      <c r="A145" s="22"/>
      <c r="B145" s="4" t="s">
        <v>1121</v>
      </c>
      <c r="C145" s="24">
        <v>16.133299999999998</v>
      </c>
      <c r="D145" s="24">
        <v>14.9453</v>
      </c>
      <c r="E145" s="22"/>
      <c r="F145" s="19"/>
      <c r="G145" s="25"/>
    </row>
    <row r="146" spans="1:15" ht="14.1" customHeight="1" x14ac:dyDescent="0.2">
      <c r="A146" s="22"/>
      <c r="B146" s="22"/>
      <c r="C146" s="22"/>
      <c r="D146" s="22"/>
      <c r="E146" s="22"/>
      <c r="F146" s="22"/>
      <c r="G146" s="22"/>
    </row>
    <row r="147" spans="1:15" ht="17.100000000000001" customHeight="1" x14ac:dyDescent="0.2">
      <c r="A147" s="22"/>
      <c r="B147" s="272" t="s">
        <v>1122</v>
      </c>
      <c r="C147" s="273"/>
      <c r="D147" s="2" t="s">
        <v>149</v>
      </c>
      <c r="E147" s="22"/>
      <c r="F147" s="22"/>
      <c r="G147" s="22"/>
    </row>
    <row r="148" spans="1:15" ht="14.1" customHeight="1" x14ac:dyDescent="0.2">
      <c r="A148" s="22"/>
      <c r="B148" s="19"/>
      <c r="C148" s="19"/>
      <c r="D148" s="22"/>
      <c r="E148" s="22"/>
      <c r="F148" s="22"/>
      <c r="G148" s="22"/>
    </row>
    <row r="149" spans="1:15" ht="29.1" customHeight="1" x14ac:dyDescent="0.2">
      <c r="A149" s="22"/>
      <c r="B149" s="272" t="s">
        <v>160</v>
      </c>
      <c r="C149" s="273"/>
      <c r="D149" s="2" t="s">
        <v>149</v>
      </c>
      <c r="E149" s="22"/>
      <c r="F149" s="22"/>
      <c r="G149" s="22"/>
    </row>
    <row r="150" spans="1:15" ht="29.1" customHeight="1" x14ac:dyDescent="0.2">
      <c r="A150" s="22"/>
      <c r="B150" s="272" t="s">
        <v>161</v>
      </c>
      <c r="C150" s="273"/>
      <c r="D150" s="2" t="s">
        <v>149</v>
      </c>
      <c r="E150" s="22"/>
      <c r="F150" s="22"/>
      <c r="G150" s="22"/>
    </row>
    <row r="151" spans="1:15" ht="17.100000000000001" customHeight="1" x14ac:dyDescent="0.2">
      <c r="A151" s="22"/>
      <c r="B151" s="272" t="s">
        <v>162</v>
      </c>
      <c r="C151" s="273"/>
      <c r="D151" s="27">
        <v>0.22659899999999999</v>
      </c>
      <c r="E151" s="22"/>
      <c r="F151" s="19"/>
      <c r="G151" s="25"/>
    </row>
    <row r="152" spans="1:15" ht="17.100000000000001" customHeight="1" x14ac:dyDescent="0.2">
      <c r="A152" s="22"/>
      <c r="B152" s="272" t="s">
        <v>163</v>
      </c>
      <c r="C152" s="273"/>
      <c r="D152" s="2" t="s">
        <v>149</v>
      </c>
      <c r="E152" s="22"/>
      <c r="F152" s="22"/>
      <c r="G152" s="22"/>
    </row>
    <row r="154" spans="1:15" x14ac:dyDescent="0.2">
      <c r="J154" s="170"/>
      <c r="K154" s="170"/>
      <c r="L154" s="170"/>
      <c r="M154" s="170"/>
      <c r="N154" s="170"/>
      <c r="O154" s="170"/>
    </row>
  </sheetData>
  <mergeCells count="13">
    <mergeCell ref="B151:C151"/>
    <mergeCell ref="B152:C152"/>
    <mergeCell ref="B137:C137"/>
    <mergeCell ref="B138:C138"/>
    <mergeCell ref="B139:C139"/>
    <mergeCell ref="B147:C147"/>
    <mergeCell ref="B149:C149"/>
    <mergeCell ref="B150:C150"/>
    <mergeCell ref="J2:N2"/>
    <mergeCell ref="B136:C136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O15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527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170</v>
      </c>
      <c r="C7" s="4" t="s">
        <v>171</v>
      </c>
      <c r="D7" s="4" t="s">
        <v>28</v>
      </c>
      <c r="E7" s="5">
        <v>10738</v>
      </c>
      <c r="F7" s="6">
        <v>132.753894</v>
      </c>
      <c r="G7" s="7">
        <v>3.7865591999999997E-2</v>
      </c>
      <c r="H7" s="6"/>
    </row>
    <row r="8" spans="1:14" ht="17.100000000000001" customHeight="1" x14ac:dyDescent="0.2">
      <c r="A8" s="3">
        <v>2</v>
      </c>
      <c r="B8" s="4" t="s">
        <v>182</v>
      </c>
      <c r="C8" s="4" t="s">
        <v>183</v>
      </c>
      <c r="D8" s="4" t="s">
        <v>80</v>
      </c>
      <c r="E8" s="5">
        <v>19265</v>
      </c>
      <c r="F8" s="6">
        <v>110.5714675</v>
      </c>
      <c r="G8" s="7">
        <v>3.1538465000000002E-2</v>
      </c>
      <c r="H8" s="6"/>
    </row>
    <row r="9" spans="1:14" ht="17.100000000000001" customHeight="1" x14ac:dyDescent="0.2">
      <c r="A9" s="3">
        <v>3</v>
      </c>
      <c r="B9" s="4" t="s">
        <v>246</v>
      </c>
      <c r="C9" s="4" t="s">
        <v>247</v>
      </c>
      <c r="D9" s="4" t="s">
        <v>248</v>
      </c>
      <c r="E9" s="5">
        <v>58340</v>
      </c>
      <c r="F9" s="6">
        <v>106.14963</v>
      </c>
      <c r="G9" s="7">
        <v>3.0277218000000002E-2</v>
      </c>
      <c r="H9" s="6"/>
    </row>
    <row r="10" spans="1:14" ht="29.1" customHeight="1" x14ac:dyDescent="0.2">
      <c r="A10" s="3">
        <v>4</v>
      </c>
      <c r="B10" s="4" t="s">
        <v>217</v>
      </c>
      <c r="C10" s="4" t="s">
        <v>218</v>
      </c>
      <c r="D10" s="4" t="s">
        <v>219</v>
      </c>
      <c r="E10" s="5">
        <v>2670</v>
      </c>
      <c r="F10" s="6">
        <v>104.782815</v>
      </c>
      <c r="G10" s="7">
        <v>2.9887358999999999E-2</v>
      </c>
      <c r="H10" s="6"/>
    </row>
    <row r="11" spans="1:14" ht="17.100000000000001" customHeight="1" x14ac:dyDescent="0.2">
      <c r="A11" s="3">
        <v>5</v>
      </c>
      <c r="B11" s="4" t="s">
        <v>201</v>
      </c>
      <c r="C11" s="4" t="s">
        <v>202</v>
      </c>
      <c r="D11" s="4" t="s">
        <v>203</v>
      </c>
      <c r="E11" s="5">
        <v>19759</v>
      </c>
      <c r="F11" s="6">
        <v>99.486564999999999</v>
      </c>
      <c r="G11" s="7">
        <v>2.8376702E-2</v>
      </c>
      <c r="H11" s="6"/>
    </row>
    <row r="12" spans="1:14" ht="17.100000000000001" customHeight="1" x14ac:dyDescent="0.2">
      <c r="A12" s="3">
        <v>6</v>
      </c>
      <c r="B12" s="4" t="s">
        <v>78</v>
      </c>
      <c r="C12" s="4" t="s">
        <v>79</v>
      </c>
      <c r="D12" s="4" t="s">
        <v>80</v>
      </c>
      <c r="E12" s="5">
        <v>20107</v>
      </c>
      <c r="F12" s="6">
        <v>98.293069500000001</v>
      </c>
      <c r="G12" s="7">
        <v>2.8036279000000001E-2</v>
      </c>
      <c r="H12" s="6"/>
    </row>
    <row r="13" spans="1:14" ht="17.100000000000001" customHeight="1" x14ac:dyDescent="0.2">
      <c r="A13" s="3">
        <v>7</v>
      </c>
      <c r="B13" s="4" t="s">
        <v>179</v>
      </c>
      <c r="C13" s="4" t="s">
        <v>180</v>
      </c>
      <c r="D13" s="4" t="s">
        <v>181</v>
      </c>
      <c r="E13" s="5">
        <v>6199</v>
      </c>
      <c r="F13" s="6">
        <v>91.466245000000001</v>
      </c>
      <c r="G13" s="7">
        <v>2.6089054E-2</v>
      </c>
      <c r="H13" s="6"/>
      <c r="J13" s="169" t="s">
        <v>1173</v>
      </c>
    </row>
    <row r="14" spans="1:14" ht="17.100000000000001" customHeight="1" x14ac:dyDescent="0.2">
      <c r="A14" s="3">
        <v>8</v>
      </c>
      <c r="B14" s="4" t="s">
        <v>237</v>
      </c>
      <c r="C14" s="4" t="s">
        <v>238</v>
      </c>
      <c r="D14" s="4" t="s">
        <v>239</v>
      </c>
      <c r="E14" s="5">
        <v>32339</v>
      </c>
      <c r="F14" s="6">
        <v>90.824081500000005</v>
      </c>
      <c r="G14" s="7">
        <v>2.5905889000000001E-2</v>
      </c>
      <c r="H14" s="6"/>
    </row>
    <row r="15" spans="1:14" ht="17.100000000000001" customHeight="1" x14ac:dyDescent="0.2">
      <c r="A15" s="3">
        <v>9</v>
      </c>
      <c r="B15" s="4" t="s">
        <v>249</v>
      </c>
      <c r="C15" s="4" t="s">
        <v>250</v>
      </c>
      <c r="D15" s="4" t="s">
        <v>994</v>
      </c>
      <c r="E15" s="5">
        <v>2353</v>
      </c>
      <c r="F15" s="6">
        <v>88.470446999999993</v>
      </c>
      <c r="G15" s="7">
        <v>2.5234558000000001E-2</v>
      </c>
      <c r="H15" s="6"/>
    </row>
    <row r="16" spans="1:14" ht="17.100000000000001" customHeight="1" x14ac:dyDescent="0.2">
      <c r="A16" s="3">
        <v>10</v>
      </c>
      <c r="B16" s="4" t="s">
        <v>177</v>
      </c>
      <c r="C16" s="4" t="s">
        <v>178</v>
      </c>
      <c r="D16" s="4" t="s">
        <v>85</v>
      </c>
      <c r="E16" s="5">
        <v>94613</v>
      </c>
      <c r="F16" s="6">
        <v>88.273928999999995</v>
      </c>
      <c r="G16" s="7">
        <v>2.5178505E-2</v>
      </c>
      <c r="H16" s="6"/>
    </row>
    <row r="17" spans="1:8" ht="17.100000000000001" customHeight="1" x14ac:dyDescent="0.2">
      <c r="A17" s="3">
        <v>11</v>
      </c>
      <c r="B17" s="4" t="s">
        <v>272</v>
      </c>
      <c r="C17" s="4" t="s">
        <v>273</v>
      </c>
      <c r="D17" s="4" t="s">
        <v>28</v>
      </c>
      <c r="E17" s="5">
        <v>10897</v>
      </c>
      <c r="F17" s="6">
        <v>87.666364999999999</v>
      </c>
      <c r="G17" s="7">
        <v>2.5005208000000001E-2</v>
      </c>
      <c r="H17" s="6"/>
    </row>
    <row r="18" spans="1:8" ht="17.100000000000001" customHeight="1" x14ac:dyDescent="0.2">
      <c r="A18" s="3">
        <v>12</v>
      </c>
      <c r="B18" s="4" t="s">
        <v>34</v>
      </c>
      <c r="C18" s="4" t="s">
        <v>35</v>
      </c>
      <c r="D18" s="4" t="s">
        <v>28</v>
      </c>
      <c r="E18" s="5">
        <v>5959</v>
      </c>
      <c r="F18" s="6">
        <v>80.750409000000005</v>
      </c>
      <c r="G18" s="7">
        <v>2.3032560000000001E-2</v>
      </c>
      <c r="H18" s="6"/>
    </row>
    <row r="19" spans="1:8" ht="17.100000000000001" customHeight="1" x14ac:dyDescent="0.2">
      <c r="A19" s="3">
        <v>13</v>
      </c>
      <c r="B19" s="4" t="s">
        <v>90</v>
      </c>
      <c r="C19" s="4" t="s">
        <v>91</v>
      </c>
      <c r="D19" s="4" t="s">
        <v>92</v>
      </c>
      <c r="E19" s="5">
        <v>17357</v>
      </c>
      <c r="F19" s="6">
        <v>80.649300499999995</v>
      </c>
      <c r="G19" s="7">
        <v>2.3003721000000001E-2</v>
      </c>
      <c r="H19" s="6"/>
    </row>
    <row r="20" spans="1:8" ht="17.100000000000001" customHeight="1" x14ac:dyDescent="0.2">
      <c r="A20" s="3">
        <v>14</v>
      </c>
      <c r="B20" s="4" t="s">
        <v>172</v>
      </c>
      <c r="C20" s="4" t="s">
        <v>173</v>
      </c>
      <c r="D20" s="4" t="s">
        <v>994</v>
      </c>
      <c r="E20" s="5">
        <v>14987</v>
      </c>
      <c r="F20" s="6">
        <v>79.476061000000001</v>
      </c>
      <c r="G20" s="7">
        <v>2.2669076E-2</v>
      </c>
      <c r="H20" s="6"/>
    </row>
    <row r="21" spans="1:8" ht="29.1" customHeight="1" x14ac:dyDescent="0.2">
      <c r="A21" s="3">
        <v>15</v>
      </c>
      <c r="B21" s="4" t="s">
        <v>478</v>
      </c>
      <c r="C21" s="4" t="s">
        <v>479</v>
      </c>
      <c r="D21" s="4" t="s">
        <v>42</v>
      </c>
      <c r="E21" s="5">
        <v>3981</v>
      </c>
      <c r="F21" s="6">
        <v>72.878176499999995</v>
      </c>
      <c r="G21" s="7">
        <v>2.0787151E-2</v>
      </c>
      <c r="H21" s="6"/>
    </row>
    <row r="22" spans="1:8" ht="17.100000000000001" customHeight="1" x14ac:dyDescent="0.2">
      <c r="A22" s="3">
        <v>16</v>
      </c>
      <c r="B22" s="4" t="s">
        <v>199</v>
      </c>
      <c r="C22" s="4" t="s">
        <v>200</v>
      </c>
      <c r="D22" s="4" t="s">
        <v>13</v>
      </c>
      <c r="E22" s="5">
        <v>19575</v>
      </c>
      <c r="F22" s="6">
        <v>70.577662500000002</v>
      </c>
      <c r="G22" s="7">
        <v>2.0130972E-2</v>
      </c>
      <c r="H22" s="6"/>
    </row>
    <row r="23" spans="1:8" ht="29.1" customHeight="1" x14ac:dyDescent="0.2">
      <c r="A23" s="3">
        <v>17</v>
      </c>
      <c r="B23" s="4" t="s">
        <v>211</v>
      </c>
      <c r="C23" s="4" t="s">
        <v>212</v>
      </c>
      <c r="D23" s="4" t="s">
        <v>198</v>
      </c>
      <c r="E23" s="5">
        <v>11300</v>
      </c>
      <c r="F23" s="6">
        <v>64.121849999999995</v>
      </c>
      <c r="G23" s="7">
        <v>1.8289571000000001E-2</v>
      </c>
      <c r="H23" s="6"/>
    </row>
    <row r="24" spans="1:8" ht="17.100000000000001" customHeight="1" x14ac:dyDescent="0.2">
      <c r="A24" s="3">
        <v>18</v>
      </c>
      <c r="B24" s="4" t="s">
        <v>279</v>
      </c>
      <c r="C24" s="4" t="s">
        <v>280</v>
      </c>
      <c r="D24" s="4" t="s">
        <v>28</v>
      </c>
      <c r="E24" s="5">
        <v>9335</v>
      </c>
      <c r="F24" s="6">
        <v>62.787210000000002</v>
      </c>
      <c r="G24" s="7">
        <v>1.790889E-2</v>
      </c>
      <c r="H24" s="6"/>
    </row>
    <row r="25" spans="1:8" ht="29.1" customHeight="1" x14ac:dyDescent="0.2">
      <c r="A25" s="3">
        <v>19</v>
      </c>
      <c r="B25" s="4" t="s">
        <v>196</v>
      </c>
      <c r="C25" s="4" t="s">
        <v>197</v>
      </c>
      <c r="D25" s="4" t="s">
        <v>198</v>
      </c>
      <c r="E25" s="5">
        <v>17769</v>
      </c>
      <c r="F25" s="6">
        <v>62.751223500000002</v>
      </c>
      <c r="G25" s="7">
        <v>1.7898625000000001E-2</v>
      </c>
      <c r="H25" s="6"/>
    </row>
    <row r="26" spans="1:8" ht="17.100000000000001" customHeight="1" x14ac:dyDescent="0.2">
      <c r="A26" s="3">
        <v>20</v>
      </c>
      <c r="B26" s="4" t="s">
        <v>281</v>
      </c>
      <c r="C26" s="4" t="s">
        <v>282</v>
      </c>
      <c r="D26" s="4" t="s">
        <v>28</v>
      </c>
      <c r="E26" s="5">
        <v>2715</v>
      </c>
      <c r="F26" s="6">
        <v>61.906072500000001</v>
      </c>
      <c r="G26" s="7">
        <v>1.7657562000000002E-2</v>
      </c>
      <c r="H26" s="6"/>
    </row>
    <row r="27" spans="1:8" ht="17.100000000000001" customHeight="1" x14ac:dyDescent="0.2">
      <c r="A27" s="3">
        <v>21</v>
      </c>
      <c r="B27" s="4" t="s">
        <v>184</v>
      </c>
      <c r="C27" s="4" t="s">
        <v>185</v>
      </c>
      <c r="D27" s="4" t="s">
        <v>186</v>
      </c>
      <c r="E27" s="5">
        <v>5792</v>
      </c>
      <c r="F27" s="6">
        <v>61.554479999999998</v>
      </c>
      <c r="G27" s="7">
        <v>1.7557276E-2</v>
      </c>
      <c r="H27" s="6"/>
    </row>
    <row r="28" spans="1:8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181</v>
      </c>
      <c r="E28" s="5">
        <v>4288</v>
      </c>
      <c r="F28" s="6">
        <v>58.816352000000002</v>
      </c>
      <c r="G28" s="7">
        <v>1.6776276E-2</v>
      </c>
      <c r="H28" s="6"/>
    </row>
    <row r="29" spans="1:8" ht="29.1" customHeight="1" x14ac:dyDescent="0.2">
      <c r="A29" s="3">
        <v>23</v>
      </c>
      <c r="B29" s="4" t="s">
        <v>189</v>
      </c>
      <c r="C29" s="4" t="s">
        <v>190</v>
      </c>
      <c r="D29" s="4" t="s">
        <v>191</v>
      </c>
      <c r="E29" s="5">
        <v>8218</v>
      </c>
      <c r="F29" s="6">
        <v>57.858829</v>
      </c>
      <c r="G29" s="7">
        <v>1.6503159999999999E-2</v>
      </c>
      <c r="H29" s="6"/>
    </row>
    <row r="30" spans="1:8" ht="17.100000000000001" customHeight="1" x14ac:dyDescent="0.2">
      <c r="A30" s="3">
        <v>24</v>
      </c>
      <c r="B30" s="4" t="s">
        <v>204</v>
      </c>
      <c r="C30" s="4" t="s">
        <v>205</v>
      </c>
      <c r="D30" s="4" t="s">
        <v>85</v>
      </c>
      <c r="E30" s="5">
        <v>7205</v>
      </c>
      <c r="F30" s="6">
        <v>56.054900000000004</v>
      </c>
      <c r="G30" s="7">
        <v>1.5988623E-2</v>
      </c>
      <c r="H30" s="6"/>
    </row>
    <row r="31" spans="1:8" ht="17.100000000000001" customHeight="1" x14ac:dyDescent="0.2">
      <c r="A31" s="3">
        <v>25</v>
      </c>
      <c r="B31" s="4" t="s">
        <v>228</v>
      </c>
      <c r="C31" s="4" t="s">
        <v>229</v>
      </c>
      <c r="D31" s="4" t="s">
        <v>230</v>
      </c>
      <c r="E31" s="5">
        <v>18670</v>
      </c>
      <c r="F31" s="6">
        <v>55.169849999999997</v>
      </c>
      <c r="G31" s="7">
        <v>1.5736178999999999E-2</v>
      </c>
      <c r="H31" s="6"/>
    </row>
    <row r="32" spans="1:8" ht="29.1" customHeight="1" x14ac:dyDescent="0.2">
      <c r="A32" s="3">
        <v>26</v>
      </c>
      <c r="B32" s="4" t="s">
        <v>43</v>
      </c>
      <c r="C32" s="4" t="s">
        <v>44</v>
      </c>
      <c r="D32" s="4" t="s">
        <v>25</v>
      </c>
      <c r="E32" s="5">
        <v>2267</v>
      </c>
      <c r="F32" s="6">
        <v>54.005607500000004</v>
      </c>
      <c r="G32" s="7">
        <v>1.54041E-2</v>
      </c>
      <c r="H32" s="6"/>
    </row>
    <row r="33" spans="1:8" ht="29.1" customHeight="1" x14ac:dyDescent="0.2">
      <c r="A33" s="3">
        <v>27</v>
      </c>
      <c r="B33" s="4" t="s">
        <v>285</v>
      </c>
      <c r="C33" s="4" t="s">
        <v>286</v>
      </c>
      <c r="D33" s="4" t="s">
        <v>233</v>
      </c>
      <c r="E33" s="5">
        <v>9643</v>
      </c>
      <c r="F33" s="6">
        <v>53.581329500000002</v>
      </c>
      <c r="G33" s="7">
        <v>1.5283082999999999E-2</v>
      </c>
      <c r="H33" s="6"/>
    </row>
    <row r="34" spans="1:8" ht="17.100000000000001" customHeight="1" x14ac:dyDescent="0.2">
      <c r="A34" s="3">
        <v>28</v>
      </c>
      <c r="B34" s="4" t="s">
        <v>480</v>
      </c>
      <c r="C34" s="4" t="s">
        <v>481</v>
      </c>
      <c r="D34" s="4" t="s">
        <v>80</v>
      </c>
      <c r="E34" s="5">
        <v>5611</v>
      </c>
      <c r="F34" s="6">
        <v>51.452869999999997</v>
      </c>
      <c r="G34" s="7">
        <v>1.4675979E-2</v>
      </c>
      <c r="H34" s="6"/>
    </row>
    <row r="35" spans="1:8" ht="17.100000000000001" customHeight="1" x14ac:dyDescent="0.2">
      <c r="A35" s="3">
        <v>29</v>
      </c>
      <c r="B35" s="4" t="s">
        <v>194</v>
      </c>
      <c r="C35" s="4" t="s">
        <v>195</v>
      </c>
      <c r="D35" s="4" t="s">
        <v>85</v>
      </c>
      <c r="E35" s="5">
        <v>10036</v>
      </c>
      <c r="F35" s="6">
        <v>48.544131999999998</v>
      </c>
      <c r="G35" s="7">
        <v>1.3846315E-2</v>
      </c>
      <c r="H35" s="6"/>
    </row>
    <row r="36" spans="1:8" ht="17.100000000000001" customHeight="1" x14ac:dyDescent="0.2">
      <c r="A36" s="3">
        <v>30</v>
      </c>
      <c r="B36" s="4" t="s">
        <v>283</v>
      </c>
      <c r="C36" s="4" t="s">
        <v>284</v>
      </c>
      <c r="D36" s="4" t="s">
        <v>176</v>
      </c>
      <c r="E36" s="5">
        <v>6153</v>
      </c>
      <c r="F36" s="6">
        <v>48.202601999999999</v>
      </c>
      <c r="G36" s="7">
        <v>1.37489E-2</v>
      </c>
      <c r="H36" s="6"/>
    </row>
    <row r="37" spans="1:8" ht="29.1" customHeight="1" x14ac:dyDescent="0.2">
      <c r="A37" s="3">
        <v>31</v>
      </c>
      <c r="B37" s="4" t="s">
        <v>206</v>
      </c>
      <c r="C37" s="4" t="s">
        <v>207</v>
      </c>
      <c r="D37" s="4" t="s">
        <v>191</v>
      </c>
      <c r="E37" s="5">
        <v>9975</v>
      </c>
      <c r="F37" s="6">
        <v>46.827637500000002</v>
      </c>
      <c r="G37" s="7">
        <v>1.3356717000000001E-2</v>
      </c>
      <c r="H37" s="6"/>
    </row>
    <row r="38" spans="1:8" ht="17.100000000000001" customHeight="1" x14ac:dyDescent="0.2">
      <c r="A38" s="3">
        <v>32</v>
      </c>
      <c r="B38" s="4" t="s">
        <v>259</v>
      </c>
      <c r="C38" s="4" t="s">
        <v>260</v>
      </c>
      <c r="D38" s="4" t="s">
        <v>186</v>
      </c>
      <c r="E38" s="5">
        <v>32152</v>
      </c>
      <c r="F38" s="6">
        <v>46.797235999999998</v>
      </c>
      <c r="G38" s="7">
        <v>1.3348046000000001E-2</v>
      </c>
      <c r="H38" s="6"/>
    </row>
    <row r="39" spans="1:8" ht="29.1" customHeight="1" x14ac:dyDescent="0.2">
      <c r="A39" s="3">
        <v>33</v>
      </c>
      <c r="B39" s="4" t="s">
        <v>192</v>
      </c>
      <c r="C39" s="4" t="s">
        <v>193</v>
      </c>
      <c r="D39" s="4" t="s">
        <v>80</v>
      </c>
      <c r="E39" s="5">
        <v>12773</v>
      </c>
      <c r="F39" s="6">
        <v>46.168008499999999</v>
      </c>
      <c r="G39" s="7">
        <v>1.3168569999999999E-2</v>
      </c>
      <c r="H39" s="6"/>
    </row>
    <row r="40" spans="1:8" ht="17.100000000000001" customHeight="1" x14ac:dyDescent="0.2">
      <c r="A40" s="3">
        <v>34</v>
      </c>
      <c r="B40" s="4" t="s">
        <v>291</v>
      </c>
      <c r="C40" s="4" t="s">
        <v>292</v>
      </c>
      <c r="D40" s="4" t="s">
        <v>95</v>
      </c>
      <c r="E40" s="5">
        <v>7112</v>
      </c>
      <c r="F40" s="6">
        <v>44.908723999999999</v>
      </c>
      <c r="G40" s="7">
        <v>1.2809381999999999E-2</v>
      </c>
      <c r="H40" s="6"/>
    </row>
    <row r="41" spans="1:8" ht="29.1" customHeight="1" x14ac:dyDescent="0.2">
      <c r="A41" s="3">
        <v>35</v>
      </c>
      <c r="B41" s="4" t="s">
        <v>208</v>
      </c>
      <c r="C41" s="4" t="s">
        <v>209</v>
      </c>
      <c r="D41" s="4" t="s">
        <v>210</v>
      </c>
      <c r="E41" s="5">
        <v>3036</v>
      </c>
      <c r="F41" s="6">
        <v>43.314611999999997</v>
      </c>
      <c r="G41" s="7">
        <v>1.2354692E-2</v>
      </c>
      <c r="H41" s="6"/>
    </row>
    <row r="42" spans="1:8" ht="17.100000000000001" customHeight="1" x14ac:dyDescent="0.2">
      <c r="A42" s="3">
        <v>36</v>
      </c>
      <c r="B42" s="4" t="s">
        <v>88</v>
      </c>
      <c r="C42" s="4" t="s">
        <v>89</v>
      </c>
      <c r="D42" s="4" t="s">
        <v>13</v>
      </c>
      <c r="E42" s="5">
        <v>2890</v>
      </c>
      <c r="F42" s="6">
        <v>40.972974999999998</v>
      </c>
      <c r="G42" s="7">
        <v>1.1686782999999999E-2</v>
      </c>
      <c r="H42" s="6"/>
    </row>
    <row r="43" spans="1:8" ht="17.100000000000001" customHeight="1" x14ac:dyDescent="0.2">
      <c r="A43" s="3">
        <v>37</v>
      </c>
      <c r="B43" s="4" t="s">
        <v>215</v>
      </c>
      <c r="C43" s="4" t="s">
        <v>216</v>
      </c>
      <c r="D43" s="4" t="s">
        <v>186</v>
      </c>
      <c r="E43" s="5">
        <v>8975</v>
      </c>
      <c r="F43" s="6">
        <v>40.854199999999999</v>
      </c>
      <c r="G43" s="7">
        <v>1.1652905E-2</v>
      </c>
      <c r="H43" s="6"/>
    </row>
    <row r="44" spans="1:8" ht="29.1" customHeight="1" x14ac:dyDescent="0.2">
      <c r="A44" s="3">
        <v>38</v>
      </c>
      <c r="B44" s="4" t="s">
        <v>226</v>
      </c>
      <c r="C44" s="4" t="s">
        <v>227</v>
      </c>
      <c r="D44" s="4" t="s">
        <v>80</v>
      </c>
      <c r="E44" s="5">
        <v>2285</v>
      </c>
      <c r="F44" s="6">
        <v>40.389659999999999</v>
      </c>
      <c r="G44" s="7">
        <v>1.1520403E-2</v>
      </c>
      <c r="H44" s="6"/>
    </row>
    <row r="45" spans="1:8" ht="29.1" customHeight="1" x14ac:dyDescent="0.2">
      <c r="A45" s="3">
        <v>39</v>
      </c>
      <c r="B45" s="4" t="s">
        <v>234</v>
      </c>
      <c r="C45" s="4" t="s">
        <v>235</v>
      </c>
      <c r="D45" s="4" t="s">
        <v>236</v>
      </c>
      <c r="E45" s="5">
        <v>44136</v>
      </c>
      <c r="F45" s="6">
        <v>40.185828000000001</v>
      </c>
      <c r="G45" s="7">
        <v>1.1462264E-2</v>
      </c>
      <c r="H45" s="6"/>
    </row>
    <row r="46" spans="1:8" ht="17.100000000000001" customHeight="1" x14ac:dyDescent="0.2">
      <c r="A46" s="3">
        <v>40</v>
      </c>
      <c r="B46" s="4" t="s">
        <v>213</v>
      </c>
      <c r="C46" s="4" t="s">
        <v>214</v>
      </c>
      <c r="D46" s="4" t="s">
        <v>13</v>
      </c>
      <c r="E46" s="5">
        <v>48779</v>
      </c>
      <c r="F46" s="6">
        <v>40.071948499999998</v>
      </c>
      <c r="G46" s="7">
        <v>1.1429781999999999E-2</v>
      </c>
      <c r="H46" s="6"/>
    </row>
    <row r="47" spans="1:8" ht="17.100000000000001" customHeight="1" x14ac:dyDescent="0.2">
      <c r="A47" s="3">
        <v>41</v>
      </c>
      <c r="B47" s="4" t="s">
        <v>277</v>
      </c>
      <c r="C47" s="4" t="s">
        <v>278</v>
      </c>
      <c r="D47" s="4" t="s">
        <v>92</v>
      </c>
      <c r="E47" s="5">
        <v>3321</v>
      </c>
      <c r="F47" s="6">
        <v>38.752749000000001</v>
      </c>
      <c r="G47" s="7">
        <v>1.1053505E-2</v>
      </c>
      <c r="H47" s="6"/>
    </row>
    <row r="48" spans="1:8" ht="17.100000000000001" customHeight="1" x14ac:dyDescent="0.2">
      <c r="A48" s="3">
        <v>42</v>
      </c>
      <c r="B48" s="4" t="s">
        <v>174</v>
      </c>
      <c r="C48" s="4" t="s">
        <v>175</v>
      </c>
      <c r="D48" s="4" t="s">
        <v>176</v>
      </c>
      <c r="E48" s="5">
        <v>3655</v>
      </c>
      <c r="F48" s="6">
        <v>38.452427499999999</v>
      </c>
      <c r="G48" s="7">
        <v>1.0967843E-2</v>
      </c>
      <c r="H48" s="6"/>
    </row>
    <row r="49" spans="1:8" ht="29.1" customHeight="1" x14ac:dyDescent="0.2">
      <c r="A49" s="3">
        <v>43</v>
      </c>
      <c r="B49" s="4" t="s">
        <v>293</v>
      </c>
      <c r="C49" s="4" t="s">
        <v>294</v>
      </c>
      <c r="D49" s="4" t="s">
        <v>295</v>
      </c>
      <c r="E49" s="5">
        <v>10640</v>
      </c>
      <c r="F49" s="6">
        <v>34.750239999999998</v>
      </c>
      <c r="G49" s="7">
        <v>9.9118629999999999E-3</v>
      </c>
      <c r="H49" s="6"/>
    </row>
    <row r="50" spans="1:8" ht="17.100000000000001" customHeight="1" x14ac:dyDescent="0.2">
      <c r="A50" s="3">
        <v>44</v>
      </c>
      <c r="B50" s="4" t="s">
        <v>240</v>
      </c>
      <c r="C50" s="4" t="s">
        <v>241</v>
      </c>
      <c r="D50" s="4" t="s">
        <v>80</v>
      </c>
      <c r="E50" s="5">
        <v>6426</v>
      </c>
      <c r="F50" s="6">
        <v>34.697187</v>
      </c>
      <c r="G50" s="7">
        <v>9.8967310000000006E-3</v>
      </c>
      <c r="H50" s="6"/>
    </row>
    <row r="51" spans="1:8" ht="17.100000000000001" customHeight="1" x14ac:dyDescent="0.2">
      <c r="A51" s="3">
        <v>45</v>
      </c>
      <c r="B51" s="4" t="s">
        <v>270</v>
      </c>
      <c r="C51" s="4" t="s">
        <v>271</v>
      </c>
      <c r="D51" s="4" t="s">
        <v>28</v>
      </c>
      <c r="E51" s="5">
        <v>3352</v>
      </c>
      <c r="F51" s="6">
        <v>34.299340000000001</v>
      </c>
      <c r="G51" s="7">
        <v>9.7832519999999992E-3</v>
      </c>
      <c r="H51" s="6"/>
    </row>
    <row r="52" spans="1:8" ht="53.1" customHeight="1" x14ac:dyDescent="0.2">
      <c r="A52" s="3">
        <v>46</v>
      </c>
      <c r="B52" s="4" t="s">
        <v>251</v>
      </c>
      <c r="C52" s="4" t="s">
        <v>1141</v>
      </c>
      <c r="D52" s="4" t="s">
        <v>75</v>
      </c>
      <c r="E52" s="5">
        <v>17050</v>
      </c>
      <c r="F52" s="6">
        <v>33.844250000000002</v>
      </c>
      <c r="G52" s="7">
        <v>9.6534459999999996E-3</v>
      </c>
      <c r="H52" s="6"/>
    </row>
    <row r="53" spans="1:8" ht="17.100000000000001" customHeight="1" x14ac:dyDescent="0.2">
      <c r="A53" s="3">
        <v>47</v>
      </c>
      <c r="B53" s="4" t="s">
        <v>252</v>
      </c>
      <c r="C53" s="4" t="s">
        <v>253</v>
      </c>
      <c r="D53" s="4" t="s">
        <v>254</v>
      </c>
      <c r="E53" s="5">
        <v>27958</v>
      </c>
      <c r="F53" s="6">
        <v>33.172167000000002</v>
      </c>
      <c r="G53" s="7">
        <v>9.4617469999999995E-3</v>
      </c>
      <c r="H53" s="6"/>
    </row>
    <row r="54" spans="1:8" ht="29.1" customHeight="1" x14ac:dyDescent="0.2">
      <c r="A54" s="3">
        <v>48</v>
      </c>
      <c r="B54" s="4" t="s">
        <v>231</v>
      </c>
      <c r="C54" s="4" t="s">
        <v>232</v>
      </c>
      <c r="D54" s="4" t="s">
        <v>233</v>
      </c>
      <c r="E54" s="5">
        <v>9296</v>
      </c>
      <c r="F54" s="6">
        <v>32.917135999999999</v>
      </c>
      <c r="G54" s="7">
        <v>9.3890039999999994E-3</v>
      </c>
      <c r="H54" s="6"/>
    </row>
    <row r="55" spans="1:8" ht="17.100000000000001" customHeight="1" x14ac:dyDescent="0.2">
      <c r="A55" s="3">
        <v>49</v>
      </c>
      <c r="B55" s="4" t="s">
        <v>287</v>
      </c>
      <c r="C55" s="4" t="s">
        <v>288</v>
      </c>
      <c r="D55" s="4" t="s">
        <v>85</v>
      </c>
      <c r="E55" s="5">
        <v>62770</v>
      </c>
      <c r="F55" s="6">
        <v>31.039764999999999</v>
      </c>
      <c r="G55" s="7">
        <v>8.8535190000000007E-3</v>
      </c>
      <c r="H55" s="6"/>
    </row>
    <row r="56" spans="1:8" ht="17.100000000000001" customHeight="1" x14ac:dyDescent="0.2">
      <c r="A56" s="3">
        <v>50</v>
      </c>
      <c r="B56" s="4" t="s">
        <v>244</v>
      </c>
      <c r="C56" s="4" t="s">
        <v>245</v>
      </c>
      <c r="D56" s="4" t="s">
        <v>95</v>
      </c>
      <c r="E56" s="5">
        <v>5781</v>
      </c>
      <c r="F56" s="6">
        <v>30.3647025</v>
      </c>
      <c r="G56" s="7">
        <v>8.6609689999999993E-3</v>
      </c>
      <c r="H56" s="6"/>
    </row>
    <row r="57" spans="1:8" ht="17.100000000000001" customHeight="1" x14ac:dyDescent="0.2">
      <c r="A57" s="3">
        <v>51</v>
      </c>
      <c r="B57" s="4" t="s">
        <v>303</v>
      </c>
      <c r="C57" s="4" t="s">
        <v>304</v>
      </c>
      <c r="D57" s="4" t="s">
        <v>19</v>
      </c>
      <c r="E57" s="5">
        <v>15756</v>
      </c>
      <c r="F57" s="6">
        <v>29.770962000000001</v>
      </c>
      <c r="G57" s="7">
        <v>8.4916160000000004E-3</v>
      </c>
      <c r="H57" s="6"/>
    </row>
    <row r="58" spans="1:8" ht="29.1" customHeight="1" x14ac:dyDescent="0.2">
      <c r="A58" s="3">
        <v>52</v>
      </c>
      <c r="B58" s="4" t="s">
        <v>224</v>
      </c>
      <c r="C58" s="4" t="s">
        <v>225</v>
      </c>
      <c r="D58" s="4" t="s">
        <v>198</v>
      </c>
      <c r="E58" s="5">
        <v>1825</v>
      </c>
      <c r="F58" s="6">
        <v>29.668112499999999</v>
      </c>
      <c r="G58" s="7">
        <v>8.4622800000000008E-3</v>
      </c>
      <c r="H58" s="6"/>
    </row>
    <row r="59" spans="1:8" ht="17.100000000000001" customHeight="1" x14ac:dyDescent="0.2">
      <c r="A59" s="3">
        <v>53</v>
      </c>
      <c r="B59" s="4" t="s">
        <v>242</v>
      </c>
      <c r="C59" s="4" t="s">
        <v>243</v>
      </c>
      <c r="D59" s="4" t="s">
        <v>80</v>
      </c>
      <c r="E59" s="5">
        <v>12795</v>
      </c>
      <c r="F59" s="6">
        <v>27.2597475</v>
      </c>
      <c r="G59" s="7">
        <v>7.775339E-3</v>
      </c>
      <c r="H59" s="6"/>
    </row>
    <row r="60" spans="1:8" ht="29.1" customHeight="1" x14ac:dyDescent="0.2">
      <c r="A60" s="3">
        <v>54</v>
      </c>
      <c r="B60" s="4" t="s">
        <v>498</v>
      </c>
      <c r="C60" s="4" t="s">
        <v>499</v>
      </c>
      <c r="D60" s="4" t="s">
        <v>198</v>
      </c>
      <c r="E60" s="5">
        <v>8154</v>
      </c>
      <c r="F60" s="6">
        <v>26.944893</v>
      </c>
      <c r="G60" s="7">
        <v>7.6855320000000001E-3</v>
      </c>
      <c r="H60" s="6"/>
    </row>
    <row r="61" spans="1:8" ht="29.1" customHeight="1" x14ac:dyDescent="0.2">
      <c r="A61" s="3">
        <v>55</v>
      </c>
      <c r="B61" s="4" t="s">
        <v>255</v>
      </c>
      <c r="C61" s="4" t="s">
        <v>256</v>
      </c>
      <c r="D61" s="4" t="s">
        <v>210</v>
      </c>
      <c r="E61" s="5">
        <v>11833</v>
      </c>
      <c r="F61" s="6">
        <v>25.8491885</v>
      </c>
      <c r="G61" s="7">
        <v>7.3730030000000004E-3</v>
      </c>
      <c r="H61" s="6"/>
    </row>
    <row r="62" spans="1:8" ht="17.100000000000001" customHeight="1" x14ac:dyDescent="0.2">
      <c r="A62" s="3">
        <v>56</v>
      </c>
      <c r="B62" s="4" t="s">
        <v>96</v>
      </c>
      <c r="C62" s="4" t="s">
        <v>97</v>
      </c>
      <c r="D62" s="4" t="s">
        <v>80</v>
      </c>
      <c r="E62" s="5">
        <v>975</v>
      </c>
      <c r="F62" s="6">
        <v>25.671749999999999</v>
      </c>
      <c r="G62" s="7">
        <v>7.3223919999999996E-3</v>
      </c>
      <c r="H62" s="6"/>
    </row>
    <row r="63" spans="1:8" ht="29.1" customHeight="1" x14ac:dyDescent="0.2">
      <c r="A63" s="3">
        <v>57</v>
      </c>
      <c r="B63" s="4" t="s">
        <v>298</v>
      </c>
      <c r="C63" s="4" t="s">
        <v>299</v>
      </c>
      <c r="D63" s="4" t="s">
        <v>25</v>
      </c>
      <c r="E63" s="5">
        <v>12960</v>
      </c>
      <c r="F63" s="6">
        <v>23.762160000000002</v>
      </c>
      <c r="G63" s="7">
        <v>6.7777159999999996E-3</v>
      </c>
      <c r="H63" s="6"/>
    </row>
    <row r="64" spans="1:8" ht="17.100000000000001" customHeight="1" x14ac:dyDescent="0.2">
      <c r="A64" s="3">
        <v>58</v>
      </c>
      <c r="B64" s="4" t="s">
        <v>289</v>
      </c>
      <c r="C64" s="4" t="s">
        <v>290</v>
      </c>
      <c r="D64" s="4" t="s">
        <v>106</v>
      </c>
      <c r="E64" s="5">
        <v>10387</v>
      </c>
      <c r="F64" s="6">
        <v>23.349976000000002</v>
      </c>
      <c r="G64" s="7">
        <v>6.6601489999999998E-3</v>
      </c>
      <c r="H64" s="6"/>
    </row>
    <row r="65" spans="1:8" ht="29.1" customHeight="1" x14ac:dyDescent="0.2">
      <c r="A65" s="3">
        <v>59</v>
      </c>
      <c r="B65" s="4" t="s">
        <v>265</v>
      </c>
      <c r="C65" s="4" t="s">
        <v>266</v>
      </c>
      <c r="D65" s="4" t="s">
        <v>198</v>
      </c>
      <c r="E65" s="5">
        <v>546</v>
      </c>
      <c r="F65" s="6">
        <v>23.305191000000001</v>
      </c>
      <c r="G65" s="7">
        <v>6.6473740000000002E-3</v>
      </c>
      <c r="H65" s="6"/>
    </row>
    <row r="66" spans="1:8" ht="17.100000000000001" customHeight="1" x14ac:dyDescent="0.2">
      <c r="A66" s="3">
        <v>60</v>
      </c>
      <c r="B66" s="4" t="s">
        <v>257</v>
      </c>
      <c r="C66" s="4" t="s">
        <v>258</v>
      </c>
      <c r="D66" s="4" t="s">
        <v>186</v>
      </c>
      <c r="E66" s="5">
        <v>19188</v>
      </c>
      <c r="F66" s="6">
        <v>18.650735999999998</v>
      </c>
      <c r="G66" s="7">
        <v>5.3197770000000004E-3</v>
      </c>
      <c r="H66" s="6"/>
    </row>
    <row r="67" spans="1:8" ht="17.100000000000001" customHeight="1" x14ac:dyDescent="0.2">
      <c r="A67" s="3">
        <v>61</v>
      </c>
      <c r="B67" s="4" t="s">
        <v>107</v>
      </c>
      <c r="C67" s="4" t="s">
        <v>108</v>
      </c>
      <c r="D67" s="4" t="s">
        <v>13</v>
      </c>
      <c r="E67" s="5">
        <v>15702</v>
      </c>
      <c r="F67" s="6">
        <v>18.308532</v>
      </c>
      <c r="G67" s="7">
        <v>5.2221699999999999E-3</v>
      </c>
      <c r="H67" s="6"/>
    </row>
    <row r="68" spans="1:8" ht="17.100000000000001" customHeight="1" x14ac:dyDescent="0.2">
      <c r="A68" s="3">
        <v>62</v>
      </c>
      <c r="B68" s="4" t="s">
        <v>115</v>
      </c>
      <c r="C68" s="4" t="s">
        <v>116</v>
      </c>
      <c r="D68" s="4" t="s">
        <v>92</v>
      </c>
      <c r="E68" s="5">
        <v>22625</v>
      </c>
      <c r="F68" s="6">
        <v>16.471</v>
      </c>
      <c r="G68" s="7">
        <v>4.6980479999999998E-3</v>
      </c>
      <c r="H68" s="6"/>
    </row>
    <row r="69" spans="1:8" ht="17.100000000000001" customHeight="1" x14ac:dyDescent="0.2">
      <c r="A69" s="3">
        <v>63</v>
      </c>
      <c r="B69" s="4" t="s">
        <v>300</v>
      </c>
      <c r="C69" s="4" t="s">
        <v>301</v>
      </c>
      <c r="D69" s="4" t="s">
        <v>302</v>
      </c>
      <c r="E69" s="5">
        <v>2142</v>
      </c>
      <c r="F69" s="6">
        <v>13.339305</v>
      </c>
      <c r="G69" s="7">
        <v>3.8047900000000002E-3</v>
      </c>
      <c r="H69" s="6"/>
    </row>
    <row r="70" spans="1:8" ht="29.1" customHeight="1" x14ac:dyDescent="0.2">
      <c r="A70" s="3">
        <v>64</v>
      </c>
      <c r="B70" s="4" t="s">
        <v>274</v>
      </c>
      <c r="C70" s="4" t="s">
        <v>275</v>
      </c>
      <c r="D70" s="4" t="s">
        <v>219</v>
      </c>
      <c r="E70" s="5">
        <v>1792</v>
      </c>
      <c r="F70" s="6">
        <v>12.116607999999999</v>
      </c>
      <c r="G70" s="7">
        <v>3.4560379999999998E-3</v>
      </c>
      <c r="H70" s="6"/>
    </row>
    <row r="71" spans="1:8" ht="14.1" customHeight="1" x14ac:dyDescent="0.2">
      <c r="A71" s="1"/>
      <c r="B71" s="1"/>
      <c r="C71" s="2" t="s">
        <v>119</v>
      </c>
      <c r="D71" s="1"/>
      <c r="E71" s="1" t="s">
        <v>120</v>
      </c>
      <c r="F71" s="9">
        <v>3367.126381</v>
      </c>
      <c r="G71" s="10">
        <v>0.96041049499999998</v>
      </c>
      <c r="H71" s="6"/>
    </row>
    <row r="72" spans="1:8" ht="14.1" customHeight="1" x14ac:dyDescent="0.2">
      <c r="A72" s="1"/>
      <c r="B72" s="1"/>
      <c r="C72" s="11"/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121</v>
      </c>
      <c r="D73" s="1"/>
      <c r="E73" s="1"/>
      <c r="F73" s="1"/>
      <c r="G73" s="1"/>
      <c r="H73" s="6"/>
    </row>
    <row r="74" spans="1:8" ht="14.1" customHeight="1" x14ac:dyDescent="0.2">
      <c r="A74" s="1"/>
      <c r="B74" s="1"/>
      <c r="C74" s="2" t="s">
        <v>119</v>
      </c>
      <c r="D74" s="1"/>
      <c r="E74" s="1" t="s">
        <v>120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122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119</v>
      </c>
      <c r="D77" s="1"/>
      <c r="E77" s="1" t="s">
        <v>120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123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119</v>
      </c>
      <c r="D80" s="1"/>
      <c r="E80" s="1" t="s">
        <v>120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124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119</v>
      </c>
      <c r="D83" s="1"/>
      <c r="E83" s="1" t="s">
        <v>120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125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119</v>
      </c>
      <c r="D86" s="1"/>
      <c r="E86" s="1" t="s">
        <v>120</v>
      </c>
      <c r="F86" s="13">
        <v>0</v>
      </c>
      <c r="G86" s="14">
        <v>0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8" customHeight="1" x14ac:dyDescent="0.2">
      <c r="A88" s="1"/>
      <c r="B88" s="1"/>
      <c r="C88" s="2" t="s">
        <v>126</v>
      </c>
      <c r="D88" s="1"/>
      <c r="E88" s="1"/>
      <c r="F88" s="9">
        <v>3367.126381</v>
      </c>
      <c r="G88" s="10">
        <v>0.96041049499999998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127</v>
      </c>
      <c r="D90" s="1"/>
      <c r="E90" s="1"/>
      <c r="F90" s="12"/>
      <c r="G90" s="12"/>
      <c r="H90" s="6"/>
    </row>
    <row r="91" spans="1:8" ht="24" customHeight="1" x14ac:dyDescent="0.2">
      <c r="A91" s="1"/>
      <c r="B91" s="1"/>
      <c r="C91" s="2" t="s">
        <v>10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128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119</v>
      </c>
      <c r="D95" s="1"/>
      <c r="E95" s="1" t="s">
        <v>120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129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119</v>
      </c>
      <c r="D98" s="1"/>
      <c r="E98" s="1" t="s">
        <v>120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130</v>
      </c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119</v>
      </c>
      <c r="D101" s="1"/>
      <c r="E101" s="1" t="s">
        <v>120</v>
      </c>
      <c r="F101" s="13">
        <v>0</v>
      </c>
      <c r="G101" s="14">
        <v>0</v>
      </c>
      <c r="H101" s="6"/>
    </row>
    <row r="102" spans="1:8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131</v>
      </c>
      <c r="D103" s="1"/>
      <c r="E103" s="1"/>
      <c r="F103" s="9">
        <v>0</v>
      </c>
      <c r="G103" s="10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132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133</v>
      </c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134</v>
      </c>
      <c r="D109" s="1"/>
      <c r="E109" s="1"/>
      <c r="F109" s="12"/>
      <c r="G109" s="12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 t="s">
        <v>120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135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119</v>
      </c>
      <c r="D113" s="1"/>
      <c r="E113" s="1" t="s">
        <v>120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136</v>
      </c>
      <c r="D115" s="1"/>
      <c r="E115" s="1"/>
      <c r="F115" s="12"/>
      <c r="G115" s="12"/>
      <c r="H115" s="6"/>
    </row>
    <row r="116" spans="1:8" ht="17.100000000000001" customHeight="1" x14ac:dyDescent="0.2">
      <c r="A116" s="3">
        <v>1</v>
      </c>
      <c r="B116" s="4"/>
      <c r="C116" s="4" t="s">
        <v>137</v>
      </c>
      <c r="D116" s="4"/>
      <c r="E116" s="8"/>
      <c r="F116" s="6">
        <v>138.22750289999999</v>
      </c>
      <c r="G116" s="7">
        <v>3.9426836999999999E-2</v>
      </c>
      <c r="H116" s="6">
        <v>4.1713246754849944</v>
      </c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9">
        <v>138.22750289999999</v>
      </c>
      <c r="G117" s="10">
        <v>3.9426836999999999E-2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138</v>
      </c>
      <c r="D119" s="1"/>
      <c r="E119" s="1"/>
      <c r="F119" s="9">
        <v>138.22750289999999</v>
      </c>
      <c r="G119" s="10">
        <v>3.9426836999999999E-2</v>
      </c>
      <c r="H119" s="6"/>
    </row>
    <row r="120" spans="1:8" ht="14.1" customHeight="1" x14ac:dyDescent="0.2">
      <c r="A120" s="1"/>
      <c r="B120" s="1"/>
      <c r="C120" s="12"/>
      <c r="D120" s="1"/>
      <c r="E120" s="1"/>
      <c r="F120" s="1"/>
      <c r="G120" s="1"/>
      <c r="H120" s="6"/>
    </row>
    <row r="121" spans="1:8" ht="14.1" customHeight="1" x14ac:dyDescent="0.2">
      <c r="A121" s="1"/>
      <c r="B121" s="1"/>
      <c r="C121" s="2" t="s">
        <v>139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140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141</v>
      </c>
      <c r="D125" s="1"/>
      <c r="E125" s="1"/>
      <c r="F125" s="1"/>
      <c r="G125" s="1"/>
      <c r="H125" s="6"/>
    </row>
    <row r="126" spans="1:8" ht="14.1" customHeight="1" x14ac:dyDescent="0.2">
      <c r="A126" s="1"/>
      <c r="B126" s="1"/>
      <c r="C126" s="2" t="s">
        <v>142</v>
      </c>
      <c r="D126" s="1"/>
      <c r="E126" s="1"/>
      <c r="F126" s="1"/>
      <c r="G126" s="1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11"/>
      <c r="D129" s="1"/>
      <c r="E129" s="1"/>
      <c r="F129" s="12"/>
      <c r="G129" s="12"/>
      <c r="H129" s="6"/>
    </row>
    <row r="130" spans="1:8" ht="24" customHeight="1" x14ac:dyDescent="0.2">
      <c r="A130" s="1"/>
      <c r="B130" s="1"/>
      <c r="C130" s="2" t="s">
        <v>143</v>
      </c>
      <c r="D130" s="1"/>
      <c r="E130" s="1"/>
      <c r="F130" s="12"/>
      <c r="G130" s="12"/>
      <c r="H130" s="6"/>
    </row>
    <row r="131" spans="1:8" ht="14.1" customHeight="1" x14ac:dyDescent="0.2">
      <c r="A131" s="1"/>
      <c r="B131" s="1"/>
      <c r="C131" s="2" t="s">
        <v>119</v>
      </c>
      <c r="D131" s="1"/>
      <c r="E131" s="1" t="s">
        <v>120</v>
      </c>
      <c r="F131" s="13">
        <v>0</v>
      </c>
      <c r="G131" s="14">
        <v>0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4"/>
      <c r="C133" s="4"/>
      <c r="D133" s="2"/>
      <c r="E133" s="1"/>
      <c r="F133" s="4"/>
      <c r="G133" s="8"/>
      <c r="H133" s="6"/>
    </row>
    <row r="134" spans="1:8" ht="18" customHeight="1" x14ac:dyDescent="0.2">
      <c r="A134" s="8"/>
      <c r="B134" s="4"/>
      <c r="C134" s="4" t="s">
        <v>144</v>
      </c>
      <c r="D134" s="4"/>
      <c r="E134" s="8"/>
      <c r="F134" s="6">
        <v>0.57031180000000004</v>
      </c>
      <c r="G134" s="7">
        <v>1.62671E-4</v>
      </c>
      <c r="H134" s="6"/>
    </row>
    <row r="135" spans="1:8" ht="14.1" customHeight="1" x14ac:dyDescent="0.2">
      <c r="A135" s="11"/>
      <c r="B135" s="11"/>
      <c r="C135" s="2" t="s">
        <v>145</v>
      </c>
      <c r="D135" s="15"/>
      <c r="E135" s="15"/>
      <c r="F135" s="9">
        <v>3505.9241956999999</v>
      </c>
      <c r="G135" s="10">
        <v>1.000000003</v>
      </c>
      <c r="H135" s="6"/>
    </row>
    <row r="136" spans="1:8" ht="14.1" customHeight="1" x14ac:dyDescent="0.2">
      <c r="A136" s="18"/>
      <c r="B136" s="18"/>
      <c r="C136" s="18"/>
      <c r="D136" s="20"/>
      <c r="E136" s="20"/>
      <c r="F136" s="20"/>
      <c r="G136" s="20"/>
    </row>
    <row r="137" spans="1:8" ht="14.1" customHeight="1" x14ac:dyDescent="0.2">
      <c r="A137" s="18"/>
      <c r="B137" s="265" t="s">
        <v>147</v>
      </c>
      <c r="C137" s="266"/>
      <c r="D137" s="12" t="s">
        <v>120</v>
      </c>
      <c r="E137" s="21"/>
      <c r="F137" s="20"/>
      <c r="G137" s="20"/>
    </row>
    <row r="138" spans="1:8" ht="29.1" customHeight="1" x14ac:dyDescent="0.2">
      <c r="A138" s="18"/>
      <c r="B138" s="272" t="s">
        <v>148</v>
      </c>
      <c r="C138" s="273"/>
      <c r="D138" s="2" t="s">
        <v>149</v>
      </c>
      <c r="E138" s="21"/>
      <c r="F138" s="20"/>
      <c r="G138" s="20"/>
    </row>
    <row r="139" spans="1:8" ht="17.100000000000001" customHeight="1" x14ac:dyDescent="0.2">
      <c r="A139" s="18"/>
      <c r="B139" s="272" t="s">
        <v>150</v>
      </c>
      <c r="C139" s="273"/>
      <c r="D139" s="2" t="s">
        <v>149</v>
      </c>
      <c r="E139" s="21"/>
      <c r="F139" s="20"/>
      <c r="G139" s="20"/>
    </row>
    <row r="140" spans="1:8" ht="17.100000000000001" customHeight="1" x14ac:dyDescent="0.2">
      <c r="A140" s="18"/>
      <c r="B140" s="272" t="s">
        <v>151</v>
      </c>
      <c r="C140" s="273"/>
      <c r="D140" s="12" t="s">
        <v>120</v>
      </c>
      <c r="E140" s="21"/>
      <c r="F140" s="20"/>
      <c r="G140" s="20"/>
    </row>
    <row r="141" spans="1:8" ht="24" customHeight="1" x14ac:dyDescent="0.2">
      <c r="A141" s="22"/>
      <c r="B141" s="23" t="s">
        <v>120</v>
      </c>
      <c r="C141" s="23" t="s">
        <v>152</v>
      </c>
      <c r="D141" s="23" t="s">
        <v>153</v>
      </c>
      <c r="E141" s="22"/>
      <c r="F141" s="22"/>
      <c r="G141" s="22"/>
    </row>
    <row r="142" spans="1:8" ht="18" customHeight="1" x14ac:dyDescent="0.2">
      <c r="A142" s="22"/>
      <c r="B142" s="23" t="s">
        <v>154</v>
      </c>
      <c r="C142" s="23" t="s">
        <v>155</v>
      </c>
      <c r="D142" s="23" t="s">
        <v>156</v>
      </c>
      <c r="E142" s="22"/>
      <c r="F142" s="22"/>
      <c r="G142" s="22"/>
    </row>
    <row r="143" spans="1:8" ht="17.100000000000001" customHeight="1" x14ac:dyDescent="0.2">
      <c r="A143" s="22"/>
      <c r="B143" s="4" t="s">
        <v>157</v>
      </c>
      <c r="C143" s="24">
        <v>15.7196</v>
      </c>
      <c r="D143" s="24">
        <v>14.6416</v>
      </c>
      <c r="E143" s="22"/>
      <c r="F143" s="19"/>
      <c r="G143" s="25"/>
    </row>
    <row r="144" spans="1:8" ht="17.100000000000001" customHeight="1" x14ac:dyDescent="0.2">
      <c r="A144" s="22"/>
      <c r="B144" s="4" t="s">
        <v>1120</v>
      </c>
      <c r="C144" s="24">
        <v>15.7196</v>
      </c>
      <c r="D144" s="24">
        <v>14.6416</v>
      </c>
      <c r="E144" s="22"/>
      <c r="F144" s="19"/>
      <c r="G144" s="25"/>
    </row>
    <row r="145" spans="1:15" ht="17.100000000000001" customHeight="1" x14ac:dyDescent="0.2">
      <c r="A145" s="22"/>
      <c r="B145" s="4" t="s">
        <v>158</v>
      </c>
      <c r="C145" s="24">
        <v>15.116899999999999</v>
      </c>
      <c r="D145" s="24">
        <v>14.0746</v>
      </c>
      <c r="E145" s="22"/>
      <c r="F145" s="19"/>
      <c r="G145" s="25"/>
    </row>
    <row r="146" spans="1:15" ht="17.100000000000001" customHeight="1" x14ac:dyDescent="0.2">
      <c r="A146" s="22"/>
      <c r="B146" s="4" t="s">
        <v>1121</v>
      </c>
      <c r="C146" s="24">
        <v>15.116899999999999</v>
      </c>
      <c r="D146" s="24">
        <v>14.0746</v>
      </c>
      <c r="E146" s="22"/>
      <c r="F146" s="19"/>
      <c r="G146" s="25"/>
    </row>
    <row r="147" spans="1:15" ht="14.1" customHeight="1" x14ac:dyDescent="0.2">
      <c r="A147" s="22"/>
      <c r="B147" s="22"/>
      <c r="C147" s="22"/>
      <c r="D147" s="22"/>
      <c r="E147" s="22"/>
      <c r="F147" s="22"/>
      <c r="G147" s="22"/>
    </row>
    <row r="148" spans="1:15" ht="17.100000000000001" customHeight="1" x14ac:dyDescent="0.2">
      <c r="A148" s="22"/>
      <c r="B148" s="272" t="s">
        <v>1122</v>
      </c>
      <c r="C148" s="273"/>
      <c r="D148" s="2" t="s">
        <v>149</v>
      </c>
      <c r="E148" s="22"/>
      <c r="F148" s="22"/>
      <c r="G148" s="22"/>
    </row>
    <row r="149" spans="1:15" ht="14.1" customHeight="1" x14ac:dyDescent="0.2">
      <c r="A149" s="22"/>
      <c r="B149" s="19"/>
      <c r="C149" s="19"/>
      <c r="D149" s="22"/>
      <c r="E149" s="22"/>
      <c r="F149" s="22"/>
      <c r="G149" s="22"/>
    </row>
    <row r="150" spans="1:15" ht="29.1" customHeight="1" x14ac:dyDescent="0.2">
      <c r="A150" s="22"/>
      <c r="B150" s="272" t="s">
        <v>160</v>
      </c>
      <c r="C150" s="273"/>
      <c r="D150" s="2" t="s">
        <v>149</v>
      </c>
      <c r="E150" s="22"/>
      <c r="F150" s="22"/>
      <c r="G150" s="22"/>
    </row>
    <row r="151" spans="1:15" ht="29.1" customHeight="1" x14ac:dyDescent="0.2">
      <c r="A151" s="22"/>
      <c r="B151" s="272" t="s">
        <v>161</v>
      </c>
      <c r="C151" s="273"/>
      <c r="D151" s="2" t="s">
        <v>149</v>
      </c>
      <c r="E151" s="22"/>
      <c r="F151" s="22"/>
      <c r="G151" s="22"/>
    </row>
    <row r="152" spans="1:15" ht="17.100000000000001" customHeight="1" x14ac:dyDescent="0.2">
      <c r="A152" s="22"/>
      <c r="B152" s="272" t="s">
        <v>162</v>
      </c>
      <c r="C152" s="273"/>
      <c r="D152" s="27">
        <v>0.228853</v>
      </c>
      <c r="E152" s="22"/>
      <c r="F152" s="19"/>
      <c r="G152" s="25"/>
    </row>
    <row r="153" spans="1:15" ht="17.100000000000001" customHeight="1" x14ac:dyDescent="0.2">
      <c r="A153" s="22"/>
      <c r="B153" s="272" t="s">
        <v>163</v>
      </c>
      <c r="C153" s="273"/>
      <c r="D153" s="2" t="s">
        <v>149</v>
      </c>
      <c r="E153" s="22"/>
      <c r="F153" s="22"/>
      <c r="G153" s="22"/>
    </row>
    <row r="158" spans="1:15" x14ac:dyDescent="0.2">
      <c r="J158" s="170"/>
      <c r="K158" s="170"/>
      <c r="L158" s="170"/>
      <c r="M158" s="170"/>
      <c r="N158" s="170"/>
      <c r="O158" s="170"/>
    </row>
  </sheetData>
  <mergeCells count="13">
    <mergeCell ref="B152:C152"/>
    <mergeCell ref="B153:C153"/>
    <mergeCell ref="B138:C138"/>
    <mergeCell ref="B139:C139"/>
    <mergeCell ref="B140:C140"/>
    <mergeCell ref="B148:C148"/>
    <mergeCell ref="B150:C150"/>
    <mergeCell ref="B151:C151"/>
    <mergeCell ref="J2:N2"/>
    <mergeCell ref="B137:C137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6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528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172</v>
      </c>
      <c r="C7" s="4" t="s">
        <v>173</v>
      </c>
      <c r="D7" s="4" t="s">
        <v>994</v>
      </c>
      <c r="E7" s="5">
        <v>1220030</v>
      </c>
      <c r="F7" s="6">
        <v>6469.81909</v>
      </c>
      <c r="G7" s="7">
        <v>3.4785157999999997E-2</v>
      </c>
      <c r="H7" s="6"/>
    </row>
    <row r="8" spans="1:14" ht="17.100000000000001" customHeight="1" x14ac:dyDescent="0.2">
      <c r="A8" s="3">
        <v>2</v>
      </c>
      <c r="B8" s="4" t="s">
        <v>194</v>
      </c>
      <c r="C8" s="4" t="s">
        <v>195</v>
      </c>
      <c r="D8" s="4" t="s">
        <v>85</v>
      </c>
      <c r="E8" s="5">
        <v>1046412</v>
      </c>
      <c r="F8" s="6">
        <v>5061.4948439999998</v>
      </c>
      <c r="G8" s="7">
        <v>2.7213264000000001E-2</v>
      </c>
      <c r="H8" s="6"/>
    </row>
    <row r="9" spans="1:14" ht="17.100000000000001" customHeight="1" x14ac:dyDescent="0.2">
      <c r="A9" s="3">
        <v>3</v>
      </c>
      <c r="B9" s="4" t="s">
        <v>34</v>
      </c>
      <c r="C9" s="4" t="s">
        <v>35</v>
      </c>
      <c r="D9" s="4" t="s">
        <v>28</v>
      </c>
      <c r="E9" s="5">
        <v>372310</v>
      </c>
      <c r="F9" s="6">
        <v>5045.17281</v>
      </c>
      <c r="G9" s="7">
        <v>2.7125508E-2</v>
      </c>
      <c r="H9" s="6"/>
    </row>
    <row r="10" spans="1:14" ht="51" x14ac:dyDescent="0.2">
      <c r="A10" s="3">
        <v>4</v>
      </c>
      <c r="B10" s="4" t="s">
        <v>73</v>
      </c>
      <c r="C10" s="4" t="s">
        <v>74</v>
      </c>
      <c r="D10" s="4" t="s">
        <v>75</v>
      </c>
      <c r="E10" s="5">
        <v>3440000</v>
      </c>
      <c r="F10" s="6">
        <v>4730</v>
      </c>
      <c r="G10" s="7">
        <v>2.5430972999999999E-2</v>
      </c>
      <c r="H10" s="6"/>
    </row>
    <row r="11" spans="1:14" ht="17.100000000000001" customHeight="1" x14ac:dyDescent="0.2">
      <c r="A11" s="3">
        <v>5</v>
      </c>
      <c r="B11" s="4" t="s">
        <v>187</v>
      </c>
      <c r="C11" s="4" t="s">
        <v>188</v>
      </c>
      <c r="D11" s="4" t="s">
        <v>181</v>
      </c>
      <c r="E11" s="5">
        <v>314000</v>
      </c>
      <c r="F11" s="6">
        <v>4306.9809999999998</v>
      </c>
      <c r="G11" s="7">
        <v>2.3156599999999999E-2</v>
      </c>
      <c r="H11" s="6"/>
      <c r="J11" s="169" t="s">
        <v>1149</v>
      </c>
    </row>
    <row r="12" spans="1:14" ht="29.1" customHeight="1" x14ac:dyDescent="0.2">
      <c r="A12" s="3">
        <v>6</v>
      </c>
      <c r="B12" s="4" t="s">
        <v>529</v>
      </c>
      <c r="C12" s="4" t="s">
        <v>530</v>
      </c>
      <c r="D12" s="4" t="s">
        <v>198</v>
      </c>
      <c r="E12" s="5">
        <v>504084</v>
      </c>
      <c r="F12" s="6">
        <v>4150.3756139999996</v>
      </c>
      <c r="G12" s="7">
        <v>2.2314607E-2</v>
      </c>
      <c r="H12" s="6"/>
    </row>
    <row r="13" spans="1:14" ht="17.100000000000001" customHeight="1" x14ac:dyDescent="0.2">
      <c r="A13" s="3">
        <v>7</v>
      </c>
      <c r="B13" s="4" t="s">
        <v>222</v>
      </c>
      <c r="C13" s="4" t="s">
        <v>223</v>
      </c>
      <c r="D13" s="4" t="s">
        <v>95</v>
      </c>
      <c r="E13" s="5">
        <v>258222</v>
      </c>
      <c r="F13" s="6">
        <v>4054.9891769999999</v>
      </c>
      <c r="G13" s="7">
        <v>2.1801759E-2</v>
      </c>
      <c r="H13" s="6"/>
    </row>
    <row r="14" spans="1:14" ht="17.100000000000001" customHeight="1" x14ac:dyDescent="0.2">
      <c r="A14" s="3">
        <v>8</v>
      </c>
      <c r="B14" s="4" t="s">
        <v>17</v>
      </c>
      <c r="C14" s="4" t="s">
        <v>18</v>
      </c>
      <c r="D14" s="4" t="s">
        <v>19</v>
      </c>
      <c r="E14" s="5">
        <v>534956</v>
      </c>
      <c r="F14" s="6">
        <v>4027.4162459999998</v>
      </c>
      <c r="G14" s="7">
        <v>2.1653512999999999E-2</v>
      </c>
      <c r="H14" s="6"/>
    </row>
    <row r="15" spans="1:14" ht="17.100000000000001" customHeight="1" x14ac:dyDescent="0.2">
      <c r="A15" s="3">
        <v>9</v>
      </c>
      <c r="B15" s="4" t="s">
        <v>531</v>
      </c>
      <c r="C15" s="4" t="s">
        <v>532</v>
      </c>
      <c r="D15" s="4" t="s">
        <v>181</v>
      </c>
      <c r="E15" s="5">
        <v>170000</v>
      </c>
      <c r="F15" s="6">
        <v>3953.69</v>
      </c>
      <c r="G15" s="7">
        <v>2.1257121E-2</v>
      </c>
      <c r="H15" s="6"/>
    </row>
    <row r="16" spans="1:14" ht="29.1" customHeight="1" x14ac:dyDescent="0.2">
      <c r="A16" s="3">
        <v>10</v>
      </c>
      <c r="B16" s="4" t="s">
        <v>533</v>
      </c>
      <c r="C16" s="4" t="s">
        <v>534</v>
      </c>
      <c r="D16" s="4" t="s">
        <v>219</v>
      </c>
      <c r="E16" s="5">
        <v>265529</v>
      </c>
      <c r="F16" s="6">
        <v>3932.218961</v>
      </c>
      <c r="G16" s="7">
        <v>2.1141681999999998E-2</v>
      </c>
      <c r="H16" s="6"/>
    </row>
    <row r="17" spans="1:10" ht="17.100000000000001" customHeight="1" x14ac:dyDescent="0.2">
      <c r="A17" s="3">
        <v>11</v>
      </c>
      <c r="B17" s="4" t="s">
        <v>215</v>
      </c>
      <c r="C17" s="4" t="s">
        <v>216</v>
      </c>
      <c r="D17" s="4" t="s">
        <v>186</v>
      </c>
      <c r="E17" s="5">
        <v>824354</v>
      </c>
      <c r="F17" s="6">
        <v>3752.4594080000002</v>
      </c>
      <c r="G17" s="7">
        <v>2.0175200000000001E-2</v>
      </c>
      <c r="H17" s="6"/>
    </row>
    <row r="18" spans="1:10" ht="17.100000000000001" customHeight="1" x14ac:dyDescent="0.2">
      <c r="A18" s="3">
        <v>12</v>
      </c>
      <c r="B18" s="4" t="s">
        <v>281</v>
      </c>
      <c r="C18" s="4" t="s">
        <v>282</v>
      </c>
      <c r="D18" s="4" t="s">
        <v>28</v>
      </c>
      <c r="E18" s="5">
        <v>163564</v>
      </c>
      <c r="F18" s="6">
        <v>3729.5045460000001</v>
      </c>
      <c r="G18" s="7">
        <v>2.0051782000000001E-2</v>
      </c>
      <c r="H18" s="6"/>
    </row>
    <row r="19" spans="1:10" ht="17.100000000000001" customHeight="1" x14ac:dyDescent="0.2">
      <c r="A19" s="3">
        <v>13</v>
      </c>
      <c r="B19" s="4" t="s">
        <v>170</v>
      </c>
      <c r="C19" s="4" t="s">
        <v>171</v>
      </c>
      <c r="D19" s="4" t="s">
        <v>28</v>
      </c>
      <c r="E19" s="5">
        <v>295191</v>
      </c>
      <c r="F19" s="6">
        <v>3649.4463329999999</v>
      </c>
      <c r="G19" s="7">
        <v>1.9621347000000001E-2</v>
      </c>
      <c r="H19" s="6"/>
    </row>
    <row r="20" spans="1:10" ht="17.100000000000001" customHeight="1" x14ac:dyDescent="0.2">
      <c r="A20" s="3">
        <v>14</v>
      </c>
      <c r="B20" s="4" t="s">
        <v>535</v>
      </c>
      <c r="C20" s="4" t="s">
        <v>536</v>
      </c>
      <c r="D20" s="4" t="s">
        <v>994</v>
      </c>
      <c r="E20" s="5">
        <v>927825</v>
      </c>
      <c r="F20" s="6">
        <v>3438.5194499999998</v>
      </c>
      <c r="G20" s="7">
        <v>1.8487292999999998E-2</v>
      </c>
      <c r="H20" s="6"/>
    </row>
    <row r="21" spans="1:10" ht="17.100000000000001" customHeight="1" x14ac:dyDescent="0.2">
      <c r="A21" s="3">
        <v>15</v>
      </c>
      <c r="B21" s="4" t="s">
        <v>392</v>
      </c>
      <c r="C21" s="4" t="s">
        <v>393</v>
      </c>
      <c r="D21" s="4" t="s">
        <v>80</v>
      </c>
      <c r="E21" s="5">
        <v>87000</v>
      </c>
      <c r="F21" s="6">
        <v>3357.069</v>
      </c>
      <c r="G21" s="7">
        <v>1.8049372000000001E-2</v>
      </c>
      <c r="H21" s="6"/>
      <c r="J21" s="169" t="s">
        <v>1150</v>
      </c>
    </row>
    <row r="22" spans="1:10" ht="17.100000000000001" customHeight="1" x14ac:dyDescent="0.2">
      <c r="A22" s="3">
        <v>16</v>
      </c>
      <c r="B22" s="4" t="s">
        <v>90</v>
      </c>
      <c r="C22" s="4" t="s">
        <v>91</v>
      </c>
      <c r="D22" s="4" t="s">
        <v>92</v>
      </c>
      <c r="E22" s="5">
        <v>699018</v>
      </c>
      <c r="F22" s="6">
        <v>3247.9871370000001</v>
      </c>
      <c r="G22" s="7">
        <v>1.7462891000000001E-2</v>
      </c>
      <c r="H22" s="6"/>
    </row>
    <row r="23" spans="1:10" ht="17.100000000000001" customHeight="1" x14ac:dyDescent="0.2">
      <c r="A23" s="3">
        <v>17</v>
      </c>
      <c r="B23" s="4" t="s">
        <v>50</v>
      </c>
      <c r="C23" s="4" t="s">
        <v>51</v>
      </c>
      <c r="D23" s="4" t="s">
        <v>19</v>
      </c>
      <c r="E23" s="5">
        <v>686000</v>
      </c>
      <c r="F23" s="6">
        <v>3211.1660000000002</v>
      </c>
      <c r="G23" s="7">
        <v>1.7264920999999999E-2</v>
      </c>
      <c r="H23" s="6"/>
    </row>
    <row r="24" spans="1:10" ht="17.100000000000001" customHeight="1" x14ac:dyDescent="0.2">
      <c r="A24" s="3">
        <v>18</v>
      </c>
      <c r="B24" s="4" t="s">
        <v>537</v>
      </c>
      <c r="C24" s="4" t="s">
        <v>538</v>
      </c>
      <c r="D24" s="4" t="s">
        <v>318</v>
      </c>
      <c r="E24" s="5">
        <v>393000</v>
      </c>
      <c r="F24" s="6">
        <v>3161.2919999999999</v>
      </c>
      <c r="G24" s="7">
        <v>1.6996772E-2</v>
      </c>
      <c r="H24" s="6"/>
    </row>
    <row r="25" spans="1:10" ht="17.100000000000001" customHeight="1" x14ac:dyDescent="0.2">
      <c r="A25" s="3">
        <v>19</v>
      </c>
      <c r="B25" s="4" t="s">
        <v>443</v>
      </c>
      <c r="C25" s="4" t="s">
        <v>444</v>
      </c>
      <c r="D25" s="4" t="s">
        <v>19</v>
      </c>
      <c r="E25" s="5">
        <v>1508000</v>
      </c>
      <c r="F25" s="6">
        <v>3091.4</v>
      </c>
      <c r="G25" s="7">
        <v>1.6620995999999999E-2</v>
      </c>
      <c r="H25" s="6"/>
    </row>
    <row r="26" spans="1:10" ht="17.100000000000001" customHeight="1" x14ac:dyDescent="0.2">
      <c r="A26" s="3">
        <v>20</v>
      </c>
      <c r="B26" s="4" t="s">
        <v>490</v>
      </c>
      <c r="C26" s="4" t="s">
        <v>491</v>
      </c>
      <c r="D26" s="4" t="s">
        <v>28</v>
      </c>
      <c r="E26" s="5">
        <v>561000</v>
      </c>
      <c r="F26" s="6">
        <v>3010.6064999999999</v>
      </c>
      <c r="G26" s="7">
        <v>1.6186606999999999E-2</v>
      </c>
      <c r="H26" s="6"/>
    </row>
    <row r="27" spans="1:10" ht="17.100000000000001" customHeight="1" x14ac:dyDescent="0.2">
      <c r="A27" s="3">
        <v>21</v>
      </c>
      <c r="B27" s="4" t="s">
        <v>539</v>
      </c>
      <c r="C27" s="4" t="s">
        <v>540</v>
      </c>
      <c r="D27" s="4" t="s">
        <v>181</v>
      </c>
      <c r="E27" s="5">
        <v>75000</v>
      </c>
      <c r="F27" s="6">
        <v>2942.1750000000002</v>
      </c>
      <c r="G27" s="7">
        <v>1.5818684E-2</v>
      </c>
      <c r="H27" s="6"/>
    </row>
    <row r="28" spans="1:10" ht="17.100000000000001" customHeight="1" x14ac:dyDescent="0.2">
      <c r="A28" s="3">
        <v>22</v>
      </c>
      <c r="B28" s="4" t="s">
        <v>78</v>
      </c>
      <c r="C28" s="4" t="s">
        <v>79</v>
      </c>
      <c r="D28" s="4" t="s">
        <v>80</v>
      </c>
      <c r="E28" s="5">
        <v>600000</v>
      </c>
      <c r="F28" s="6">
        <v>2933.1</v>
      </c>
      <c r="G28" s="7">
        <v>1.5769892000000001E-2</v>
      </c>
      <c r="H28" s="6"/>
    </row>
    <row r="29" spans="1:10" ht="17.100000000000001" customHeight="1" x14ac:dyDescent="0.2">
      <c r="A29" s="3">
        <v>23</v>
      </c>
      <c r="B29" s="4" t="s">
        <v>283</v>
      </c>
      <c r="C29" s="4" t="s">
        <v>284</v>
      </c>
      <c r="D29" s="4" t="s">
        <v>176</v>
      </c>
      <c r="E29" s="5">
        <v>372000</v>
      </c>
      <c r="F29" s="6">
        <v>2914.248</v>
      </c>
      <c r="G29" s="7">
        <v>1.5668532999999998E-2</v>
      </c>
      <c r="H29" s="6"/>
    </row>
    <row r="30" spans="1:10" ht="29.1" customHeight="1" x14ac:dyDescent="0.2">
      <c r="A30" s="3">
        <v>24</v>
      </c>
      <c r="B30" s="4" t="s">
        <v>217</v>
      </c>
      <c r="C30" s="4" t="s">
        <v>218</v>
      </c>
      <c r="D30" s="4" t="s">
        <v>219</v>
      </c>
      <c r="E30" s="5">
        <v>73000</v>
      </c>
      <c r="F30" s="6">
        <v>2864.8485000000001</v>
      </c>
      <c r="G30" s="7">
        <v>1.5402936000000001E-2</v>
      </c>
      <c r="H30" s="6"/>
    </row>
    <row r="31" spans="1:10" ht="29.1" customHeight="1" x14ac:dyDescent="0.2">
      <c r="A31" s="3">
        <v>25</v>
      </c>
      <c r="B31" s="4" t="s">
        <v>408</v>
      </c>
      <c r="C31" s="4" t="s">
        <v>409</v>
      </c>
      <c r="D31" s="4" t="s">
        <v>85</v>
      </c>
      <c r="E31" s="5">
        <v>120000</v>
      </c>
      <c r="F31" s="6">
        <v>2768.1</v>
      </c>
      <c r="G31" s="7">
        <v>1.4882764999999999E-2</v>
      </c>
      <c r="H31" s="6"/>
    </row>
    <row r="32" spans="1:10" ht="17.100000000000001" customHeight="1" x14ac:dyDescent="0.2">
      <c r="A32" s="3">
        <v>26</v>
      </c>
      <c r="B32" s="4" t="s">
        <v>541</v>
      </c>
      <c r="C32" s="4" t="s">
        <v>542</v>
      </c>
      <c r="D32" s="4" t="s">
        <v>994</v>
      </c>
      <c r="E32" s="5">
        <v>206000</v>
      </c>
      <c r="F32" s="6">
        <v>2736.9160000000002</v>
      </c>
      <c r="G32" s="7">
        <v>1.4715103E-2</v>
      </c>
      <c r="H32" s="6"/>
    </row>
    <row r="33" spans="1:8" ht="17.100000000000001" customHeight="1" x14ac:dyDescent="0.2">
      <c r="A33" s="3">
        <v>27</v>
      </c>
      <c r="B33" s="4" t="s">
        <v>486</v>
      </c>
      <c r="C33" s="4" t="s">
        <v>487</v>
      </c>
      <c r="D33" s="4" t="s">
        <v>28</v>
      </c>
      <c r="E33" s="5">
        <v>365000</v>
      </c>
      <c r="F33" s="6">
        <v>2629.8249999999998</v>
      </c>
      <c r="G33" s="7">
        <v>1.4139324999999999E-2</v>
      </c>
      <c r="H33" s="6"/>
    </row>
    <row r="34" spans="1:8" ht="17.100000000000001" customHeight="1" x14ac:dyDescent="0.2">
      <c r="A34" s="3">
        <v>28</v>
      </c>
      <c r="B34" s="4" t="s">
        <v>543</v>
      </c>
      <c r="C34" s="4" t="s">
        <v>544</v>
      </c>
      <c r="D34" s="4" t="s">
        <v>181</v>
      </c>
      <c r="E34" s="5">
        <v>380000</v>
      </c>
      <c r="F34" s="6">
        <v>2603.19</v>
      </c>
      <c r="G34" s="7">
        <v>1.3996122E-2</v>
      </c>
      <c r="H34" s="6"/>
    </row>
    <row r="35" spans="1:8" ht="17.100000000000001" customHeight="1" x14ac:dyDescent="0.2">
      <c r="A35" s="3">
        <v>29</v>
      </c>
      <c r="B35" s="4" t="s">
        <v>174</v>
      </c>
      <c r="C35" s="4" t="s">
        <v>175</v>
      </c>
      <c r="D35" s="4" t="s">
        <v>176</v>
      </c>
      <c r="E35" s="5">
        <v>243425</v>
      </c>
      <c r="F35" s="6">
        <v>2560.9527125</v>
      </c>
      <c r="G35" s="7">
        <v>1.3769032E-2</v>
      </c>
      <c r="H35" s="6"/>
    </row>
    <row r="36" spans="1:8" ht="29.1" customHeight="1" x14ac:dyDescent="0.2">
      <c r="A36" s="3">
        <v>30</v>
      </c>
      <c r="B36" s="4" t="s">
        <v>224</v>
      </c>
      <c r="C36" s="4" t="s">
        <v>225</v>
      </c>
      <c r="D36" s="4" t="s">
        <v>198</v>
      </c>
      <c r="E36" s="5">
        <v>157039</v>
      </c>
      <c r="F36" s="6">
        <v>2552.9045034999999</v>
      </c>
      <c r="G36" s="7">
        <v>1.372576E-2</v>
      </c>
      <c r="H36" s="6"/>
    </row>
    <row r="37" spans="1:8" ht="53.1" customHeight="1" x14ac:dyDescent="0.2">
      <c r="A37" s="3">
        <v>31</v>
      </c>
      <c r="B37" s="4" t="s">
        <v>86</v>
      </c>
      <c r="C37" s="4" t="s">
        <v>87</v>
      </c>
      <c r="D37" s="4" t="s">
        <v>75</v>
      </c>
      <c r="E37" s="5">
        <v>179948</v>
      </c>
      <c r="F37" s="6">
        <v>2549.233342</v>
      </c>
      <c r="G37" s="7">
        <v>1.3706022E-2</v>
      </c>
      <c r="H37" s="6"/>
    </row>
    <row r="38" spans="1:8" ht="17.100000000000001" customHeight="1" x14ac:dyDescent="0.2">
      <c r="A38" s="3">
        <v>32</v>
      </c>
      <c r="B38" s="4" t="s">
        <v>272</v>
      </c>
      <c r="C38" s="4" t="s">
        <v>273</v>
      </c>
      <c r="D38" s="4" t="s">
        <v>28</v>
      </c>
      <c r="E38" s="5">
        <v>311000</v>
      </c>
      <c r="F38" s="6">
        <v>2501.9949999999999</v>
      </c>
      <c r="G38" s="7">
        <v>1.3452044E-2</v>
      </c>
      <c r="H38" s="6"/>
    </row>
    <row r="39" spans="1:8" ht="17.100000000000001" customHeight="1" x14ac:dyDescent="0.2">
      <c r="A39" s="3">
        <v>33</v>
      </c>
      <c r="B39" s="4" t="s">
        <v>545</v>
      </c>
      <c r="C39" s="4" t="s">
        <v>1113</v>
      </c>
      <c r="D39" s="4" t="s">
        <v>396</v>
      </c>
      <c r="E39" s="5">
        <v>1138715</v>
      </c>
      <c r="F39" s="6">
        <v>2426.0323075000001</v>
      </c>
      <c r="G39" s="7">
        <v>1.3043628E-2</v>
      </c>
      <c r="H39" s="6"/>
    </row>
    <row r="40" spans="1:8" ht="29.1" customHeight="1" x14ac:dyDescent="0.2">
      <c r="A40" s="3">
        <v>34</v>
      </c>
      <c r="B40" s="4" t="s">
        <v>519</v>
      </c>
      <c r="C40" s="4" t="s">
        <v>520</v>
      </c>
      <c r="D40" s="4" t="s">
        <v>25</v>
      </c>
      <c r="E40" s="5">
        <v>231114</v>
      </c>
      <c r="F40" s="6">
        <v>2252.2059300000001</v>
      </c>
      <c r="G40" s="7">
        <v>1.2109046E-2</v>
      </c>
      <c r="H40" s="6"/>
    </row>
    <row r="41" spans="1:8" ht="17.100000000000001" customHeight="1" x14ac:dyDescent="0.2">
      <c r="A41" s="3">
        <v>35</v>
      </c>
      <c r="B41" s="4" t="s">
        <v>96</v>
      </c>
      <c r="C41" s="4" t="s">
        <v>97</v>
      </c>
      <c r="D41" s="4" t="s">
        <v>80</v>
      </c>
      <c r="E41" s="5">
        <v>84991</v>
      </c>
      <c r="F41" s="6">
        <v>2237.8130299999998</v>
      </c>
      <c r="G41" s="7">
        <v>1.2031662E-2</v>
      </c>
      <c r="H41" s="6"/>
    </row>
    <row r="42" spans="1:8" ht="17.100000000000001" customHeight="1" x14ac:dyDescent="0.2">
      <c r="A42" s="3">
        <v>36</v>
      </c>
      <c r="B42" s="4" t="s">
        <v>357</v>
      </c>
      <c r="C42" s="4" t="s">
        <v>358</v>
      </c>
      <c r="D42" s="4" t="s">
        <v>186</v>
      </c>
      <c r="E42" s="5">
        <v>400000</v>
      </c>
      <c r="F42" s="6">
        <v>2203.8000000000002</v>
      </c>
      <c r="G42" s="7">
        <v>1.184879E-2</v>
      </c>
      <c r="H42" s="6"/>
    </row>
    <row r="43" spans="1:8" ht="29.1" customHeight="1" x14ac:dyDescent="0.2">
      <c r="A43" s="3">
        <v>37</v>
      </c>
      <c r="B43" s="4" t="s">
        <v>546</v>
      </c>
      <c r="C43" s="4" t="s">
        <v>547</v>
      </c>
      <c r="D43" s="4" t="s">
        <v>198</v>
      </c>
      <c r="E43" s="5">
        <v>420000</v>
      </c>
      <c r="F43" s="6">
        <v>2099.79</v>
      </c>
      <c r="G43" s="7">
        <v>1.1289578E-2</v>
      </c>
      <c r="H43" s="6"/>
    </row>
    <row r="44" spans="1:8" ht="17.100000000000001" customHeight="1" x14ac:dyDescent="0.2">
      <c r="A44" s="3">
        <v>38</v>
      </c>
      <c r="B44" s="4" t="s">
        <v>548</v>
      </c>
      <c r="C44" s="4" t="s">
        <v>549</v>
      </c>
      <c r="D44" s="4" t="s">
        <v>80</v>
      </c>
      <c r="E44" s="5">
        <v>744000</v>
      </c>
      <c r="F44" s="6">
        <v>2082.0839999999998</v>
      </c>
      <c r="G44" s="7">
        <v>1.1194381E-2</v>
      </c>
      <c r="H44" s="6"/>
    </row>
    <row r="45" spans="1:8" ht="17.100000000000001" customHeight="1" x14ac:dyDescent="0.2">
      <c r="A45" s="3">
        <v>39</v>
      </c>
      <c r="B45" s="4" t="s">
        <v>550</v>
      </c>
      <c r="C45" s="4" t="s">
        <v>551</v>
      </c>
      <c r="D45" s="4" t="s">
        <v>181</v>
      </c>
      <c r="E45" s="5">
        <v>160942</v>
      </c>
      <c r="F45" s="6">
        <v>2023.765179</v>
      </c>
      <c r="G45" s="7">
        <v>1.0880828E-2</v>
      </c>
      <c r="H45" s="6"/>
    </row>
    <row r="46" spans="1:8" ht="17.100000000000001" customHeight="1" x14ac:dyDescent="0.2">
      <c r="A46" s="3">
        <v>40</v>
      </c>
      <c r="B46" s="4" t="s">
        <v>374</v>
      </c>
      <c r="C46" s="4" t="s">
        <v>375</v>
      </c>
      <c r="D46" s="4" t="s">
        <v>19</v>
      </c>
      <c r="E46" s="5">
        <v>144837</v>
      </c>
      <c r="F46" s="6">
        <v>2011.7135115000001</v>
      </c>
      <c r="G46" s="7">
        <v>1.0816032E-2</v>
      </c>
      <c r="H46" s="6"/>
    </row>
    <row r="47" spans="1:8" ht="17.100000000000001" customHeight="1" x14ac:dyDescent="0.2">
      <c r="A47" s="3">
        <v>41</v>
      </c>
      <c r="B47" s="4" t="s">
        <v>352</v>
      </c>
      <c r="C47" s="4" t="s">
        <v>353</v>
      </c>
      <c r="D47" s="4" t="s">
        <v>85</v>
      </c>
      <c r="E47" s="5">
        <v>312802</v>
      </c>
      <c r="F47" s="6">
        <v>1944.533633</v>
      </c>
      <c r="G47" s="7">
        <v>1.0454837999999999E-2</v>
      </c>
      <c r="H47" s="6"/>
    </row>
    <row r="48" spans="1:8" ht="17.100000000000001" customHeight="1" x14ac:dyDescent="0.2">
      <c r="A48" s="3">
        <v>42</v>
      </c>
      <c r="B48" s="4" t="s">
        <v>303</v>
      </c>
      <c r="C48" s="4" t="s">
        <v>304</v>
      </c>
      <c r="D48" s="4" t="s">
        <v>19</v>
      </c>
      <c r="E48" s="5">
        <v>1016082</v>
      </c>
      <c r="F48" s="6">
        <v>1919.886939</v>
      </c>
      <c r="G48" s="7">
        <v>1.0322324000000001E-2</v>
      </c>
      <c r="H48" s="6"/>
    </row>
    <row r="49" spans="1:8" ht="17.100000000000001" customHeight="1" x14ac:dyDescent="0.2">
      <c r="A49" s="3">
        <v>43</v>
      </c>
      <c r="B49" s="4" t="s">
        <v>552</v>
      </c>
      <c r="C49" s="4" t="s">
        <v>553</v>
      </c>
      <c r="D49" s="4" t="s">
        <v>230</v>
      </c>
      <c r="E49" s="5">
        <v>121785</v>
      </c>
      <c r="F49" s="6">
        <v>1876.2197100000001</v>
      </c>
      <c r="G49" s="7">
        <v>1.0087545999999999E-2</v>
      </c>
      <c r="H49" s="6"/>
    </row>
    <row r="50" spans="1:8" ht="17.100000000000001" customHeight="1" x14ac:dyDescent="0.2">
      <c r="A50" s="3">
        <v>44</v>
      </c>
      <c r="B50" s="4" t="s">
        <v>390</v>
      </c>
      <c r="C50" s="4" t="s">
        <v>391</v>
      </c>
      <c r="D50" s="4" t="s">
        <v>80</v>
      </c>
      <c r="E50" s="5">
        <v>314377</v>
      </c>
      <c r="F50" s="6">
        <v>1874.944428</v>
      </c>
      <c r="G50" s="7">
        <v>1.008069E-2</v>
      </c>
      <c r="H50" s="6"/>
    </row>
    <row r="51" spans="1:8" ht="17.100000000000001" customHeight="1" x14ac:dyDescent="0.2">
      <c r="A51" s="3">
        <v>45</v>
      </c>
      <c r="B51" s="4" t="s">
        <v>447</v>
      </c>
      <c r="C51" s="4" t="s">
        <v>448</v>
      </c>
      <c r="D51" s="4" t="s">
        <v>85</v>
      </c>
      <c r="E51" s="5">
        <v>30749</v>
      </c>
      <c r="F51" s="6">
        <v>1870.2003035</v>
      </c>
      <c r="G51" s="7">
        <v>1.0055183000000001E-2</v>
      </c>
      <c r="H51" s="6"/>
    </row>
    <row r="52" spans="1:8" ht="17.100000000000001" customHeight="1" x14ac:dyDescent="0.2">
      <c r="A52" s="3">
        <v>46</v>
      </c>
      <c r="B52" s="4" t="s">
        <v>480</v>
      </c>
      <c r="C52" s="4" t="s">
        <v>481</v>
      </c>
      <c r="D52" s="4" t="s">
        <v>80</v>
      </c>
      <c r="E52" s="5">
        <v>203161</v>
      </c>
      <c r="F52" s="6">
        <v>1862.9863700000001</v>
      </c>
      <c r="G52" s="7">
        <v>1.0016397E-2</v>
      </c>
      <c r="H52" s="6"/>
    </row>
    <row r="53" spans="1:8" ht="17.100000000000001" customHeight="1" x14ac:dyDescent="0.2">
      <c r="A53" s="3">
        <v>47</v>
      </c>
      <c r="B53" s="4" t="s">
        <v>441</v>
      </c>
      <c r="C53" s="4" t="s">
        <v>442</v>
      </c>
      <c r="D53" s="4" t="s">
        <v>95</v>
      </c>
      <c r="E53" s="5">
        <v>327065</v>
      </c>
      <c r="F53" s="6">
        <v>1823.0603100000001</v>
      </c>
      <c r="G53" s="7">
        <v>9.801733E-3</v>
      </c>
      <c r="H53" s="6"/>
    </row>
    <row r="54" spans="1:8" ht="29.1" customHeight="1" x14ac:dyDescent="0.2">
      <c r="A54" s="3">
        <v>48</v>
      </c>
      <c r="B54" s="4" t="s">
        <v>554</v>
      </c>
      <c r="C54" s="4" t="s">
        <v>555</v>
      </c>
      <c r="D54" s="4" t="s">
        <v>233</v>
      </c>
      <c r="E54" s="5">
        <v>450000</v>
      </c>
      <c r="F54" s="6">
        <v>1819.575</v>
      </c>
      <c r="G54" s="7">
        <v>9.7829939999999997E-3</v>
      </c>
      <c r="H54" s="6"/>
    </row>
    <row r="55" spans="1:8" ht="17.100000000000001" customHeight="1" x14ac:dyDescent="0.2">
      <c r="A55" s="3">
        <v>49</v>
      </c>
      <c r="B55" s="4" t="s">
        <v>182</v>
      </c>
      <c r="C55" s="4" t="s">
        <v>183</v>
      </c>
      <c r="D55" s="4" t="s">
        <v>80</v>
      </c>
      <c r="E55" s="5">
        <v>312601</v>
      </c>
      <c r="F55" s="6">
        <v>1794.1734395000001</v>
      </c>
      <c r="G55" s="7">
        <v>9.646422E-3</v>
      </c>
      <c r="H55" s="6"/>
    </row>
    <row r="56" spans="1:8" ht="29.1" customHeight="1" x14ac:dyDescent="0.2">
      <c r="A56" s="3">
        <v>50</v>
      </c>
      <c r="B56" s="4" t="s">
        <v>350</v>
      </c>
      <c r="C56" s="4" t="s">
        <v>351</v>
      </c>
      <c r="D56" s="4" t="s">
        <v>198</v>
      </c>
      <c r="E56" s="5">
        <v>61937</v>
      </c>
      <c r="F56" s="6">
        <v>1771.9866015</v>
      </c>
      <c r="G56" s="7">
        <v>9.5271339999999996E-3</v>
      </c>
      <c r="H56" s="6"/>
    </row>
    <row r="57" spans="1:8" ht="17.100000000000001" customHeight="1" x14ac:dyDescent="0.2">
      <c r="A57" s="3">
        <v>51</v>
      </c>
      <c r="B57" s="4" t="s">
        <v>319</v>
      </c>
      <c r="C57" s="4" t="s">
        <v>320</v>
      </c>
      <c r="D57" s="4" t="s">
        <v>19</v>
      </c>
      <c r="E57" s="5">
        <v>258000</v>
      </c>
      <c r="F57" s="6">
        <v>1767.816</v>
      </c>
      <c r="G57" s="7">
        <v>9.5047110000000008E-3</v>
      </c>
      <c r="H57" s="6"/>
    </row>
    <row r="58" spans="1:8" ht="29.1" customHeight="1" x14ac:dyDescent="0.2">
      <c r="A58" s="3">
        <v>52</v>
      </c>
      <c r="B58" s="4" t="s">
        <v>43</v>
      </c>
      <c r="C58" s="4" t="s">
        <v>44</v>
      </c>
      <c r="D58" s="4" t="s">
        <v>25</v>
      </c>
      <c r="E58" s="5">
        <v>74011</v>
      </c>
      <c r="F58" s="6">
        <v>1763.1270474999999</v>
      </c>
      <c r="G58" s="7">
        <v>9.4795000000000001E-3</v>
      </c>
      <c r="H58" s="6"/>
    </row>
    <row r="59" spans="1:8" ht="17.100000000000001" customHeight="1" x14ac:dyDescent="0.2">
      <c r="A59" s="3">
        <v>53</v>
      </c>
      <c r="B59" s="4" t="s">
        <v>401</v>
      </c>
      <c r="C59" s="4" t="s">
        <v>402</v>
      </c>
      <c r="D59" s="4" t="s">
        <v>80</v>
      </c>
      <c r="E59" s="5">
        <v>167736</v>
      </c>
      <c r="F59" s="6">
        <v>1732.461276</v>
      </c>
      <c r="G59" s="7">
        <v>9.314625E-3</v>
      </c>
      <c r="H59" s="6"/>
    </row>
    <row r="60" spans="1:8" ht="29.1" customHeight="1" x14ac:dyDescent="0.2">
      <c r="A60" s="3">
        <v>54</v>
      </c>
      <c r="B60" s="4" t="s">
        <v>265</v>
      </c>
      <c r="C60" s="4" t="s">
        <v>266</v>
      </c>
      <c r="D60" s="4" t="s">
        <v>198</v>
      </c>
      <c r="E60" s="5">
        <v>40215</v>
      </c>
      <c r="F60" s="6">
        <v>1716.5169524999999</v>
      </c>
      <c r="G60" s="7">
        <v>9.2289E-3</v>
      </c>
      <c r="H60" s="6"/>
    </row>
    <row r="61" spans="1:8" ht="17.100000000000001" customHeight="1" x14ac:dyDescent="0.2">
      <c r="A61" s="3">
        <v>55</v>
      </c>
      <c r="B61" s="4" t="s">
        <v>556</v>
      </c>
      <c r="C61" s="4" t="s">
        <v>557</v>
      </c>
      <c r="D61" s="4" t="s">
        <v>396</v>
      </c>
      <c r="E61" s="5">
        <v>158521</v>
      </c>
      <c r="F61" s="6">
        <v>1682.9381965</v>
      </c>
      <c r="G61" s="7">
        <v>9.0483630000000002E-3</v>
      </c>
      <c r="H61" s="6"/>
    </row>
    <row r="62" spans="1:8" ht="17.100000000000001" customHeight="1" x14ac:dyDescent="0.2">
      <c r="A62" s="3">
        <v>56</v>
      </c>
      <c r="B62" s="4" t="s">
        <v>558</v>
      </c>
      <c r="C62" s="4" t="s">
        <v>559</v>
      </c>
      <c r="D62" s="4" t="s">
        <v>95</v>
      </c>
      <c r="E62" s="5">
        <v>553006</v>
      </c>
      <c r="F62" s="6">
        <v>1678.649713</v>
      </c>
      <c r="G62" s="7">
        <v>9.0253060000000003E-3</v>
      </c>
      <c r="H62" s="6"/>
    </row>
    <row r="63" spans="1:8" ht="17.100000000000001" customHeight="1" x14ac:dyDescent="0.2">
      <c r="A63" s="3">
        <v>57</v>
      </c>
      <c r="B63" s="4" t="s">
        <v>321</v>
      </c>
      <c r="C63" s="4" t="s">
        <v>322</v>
      </c>
      <c r="D63" s="4" t="s">
        <v>323</v>
      </c>
      <c r="E63" s="5">
        <v>200000</v>
      </c>
      <c r="F63" s="6">
        <v>1589.4</v>
      </c>
      <c r="G63" s="7">
        <v>8.5454520000000003E-3</v>
      </c>
      <c r="H63" s="6"/>
    </row>
    <row r="64" spans="1:8" ht="17.100000000000001" customHeight="1" x14ac:dyDescent="0.2">
      <c r="A64" s="3">
        <v>58</v>
      </c>
      <c r="B64" s="4" t="s">
        <v>560</v>
      </c>
      <c r="C64" s="4" t="s">
        <v>561</v>
      </c>
      <c r="D64" s="4" t="s">
        <v>254</v>
      </c>
      <c r="E64" s="5">
        <v>250938</v>
      </c>
      <c r="F64" s="6">
        <v>1576.7689230000001</v>
      </c>
      <c r="G64" s="7">
        <v>8.4775409999999999E-3</v>
      </c>
      <c r="H64" s="6"/>
    </row>
    <row r="65" spans="1:8" ht="17.100000000000001" customHeight="1" x14ac:dyDescent="0.2">
      <c r="A65" s="3">
        <v>59</v>
      </c>
      <c r="B65" s="4" t="s">
        <v>562</v>
      </c>
      <c r="C65" s="4" t="s">
        <v>563</v>
      </c>
      <c r="D65" s="4" t="s">
        <v>181</v>
      </c>
      <c r="E65" s="5">
        <v>802540</v>
      </c>
      <c r="F65" s="6">
        <v>1562.14411</v>
      </c>
      <c r="G65" s="7">
        <v>8.3989100000000008E-3</v>
      </c>
      <c r="H65" s="6"/>
    </row>
    <row r="66" spans="1:8" ht="17.100000000000001" customHeight="1" x14ac:dyDescent="0.2">
      <c r="A66" s="3">
        <v>60</v>
      </c>
      <c r="B66" s="4" t="s">
        <v>69</v>
      </c>
      <c r="C66" s="4" t="s">
        <v>70</v>
      </c>
      <c r="D66" s="4" t="s">
        <v>13</v>
      </c>
      <c r="E66" s="5">
        <v>607033</v>
      </c>
      <c r="F66" s="6">
        <v>1487.2308499999999</v>
      </c>
      <c r="G66" s="7">
        <v>7.9961370000000004E-3</v>
      </c>
      <c r="H66" s="6"/>
    </row>
    <row r="67" spans="1:8" ht="17.100000000000001" customHeight="1" x14ac:dyDescent="0.2">
      <c r="A67" s="3">
        <v>61</v>
      </c>
      <c r="B67" s="4" t="s">
        <v>564</v>
      </c>
      <c r="C67" s="4" t="s">
        <v>565</v>
      </c>
      <c r="D67" s="4" t="s">
        <v>13</v>
      </c>
      <c r="E67" s="5">
        <v>554569</v>
      </c>
      <c r="F67" s="6">
        <v>1441.8794</v>
      </c>
      <c r="G67" s="7">
        <v>7.7523039999999998E-3</v>
      </c>
      <c r="H67" s="6"/>
    </row>
    <row r="68" spans="1:8" ht="17.100000000000001" customHeight="1" x14ac:dyDescent="0.2">
      <c r="A68" s="3">
        <v>62</v>
      </c>
      <c r="B68" s="4" t="s">
        <v>566</v>
      </c>
      <c r="C68" s="4" t="s">
        <v>567</v>
      </c>
      <c r="D68" s="4" t="s">
        <v>239</v>
      </c>
      <c r="E68" s="5">
        <v>94501</v>
      </c>
      <c r="F68" s="6">
        <v>1336.5276429999999</v>
      </c>
      <c r="G68" s="7">
        <v>7.1858770000000002E-3</v>
      </c>
      <c r="H68" s="6"/>
    </row>
    <row r="69" spans="1:8" ht="17.100000000000001" customHeight="1" x14ac:dyDescent="0.2">
      <c r="A69" s="3">
        <v>63</v>
      </c>
      <c r="B69" s="4" t="s">
        <v>249</v>
      </c>
      <c r="C69" s="4" t="s">
        <v>250</v>
      </c>
      <c r="D69" s="4" t="s">
        <v>994</v>
      </c>
      <c r="E69" s="5">
        <v>35000</v>
      </c>
      <c r="F69" s="6">
        <v>1315.9649999999999</v>
      </c>
      <c r="G69" s="7">
        <v>7.0753209999999999E-3</v>
      </c>
      <c r="H69" s="6"/>
    </row>
    <row r="70" spans="1:8" ht="17.100000000000001" customHeight="1" x14ac:dyDescent="0.2">
      <c r="A70" s="3">
        <v>64</v>
      </c>
      <c r="B70" s="4" t="s">
        <v>451</v>
      </c>
      <c r="C70" s="4" t="s">
        <v>452</v>
      </c>
      <c r="D70" s="4" t="s">
        <v>28</v>
      </c>
      <c r="E70" s="5">
        <v>179969</v>
      </c>
      <c r="F70" s="6">
        <v>1289.477885</v>
      </c>
      <c r="G70" s="7">
        <v>6.9329129999999997E-3</v>
      </c>
      <c r="H70" s="6"/>
    </row>
    <row r="71" spans="1:8" ht="17.100000000000001" customHeight="1" x14ac:dyDescent="0.2">
      <c r="A71" s="3">
        <v>65</v>
      </c>
      <c r="B71" s="4" t="s">
        <v>568</v>
      </c>
      <c r="C71" s="4" t="s">
        <v>569</v>
      </c>
      <c r="D71" s="4" t="s">
        <v>994</v>
      </c>
      <c r="E71" s="5">
        <v>15000</v>
      </c>
      <c r="F71" s="6">
        <v>1257.165</v>
      </c>
      <c r="G71" s="7">
        <v>6.7591819999999999E-3</v>
      </c>
      <c r="H71" s="6"/>
    </row>
    <row r="72" spans="1:8" ht="29.1" customHeight="1" x14ac:dyDescent="0.2">
      <c r="A72" s="3">
        <v>66</v>
      </c>
      <c r="B72" s="4" t="s">
        <v>570</v>
      </c>
      <c r="C72" s="4" t="s">
        <v>571</v>
      </c>
      <c r="D72" s="4" t="s">
        <v>219</v>
      </c>
      <c r="E72" s="5">
        <v>181328</v>
      </c>
      <c r="F72" s="6">
        <v>1246.9019920000001</v>
      </c>
      <c r="G72" s="7">
        <v>6.7040019999999997E-3</v>
      </c>
      <c r="H72" s="6"/>
    </row>
    <row r="73" spans="1:8" ht="29.1" customHeight="1" x14ac:dyDescent="0.2">
      <c r="A73" s="3">
        <v>67</v>
      </c>
      <c r="B73" s="4" t="s">
        <v>572</v>
      </c>
      <c r="C73" s="4" t="s">
        <v>573</v>
      </c>
      <c r="D73" s="4" t="s">
        <v>219</v>
      </c>
      <c r="E73" s="5">
        <v>40053</v>
      </c>
      <c r="F73" s="6">
        <v>1150.2420540000001</v>
      </c>
      <c r="G73" s="7">
        <v>6.1843080000000003E-3</v>
      </c>
      <c r="H73" s="6"/>
    </row>
    <row r="74" spans="1:8" ht="17.100000000000001" customHeight="1" x14ac:dyDescent="0.2">
      <c r="A74" s="3">
        <v>68</v>
      </c>
      <c r="B74" s="4" t="s">
        <v>457</v>
      </c>
      <c r="C74" s="4" t="s">
        <v>458</v>
      </c>
      <c r="D74" s="4" t="s">
        <v>47</v>
      </c>
      <c r="E74" s="5">
        <v>58528</v>
      </c>
      <c r="F74" s="6">
        <v>947.33420799999999</v>
      </c>
      <c r="G74" s="7">
        <v>5.093368E-3</v>
      </c>
      <c r="H74" s="6"/>
    </row>
    <row r="75" spans="1:8" ht="17.100000000000001" customHeight="1" x14ac:dyDescent="0.2">
      <c r="A75" s="3">
        <v>69</v>
      </c>
      <c r="B75" s="4" t="s">
        <v>574</v>
      </c>
      <c r="C75" s="4" t="s">
        <v>575</v>
      </c>
      <c r="D75" s="4" t="s">
        <v>80</v>
      </c>
      <c r="E75" s="5">
        <v>20905</v>
      </c>
      <c r="F75" s="6">
        <v>878.09361999999999</v>
      </c>
      <c r="G75" s="7">
        <v>4.7210940000000003E-3</v>
      </c>
      <c r="H75" s="6"/>
    </row>
    <row r="76" spans="1:8" ht="17.100000000000001" customHeight="1" x14ac:dyDescent="0.2">
      <c r="A76" s="3">
        <v>70</v>
      </c>
      <c r="B76" s="4" t="s">
        <v>576</v>
      </c>
      <c r="C76" s="4" t="s">
        <v>577</v>
      </c>
      <c r="D76" s="4" t="s">
        <v>22</v>
      </c>
      <c r="E76" s="5">
        <v>56721</v>
      </c>
      <c r="F76" s="6">
        <v>789.72648300000003</v>
      </c>
      <c r="G76" s="7">
        <v>4.2459860000000002E-3</v>
      </c>
      <c r="H76" s="6"/>
    </row>
    <row r="77" spans="1:8" ht="17.100000000000001" customHeight="1" x14ac:dyDescent="0.2">
      <c r="A77" s="3">
        <v>71</v>
      </c>
      <c r="B77" s="4" t="s">
        <v>578</v>
      </c>
      <c r="C77" s="4" t="s">
        <v>579</v>
      </c>
      <c r="D77" s="4" t="s">
        <v>80</v>
      </c>
      <c r="E77" s="5">
        <v>132900</v>
      </c>
      <c r="F77" s="6">
        <v>770.68709999999999</v>
      </c>
      <c r="G77" s="7">
        <v>4.1436199999999998E-3</v>
      </c>
      <c r="H77" s="6"/>
    </row>
    <row r="78" spans="1:8" ht="17.100000000000001" customHeight="1" x14ac:dyDescent="0.2">
      <c r="A78" s="3">
        <v>72</v>
      </c>
      <c r="B78" s="4" t="s">
        <v>580</v>
      </c>
      <c r="C78" s="4" t="s">
        <v>581</v>
      </c>
      <c r="D78" s="4" t="s">
        <v>302</v>
      </c>
      <c r="E78" s="5">
        <v>60000</v>
      </c>
      <c r="F78" s="6">
        <v>591.12</v>
      </c>
      <c r="G78" s="7">
        <v>3.1781729999999998E-3</v>
      </c>
      <c r="H78" s="6"/>
    </row>
    <row r="79" spans="1:8" ht="17.100000000000001" customHeight="1" x14ac:dyDescent="0.2">
      <c r="A79" s="3">
        <v>73</v>
      </c>
      <c r="B79" s="4" t="s">
        <v>582</v>
      </c>
      <c r="C79" s="4" t="s">
        <v>583</v>
      </c>
      <c r="D79" s="4" t="s">
        <v>80</v>
      </c>
      <c r="E79" s="5">
        <v>181545</v>
      </c>
      <c r="F79" s="6">
        <v>579.31009500000005</v>
      </c>
      <c r="G79" s="7">
        <v>3.1146759999999998E-3</v>
      </c>
      <c r="H79" s="6"/>
    </row>
    <row r="80" spans="1:8" ht="17.100000000000001" customHeight="1" x14ac:dyDescent="0.2">
      <c r="A80" s="3">
        <v>74</v>
      </c>
      <c r="B80" s="4" t="s">
        <v>584</v>
      </c>
      <c r="C80" s="4" t="s">
        <v>585</v>
      </c>
      <c r="D80" s="4" t="s">
        <v>239</v>
      </c>
      <c r="E80" s="5">
        <v>29951</v>
      </c>
      <c r="F80" s="6">
        <v>484.09801299999998</v>
      </c>
      <c r="G80" s="7">
        <v>2.6027659999999998E-3</v>
      </c>
      <c r="H80" s="6"/>
    </row>
    <row r="81" spans="1:8" ht="17.100000000000001" customHeight="1" x14ac:dyDescent="0.2">
      <c r="A81" s="3">
        <v>75</v>
      </c>
      <c r="B81" s="4" t="s">
        <v>228</v>
      </c>
      <c r="C81" s="4" t="s">
        <v>229</v>
      </c>
      <c r="D81" s="4" t="s">
        <v>230</v>
      </c>
      <c r="E81" s="5">
        <v>151430</v>
      </c>
      <c r="F81" s="6">
        <v>447.47564999999997</v>
      </c>
      <c r="G81" s="7">
        <v>2.4058650000000001E-3</v>
      </c>
      <c r="H81" s="6"/>
    </row>
    <row r="82" spans="1:8" ht="17.100000000000001" customHeight="1" x14ac:dyDescent="0.2">
      <c r="A82" s="3">
        <v>76</v>
      </c>
      <c r="B82" s="4" t="s">
        <v>586</v>
      </c>
      <c r="C82" s="4" t="s">
        <v>587</v>
      </c>
      <c r="D82" s="4" t="s">
        <v>302</v>
      </c>
      <c r="E82" s="5">
        <v>43906</v>
      </c>
      <c r="F82" s="6">
        <v>441.86998399999999</v>
      </c>
      <c r="G82" s="7">
        <v>2.3757259999999999E-3</v>
      </c>
      <c r="H82" s="6"/>
    </row>
    <row r="83" spans="1:8" ht="17.100000000000001" customHeight="1" x14ac:dyDescent="0.2">
      <c r="A83" s="3">
        <v>77</v>
      </c>
      <c r="B83" s="4" t="s">
        <v>252</v>
      </c>
      <c r="C83" s="4" t="s">
        <v>253</v>
      </c>
      <c r="D83" s="4" t="s">
        <v>254</v>
      </c>
      <c r="E83" s="5">
        <v>225280</v>
      </c>
      <c r="F83" s="6">
        <v>267.29471999999998</v>
      </c>
      <c r="G83" s="7">
        <v>1.4371169999999999E-3</v>
      </c>
      <c r="H83" s="6"/>
    </row>
    <row r="84" spans="1:8" ht="14.1" customHeight="1" x14ac:dyDescent="0.2">
      <c r="A84" s="1"/>
      <c r="B84" s="1"/>
      <c r="C84" s="2" t="s">
        <v>119</v>
      </c>
      <c r="D84" s="1"/>
      <c r="E84" s="1" t="s">
        <v>120</v>
      </c>
      <c r="F84" s="9">
        <v>179626.08878951901</v>
      </c>
      <c r="G84" s="10">
        <v>0.96576453299999998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121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122</v>
      </c>
      <c r="D89" s="1"/>
      <c r="E89" s="1"/>
      <c r="F89" s="1"/>
      <c r="G89" s="1"/>
      <c r="H89" s="6"/>
    </row>
    <row r="90" spans="1:8" ht="17.100000000000001" customHeight="1" x14ac:dyDescent="0.2">
      <c r="A90" s="3">
        <v>1</v>
      </c>
      <c r="B90" s="4" t="s">
        <v>117</v>
      </c>
      <c r="C90" s="97" t="s">
        <v>995</v>
      </c>
      <c r="D90" s="97" t="s">
        <v>996</v>
      </c>
      <c r="E90" s="5">
        <v>375961</v>
      </c>
      <c r="F90" s="6">
        <v>7.5190000000000003E-6</v>
      </c>
      <c r="G90" s="8" t="s">
        <v>118</v>
      </c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123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124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125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8" customHeight="1" x14ac:dyDescent="0.2">
      <c r="A102" s="1"/>
      <c r="B102" s="1"/>
      <c r="C102" s="2" t="s">
        <v>126</v>
      </c>
      <c r="D102" s="1"/>
      <c r="E102" s="1"/>
      <c r="F102" s="9">
        <v>179626.08878951901</v>
      </c>
      <c r="G102" s="10">
        <v>0.96576453299999998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127</v>
      </c>
      <c r="D104" s="1"/>
      <c r="E104" s="1"/>
      <c r="F104" s="12"/>
      <c r="G104" s="12"/>
      <c r="H104" s="6"/>
    </row>
    <row r="105" spans="1:8" ht="24" customHeight="1" x14ac:dyDescent="0.2">
      <c r="A105" s="1"/>
      <c r="B105" s="1"/>
      <c r="C105" s="2" t="s">
        <v>10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128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129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119</v>
      </c>
      <c r="D112" s="1"/>
      <c r="E112" s="1" t="s">
        <v>120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130</v>
      </c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119</v>
      </c>
      <c r="D115" s="1"/>
      <c r="E115" s="1" t="s">
        <v>120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131</v>
      </c>
      <c r="D117" s="1"/>
      <c r="E117" s="1"/>
      <c r="F117" s="9">
        <v>0</v>
      </c>
      <c r="G117" s="10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132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133</v>
      </c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119</v>
      </c>
      <c r="D121" s="1"/>
      <c r="E121" s="1" t="s">
        <v>120</v>
      </c>
      <c r="F121" s="13">
        <v>0</v>
      </c>
      <c r="G121" s="14">
        <v>0</v>
      </c>
      <c r="H121" s="6"/>
    </row>
    <row r="122" spans="1:8" ht="14.1" customHeight="1" x14ac:dyDescent="0.2">
      <c r="A122" s="1"/>
      <c r="B122" s="1"/>
      <c r="C122" s="11"/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134</v>
      </c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119</v>
      </c>
      <c r="D124" s="1"/>
      <c r="E124" s="1" t="s">
        <v>120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135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136</v>
      </c>
      <c r="D129" s="1"/>
      <c r="E129" s="1"/>
      <c r="F129" s="12"/>
      <c r="G129" s="12"/>
      <c r="H129" s="6"/>
    </row>
    <row r="130" spans="1:8" ht="17.100000000000001" customHeight="1" x14ac:dyDescent="0.2">
      <c r="A130" s="3">
        <v>1</v>
      </c>
      <c r="B130" s="4"/>
      <c r="C130" s="4" t="s">
        <v>137</v>
      </c>
      <c r="D130" s="4"/>
      <c r="E130" s="8"/>
      <c r="F130" s="6">
        <v>5947.6223908000002</v>
      </c>
      <c r="G130" s="7">
        <v>3.1977552999999999E-2</v>
      </c>
      <c r="H130" s="6">
        <v>4.1713246754849944</v>
      </c>
    </row>
    <row r="131" spans="1:8" ht="14.1" customHeight="1" x14ac:dyDescent="0.2">
      <c r="A131" s="1"/>
      <c r="B131" s="1"/>
      <c r="C131" s="2" t="s">
        <v>119</v>
      </c>
      <c r="D131" s="1"/>
      <c r="E131" s="1" t="s">
        <v>120</v>
      </c>
      <c r="F131" s="9">
        <v>5947.6223908000002</v>
      </c>
      <c r="G131" s="10">
        <v>3.1977552999999999E-2</v>
      </c>
      <c r="H131" s="6"/>
    </row>
    <row r="132" spans="1:8" ht="14.1" customHeight="1" x14ac:dyDescent="0.2">
      <c r="A132" s="1"/>
      <c r="B132" s="1"/>
      <c r="C132" s="11"/>
      <c r="D132" s="1"/>
      <c r="E132" s="1"/>
      <c r="F132" s="12"/>
      <c r="G132" s="12"/>
      <c r="H132" s="6"/>
    </row>
    <row r="133" spans="1:8" ht="14.1" customHeight="1" x14ac:dyDescent="0.2">
      <c r="A133" s="1"/>
      <c r="B133" s="1"/>
      <c r="C133" s="2" t="s">
        <v>138</v>
      </c>
      <c r="D133" s="1"/>
      <c r="E133" s="1"/>
      <c r="F133" s="9">
        <v>5947.6223908000002</v>
      </c>
      <c r="G133" s="10">
        <v>3.1977552999999999E-2</v>
      </c>
      <c r="H133" s="6"/>
    </row>
    <row r="134" spans="1:8" ht="14.1" customHeight="1" x14ac:dyDescent="0.2">
      <c r="A134" s="1"/>
      <c r="B134" s="1"/>
      <c r="C134" s="12"/>
      <c r="D134" s="1"/>
      <c r="E134" s="1"/>
      <c r="F134" s="1"/>
      <c r="G134" s="1"/>
      <c r="H134" s="6"/>
    </row>
    <row r="135" spans="1:8" ht="14.1" customHeight="1" x14ac:dyDescent="0.2">
      <c r="A135" s="1"/>
      <c r="B135" s="1"/>
      <c r="C135" s="2" t="s">
        <v>139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140</v>
      </c>
      <c r="D136" s="1"/>
      <c r="E136" s="1"/>
      <c r="F136" s="1"/>
      <c r="G136" s="1"/>
      <c r="H136" s="6"/>
    </row>
    <row r="137" spans="1:8" ht="14.1" customHeight="1" x14ac:dyDescent="0.2">
      <c r="A137" s="1"/>
      <c r="B137" s="1"/>
      <c r="C137" s="2" t="s">
        <v>119</v>
      </c>
      <c r="D137" s="1"/>
      <c r="E137" s="1" t="s">
        <v>120</v>
      </c>
      <c r="F137" s="13">
        <v>0</v>
      </c>
      <c r="G137" s="14">
        <v>0</v>
      </c>
      <c r="H137" s="6"/>
    </row>
    <row r="138" spans="1:8" ht="14.1" customHeight="1" x14ac:dyDescent="0.2">
      <c r="A138" s="1"/>
      <c r="B138" s="1"/>
      <c r="C138" s="11"/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141</v>
      </c>
      <c r="D139" s="1"/>
      <c r="E139" s="1"/>
      <c r="F139" s="1"/>
      <c r="G139" s="1"/>
      <c r="H139" s="6"/>
    </row>
    <row r="140" spans="1:8" ht="14.1" customHeight="1" x14ac:dyDescent="0.2">
      <c r="A140" s="1"/>
      <c r="B140" s="1"/>
      <c r="C140" s="2" t="s">
        <v>142</v>
      </c>
      <c r="D140" s="1"/>
      <c r="E140" s="1"/>
      <c r="F140" s="1"/>
      <c r="G140" s="1"/>
      <c r="H140" s="6"/>
    </row>
    <row r="141" spans="1:8" ht="14.1" customHeight="1" x14ac:dyDescent="0.2">
      <c r="A141" s="1"/>
      <c r="B141" s="1"/>
      <c r="C141" s="2" t="s">
        <v>119</v>
      </c>
      <c r="D141" s="1"/>
      <c r="E141" s="1" t="s">
        <v>120</v>
      </c>
      <c r="F141" s="13">
        <v>0</v>
      </c>
      <c r="G141" s="14">
        <v>0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8" ht="24" customHeight="1" x14ac:dyDescent="0.2">
      <c r="A144" s="1"/>
      <c r="B144" s="1"/>
      <c r="C144" s="2" t="s">
        <v>143</v>
      </c>
      <c r="D144" s="1"/>
      <c r="E144" s="1"/>
      <c r="F144" s="12"/>
      <c r="G144" s="12"/>
      <c r="H144" s="6"/>
    </row>
    <row r="145" spans="1:15" ht="14.1" customHeight="1" x14ac:dyDescent="0.2">
      <c r="A145" s="1"/>
      <c r="B145" s="1"/>
      <c r="C145" s="2" t="s">
        <v>119</v>
      </c>
      <c r="D145" s="1"/>
      <c r="E145" s="1" t="s">
        <v>120</v>
      </c>
      <c r="F145" s="13">
        <v>0</v>
      </c>
      <c r="G145" s="14">
        <v>0</v>
      </c>
      <c r="H145" s="6"/>
    </row>
    <row r="146" spans="1:15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15" ht="14.1" customHeight="1" x14ac:dyDescent="0.2">
      <c r="A147" s="1"/>
      <c r="B147" s="4"/>
      <c r="C147" s="4"/>
      <c r="D147" s="2"/>
      <c r="E147" s="1"/>
      <c r="F147" s="4"/>
      <c r="G147" s="8"/>
      <c r="H147" s="6"/>
    </row>
    <row r="148" spans="1:15" ht="18" customHeight="1" x14ac:dyDescent="0.2">
      <c r="A148" s="8"/>
      <c r="B148" s="4"/>
      <c r="C148" s="4" t="s">
        <v>144</v>
      </c>
      <c r="D148" s="4"/>
      <c r="E148" s="8"/>
      <c r="F148" s="6">
        <v>419.95767238000002</v>
      </c>
      <c r="G148" s="7">
        <v>2.2579140000000002E-3</v>
      </c>
      <c r="H148" s="6"/>
    </row>
    <row r="149" spans="1:15" ht="14.1" customHeight="1" x14ac:dyDescent="0.2">
      <c r="A149" s="11"/>
      <c r="B149" s="11"/>
      <c r="C149" s="2" t="s">
        <v>145</v>
      </c>
      <c r="D149" s="15"/>
      <c r="E149" s="15"/>
      <c r="F149" s="9">
        <v>185993.66885269902</v>
      </c>
      <c r="G149" s="10">
        <v>1</v>
      </c>
      <c r="H149" s="6"/>
    </row>
    <row r="150" spans="1:15" ht="14.1" customHeight="1" x14ac:dyDescent="0.2">
      <c r="A150" s="16"/>
      <c r="B150" s="16"/>
      <c r="C150" s="16"/>
      <c r="D150" s="17"/>
      <c r="E150" s="17"/>
      <c r="F150" s="17"/>
      <c r="G150" s="17"/>
    </row>
    <row r="151" spans="1:15" ht="17.100000000000001" customHeight="1" x14ac:dyDescent="0.2">
      <c r="A151" s="18"/>
      <c r="B151" s="267" t="s">
        <v>146</v>
      </c>
      <c r="C151" s="267"/>
      <c r="D151" s="267"/>
      <c r="E151" s="267"/>
      <c r="F151" s="267"/>
      <c r="G151" s="20"/>
    </row>
    <row r="152" spans="1:15" ht="14.1" customHeight="1" x14ac:dyDescent="0.2">
      <c r="A152" s="18"/>
      <c r="B152" s="18"/>
      <c r="C152" s="18"/>
      <c r="D152" s="20"/>
      <c r="E152" s="20"/>
      <c r="F152" s="20"/>
      <c r="G152" s="20"/>
    </row>
    <row r="153" spans="1:15" ht="14.1" customHeight="1" x14ac:dyDescent="0.2">
      <c r="A153" s="18"/>
      <c r="B153" s="265" t="s">
        <v>147</v>
      </c>
      <c r="C153" s="266"/>
      <c r="D153" s="12" t="s">
        <v>120</v>
      </c>
      <c r="E153" s="21"/>
      <c r="F153" s="20"/>
      <c r="G153" s="20"/>
    </row>
    <row r="154" spans="1:15" ht="29.1" customHeight="1" x14ac:dyDescent="0.2">
      <c r="A154" s="18"/>
      <c r="B154" s="272" t="s">
        <v>148</v>
      </c>
      <c r="C154" s="273"/>
      <c r="D154" s="2" t="s">
        <v>149</v>
      </c>
      <c r="E154" s="21"/>
      <c r="F154" s="20"/>
      <c r="G154" s="20"/>
    </row>
    <row r="155" spans="1:15" ht="17.100000000000001" customHeight="1" x14ac:dyDescent="0.2">
      <c r="A155" s="18"/>
      <c r="B155" s="274" t="s">
        <v>997</v>
      </c>
      <c r="C155" s="275"/>
      <c r="D155" s="98" t="s">
        <v>998</v>
      </c>
      <c r="E155" s="21"/>
      <c r="F155" s="20"/>
      <c r="G155" s="20"/>
    </row>
    <row r="156" spans="1:15" ht="17.100000000000001" customHeight="1" x14ac:dyDescent="0.2">
      <c r="A156" s="18"/>
      <c r="B156" s="272" t="s">
        <v>151</v>
      </c>
      <c r="C156" s="273"/>
      <c r="D156" s="12" t="s">
        <v>120</v>
      </c>
      <c r="E156" s="21"/>
      <c r="F156" s="20"/>
      <c r="G156" s="20"/>
    </row>
    <row r="157" spans="1:15" ht="24" customHeight="1" x14ac:dyDescent="0.2">
      <c r="A157" s="22"/>
      <c r="B157" s="23" t="s">
        <v>120</v>
      </c>
      <c r="C157" s="23" t="s">
        <v>152</v>
      </c>
      <c r="D157" s="23" t="s">
        <v>153</v>
      </c>
      <c r="E157" s="22"/>
      <c r="F157" s="22"/>
      <c r="G157" s="22"/>
      <c r="J157" s="170"/>
      <c r="K157" s="170"/>
      <c r="L157" s="170"/>
      <c r="M157" s="170"/>
      <c r="N157" s="170"/>
      <c r="O157" s="170"/>
    </row>
    <row r="158" spans="1:15" ht="18" customHeight="1" x14ac:dyDescent="0.2">
      <c r="A158" s="22"/>
      <c r="B158" s="23" t="s">
        <v>154</v>
      </c>
      <c r="C158" s="23" t="s">
        <v>155</v>
      </c>
      <c r="D158" s="23" t="s">
        <v>156</v>
      </c>
      <c r="E158" s="22"/>
      <c r="F158" s="22"/>
      <c r="G158" s="22"/>
    </row>
    <row r="159" spans="1:15" ht="17.100000000000001" customHeight="1" x14ac:dyDescent="0.2">
      <c r="A159" s="22"/>
      <c r="B159" s="4" t="s">
        <v>157</v>
      </c>
      <c r="C159" s="24">
        <v>153.6765</v>
      </c>
      <c r="D159" s="24">
        <v>143.08500000000001</v>
      </c>
      <c r="E159" s="22"/>
      <c r="F159" s="19"/>
      <c r="G159" s="25"/>
    </row>
    <row r="160" spans="1:15" ht="17.100000000000001" customHeight="1" x14ac:dyDescent="0.2">
      <c r="A160" s="22"/>
      <c r="B160" s="4" t="s">
        <v>1120</v>
      </c>
      <c r="C160" s="24">
        <v>26.9329</v>
      </c>
      <c r="D160" s="24">
        <v>25.0763</v>
      </c>
      <c r="E160" s="22"/>
      <c r="F160" s="19"/>
      <c r="G160" s="25"/>
    </row>
    <row r="161" spans="1:7" ht="17.100000000000001" customHeight="1" x14ac:dyDescent="0.2">
      <c r="A161" s="22"/>
      <c r="B161" s="4" t="s">
        <v>158</v>
      </c>
      <c r="C161" s="24">
        <v>143.93049999999999</v>
      </c>
      <c r="D161" s="24">
        <v>133.8674</v>
      </c>
      <c r="E161" s="22"/>
      <c r="F161" s="19"/>
      <c r="G161" s="25"/>
    </row>
    <row r="162" spans="1:7" ht="17.100000000000001" customHeight="1" x14ac:dyDescent="0.2">
      <c r="A162" s="22"/>
      <c r="B162" s="4" t="s">
        <v>1121</v>
      </c>
      <c r="C162" s="24">
        <v>24.549700000000001</v>
      </c>
      <c r="D162" s="24">
        <v>22.833300000000001</v>
      </c>
      <c r="E162" s="22"/>
      <c r="F162" s="19"/>
      <c r="G162" s="25"/>
    </row>
    <row r="163" spans="1:7" ht="14.1" customHeight="1" x14ac:dyDescent="0.2">
      <c r="A163" s="22"/>
      <c r="B163" s="22"/>
      <c r="C163" s="22"/>
      <c r="D163" s="22"/>
      <c r="E163" s="22"/>
      <c r="F163" s="22"/>
      <c r="G163" s="22"/>
    </row>
    <row r="164" spans="1:7" ht="17.100000000000001" customHeight="1" x14ac:dyDescent="0.2">
      <c r="A164" s="22"/>
      <c r="B164" s="272" t="s">
        <v>1122</v>
      </c>
      <c r="C164" s="273"/>
      <c r="D164" s="2" t="s">
        <v>149</v>
      </c>
      <c r="E164" s="22"/>
      <c r="F164" s="22"/>
      <c r="G164" s="22"/>
    </row>
    <row r="165" spans="1:7" ht="14.1" customHeight="1" x14ac:dyDescent="0.2">
      <c r="A165" s="22"/>
      <c r="B165" s="19"/>
      <c r="C165" s="19"/>
      <c r="D165" s="22"/>
      <c r="E165" s="22"/>
      <c r="F165" s="22"/>
      <c r="G165" s="22"/>
    </row>
    <row r="166" spans="1:7" ht="29.1" customHeight="1" x14ac:dyDescent="0.2">
      <c r="A166" s="22"/>
      <c r="B166" s="272" t="s">
        <v>160</v>
      </c>
      <c r="C166" s="273"/>
      <c r="D166" s="2" t="s">
        <v>149</v>
      </c>
      <c r="E166" s="22"/>
      <c r="F166" s="22"/>
      <c r="G166" s="22"/>
    </row>
    <row r="167" spans="1:7" ht="29.1" customHeight="1" x14ac:dyDescent="0.2">
      <c r="A167" s="22"/>
      <c r="B167" s="272" t="s">
        <v>161</v>
      </c>
      <c r="C167" s="273"/>
      <c r="D167" s="2" t="s">
        <v>149</v>
      </c>
      <c r="E167" s="22"/>
      <c r="F167" s="22"/>
      <c r="G167" s="22"/>
    </row>
    <row r="168" spans="1:7" ht="17.100000000000001" customHeight="1" x14ac:dyDescent="0.2">
      <c r="A168" s="22"/>
      <c r="B168" s="272" t="s">
        <v>162</v>
      </c>
      <c r="C168" s="273"/>
      <c r="D168" s="27">
        <v>0.55181385820574769</v>
      </c>
      <c r="E168" s="22"/>
      <c r="F168" s="19"/>
      <c r="G168" s="25"/>
    </row>
    <row r="169" spans="1:7" ht="17.100000000000001" customHeight="1" x14ac:dyDescent="0.2">
      <c r="A169" s="22"/>
      <c r="B169" s="272" t="s">
        <v>163</v>
      </c>
      <c r="C169" s="273"/>
      <c r="D169" s="2" t="s">
        <v>149</v>
      </c>
      <c r="E169" s="22"/>
      <c r="F169" s="22"/>
      <c r="G169" s="22"/>
    </row>
  </sheetData>
  <mergeCells count="14">
    <mergeCell ref="B168:C168"/>
    <mergeCell ref="B169:C169"/>
    <mergeCell ref="B154:C154"/>
    <mergeCell ref="B155:C155"/>
    <mergeCell ref="B156:C156"/>
    <mergeCell ref="B164:C164"/>
    <mergeCell ref="B166:C166"/>
    <mergeCell ref="B167:C167"/>
    <mergeCell ref="J2:N2"/>
    <mergeCell ref="B153:C153"/>
    <mergeCell ref="B151:F15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C772-EDDB-440F-B43F-2F7F4B7BA79E}">
  <sheetPr>
    <outlinePr summaryBelow="0" summaryRight="0"/>
  </sheetPr>
  <dimension ref="A1:P221"/>
  <sheetViews>
    <sheetView showGridLines="0" workbookViewId="0">
      <selection sqref="A1:I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8" max="8" width="10.7109375" bestFit="1" customWidth="1"/>
    <col min="9" max="10" width="9.28515625" customWidth="1"/>
    <col min="11" max="16" width="9.140625" style="103"/>
  </cols>
  <sheetData>
    <row r="1" spans="1:16" ht="18" customHeight="1" x14ac:dyDescent="0.2">
      <c r="A1" s="288" t="s">
        <v>0</v>
      </c>
      <c r="B1" s="288"/>
      <c r="C1" s="288"/>
      <c r="D1" s="288"/>
      <c r="E1" s="288"/>
      <c r="F1" s="288"/>
      <c r="G1" s="288"/>
      <c r="H1" s="288"/>
      <c r="I1" s="288"/>
    </row>
    <row r="2" spans="1:16" ht="17.100000000000001" customHeight="1" x14ac:dyDescent="0.2">
      <c r="A2" s="288" t="s">
        <v>1131</v>
      </c>
      <c r="B2" s="289"/>
      <c r="C2" s="289"/>
      <c r="D2" s="289"/>
      <c r="E2" s="289"/>
      <c r="F2" s="289"/>
      <c r="G2" s="289"/>
      <c r="H2" s="289"/>
      <c r="I2" s="289"/>
      <c r="K2" s="264" t="s">
        <v>1142</v>
      </c>
      <c r="L2" s="264"/>
      <c r="M2" s="264"/>
      <c r="N2" s="264"/>
      <c r="O2" s="264"/>
    </row>
    <row r="3" spans="1:16" ht="21" customHeight="1" x14ac:dyDescent="0.2">
      <c r="A3" s="288" t="s">
        <v>1130</v>
      </c>
      <c r="B3" s="288"/>
      <c r="C3" s="288"/>
      <c r="D3" s="288"/>
      <c r="E3" s="288"/>
      <c r="F3" s="288"/>
      <c r="G3" s="288"/>
      <c r="H3" s="288"/>
      <c r="I3" s="288"/>
    </row>
    <row r="4" spans="1:16" s="166" customFormat="1" ht="45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  <c r="I4" s="164" t="s">
        <v>1115</v>
      </c>
      <c r="K4" s="171"/>
      <c r="L4" s="171"/>
      <c r="M4" s="171"/>
      <c r="N4" s="171"/>
      <c r="O4" s="171"/>
      <c r="P4" s="171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  <c r="I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  <c r="I6" s="6"/>
    </row>
    <row r="7" spans="1:16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2221500</v>
      </c>
      <c r="F7" s="6">
        <v>16724.562750000001</v>
      </c>
      <c r="G7" s="7">
        <v>5.6938781000000001E-2</v>
      </c>
      <c r="H7" s="6"/>
      <c r="I7" s="6"/>
    </row>
    <row r="8" spans="1:16" ht="17.100000000000001" customHeight="1" x14ac:dyDescent="0.2">
      <c r="A8" s="3">
        <v>2</v>
      </c>
      <c r="B8" s="4" t="s">
        <v>406</v>
      </c>
      <c r="C8" s="4" t="s">
        <v>407</v>
      </c>
      <c r="D8" s="4" t="s">
        <v>994</v>
      </c>
      <c r="E8" s="5">
        <v>1066958</v>
      </c>
      <c r="F8" s="6">
        <v>16042.780488</v>
      </c>
      <c r="G8" s="7">
        <v>5.4617653000000002E-2</v>
      </c>
      <c r="H8" s="6"/>
      <c r="I8" s="6"/>
    </row>
    <row r="9" spans="1:16" ht="17.100000000000001" customHeight="1" x14ac:dyDescent="0.2">
      <c r="A9" s="3">
        <v>3</v>
      </c>
      <c r="B9" s="4" t="s">
        <v>374</v>
      </c>
      <c r="C9" s="4" t="s">
        <v>375</v>
      </c>
      <c r="D9" s="4" t="s">
        <v>19</v>
      </c>
      <c r="E9" s="5">
        <v>1073578</v>
      </c>
      <c r="F9" s="6">
        <v>14911.461631</v>
      </c>
      <c r="G9" s="7">
        <v>5.0766077999999999E-2</v>
      </c>
      <c r="H9" s="6"/>
      <c r="I9" s="6"/>
    </row>
    <row r="10" spans="1:16" ht="17.100000000000001" customHeight="1" x14ac:dyDescent="0.2">
      <c r="A10" s="3">
        <v>4</v>
      </c>
      <c r="B10" s="4" t="s">
        <v>14</v>
      </c>
      <c r="C10" s="4" t="s">
        <v>15</v>
      </c>
      <c r="D10" s="4" t="s">
        <v>16</v>
      </c>
      <c r="E10" s="5">
        <v>525000</v>
      </c>
      <c r="F10" s="6">
        <v>13821.4125</v>
      </c>
      <c r="G10" s="7">
        <v>4.7055004999999997E-2</v>
      </c>
      <c r="H10" s="6"/>
      <c r="I10" s="6"/>
    </row>
    <row r="11" spans="1:16" ht="29.1" customHeight="1" x14ac:dyDescent="0.2">
      <c r="A11" s="3">
        <v>5</v>
      </c>
      <c r="B11" s="4" t="s">
        <v>414</v>
      </c>
      <c r="C11" s="4" t="s">
        <v>415</v>
      </c>
      <c r="D11" s="4" t="s">
        <v>198</v>
      </c>
      <c r="E11" s="5">
        <v>1275000</v>
      </c>
      <c r="F11" s="6">
        <v>10972.65</v>
      </c>
      <c r="G11" s="7">
        <v>3.7356392000000002E-2</v>
      </c>
      <c r="H11" s="6"/>
      <c r="I11" s="6"/>
    </row>
    <row r="12" spans="1:16" ht="17.100000000000001" customHeight="1" x14ac:dyDescent="0.2">
      <c r="A12" s="3">
        <v>6</v>
      </c>
      <c r="B12" s="4" t="s">
        <v>20</v>
      </c>
      <c r="C12" s="4" t="s">
        <v>21</v>
      </c>
      <c r="D12" s="4" t="s">
        <v>22</v>
      </c>
      <c r="E12" s="5">
        <v>1391966</v>
      </c>
      <c r="F12" s="6">
        <v>9746.5459320000009</v>
      </c>
      <c r="G12" s="7">
        <v>3.3182120000000002E-2</v>
      </c>
      <c r="H12" s="6"/>
      <c r="I12" s="6"/>
      <c r="K12" s="169" t="s">
        <v>1151</v>
      </c>
    </row>
    <row r="13" spans="1:16" ht="29.1" customHeight="1" x14ac:dyDescent="0.2">
      <c r="A13" s="3">
        <v>7</v>
      </c>
      <c r="B13" s="4" t="s">
        <v>408</v>
      </c>
      <c r="C13" s="4" t="s">
        <v>409</v>
      </c>
      <c r="D13" s="4" t="s">
        <v>85</v>
      </c>
      <c r="E13" s="5">
        <v>412159</v>
      </c>
      <c r="F13" s="6">
        <v>9507.4777324999995</v>
      </c>
      <c r="G13" s="7">
        <v>3.2368212E-2</v>
      </c>
      <c r="H13" s="6"/>
      <c r="I13" s="6"/>
    </row>
    <row r="14" spans="1:16" ht="17.100000000000001" customHeight="1" x14ac:dyDescent="0.2">
      <c r="A14" s="3">
        <v>8</v>
      </c>
      <c r="B14" s="4" t="s">
        <v>11</v>
      </c>
      <c r="C14" s="4" t="s">
        <v>12</v>
      </c>
      <c r="D14" s="4" t="s">
        <v>13</v>
      </c>
      <c r="E14" s="5">
        <v>459609</v>
      </c>
      <c r="F14" s="6">
        <v>7604.2309050000003</v>
      </c>
      <c r="G14" s="7">
        <v>2.5888608E-2</v>
      </c>
      <c r="H14" s="6"/>
      <c r="I14" s="6"/>
    </row>
    <row r="15" spans="1:16" ht="17.100000000000001" customHeight="1" x14ac:dyDescent="0.2">
      <c r="A15" s="3">
        <v>9</v>
      </c>
      <c r="B15" s="4" t="s">
        <v>50</v>
      </c>
      <c r="C15" s="4" t="s">
        <v>51</v>
      </c>
      <c r="D15" s="4" t="s">
        <v>19</v>
      </c>
      <c r="E15" s="5">
        <v>1447996</v>
      </c>
      <c r="F15" s="6">
        <v>6778.0692760000002</v>
      </c>
      <c r="G15" s="7">
        <v>2.307594E-2</v>
      </c>
      <c r="H15" s="6"/>
      <c r="I15" s="6"/>
    </row>
    <row r="16" spans="1:16" ht="17.100000000000001" customHeight="1" x14ac:dyDescent="0.2">
      <c r="A16" s="3">
        <v>10</v>
      </c>
      <c r="B16" s="4" t="s">
        <v>630</v>
      </c>
      <c r="C16" s="4" t="s">
        <v>631</v>
      </c>
      <c r="D16" s="4" t="s">
        <v>318</v>
      </c>
      <c r="E16" s="5">
        <v>674416</v>
      </c>
      <c r="F16" s="6">
        <v>5458.7231039999997</v>
      </c>
      <c r="G16" s="7">
        <v>1.8584224999999999E-2</v>
      </c>
      <c r="H16" s="6"/>
      <c r="I16" s="6"/>
    </row>
    <row r="17" spans="1:9" ht="17.100000000000001" customHeight="1" x14ac:dyDescent="0.2">
      <c r="A17" s="3">
        <v>11</v>
      </c>
      <c r="B17" s="4" t="s">
        <v>319</v>
      </c>
      <c r="C17" s="4" t="s">
        <v>320</v>
      </c>
      <c r="D17" s="4" t="s">
        <v>19</v>
      </c>
      <c r="E17" s="5">
        <v>738925</v>
      </c>
      <c r="F17" s="6">
        <v>5063.1140999999998</v>
      </c>
      <c r="G17" s="7">
        <v>1.7237374E-2</v>
      </c>
      <c r="H17" s="6"/>
      <c r="I17" s="6"/>
    </row>
    <row r="18" spans="1:9" ht="17.100000000000001" customHeight="1" x14ac:dyDescent="0.2">
      <c r="A18" s="3">
        <v>12</v>
      </c>
      <c r="B18" s="4" t="s">
        <v>316</v>
      </c>
      <c r="C18" s="4" t="s">
        <v>317</v>
      </c>
      <c r="D18" s="4" t="s">
        <v>318</v>
      </c>
      <c r="E18" s="5">
        <v>418314</v>
      </c>
      <c r="F18" s="6">
        <v>4419.4874099999997</v>
      </c>
      <c r="G18" s="7">
        <v>1.5046146999999999E-2</v>
      </c>
      <c r="H18" s="6"/>
      <c r="I18" s="6"/>
    </row>
    <row r="19" spans="1:9" ht="29.1" customHeight="1" x14ac:dyDescent="0.2">
      <c r="A19" s="3">
        <v>13</v>
      </c>
      <c r="B19" s="4" t="s">
        <v>350</v>
      </c>
      <c r="C19" s="4" t="s">
        <v>351</v>
      </c>
      <c r="D19" s="4" t="s">
        <v>198</v>
      </c>
      <c r="E19" s="5">
        <v>151887</v>
      </c>
      <c r="F19" s="6">
        <v>4345.4111265000001</v>
      </c>
      <c r="G19" s="7">
        <v>1.4793954E-2</v>
      </c>
      <c r="H19" s="6"/>
      <c r="I19" s="6"/>
    </row>
    <row r="20" spans="1:9" ht="29.1" customHeight="1" x14ac:dyDescent="0.2">
      <c r="A20" s="3">
        <v>14</v>
      </c>
      <c r="B20" s="4" t="s">
        <v>521</v>
      </c>
      <c r="C20" s="4" t="s">
        <v>522</v>
      </c>
      <c r="D20" s="4" t="s">
        <v>198</v>
      </c>
      <c r="E20" s="5">
        <v>429652</v>
      </c>
      <c r="F20" s="6">
        <v>4266.2295340000001</v>
      </c>
      <c r="G20" s="7">
        <v>1.452438E-2</v>
      </c>
      <c r="H20" s="6"/>
      <c r="I20" s="6"/>
    </row>
    <row r="21" spans="1:9" ht="17.100000000000001" customHeight="1" x14ac:dyDescent="0.2">
      <c r="A21" s="3">
        <v>15</v>
      </c>
      <c r="B21" s="4" t="s">
        <v>204</v>
      </c>
      <c r="C21" s="4" t="s">
        <v>205</v>
      </c>
      <c r="D21" s="4" t="s">
        <v>85</v>
      </c>
      <c r="E21" s="5">
        <v>515226</v>
      </c>
      <c r="F21" s="6">
        <v>4008.4582799999998</v>
      </c>
      <c r="G21" s="7">
        <v>1.3646798E-2</v>
      </c>
      <c r="H21" s="6"/>
      <c r="I21" s="6"/>
    </row>
    <row r="22" spans="1:9" ht="17.100000000000001" customHeight="1" x14ac:dyDescent="0.2">
      <c r="A22" s="3">
        <v>16</v>
      </c>
      <c r="B22" s="4" t="s">
        <v>412</v>
      </c>
      <c r="C22" s="4" t="s">
        <v>413</v>
      </c>
      <c r="D22" s="4" t="s">
        <v>323</v>
      </c>
      <c r="E22" s="5">
        <v>326255</v>
      </c>
      <c r="F22" s="6">
        <v>3830.7230825000001</v>
      </c>
      <c r="G22" s="7">
        <v>1.3041697999999999E-2</v>
      </c>
      <c r="H22" s="6"/>
      <c r="I22" s="6"/>
    </row>
    <row r="23" spans="1:9" ht="29.1" customHeight="1" x14ac:dyDescent="0.2">
      <c r="A23" s="3">
        <v>17</v>
      </c>
      <c r="B23" s="4" t="s">
        <v>382</v>
      </c>
      <c r="C23" s="4" t="s">
        <v>383</v>
      </c>
      <c r="D23" s="4" t="s">
        <v>233</v>
      </c>
      <c r="E23" s="5">
        <v>485098</v>
      </c>
      <c r="F23" s="6">
        <v>3685.5320550000001</v>
      </c>
      <c r="G23" s="7">
        <v>1.2547396000000001E-2</v>
      </c>
      <c r="H23" s="6"/>
      <c r="I23" s="6"/>
    </row>
    <row r="24" spans="1:9" ht="17.100000000000001" customHeight="1" x14ac:dyDescent="0.2">
      <c r="A24" s="3">
        <v>18</v>
      </c>
      <c r="B24" s="4" t="s">
        <v>384</v>
      </c>
      <c r="C24" s="4" t="s">
        <v>385</v>
      </c>
      <c r="D24" s="4" t="s">
        <v>28</v>
      </c>
      <c r="E24" s="5">
        <v>203487</v>
      </c>
      <c r="F24" s="6">
        <v>3520.2233565000001</v>
      </c>
      <c r="G24" s="7">
        <v>1.1984602E-2</v>
      </c>
      <c r="H24" s="6"/>
      <c r="I24" s="6"/>
    </row>
    <row r="25" spans="1:9" ht="53.1" customHeight="1" x14ac:dyDescent="0.2">
      <c r="A25" s="3">
        <v>19</v>
      </c>
      <c r="B25" s="4" t="s">
        <v>73</v>
      </c>
      <c r="C25" s="4" t="s">
        <v>74</v>
      </c>
      <c r="D25" s="4" t="s">
        <v>75</v>
      </c>
      <c r="E25" s="5">
        <v>2496366</v>
      </c>
      <c r="F25" s="6">
        <v>3432.5032500000002</v>
      </c>
      <c r="G25" s="7">
        <v>1.1685958999999999E-2</v>
      </c>
      <c r="H25" s="6"/>
      <c r="I25" s="6"/>
    </row>
    <row r="26" spans="1:9" ht="17.100000000000001" customHeight="1" x14ac:dyDescent="0.2">
      <c r="A26" s="3">
        <v>20</v>
      </c>
      <c r="B26" s="4" t="s">
        <v>380</v>
      </c>
      <c r="C26" s="4" t="s">
        <v>381</v>
      </c>
      <c r="D26" s="4" t="s">
        <v>85</v>
      </c>
      <c r="E26" s="5">
        <v>26250</v>
      </c>
      <c r="F26" s="6">
        <v>3395.1750000000002</v>
      </c>
      <c r="G26" s="7">
        <v>1.1558875E-2</v>
      </c>
      <c r="H26" s="6"/>
      <c r="I26" s="6"/>
    </row>
    <row r="27" spans="1:9" ht="29.1" customHeight="1" x14ac:dyDescent="0.2">
      <c r="A27" s="3">
        <v>21</v>
      </c>
      <c r="B27" s="4" t="s">
        <v>729</v>
      </c>
      <c r="C27" s="4" t="s">
        <v>730</v>
      </c>
      <c r="D27" s="4" t="s">
        <v>369</v>
      </c>
      <c r="E27" s="5">
        <v>22304</v>
      </c>
      <c r="F27" s="6">
        <v>3082.1786080000002</v>
      </c>
      <c r="G27" s="7">
        <v>1.0493278E-2</v>
      </c>
      <c r="H27" s="6"/>
      <c r="I27" s="6"/>
    </row>
    <row r="28" spans="1:9" ht="17.100000000000001" customHeight="1" x14ac:dyDescent="0.2">
      <c r="A28" s="3">
        <v>22</v>
      </c>
      <c r="B28" s="4" t="s">
        <v>461</v>
      </c>
      <c r="C28" s="4" t="s">
        <v>462</v>
      </c>
      <c r="D28" s="4" t="s">
        <v>396</v>
      </c>
      <c r="E28" s="5">
        <v>38124</v>
      </c>
      <c r="F28" s="6">
        <v>3037.0912739999999</v>
      </c>
      <c r="G28" s="7">
        <v>1.0339779E-2</v>
      </c>
      <c r="H28" s="6"/>
      <c r="I28" s="6"/>
    </row>
    <row r="29" spans="1:9" ht="17.100000000000001" customHeight="1" x14ac:dyDescent="0.2">
      <c r="A29" s="3">
        <v>23</v>
      </c>
      <c r="B29" s="4" t="s">
        <v>312</v>
      </c>
      <c r="C29" s="4" t="s">
        <v>313</v>
      </c>
      <c r="D29" s="4" t="s">
        <v>254</v>
      </c>
      <c r="E29" s="5">
        <v>6015</v>
      </c>
      <c r="F29" s="6">
        <v>2718.4221075</v>
      </c>
      <c r="G29" s="7">
        <v>9.2548690000000006E-3</v>
      </c>
      <c r="H29" s="6"/>
      <c r="I29" s="6"/>
    </row>
    <row r="30" spans="1:9" ht="17.100000000000001" customHeight="1" x14ac:dyDescent="0.2">
      <c r="A30" s="3">
        <v>24</v>
      </c>
      <c r="B30" s="4" t="s">
        <v>429</v>
      </c>
      <c r="C30" s="4" t="s">
        <v>430</v>
      </c>
      <c r="D30" s="4" t="s">
        <v>19</v>
      </c>
      <c r="E30" s="5">
        <v>290005</v>
      </c>
      <c r="F30" s="6">
        <v>2699.5115424999999</v>
      </c>
      <c r="G30" s="7">
        <v>9.1904880000000001E-3</v>
      </c>
      <c r="H30" s="6"/>
      <c r="I30" s="6"/>
    </row>
    <row r="31" spans="1:9" ht="17.100000000000001" customHeight="1" x14ac:dyDescent="0.2">
      <c r="A31" s="3">
        <v>25</v>
      </c>
      <c r="B31" s="4" t="s">
        <v>410</v>
      </c>
      <c r="C31" s="4" t="s">
        <v>411</v>
      </c>
      <c r="D31" s="4" t="s">
        <v>994</v>
      </c>
      <c r="E31" s="5">
        <v>75601</v>
      </c>
      <c r="F31" s="6">
        <v>2543.4822435000001</v>
      </c>
      <c r="G31" s="7">
        <v>8.6592860000000004E-3</v>
      </c>
      <c r="H31" s="6"/>
      <c r="I31" s="6"/>
    </row>
    <row r="32" spans="1:9" ht="17.100000000000001" customHeight="1" x14ac:dyDescent="0.2">
      <c r="A32" s="3">
        <v>26</v>
      </c>
      <c r="B32" s="4" t="s">
        <v>215</v>
      </c>
      <c r="C32" s="4" t="s">
        <v>216</v>
      </c>
      <c r="D32" s="4" t="s">
        <v>186</v>
      </c>
      <c r="E32" s="5">
        <v>552800</v>
      </c>
      <c r="F32" s="6">
        <v>2516.3456000000001</v>
      </c>
      <c r="G32" s="7">
        <v>8.5669000000000006E-3</v>
      </c>
      <c r="H32" s="6"/>
      <c r="I32" s="6"/>
    </row>
    <row r="33" spans="1:9" ht="17.100000000000001" customHeight="1" x14ac:dyDescent="0.2">
      <c r="A33" s="3">
        <v>27</v>
      </c>
      <c r="B33" s="4" t="s">
        <v>93</v>
      </c>
      <c r="C33" s="4" t="s">
        <v>94</v>
      </c>
      <c r="D33" s="4" t="s">
        <v>95</v>
      </c>
      <c r="E33" s="5">
        <v>107625</v>
      </c>
      <c r="F33" s="6">
        <v>2476.0207500000001</v>
      </c>
      <c r="G33" s="7">
        <v>8.4296140000000002E-3</v>
      </c>
      <c r="H33" s="6"/>
      <c r="I33" s="6"/>
    </row>
    <row r="34" spans="1:9" ht="17.100000000000001" customHeight="1" x14ac:dyDescent="0.2">
      <c r="A34" s="3">
        <v>28</v>
      </c>
      <c r="B34" s="4" t="s">
        <v>602</v>
      </c>
      <c r="C34" s="4" t="s">
        <v>603</v>
      </c>
      <c r="D34" s="4" t="s">
        <v>396</v>
      </c>
      <c r="E34" s="5">
        <v>59604</v>
      </c>
      <c r="F34" s="6">
        <v>2303.1581639999999</v>
      </c>
      <c r="G34" s="7">
        <v>7.8411030000000003E-3</v>
      </c>
      <c r="H34" s="6"/>
      <c r="I34" s="6"/>
    </row>
    <row r="35" spans="1:9" ht="17.100000000000001" customHeight="1" x14ac:dyDescent="0.2">
      <c r="A35" s="3">
        <v>29</v>
      </c>
      <c r="B35" s="4" t="s">
        <v>421</v>
      </c>
      <c r="C35" s="4" t="s">
        <v>422</v>
      </c>
      <c r="D35" s="4" t="s">
        <v>994</v>
      </c>
      <c r="E35" s="5">
        <v>455339</v>
      </c>
      <c r="F35" s="6">
        <v>2176.7480894999999</v>
      </c>
      <c r="G35" s="7">
        <v>7.4107399999999999E-3</v>
      </c>
      <c r="H35" s="6"/>
      <c r="I35" s="6"/>
    </row>
    <row r="36" spans="1:9" ht="29.1" customHeight="1" x14ac:dyDescent="0.2">
      <c r="A36" s="3">
        <v>30</v>
      </c>
      <c r="B36" s="4" t="s">
        <v>192</v>
      </c>
      <c r="C36" s="4" t="s">
        <v>193</v>
      </c>
      <c r="D36" s="4" t="s">
        <v>80</v>
      </c>
      <c r="E36" s="5">
        <v>601183</v>
      </c>
      <c r="F36" s="6">
        <v>2172.9759534999998</v>
      </c>
      <c r="G36" s="7">
        <v>7.397898E-3</v>
      </c>
      <c r="H36" s="6"/>
      <c r="I36" s="6"/>
    </row>
    <row r="37" spans="1:9" ht="17.100000000000001" customHeight="1" x14ac:dyDescent="0.2">
      <c r="A37" s="3">
        <v>31</v>
      </c>
      <c r="B37" s="4" t="s">
        <v>109</v>
      </c>
      <c r="C37" s="4" t="s">
        <v>110</v>
      </c>
      <c r="D37" s="4" t="s">
        <v>54</v>
      </c>
      <c r="E37" s="5">
        <v>520094</v>
      </c>
      <c r="F37" s="6">
        <v>1966.995508</v>
      </c>
      <c r="G37" s="7">
        <v>6.6966370000000001E-3</v>
      </c>
      <c r="H37" s="6"/>
      <c r="I37" s="6"/>
    </row>
    <row r="38" spans="1:9" ht="29.1" customHeight="1" x14ac:dyDescent="0.2">
      <c r="A38" s="3">
        <v>32</v>
      </c>
      <c r="B38" s="4" t="s">
        <v>83</v>
      </c>
      <c r="C38" s="4" t="s">
        <v>84</v>
      </c>
      <c r="D38" s="4" t="s">
        <v>85</v>
      </c>
      <c r="E38" s="5">
        <v>268716</v>
      </c>
      <c r="F38" s="6">
        <v>1826.1939359999999</v>
      </c>
      <c r="G38" s="7">
        <v>6.2172779999999997E-3</v>
      </c>
      <c r="H38" s="6"/>
      <c r="I38" s="6"/>
    </row>
    <row r="39" spans="1:9" ht="17.100000000000001" customHeight="1" x14ac:dyDescent="0.2">
      <c r="A39" s="3">
        <v>33</v>
      </c>
      <c r="B39" s="4" t="s">
        <v>423</v>
      </c>
      <c r="C39" s="4" t="s">
        <v>424</v>
      </c>
      <c r="D39" s="4" t="s">
        <v>396</v>
      </c>
      <c r="E39" s="5">
        <v>175000</v>
      </c>
      <c r="F39" s="6">
        <v>1810.1125</v>
      </c>
      <c r="G39" s="7">
        <v>6.1625289999999999E-3</v>
      </c>
      <c r="H39" s="6"/>
      <c r="I39" s="6"/>
    </row>
    <row r="40" spans="1:9" ht="17.100000000000001" customHeight="1" x14ac:dyDescent="0.2">
      <c r="A40" s="3">
        <v>34</v>
      </c>
      <c r="B40" s="4" t="s">
        <v>445</v>
      </c>
      <c r="C40" s="4" t="s">
        <v>446</v>
      </c>
      <c r="D40" s="4" t="s">
        <v>248</v>
      </c>
      <c r="E40" s="5">
        <v>73067</v>
      </c>
      <c r="F40" s="6">
        <v>1773.5187575</v>
      </c>
      <c r="G40" s="7">
        <v>6.0379450000000003E-3</v>
      </c>
      <c r="H40" s="6"/>
      <c r="I40" s="6"/>
    </row>
    <row r="41" spans="1:9" ht="17.100000000000001" customHeight="1" x14ac:dyDescent="0.2">
      <c r="A41" s="3">
        <v>35</v>
      </c>
      <c r="B41" s="4" t="s">
        <v>435</v>
      </c>
      <c r="C41" s="4" t="s">
        <v>436</v>
      </c>
      <c r="D41" s="4" t="s">
        <v>437</v>
      </c>
      <c r="E41" s="5">
        <v>381012</v>
      </c>
      <c r="F41" s="6">
        <v>1609.9662060000001</v>
      </c>
      <c r="G41" s="7">
        <v>5.4811310000000002E-3</v>
      </c>
      <c r="H41" s="6"/>
      <c r="I41" s="6"/>
    </row>
    <row r="42" spans="1:9" ht="17.100000000000001" customHeight="1" x14ac:dyDescent="0.2">
      <c r="A42" s="3">
        <v>36</v>
      </c>
      <c r="B42" s="4" t="s">
        <v>303</v>
      </c>
      <c r="C42" s="4" t="s">
        <v>304</v>
      </c>
      <c r="D42" s="4" t="s">
        <v>19</v>
      </c>
      <c r="E42" s="5">
        <v>747453</v>
      </c>
      <c r="F42" s="6">
        <v>1412.3124435</v>
      </c>
      <c r="G42" s="7">
        <v>4.8082180000000004E-3</v>
      </c>
      <c r="H42" s="6"/>
      <c r="I42" s="6"/>
    </row>
    <row r="43" spans="1:9" ht="29.1" customHeight="1" x14ac:dyDescent="0.2">
      <c r="A43" s="3">
        <v>37</v>
      </c>
      <c r="B43" s="4" t="s">
        <v>310</v>
      </c>
      <c r="C43" s="4" t="s">
        <v>311</v>
      </c>
      <c r="D43" s="4" t="s">
        <v>219</v>
      </c>
      <c r="E43" s="5">
        <v>57030</v>
      </c>
      <c r="F43" s="6">
        <v>1405.247715</v>
      </c>
      <c r="G43" s="7">
        <v>4.7841660000000003E-3</v>
      </c>
      <c r="H43" s="6"/>
      <c r="I43" s="6"/>
    </row>
    <row r="44" spans="1:9" ht="17.100000000000001" customHeight="1" x14ac:dyDescent="0.2">
      <c r="A44" s="3">
        <v>38</v>
      </c>
      <c r="B44" s="4" t="s">
        <v>29</v>
      </c>
      <c r="C44" s="4" t="s">
        <v>30</v>
      </c>
      <c r="D44" s="4" t="s">
        <v>31</v>
      </c>
      <c r="E44" s="5">
        <v>900000</v>
      </c>
      <c r="F44" s="6">
        <v>1404</v>
      </c>
      <c r="G44" s="7">
        <v>4.7799189999999997E-3</v>
      </c>
      <c r="H44" s="6"/>
      <c r="I44" s="6"/>
    </row>
    <row r="45" spans="1:9" ht="17.100000000000001" customHeight="1" x14ac:dyDescent="0.2">
      <c r="A45" s="3">
        <v>39</v>
      </c>
      <c r="B45" s="4" t="s">
        <v>447</v>
      </c>
      <c r="C45" s="4" t="s">
        <v>448</v>
      </c>
      <c r="D45" s="4" t="s">
        <v>85</v>
      </c>
      <c r="E45" s="5">
        <v>21606</v>
      </c>
      <c r="F45" s="6">
        <v>1314.1093289999999</v>
      </c>
      <c r="G45" s="7">
        <v>4.4738859999999998E-3</v>
      </c>
      <c r="H45" s="6"/>
      <c r="I45" s="6"/>
    </row>
    <row r="46" spans="1:9" ht="29.1" customHeight="1" x14ac:dyDescent="0.2">
      <c r="A46" s="3">
        <v>40</v>
      </c>
      <c r="B46" s="4" t="s">
        <v>23</v>
      </c>
      <c r="C46" s="4" t="s">
        <v>24</v>
      </c>
      <c r="D46" s="4" t="s">
        <v>25</v>
      </c>
      <c r="E46" s="5">
        <v>21379</v>
      </c>
      <c r="F46" s="6">
        <v>1300.399054</v>
      </c>
      <c r="G46" s="7">
        <v>4.4272089999999997E-3</v>
      </c>
      <c r="H46" s="6"/>
      <c r="I46" s="6"/>
    </row>
    <row r="47" spans="1:9" ht="29.1" customHeight="1" x14ac:dyDescent="0.2">
      <c r="A47" s="3">
        <v>41</v>
      </c>
      <c r="B47" s="4" t="s">
        <v>189</v>
      </c>
      <c r="C47" s="4" t="s">
        <v>190</v>
      </c>
      <c r="D47" s="4" t="s">
        <v>191</v>
      </c>
      <c r="E47" s="5">
        <v>171598</v>
      </c>
      <c r="F47" s="6">
        <v>1208.1357190000001</v>
      </c>
      <c r="G47" s="7">
        <v>4.1130990000000003E-3</v>
      </c>
      <c r="H47" s="6"/>
      <c r="I47" s="6"/>
    </row>
    <row r="48" spans="1:9" ht="17.100000000000001" customHeight="1" x14ac:dyDescent="0.2">
      <c r="A48" s="3">
        <v>42</v>
      </c>
      <c r="B48" s="4" t="s">
        <v>370</v>
      </c>
      <c r="C48" s="4" t="s">
        <v>371</v>
      </c>
      <c r="D48" s="4" t="s">
        <v>203</v>
      </c>
      <c r="E48" s="5">
        <v>452752</v>
      </c>
      <c r="F48" s="6">
        <v>1144.7834319999999</v>
      </c>
      <c r="G48" s="7">
        <v>3.8974159999999999E-3</v>
      </c>
      <c r="H48" s="6"/>
      <c r="I48" s="6"/>
    </row>
    <row r="49" spans="1:9" ht="51" x14ac:dyDescent="0.2">
      <c r="A49" s="3">
        <v>43</v>
      </c>
      <c r="B49" s="4" t="s">
        <v>86</v>
      </c>
      <c r="C49" s="4" t="s">
        <v>87</v>
      </c>
      <c r="D49" s="4" t="s">
        <v>75</v>
      </c>
      <c r="E49" s="5">
        <v>80000</v>
      </c>
      <c r="F49" s="6">
        <v>1133.32</v>
      </c>
      <c r="G49" s="7">
        <v>3.8583879999999999E-3</v>
      </c>
      <c r="H49" s="6"/>
      <c r="I49" s="6"/>
    </row>
    <row r="50" spans="1:9" ht="17.100000000000001" customHeight="1" x14ac:dyDescent="0.2">
      <c r="A50" s="3">
        <v>44</v>
      </c>
      <c r="B50" s="4" t="s">
        <v>443</v>
      </c>
      <c r="C50" s="4" t="s">
        <v>444</v>
      </c>
      <c r="D50" s="4" t="s">
        <v>19</v>
      </c>
      <c r="E50" s="5">
        <v>530000</v>
      </c>
      <c r="F50" s="6">
        <v>1086.5</v>
      </c>
      <c r="G50" s="7">
        <v>3.6989900000000001E-3</v>
      </c>
      <c r="H50" s="6"/>
      <c r="I50" s="6"/>
    </row>
    <row r="51" spans="1:9" ht="17.100000000000001" customHeight="1" x14ac:dyDescent="0.2">
      <c r="A51" s="3">
        <v>45</v>
      </c>
      <c r="B51" s="4" t="s">
        <v>431</v>
      </c>
      <c r="C51" s="4" t="s">
        <v>432</v>
      </c>
      <c r="D51" s="4" t="s">
        <v>19</v>
      </c>
      <c r="E51" s="5">
        <v>56873</v>
      </c>
      <c r="F51" s="6">
        <v>1050.3590005000001</v>
      </c>
      <c r="G51" s="7">
        <v>3.5759479999999998E-3</v>
      </c>
      <c r="H51" s="6"/>
      <c r="I51" s="6"/>
    </row>
    <row r="52" spans="1:9" ht="17.100000000000001" customHeight="1" x14ac:dyDescent="0.2">
      <c r="A52" s="3">
        <v>46</v>
      </c>
      <c r="B52" s="4" t="s">
        <v>332</v>
      </c>
      <c r="C52" s="4" t="s">
        <v>333</v>
      </c>
      <c r="D52" s="4" t="s">
        <v>239</v>
      </c>
      <c r="E52" s="5">
        <v>24177</v>
      </c>
      <c r="F52" s="6">
        <v>962.07536100000004</v>
      </c>
      <c r="G52" s="7">
        <v>3.2753859999999999E-3</v>
      </c>
      <c r="H52" s="6"/>
      <c r="I52" s="6"/>
    </row>
    <row r="53" spans="1:9" ht="17.100000000000001" customHeight="1" x14ac:dyDescent="0.2">
      <c r="A53" s="3">
        <v>47</v>
      </c>
      <c r="B53" s="4" t="s">
        <v>277</v>
      </c>
      <c r="C53" s="4" t="s">
        <v>278</v>
      </c>
      <c r="D53" s="4" t="s">
        <v>92</v>
      </c>
      <c r="E53" s="5">
        <v>79865</v>
      </c>
      <c r="F53" s="6">
        <v>931.94468500000005</v>
      </c>
      <c r="G53" s="7">
        <v>3.1728059999999998E-3</v>
      </c>
      <c r="H53" s="6"/>
      <c r="I53" s="6"/>
    </row>
    <row r="54" spans="1:9" ht="29.1" customHeight="1" x14ac:dyDescent="0.2">
      <c r="A54" s="3">
        <v>48</v>
      </c>
      <c r="B54" s="4" t="s">
        <v>359</v>
      </c>
      <c r="C54" s="4" t="s">
        <v>360</v>
      </c>
      <c r="D54" s="4" t="s">
        <v>356</v>
      </c>
      <c r="E54" s="5">
        <v>32045</v>
      </c>
      <c r="F54" s="6">
        <v>883.91325749999999</v>
      </c>
      <c r="G54" s="7">
        <v>3.0092830000000002E-3</v>
      </c>
      <c r="H54" s="6"/>
      <c r="I54" s="6"/>
    </row>
    <row r="55" spans="1:9" ht="17.100000000000001" customHeight="1" x14ac:dyDescent="0.2">
      <c r="A55" s="3">
        <v>49</v>
      </c>
      <c r="B55" s="4" t="s">
        <v>686</v>
      </c>
      <c r="C55" s="4" t="s">
        <v>687</v>
      </c>
      <c r="D55" s="4" t="s">
        <v>369</v>
      </c>
      <c r="E55" s="5">
        <v>109291</v>
      </c>
      <c r="F55" s="6">
        <v>838.20732450000003</v>
      </c>
      <c r="G55" s="7">
        <v>2.8536770000000002E-3</v>
      </c>
      <c r="H55" s="6"/>
      <c r="I55" s="6"/>
    </row>
    <row r="56" spans="1:9" ht="29.1" customHeight="1" x14ac:dyDescent="0.2">
      <c r="A56" s="3">
        <v>50</v>
      </c>
      <c r="B56" s="4" t="s">
        <v>55</v>
      </c>
      <c r="C56" s="4" t="s">
        <v>56</v>
      </c>
      <c r="D56" s="4" t="s">
        <v>57</v>
      </c>
      <c r="E56" s="5">
        <v>109708</v>
      </c>
      <c r="F56" s="6">
        <v>811.67463799999996</v>
      </c>
      <c r="G56" s="7">
        <v>2.7633470000000002E-3</v>
      </c>
      <c r="H56" s="6"/>
      <c r="I56" s="6"/>
    </row>
    <row r="57" spans="1:9" ht="17.100000000000001" customHeight="1" x14ac:dyDescent="0.2">
      <c r="A57" s="3">
        <v>51</v>
      </c>
      <c r="B57" s="4" t="s">
        <v>388</v>
      </c>
      <c r="C57" s="4" t="s">
        <v>389</v>
      </c>
      <c r="D57" s="4" t="s">
        <v>95</v>
      </c>
      <c r="E57" s="5">
        <v>84824</v>
      </c>
      <c r="F57" s="6">
        <v>782.33175200000005</v>
      </c>
      <c r="G57" s="7">
        <v>2.663449E-3</v>
      </c>
      <c r="H57" s="6"/>
      <c r="I57" s="6"/>
    </row>
    <row r="58" spans="1:9" ht="17.100000000000001" customHeight="1" x14ac:dyDescent="0.2">
      <c r="A58" s="3">
        <v>52</v>
      </c>
      <c r="B58" s="4" t="s">
        <v>419</v>
      </c>
      <c r="C58" s="4" t="s">
        <v>420</v>
      </c>
      <c r="D58" s="4" t="s">
        <v>994</v>
      </c>
      <c r="E58" s="5">
        <v>74693</v>
      </c>
      <c r="F58" s="6">
        <v>777.36739750000004</v>
      </c>
      <c r="G58" s="7">
        <v>2.6465479999999999E-3</v>
      </c>
      <c r="H58" s="6"/>
      <c r="I58" s="6"/>
    </row>
    <row r="59" spans="1:9" ht="17.100000000000001" customHeight="1" x14ac:dyDescent="0.2">
      <c r="A59" s="3">
        <v>53</v>
      </c>
      <c r="B59" s="4" t="s">
        <v>475</v>
      </c>
      <c r="C59" s="4" t="s">
        <v>476</v>
      </c>
      <c r="D59" s="4" t="s">
        <v>323</v>
      </c>
      <c r="E59" s="5">
        <v>92820</v>
      </c>
      <c r="F59" s="6">
        <v>753.04866000000004</v>
      </c>
      <c r="G59" s="7">
        <v>2.563755E-3</v>
      </c>
      <c r="H59" s="6"/>
      <c r="I59" s="6"/>
    </row>
    <row r="60" spans="1:9" ht="17.100000000000001" customHeight="1" x14ac:dyDescent="0.2">
      <c r="A60" s="3">
        <v>54</v>
      </c>
      <c r="B60" s="4" t="s">
        <v>453</v>
      </c>
      <c r="C60" s="4" t="s">
        <v>454</v>
      </c>
      <c r="D60" s="4" t="s">
        <v>396</v>
      </c>
      <c r="E60" s="5">
        <v>53471</v>
      </c>
      <c r="F60" s="6">
        <v>237.17062050000001</v>
      </c>
      <c r="G60" s="7">
        <v>8.0744699999999998E-4</v>
      </c>
      <c r="H60" s="6"/>
      <c r="I60" s="6"/>
    </row>
    <row r="61" spans="1:9" ht="17.100000000000001" customHeight="1" x14ac:dyDescent="0.2">
      <c r="A61" s="3">
        <v>55</v>
      </c>
      <c r="B61" s="4" t="s">
        <v>438</v>
      </c>
      <c r="C61" s="4" t="s">
        <v>1057</v>
      </c>
      <c r="D61" s="4" t="s">
        <v>22</v>
      </c>
      <c r="E61" s="5">
        <v>53340</v>
      </c>
      <c r="F61" s="6">
        <v>177.00879</v>
      </c>
      <c r="G61" s="7">
        <v>6.02627E-4</v>
      </c>
      <c r="H61" s="6"/>
      <c r="I61" s="6"/>
    </row>
    <row r="62" spans="1:9" ht="14.1" customHeight="1" x14ac:dyDescent="0.2">
      <c r="A62" s="1"/>
      <c r="B62" s="1"/>
      <c r="C62" s="2" t="s">
        <v>119</v>
      </c>
      <c r="D62" s="1"/>
      <c r="E62" s="1" t="s">
        <v>120</v>
      </c>
      <c r="F62" s="9">
        <v>205861.40193199995</v>
      </c>
      <c r="G62" s="10">
        <v>0.70085523600000033</v>
      </c>
      <c r="H62" s="6"/>
      <c r="I62" s="6"/>
    </row>
    <row r="63" spans="1:9" ht="14.1" customHeight="1" x14ac:dyDescent="0.2">
      <c r="A63" s="1"/>
      <c r="B63" s="1"/>
      <c r="C63" s="11"/>
      <c r="D63" s="1"/>
      <c r="E63" s="1"/>
      <c r="F63" s="12"/>
      <c r="G63" s="12"/>
      <c r="H63" s="6"/>
      <c r="I63" s="6"/>
    </row>
    <row r="64" spans="1:9" ht="14.1" customHeight="1" x14ac:dyDescent="0.2">
      <c r="A64" s="1"/>
      <c r="B64" s="1"/>
      <c r="C64" s="2" t="s">
        <v>121</v>
      </c>
      <c r="D64" s="1"/>
      <c r="E64" s="1"/>
      <c r="F64" s="1"/>
      <c r="G64" s="1"/>
      <c r="H64" s="6"/>
      <c r="I64" s="6"/>
    </row>
    <row r="65" spans="1:9" ht="14.1" customHeight="1" x14ac:dyDescent="0.2">
      <c r="A65" s="1"/>
      <c r="B65" s="1"/>
      <c r="C65" s="2" t="s">
        <v>119</v>
      </c>
      <c r="D65" s="1"/>
      <c r="E65" s="1" t="s">
        <v>120</v>
      </c>
      <c r="F65" s="13">
        <v>0</v>
      </c>
      <c r="G65" s="14">
        <v>0</v>
      </c>
      <c r="H65" s="6"/>
      <c r="I65" s="6"/>
    </row>
    <row r="66" spans="1:9" ht="14.1" customHeight="1" x14ac:dyDescent="0.2">
      <c r="A66" s="1"/>
      <c r="B66" s="1"/>
      <c r="C66" s="11"/>
      <c r="D66" s="1"/>
      <c r="E66" s="1"/>
      <c r="F66" s="12"/>
      <c r="G66" s="12"/>
      <c r="H66" s="6"/>
      <c r="I66" s="6"/>
    </row>
    <row r="67" spans="1:9" ht="14.1" customHeight="1" x14ac:dyDescent="0.2">
      <c r="A67" s="1"/>
      <c r="B67" s="1"/>
      <c r="C67" s="2" t="s">
        <v>122</v>
      </c>
      <c r="D67" s="1"/>
      <c r="E67" s="1"/>
      <c r="F67" s="1"/>
      <c r="G67" s="1"/>
      <c r="H67" s="6"/>
      <c r="I67" s="6"/>
    </row>
    <row r="68" spans="1:9" ht="17.100000000000001" customHeight="1" x14ac:dyDescent="0.2">
      <c r="A68" s="3">
        <v>1</v>
      </c>
      <c r="B68" s="4" t="s">
        <v>668</v>
      </c>
      <c r="C68" s="4" t="s">
        <v>1060</v>
      </c>
      <c r="D68" s="110" t="s">
        <v>186</v>
      </c>
      <c r="E68" s="5">
        <v>30579</v>
      </c>
      <c r="F68" s="6">
        <v>1.9142454</v>
      </c>
      <c r="G68" s="8" t="s">
        <v>118</v>
      </c>
      <c r="H68" s="6"/>
      <c r="I68" s="6"/>
    </row>
    <row r="69" spans="1:9" ht="14.1" customHeight="1" x14ac:dyDescent="0.2">
      <c r="A69" s="1"/>
      <c r="B69" s="1"/>
      <c r="C69" s="2" t="s">
        <v>119</v>
      </c>
      <c r="D69" s="1"/>
      <c r="E69" s="1" t="s">
        <v>120</v>
      </c>
      <c r="F69" s="13">
        <v>1.9142454</v>
      </c>
      <c r="G69" s="14">
        <v>0</v>
      </c>
      <c r="H69" s="6"/>
      <c r="I69" s="6"/>
    </row>
    <row r="70" spans="1:9" ht="14.1" customHeight="1" x14ac:dyDescent="0.2">
      <c r="A70" s="1"/>
      <c r="B70" s="1"/>
      <c r="C70" s="11"/>
      <c r="D70" s="1"/>
      <c r="E70" s="1"/>
      <c r="F70" s="12"/>
      <c r="G70" s="12"/>
      <c r="H70" s="6"/>
      <c r="I70" s="6"/>
    </row>
    <row r="71" spans="1:9" ht="14.1" customHeight="1" x14ac:dyDescent="0.2">
      <c r="A71" s="1"/>
      <c r="B71" s="1"/>
      <c r="C71" s="2" t="s">
        <v>123</v>
      </c>
      <c r="D71" s="1"/>
      <c r="E71" s="1"/>
      <c r="F71" s="1"/>
      <c r="G71" s="1"/>
      <c r="H71" s="6"/>
      <c r="I71" s="6"/>
    </row>
    <row r="72" spans="1:9" ht="14.1" customHeight="1" x14ac:dyDescent="0.2">
      <c r="A72" s="1"/>
      <c r="B72" s="1"/>
      <c r="C72" s="2" t="s">
        <v>119</v>
      </c>
      <c r="D72" s="1"/>
      <c r="E72" s="1" t="s">
        <v>120</v>
      </c>
      <c r="F72" s="9">
        <v>0</v>
      </c>
      <c r="G72" s="10">
        <v>0</v>
      </c>
      <c r="H72" s="6"/>
      <c r="I72" s="6"/>
    </row>
    <row r="73" spans="1:9" ht="14.1" customHeight="1" x14ac:dyDescent="0.2">
      <c r="A73" s="1"/>
      <c r="B73" s="1"/>
      <c r="C73" s="11"/>
      <c r="D73" s="1"/>
      <c r="E73" s="1"/>
      <c r="F73" s="12"/>
      <c r="G73" s="12"/>
      <c r="H73" s="6"/>
      <c r="I73" s="6"/>
    </row>
    <row r="74" spans="1:9" ht="14.1" customHeight="1" x14ac:dyDescent="0.2">
      <c r="A74" s="1"/>
      <c r="B74" s="1"/>
      <c r="C74" s="2" t="s">
        <v>124</v>
      </c>
      <c r="D74" s="1"/>
      <c r="E74" s="1"/>
      <c r="F74" s="12"/>
      <c r="G74" s="12"/>
      <c r="H74" s="6"/>
      <c r="I74" s="6"/>
    </row>
    <row r="75" spans="1:9" ht="14.1" customHeight="1" x14ac:dyDescent="0.2">
      <c r="A75" s="1"/>
      <c r="B75" s="1"/>
      <c r="C75" s="2" t="s">
        <v>119</v>
      </c>
      <c r="D75" s="1"/>
      <c r="E75" s="1" t="s">
        <v>120</v>
      </c>
      <c r="F75" s="13">
        <v>0</v>
      </c>
      <c r="G75" s="14">
        <v>0</v>
      </c>
      <c r="H75" s="6"/>
      <c r="I75" s="6"/>
    </row>
    <row r="76" spans="1:9" ht="14.1" customHeight="1" x14ac:dyDescent="0.2">
      <c r="A76" s="1"/>
      <c r="B76" s="1"/>
      <c r="C76" s="11"/>
      <c r="D76" s="1"/>
      <c r="E76" s="1"/>
      <c r="F76" s="12"/>
      <c r="G76" s="12"/>
      <c r="H76" s="6"/>
      <c r="I76" s="6"/>
    </row>
    <row r="77" spans="1:9" ht="14.1" customHeight="1" x14ac:dyDescent="0.2">
      <c r="A77" s="1"/>
      <c r="B77" s="1"/>
      <c r="C77" s="2" t="s">
        <v>125</v>
      </c>
      <c r="D77" s="1"/>
      <c r="E77" s="1"/>
      <c r="F77" s="12"/>
      <c r="G77" s="12"/>
      <c r="H77" s="6"/>
      <c r="I77" s="6"/>
    </row>
    <row r="78" spans="1:9" ht="14.1" customHeight="1" x14ac:dyDescent="0.2">
      <c r="A78" s="1"/>
      <c r="B78" s="1"/>
      <c r="C78" s="2" t="s">
        <v>119</v>
      </c>
      <c r="D78" s="1"/>
      <c r="E78" s="1" t="s">
        <v>120</v>
      </c>
      <c r="F78" s="13">
        <v>0</v>
      </c>
      <c r="G78" s="14">
        <v>0</v>
      </c>
      <c r="H78" s="6"/>
      <c r="I78" s="6"/>
    </row>
    <row r="79" spans="1:9" ht="14.1" customHeight="1" x14ac:dyDescent="0.2">
      <c r="A79" s="1"/>
      <c r="B79" s="1"/>
      <c r="C79" s="11"/>
      <c r="D79" s="1"/>
      <c r="E79" s="1"/>
      <c r="F79" s="12"/>
      <c r="G79" s="12"/>
      <c r="H79" s="6"/>
      <c r="I79" s="6"/>
    </row>
    <row r="80" spans="1:9" ht="18" customHeight="1" x14ac:dyDescent="0.2">
      <c r="A80" s="1"/>
      <c r="B80" s="1"/>
      <c r="C80" s="2" t="s">
        <v>126</v>
      </c>
      <c r="D80" s="1"/>
      <c r="E80" s="1"/>
      <c r="F80" s="9">
        <v>205863.31617739995</v>
      </c>
      <c r="G80" s="10">
        <v>0.70085523600000033</v>
      </c>
      <c r="H80" s="6"/>
      <c r="I80" s="6"/>
    </row>
    <row r="81" spans="1:9" ht="14.1" customHeight="1" x14ac:dyDescent="0.2">
      <c r="A81" s="1"/>
      <c r="B81" s="1"/>
      <c r="C81" s="11"/>
      <c r="D81" s="1"/>
      <c r="E81" s="1"/>
      <c r="F81" s="12"/>
      <c r="G81" s="12"/>
      <c r="H81" s="6"/>
      <c r="I81" s="6"/>
    </row>
    <row r="82" spans="1:9" ht="14.1" customHeight="1" x14ac:dyDescent="0.2">
      <c r="A82" s="1"/>
      <c r="B82" s="1"/>
      <c r="C82" s="2" t="s">
        <v>127</v>
      </c>
      <c r="D82" s="1"/>
      <c r="E82" s="1"/>
      <c r="F82" s="12"/>
      <c r="G82" s="12"/>
      <c r="H82" s="6"/>
      <c r="I82" s="6"/>
    </row>
    <row r="83" spans="1:9" ht="24" customHeight="1" x14ac:dyDescent="0.2">
      <c r="A83" s="1"/>
      <c r="B83" s="1"/>
      <c r="C83" s="2" t="s">
        <v>10</v>
      </c>
      <c r="D83" s="1"/>
      <c r="E83" s="1"/>
      <c r="F83" s="12"/>
      <c r="G83" s="12"/>
      <c r="H83" s="6"/>
      <c r="I83" s="6"/>
    </row>
    <row r="84" spans="1:9" ht="29.1" customHeight="1" x14ac:dyDescent="0.2">
      <c r="A84" s="3">
        <v>1</v>
      </c>
      <c r="B84" s="4" t="s">
        <v>860</v>
      </c>
      <c r="C84" s="4" t="s">
        <v>861</v>
      </c>
      <c r="D84" s="4" t="s">
        <v>653</v>
      </c>
      <c r="E84" s="5">
        <v>400</v>
      </c>
      <c r="F84" s="6">
        <v>3994.4279999999999</v>
      </c>
      <c r="G84" s="7">
        <v>1.3599032E-2</v>
      </c>
      <c r="H84" s="6">
        <v>5.28</v>
      </c>
      <c r="I84" s="6"/>
    </row>
    <row r="85" spans="1:9" ht="29.1" customHeight="1" x14ac:dyDescent="0.2">
      <c r="A85" s="3">
        <v>2</v>
      </c>
      <c r="B85" s="4" t="s">
        <v>862</v>
      </c>
      <c r="C85" s="4" t="s">
        <v>863</v>
      </c>
      <c r="D85" s="4" t="s">
        <v>642</v>
      </c>
      <c r="E85" s="5">
        <v>250</v>
      </c>
      <c r="F85" s="6">
        <v>2510.1224999999999</v>
      </c>
      <c r="G85" s="7">
        <v>8.5457129999999999E-3</v>
      </c>
      <c r="H85" s="6">
        <v>5.3049999999999997</v>
      </c>
      <c r="I85" s="6"/>
    </row>
    <row r="86" spans="1:9" ht="29.1" customHeight="1" x14ac:dyDescent="0.2">
      <c r="A86" s="3">
        <v>3</v>
      </c>
      <c r="B86" s="4" t="s">
        <v>864</v>
      </c>
      <c r="C86" s="4" t="s">
        <v>865</v>
      </c>
      <c r="D86" s="4" t="s">
        <v>623</v>
      </c>
      <c r="E86" s="5">
        <v>250</v>
      </c>
      <c r="F86" s="6">
        <v>2508.7874999999999</v>
      </c>
      <c r="G86" s="7">
        <v>8.541168E-3</v>
      </c>
      <c r="H86" s="6">
        <v>6.37</v>
      </c>
      <c r="I86" s="6"/>
    </row>
    <row r="87" spans="1:9" ht="38.25" x14ac:dyDescent="0.2">
      <c r="A87" s="3">
        <v>4</v>
      </c>
      <c r="B87" s="110" t="s">
        <v>866</v>
      </c>
      <c r="C87" s="4" t="s">
        <v>1118</v>
      </c>
      <c r="D87" s="4" t="s">
        <v>867</v>
      </c>
      <c r="E87" s="5">
        <v>250</v>
      </c>
      <c r="F87" s="6">
        <v>2508.2474999999999</v>
      </c>
      <c r="G87" s="7">
        <v>8.5393299999999995E-3</v>
      </c>
      <c r="H87" s="6">
        <v>8.1125000000000007</v>
      </c>
      <c r="I87" s="6">
        <v>5.7969591401000002</v>
      </c>
    </row>
    <row r="88" spans="1:9" ht="17.100000000000001" customHeight="1" x14ac:dyDescent="0.2">
      <c r="A88" s="3">
        <v>5</v>
      </c>
      <c r="B88" s="4" t="s">
        <v>868</v>
      </c>
      <c r="C88" s="4" t="s">
        <v>869</v>
      </c>
      <c r="D88" s="4" t="s">
        <v>623</v>
      </c>
      <c r="E88" s="5">
        <v>250</v>
      </c>
      <c r="F88" s="6">
        <v>2441.86</v>
      </c>
      <c r="G88" s="7">
        <v>8.3133129999999993E-3</v>
      </c>
      <c r="H88" s="6">
        <v>6.9888000000000003</v>
      </c>
      <c r="I88" s="6"/>
    </row>
    <row r="89" spans="1:9" ht="29.1" customHeight="1" x14ac:dyDescent="0.2">
      <c r="A89" s="3">
        <v>6</v>
      </c>
      <c r="B89" s="4" t="s">
        <v>870</v>
      </c>
      <c r="C89" s="4" t="s">
        <v>871</v>
      </c>
      <c r="D89" s="4" t="s">
        <v>642</v>
      </c>
      <c r="E89" s="5">
        <v>200</v>
      </c>
      <c r="F89" s="6">
        <v>1959.0239999999999</v>
      </c>
      <c r="G89" s="7">
        <v>6.6694980000000003E-3</v>
      </c>
      <c r="H89" s="6">
        <v>6.6449999999999996</v>
      </c>
      <c r="I89" s="6"/>
    </row>
    <row r="90" spans="1:9" ht="38.25" x14ac:dyDescent="0.2">
      <c r="A90" s="3">
        <v>7</v>
      </c>
      <c r="B90" s="110" t="s">
        <v>872</v>
      </c>
      <c r="C90" s="4" t="s">
        <v>1117</v>
      </c>
      <c r="D90" s="4" t="s">
        <v>873</v>
      </c>
      <c r="E90" s="5">
        <v>150</v>
      </c>
      <c r="F90" s="6">
        <v>1517.0129999999999</v>
      </c>
      <c r="G90" s="7">
        <v>5.164671E-3</v>
      </c>
      <c r="H90" s="6">
        <v>8.3091000000000008</v>
      </c>
      <c r="I90" s="6">
        <v>7.7744626326999997</v>
      </c>
    </row>
    <row r="91" spans="1:9" ht="29.1" customHeight="1" x14ac:dyDescent="0.2">
      <c r="A91" s="3">
        <v>8</v>
      </c>
      <c r="B91" s="4" t="s">
        <v>874</v>
      </c>
      <c r="C91" s="4" t="s">
        <v>875</v>
      </c>
      <c r="D91" s="4" t="s">
        <v>623</v>
      </c>
      <c r="E91" s="5">
        <v>150</v>
      </c>
      <c r="F91" s="6">
        <v>1505.7735</v>
      </c>
      <c r="G91" s="7">
        <v>5.1264070000000004E-3</v>
      </c>
      <c r="H91" s="6">
        <v>6.8550000000000004</v>
      </c>
      <c r="I91" s="6"/>
    </row>
    <row r="92" spans="1:9" ht="38.25" x14ac:dyDescent="0.2">
      <c r="A92" s="3">
        <v>9</v>
      </c>
      <c r="B92" s="4" t="s">
        <v>876</v>
      </c>
      <c r="C92" s="4" t="s">
        <v>1116</v>
      </c>
      <c r="D92" s="4" t="s">
        <v>867</v>
      </c>
      <c r="E92" s="5">
        <v>150</v>
      </c>
      <c r="F92" s="6">
        <v>1500.0135</v>
      </c>
      <c r="G92" s="7">
        <v>5.1067969999999997E-3</v>
      </c>
      <c r="H92" s="6">
        <v>8.6449999999999996</v>
      </c>
      <c r="I92" s="6">
        <v>8.0839000859999999</v>
      </c>
    </row>
    <row r="93" spans="1:9" ht="29.1" customHeight="1" x14ac:dyDescent="0.2">
      <c r="A93" s="3">
        <v>10</v>
      </c>
      <c r="B93" s="4" t="s">
        <v>877</v>
      </c>
      <c r="C93" s="4" t="s">
        <v>878</v>
      </c>
      <c r="D93" s="4" t="s">
        <v>623</v>
      </c>
      <c r="E93" s="5">
        <v>150</v>
      </c>
      <c r="F93" s="6">
        <v>1499.1765</v>
      </c>
      <c r="G93" s="7">
        <v>5.1039470000000002E-3</v>
      </c>
      <c r="H93" s="6">
        <v>7.35</v>
      </c>
      <c r="I93" s="6"/>
    </row>
    <row r="94" spans="1:9" ht="29.1" customHeight="1" x14ac:dyDescent="0.2">
      <c r="A94" s="3">
        <v>11</v>
      </c>
      <c r="B94" s="4" t="s">
        <v>879</v>
      </c>
      <c r="C94" s="4" t="s">
        <v>880</v>
      </c>
      <c r="D94" s="4" t="s">
        <v>623</v>
      </c>
      <c r="E94" s="5">
        <v>100</v>
      </c>
      <c r="F94" s="6">
        <v>1020.681</v>
      </c>
      <c r="G94" s="7">
        <v>3.474909E-3</v>
      </c>
      <c r="H94" s="6">
        <v>6.96</v>
      </c>
      <c r="I94" s="6"/>
    </row>
    <row r="95" spans="1:9" ht="29.1" customHeight="1" x14ac:dyDescent="0.2">
      <c r="A95" s="3">
        <v>12</v>
      </c>
      <c r="B95" s="4" t="s">
        <v>881</v>
      </c>
      <c r="C95" s="4" t="s">
        <v>882</v>
      </c>
      <c r="D95" s="4" t="s">
        <v>623</v>
      </c>
      <c r="E95" s="5">
        <v>100</v>
      </c>
      <c r="F95" s="6">
        <v>1013.682</v>
      </c>
      <c r="G95" s="7">
        <v>3.4510809999999999E-3</v>
      </c>
      <c r="H95" s="6">
        <v>6.93</v>
      </c>
      <c r="I95" s="6"/>
    </row>
    <row r="96" spans="1:9" ht="29.1" customHeight="1" x14ac:dyDescent="0.2">
      <c r="A96" s="3">
        <v>13</v>
      </c>
      <c r="B96" s="4" t="s">
        <v>883</v>
      </c>
      <c r="C96" s="4" t="s">
        <v>884</v>
      </c>
      <c r="D96" s="4" t="s">
        <v>623</v>
      </c>
      <c r="E96" s="5">
        <v>100</v>
      </c>
      <c r="F96" s="6">
        <v>1011.077</v>
      </c>
      <c r="G96" s="7">
        <v>3.442212E-3</v>
      </c>
      <c r="H96" s="6">
        <v>7.2549999999999999</v>
      </c>
      <c r="I96" s="6"/>
    </row>
    <row r="97" spans="1:9" ht="29.1" customHeight="1" x14ac:dyDescent="0.2">
      <c r="A97" s="3">
        <v>14</v>
      </c>
      <c r="B97" s="4" t="s">
        <v>885</v>
      </c>
      <c r="C97" s="4" t="s">
        <v>886</v>
      </c>
      <c r="D97" s="4" t="s">
        <v>623</v>
      </c>
      <c r="E97" s="5">
        <v>100</v>
      </c>
      <c r="F97" s="6">
        <v>1005.944</v>
      </c>
      <c r="G97" s="7">
        <v>3.4247370000000002E-3</v>
      </c>
      <c r="H97" s="6">
        <v>6.27</v>
      </c>
      <c r="I97" s="6"/>
    </row>
    <row r="98" spans="1:9" ht="38.25" x14ac:dyDescent="0.2">
      <c r="A98" s="3">
        <v>15</v>
      </c>
      <c r="B98" s="110" t="s">
        <v>887</v>
      </c>
      <c r="C98" s="4" t="s">
        <v>1119</v>
      </c>
      <c r="D98" s="4" t="s">
        <v>867</v>
      </c>
      <c r="E98" s="5">
        <v>100</v>
      </c>
      <c r="F98" s="6">
        <v>998.96600000000001</v>
      </c>
      <c r="G98" s="7">
        <v>3.4009800000000001E-3</v>
      </c>
      <c r="H98" s="6">
        <v>8.7590000000000003</v>
      </c>
      <c r="I98" s="6">
        <v>9.4051170202999987</v>
      </c>
    </row>
    <row r="99" spans="1:9" ht="29.1" customHeight="1" x14ac:dyDescent="0.2">
      <c r="A99" s="3">
        <v>16</v>
      </c>
      <c r="B99" s="4" t="s">
        <v>888</v>
      </c>
      <c r="C99" s="4" t="s">
        <v>889</v>
      </c>
      <c r="D99" s="4" t="s">
        <v>642</v>
      </c>
      <c r="E99" s="5">
        <v>100</v>
      </c>
      <c r="F99" s="6">
        <v>992.09900000000005</v>
      </c>
      <c r="G99" s="7">
        <v>3.377601E-3</v>
      </c>
      <c r="H99" s="6">
        <v>6.32</v>
      </c>
      <c r="I99" s="6"/>
    </row>
    <row r="100" spans="1:9" ht="29.1" customHeight="1" x14ac:dyDescent="0.2">
      <c r="A100" s="3">
        <v>17</v>
      </c>
      <c r="B100" s="4" t="s">
        <v>890</v>
      </c>
      <c r="C100" s="4" t="s">
        <v>891</v>
      </c>
      <c r="D100" s="4" t="s">
        <v>623</v>
      </c>
      <c r="E100" s="5">
        <v>100</v>
      </c>
      <c r="F100" s="6">
        <v>954.46400000000006</v>
      </c>
      <c r="G100" s="7">
        <v>3.2494730000000001E-3</v>
      </c>
      <c r="H100" s="6">
        <v>7.1475</v>
      </c>
      <c r="I100" s="6"/>
    </row>
    <row r="101" spans="1:9" ht="17.100000000000001" customHeight="1" x14ac:dyDescent="0.2">
      <c r="A101" s="3">
        <v>18</v>
      </c>
      <c r="B101" s="4" t="s">
        <v>649</v>
      </c>
      <c r="C101" s="4" t="s">
        <v>650</v>
      </c>
      <c r="D101" s="4" t="s">
        <v>623</v>
      </c>
      <c r="E101" s="5">
        <v>55</v>
      </c>
      <c r="F101" s="6">
        <v>553.71855000000005</v>
      </c>
      <c r="G101" s="7">
        <v>1.885135E-3</v>
      </c>
      <c r="H101" s="6">
        <v>5.8650000000000002</v>
      </c>
      <c r="I101" s="6"/>
    </row>
    <row r="102" spans="1:9" ht="17.100000000000001" customHeight="1" x14ac:dyDescent="0.2">
      <c r="A102" s="3">
        <v>19</v>
      </c>
      <c r="B102" s="4" t="s">
        <v>892</v>
      </c>
      <c r="C102" s="4" t="s">
        <v>893</v>
      </c>
      <c r="D102" s="4" t="s">
        <v>653</v>
      </c>
      <c r="E102" s="5">
        <v>50</v>
      </c>
      <c r="F102" s="6">
        <v>505.32</v>
      </c>
      <c r="G102" s="7">
        <v>1.720362E-3</v>
      </c>
      <c r="H102" s="6">
        <v>6.7050000000000001</v>
      </c>
      <c r="I102" s="6"/>
    </row>
    <row r="103" spans="1:9" ht="29.1" customHeight="1" x14ac:dyDescent="0.2">
      <c r="A103" s="3">
        <v>20</v>
      </c>
      <c r="B103" s="4" t="s">
        <v>640</v>
      </c>
      <c r="C103" s="4" t="s">
        <v>641</v>
      </c>
      <c r="D103" s="4" t="s">
        <v>642</v>
      </c>
      <c r="E103" s="5">
        <v>50</v>
      </c>
      <c r="F103" s="6">
        <v>492.98649999999998</v>
      </c>
      <c r="G103" s="7">
        <v>1.6783729999999999E-3</v>
      </c>
      <c r="H103" s="6">
        <v>6.6449999999999996</v>
      </c>
      <c r="I103" s="6"/>
    </row>
    <row r="104" spans="1:9" ht="29.1" customHeight="1" x14ac:dyDescent="0.2">
      <c r="A104" s="3">
        <v>21</v>
      </c>
      <c r="B104" s="4" t="s">
        <v>651</v>
      </c>
      <c r="C104" s="4" t="s">
        <v>652</v>
      </c>
      <c r="D104" s="4" t="s">
        <v>653</v>
      </c>
      <c r="E104" s="5">
        <v>45</v>
      </c>
      <c r="F104" s="6">
        <v>449.53244999999998</v>
      </c>
      <c r="G104" s="7">
        <v>1.5304330000000001E-3</v>
      </c>
      <c r="H104" s="6">
        <v>6.47</v>
      </c>
      <c r="I104" s="6"/>
    </row>
    <row r="105" spans="1:9" ht="29.1" customHeight="1" x14ac:dyDescent="0.2">
      <c r="A105" s="3">
        <v>22</v>
      </c>
      <c r="B105" s="4" t="s">
        <v>894</v>
      </c>
      <c r="C105" s="4" t="s">
        <v>895</v>
      </c>
      <c r="D105" s="4" t="s">
        <v>623</v>
      </c>
      <c r="E105" s="5">
        <v>40</v>
      </c>
      <c r="F105" s="6">
        <v>405.63080000000002</v>
      </c>
      <c r="G105" s="7">
        <v>1.38097E-3</v>
      </c>
      <c r="H105" s="6">
        <v>6.1349999999999998</v>
      </c>
      <c r="I105" s="6"/>
    </row>
    <row r="106" spans="1:9" ht="29.1" customHeight="1" x14ac:dyDescent="0.2">
      <c r="A106" s="3">
        <v>23</v>
      </c>
      <c r="B106" s="4" t="s">
        <v>896</v>
      </c>
      <c r="C106" s="4" t="s">
        <v>897</v>
      </c>
      <c r="D106" s="4" t="s">
        <v>642</v>
      </c>
      <c r="E106" s="5">
        <v>20</v>
      </c>
      <c r="F106" s="6">
        <v>200.6258</v>
      </c>
      <c r="G106" s="7">
        <v>6.8303099999999996E-4</v>
      </c>
      <c r="H106" s="6">
        <v>5.01</v>
      </c>
      <c r="I106" s="6"/>
    </row>
    <row r="107" spans="1:9" ht="29.1" customHeight="1" x14ac:dyDescent="0.2">
      <c r="A107" s="3">
        <v>24</v>
      </c>
      <c r="B107" s="4" t="s">
        <v>898</v>
      </c>
      <c r="C107" s="4" t="s">
        <v>899</v>
      </c>
      <c r="D107" s="4" t="s">
        <v>623</v>
      </c>
      <c r="E107" s="5">
        <v>20</v>
      </c>
      <c r="F107" s="6">
        <v>200.31880000000001</v>
      </c>
      <c r="G107" s="7">
        <v>6.8198499999999997E-4</v>
      </c>
      <c r="H107" s="6">
        <v>6.3049999999999997</v>
      </c>
      <c r="I107" s="6"/>
    </row>
    <row r="108" spans="1:9" ht="17.100000000000001" customHeight="1" x14ac:dyDescent="0.2">
      <c r="A108" s="3">
        <v>25</v>
      </c>
      <c r="B108" s="4" t="s">
        <v>900</v>
      </c>
      <c r="C108" s="4" t="s">
        <v>901</v>
      </c>
      <c r="D108" s="4" t="s">
        <v>902</v>
      </c>
      <c r="E108" s="5">
        <v>20</v>
      </c>
      <c r="F108" s="6">
        <v>197.91540000000001</v>
      </c>
      <c r="G108" s="7">
        <v>6.7380300000000005E-4</v>
      </c>
      <c r="H108" s="6">
        <v>11.8422</v>
      </c>
      <c r="I108" s="6"/>
    </row>
    <row r="109" spans="1:9" ht="29.1" customHeight="1" x14ac:dyDescent="0.2">
      <c r="A109" s="3">
        <v>26</v>
      </c>
      <c r="B109" s="4" t="s">
        <v>903</v>
      </c>
      <c r="C109" s="4" t="s">
        <v>904</v>
      </c>
      <c r="D109" s="4" t="s">
        <v>623</v>
      </c>
      <c r="E109" s="5">
        <v>20</v>
      </c>
      <c r="F109" s="6">
        <v>193.41839999999999</v>
      </c>
      <c r="G109" s="7">
        <v>6.5849300000000001E-4</v>
      </c>
      <c r="H109" s="6">
        <v>6.9649999999999999</v>
      </c>
      <c r="I109" s="6"/>
    </row>
    <row r="110" spans="1:9" ht="14.1" customHeight="1" x14ac:dyDescent="0.2">
      <c r="A110" s="1"/>
      <c r="B110" s="1"/>
      <c r="C110" s="2" t="s">
        <v>119</v>
      </c>
      <c r="D110" s="1"/>
      <c r="E110" s="1" t="s">
        <v>120</v>
      </c>
      <c r="F110" s="9">
        <v>32140.825700000001</v>
      </c>
      <c r="G110" s="10">
        <v>0.109423454</v>
      </c>
      <c r="H110" s="6"/>
      <c r="I110" s="6"/>
    </row>
    <row r="111" spans="1:9" ht="14.1" customHeight="1" x14ac:dyDescent="0.2">
      <c r="A111" s="1"/>
      <c r="B111" s="1"/>
      <c r="C111" s="11"/>
      <c r="D111" s="1"/>
      <c r="E111" s="1"/>
      <c r="F111" s="12"/>
      <c r="G111" s="12"/>
      <c r="H111" s="6"/>
      <c r="I111" s="6"/>
    </row>
    <row r="112" spans="1:9" ht="14.1" customHeight="1" x14ac:dyDescent="0.2">
      <c r="A112" s="1"/>
      <c r="B112" s="1"/>
      <c r="C112" s="2" t="s">
        <v>128</v>
      </c>
      <c r="D112" s="1"/>
      <c r="E112" s="1"/>
      <c r="F112" s="1"/>
      <c r="G112" s="1"/>
      <c r="H112" s="6"/>
      <c r="I112" s="6"/>
    </row>
    <row r="113" spans="1:9" ht="17.100000000000001" customHeight="1" x14ac:dyDescent="0.2">
      <c r="A113" s="3">
        <v>1</v>
      </c>
      <c r="B113" s="4" t="s">
        <v>905</v>
      </c>
      <c r="C113" s="4" t="s">
        <v>906</v>
      </c>
      <c r="D113" s="4" t="s">
        <v>623</v>
      </c>
      <c r="E113" s="5">
        <v>50</v>
      </c>
      <c r="F113" s="6">
        <v>513.71500000000003</v>
      </c>
      <c r="G113" s="7">
        <v>1.748943E-3</v>
      </c>
      <c r="H113" s="6">
        <v>7.8</v>
      </c>
      <c r="I113" s="6"/>
    </row>
    <row r="114" spans="1:9" ht="14.1" customHeight="1" x14ac:dyDescent="0.2">
      <c r="A114" s="1"/>
      <c r="B114" s="1"/>
      <c r="C114" s="2" t="s">
        <v>119</v>
      </c>
      <c r="D114" s="1"/>
      <c r="E114" s="1" t="s">
        <v>120</v>
      </c>
      <c r="F114" s="9">
        <v>513.71500000000003</v>
      </c>
      <c r="G114" s="10">
        <v>1.748943E-3</v>
      </c>
      <c r="H114" s="6"/>
      <c r="I114" s="6"/>
    </row>
    <row r="115" spans="1:9" ht="14.1" customHeight="1" x14ac:dyDescent="0.2">
      <c r="A115" s="1"/>
      <c r="B115" s="1"/>
      <c r="C115" s="11"/>
      <c r="D115" s="1"/>
      <c r="E115" s="1"/>
      <c r="F115" s="12"/>
      <c r="G115" s="12"/>
      <c r="H115" s="6"/>
      <c r="I115" s="6"/>
    </row>
    <row r="116" spans="1:9" ht="14.1" customHeight="1" x14ac:dyDescent="0.2">
      <c r="A116" s="1"/>
      <c r="B116" s="1"/>
      <c r="C116" s="2" t="s">
        <v>129</v>
      </c>
      <c r="D116" s="1"/>
      <c r="E116" s="1"/>
      <c r="F116" s="1"/>
      <c r="G116" s="1"/>
      <c r="H116" s="6"/>
      <c r="I116" s="6"/>
    </row>
    <row r="117" spans="1:9" ht="29.1" customHeight="1" x14ac:dyDescent="0.2">
      <c r="A117" s="3">
        <v>1</v>
      </c>
      <c r="B117" s="4" t="s">
        <v>907</v>
      </c>
      <c r="C117" s="4" t="s">
        <v>908</v>
      </c>
      <c r="D117" s="4" t="s">
        <v>598</v>
      </c>
      <c r="E117" s="5">
        <v>3000000</v>
      </c>
      <c r="F117" s="6">
        <v>3043.6979999999999</v>
      </c>
      <c r="G117" s="7">
        <v>1.0362270999999999E-2</v>
      </c>
      <c r="H117" s="6">
        <v>6.3724999999999996</v>
      </c>
      <c r="I117" s="6"/>
    </row>
    <row r="118" spans="1:9" ht="29.1" customHeight="1" x14ac:dyDescent="0.2">
      <c r="A118" s="3">
        <v>2</v>
      </c>
      <c r="B118" s="4" t="s">
        <v>909</v>
      </c>
      <c r="C118" s="4" t="s">
        <v>910</v>
      </c>
      <c r="D118" s="4" t="s">
        <v>598</v>
      </c>
      <c r="E118" s="5">
        <v>1500000</v>
      </c>
      <c r="F118" s="6">
        <v>1515.15</v>
      </c>
      <c r="G118" s="7">
        <v>5.1583289999999997E-3</v>
      </c>
      <c r="H118" s="6">
        <v>6.0682</v>
      </c>
      <c r="I118" s="6"/>
    </row>
    <row r="119" spans="1:9" ht="29.1" customHeight="1" x14ac:dyDescent="0.2">
      <c r="A119" s="3">
        <v>3</v>
      </c>
      <c r="B119" s="4" t="s">
        <v>654</v>
      </c>
      <c r="C119" s="4" t="s">
        <v>655</v>
      </c>
      <c r="D119" s="4" t="s">
        <v>598</v>
      </c>
      <c r="E119" s="5">
        <v>1000000</v>
      </c>
      <c r="F119" s="6">
        <v>953.84</v>
      </c>
      <c r="G119" s="7">
        <v>3.2473490000000001E-3</v>
      </c>
      <c r="H119" s="6">
        <v>6.9294000000000002</v>
      </c>
      <c r="I119" s="6"/>
    </row>
    <row r="120" spans="1:9" ht="29.1" customHeight="1" x14ac:dyDescent="0.2">
      <c r="A120" s="3">
        <v>4</v>
      </c>
      <c r="B120" s="4" t="s">
        <v>660</v>
      </c>
      <c r="C120" s="4" t="s">
        <v>661</v>
      </c>
      <c r="D120" s="4" t="s">
        <v>598</v>
      </c>
      <c r="E120" s="5">
        <v>950000</v>
      </c>
      <c r="F120" s="6">
        <v>940.5</v>
      </c>
      <c r="G120" s="7">
        <v>3.2019330000000001E-3</v>
      </c>
      <c r="H120" s="6">
        <v>6.6303000000000001</v>
      </c>
      <c r="I120" s="6"/>
    </row>
    <row r="121" spans="1:9" ht="29.1" customHeight="1" x14ac:dyDescent="0.2">
      <c r="A121" s="3">
        <v>5</v>
      </c>
      <c r="B121" s="4" t="s">
        <v>911</v>
      </c>
      <c r="C121" s="4" t="s">
        <v>912</v>
      </c>
      <c r="D121" s="4" t="s">
        <v>598</v>
      </c>
      <c r="E121" s="5">
        <v>650000</v>
      </c>
      <c r="F121" s="6">
        <v>654.41285000000005</v>
      </c>
      <c r="G121" s="7">
        <v>2.2279489999999999E-3</v>
      </c>
      <c r="H121" s="6">
        <v>5.5617000000000001</v>
      </c>
      <c r="I121" s="6"/>
    </row>
    <row r="122" spans="1:9" ht="29.1" customHeight="1" x14ac:dyDescent="0.2">
      <c r="A122" s="3">
        <v>6</v>
      </c>
      <c r="B122" s="4" t="s">
        <v>913</v>
      </c>
      <c r="C122" s="4" t="s">
        <v>914</v>
      </c>
      <c r="D122" s="4" t="s">
        <v>598</v>
      </c>
      <c r="E122" s="5">
        <v>400000</v>
      </c>
      <c r="F122" s="6">
        <v>410.95080000000002</v>
      </c>
      <c r="G122" s="7">
        <v>1.3990820000000001E-3</v>
      </c>
      <c r="H122" s="6">
        <v>7.2249999999999996</v>
      </c>
      <c r="I122" s="6"/>
    </row>
    <row r="123" spans="1:9" ht="29.1" customHeight="1" x14ac:dyDescent="0.2">
      <c r="A123" s="3">
        <v>7</v>
      </c>
      <c r="B123" s="4" t="s">
        <v>915</v>
      </c>
      <c r="C123" s="4" t="s">
        <v>916</v>
      </c>
      <c r="D123" s="4" t="s">
        <v>598</v>
      </c>
      <c r="E123" s="5">
        <v>400000</v>
      </c>
      <c r="F123" s="6">
        <v>409.80919999999998</v>
      </c>
      <c r="G123" s="7">
        <v>1.395196E-3</v>
      </c>
      <c r="H123" s="6">
        <v>7.085</v>
      </c>
      <c r="I123" s="6"/>
    </row>
    <row r="124" spans="1:9" ht="29.1" customHeight="1" x14ac:dyDescent="0.2">
      <c r="A124" s="3">
        <v>8</v>
      </c>
      <c r="B124" s="4" t="s">
        <v>917</v>
      </c>
      <c r="C124" s="4" t="s">
        <v>918</v>
      </c>
      <c r="D124" s="4" t="s">
        <v>598</v>
      </c>
      <c r="E124" s="5">
        <v>400000</v>
      </c>
      <c r="F124" s="6">
        <v>409.25119999999998</v>
      </c>
      <c r="G124" s="7">
        <v>1.393296E-3</v>
      </c>
      <c r="H124" s="6">
        <v>7.0949999999999998</v>
      </c>
      <c r="I124" s="6"/>
    </row>
    <row r="125" spans="1:9" ht="29.1" customHeight="1" x14ac:dyDescent="0.2">
      <c r="A125" s="3">
        <v>9</v>
      </c>
      <c r="B125" s="4" t="s">
        <v>919</v>
      </c>
      <c r="C125" s="4" t="s">
        <v>920</v>
      </c>
      <c r="D125" s="4" t="s">
        <v>598</v>
      </c>
      <c r="E125" s="5">
        <v>400000</v>
      </c>
      <c r="F125" s="6">
        <v>403.38639999999998</v>
      </c>
      <c r="G125" s="7">
        <v>1.373329E-3</v>
      </c>
      <c r="H125" s="6">
        <v>5.2103999999999999</v>
      </c>
      <c r="I125" s="6"/>
    </row>
    <row r="126" spans="1:9" ht="14.1" customHeight="1" x14ac:dyDescent="0.2">
      <c r="A126" s="1"/>
      <c r="B126" s="1"/>
      <c r="C126" s="2" t="s">
        <v>119</v>
      </c>
      <c r="D126" s="1"/>
      <c r="E126" s="1" t="s">
        <v>120</v>
      </c>
      <c r="F126" s="9">
        <v>8740.9984499999991</v>
      </c>
      <c r="G126" s="10">
        <v>2.9758733999999998E-2</v>
      </c>
      <c r="H126" s="6"/>
      <c r="I126" s="6"/>
    </row>
    <row r="127" spans="1:9" ht="14.1" customHeight="1" x14ac:dyDescent="0.2">
      <c r="A127" s="1"/>
      <c r="B127" s="1"/>
      <c r="C127" s="11"/>
      <c r="D127" s="1"/>
      <c r="E127" s="1"/>
      <c r="F127" s="12"/>
      <c r="G127" s="12"/>
      <c r="H127" s="6"/>
      <c r="I127" s="6"/>
    </row>
    <row r="128" spans="1:9" ht="14.1" customHeight="1" x14ac:dyDescent="0.2">
      <c r="A128" s="1"/>
      <c r="B128" s="1"/>
      <c r="C128" s="2" t="s">
        <v>130</v>
      </c>
      <c r="D128" s="1"/>
      <c r="E128" s="1"/>
      <c r="F128" s="12"/>
      <c r="G128" s="12"/>
      <c r="H128" s="6"/>
      <c r="I128" s="6"/>
    </row>
    <row r="129" spans="1:9" ht="14.1" customHeight="1" x14ac:dyDescent="0.2">
      <c r="A129" s="1"/>
      <c r="B129" s="1"/>
      <c r="C129" s="2" t="s">
        <v>119</v>
      </c>
      <c r="D129" s="1"/>
      <c r="E129" s="1" t="s">
        <v>120</v>
      </c>
      <c r="F129" s="13">
        <v>0</v>
      </c>
      <c r="G129" s="14">
        <v>0</v>
      </c>
      <c r="H129" s="6"/>
      <c r="I129" s="6"/>
    </row>
    <row r="130" spans="1:9" ht="14.1" customHeight="1" x14ac:dyDescent="0.2">
      <c r="A130" s="1"/>
      <c r="B130" s="1"/>
      <c r="C130" s="11"/>
      <c r="D130" s="1"/>
      <c r="E130" s="1"/>
      <c r="F130" s="12"/>
      <c r="G130" s="12"/>
      <c r="H130" s="6"/>
      <c r="I130" s="6"/>
    </row>
    <row r="131" spans="1:9" ht="14.1" customHeight="1" x14ac:dyDescent="0.2">
      <c r="A131" s="1"/>
      <c r="B131" s="1"/>
      <c r="C131" s="2" t="s">
        <v>131</v>
      </c>
      <c r="D131" s="1"/>
      <c r="E131" s="1"/>
      <c r="F131" s="9">
        <v>41395.539149999997</v>
      </c>
      <c r="G131" s="10">
        <v>0.14093113099999999</v>
      </c>
      <c r="H131" s="6"/>
      <c r="I131" s="6"/>
    </row>
    <row r="132" spans="1:9" ht="14.1" customHeight="1" x14ac:dyDescent="0.2">
      <c r="A132" s="1"/>
      <c r="B132" s="1"/>
      <c r="C132" s="11"/>
      <c r="D132" s="1"/>
      <c r="E132" s="1"/>
      <c r="F132" s="12"/>
      <c r="G132" s="12"/>
      <c r="H132" s="6"/>
      <c r="I132" s="6"/>
    </row>
    <row r="133" spans="1:9" ht="14.1" customHeight="1" x14ac:dyDescent="0.2">
      <c r="A133" s="1"/>
      <c r="B133" s="1"/>
      <c r="C133" s="2" t="s">
        <v>132</v>
      </c>
      <c r="D133" s="1"/>
      <c r="E133" s="1"/>
      <c r="F133" s="12"/>
      <c r="G133" s="12"/>
      <c r="H133" s="6"/>
      <c r="I133" s="6"/>
    </row>
    <row r="134" spans="1:9" ht="14.1" customHeight="1" x14ac:dyDescent="0.2">
      <c r="A134" s="1"/>
      <c r="B134" s="1"/>
      <c r="C134" s="2" t="s">
        <v>133</v>
      </c>
      <c r="D134" s="1"/>
      <c r="E134" s="1"/>
      <c r="F134" s="12"/>
      <c r="G134" s="12"/>
      <c r="H134" s="6"/>
      <c r="I134" s="6"/>
    </row>
    <row r="135" spans="1:9" ht="17.100000000000001" customHeight="1" x14ac:dyDescent="0.2">
      <c r="A135" s="3">
        <v>1</v>
      </c>
      <c r="B135" s="4" t="s">
        <v>921</v>
      </c>
      <c r="C135" s="4" t="s">
        <v>922</v>
      </c>
      <c r="D135" s="4" t="s">
        <v>923</v>
      </c>
      <c r="E135" s="5">
        <v>1000</v>
      </c>
      <c r="F135" s="6">
        <v>4992.7</v>
      </c>
      <c r="G135" s="7">
        <v>1.6997649E-2</v>
      </c>
      <c r="H135" s="6">
        <v>4.45</v>
      </c>
      <c r="I135" s="6"/>
    </row>
    <row r="136" spans="1:9" ht="17.100000000000001" customHeight="1" x14ac:dyDescent="0.2">
      <c r="A136" s="3">
        <v>2</v>
      </c>
      <c r="B136" s="4" t="s">
        <v>924</v>
      </c>
      <c r="C136" s="4" t="s">
        <v>925</v>
      </c>
      <c r="D136" s="4" t="s">
        <v>926</v>
      </c>
      <c r="E136" s="5">
        <v>500</v>
      </c>
      <c r="F136" s="6">
        <v>2495.3325</v>
      </c>
      <c r="G136" s="7">
        <v>8.4953609999999999E-3</v>
      </c>
      <c r="H136" s="6">
        <v>4.5510000000000002</v>
      </c>
      <c r="I136" s="6"/>
    </row>
    <row r="137" spans="1:9" ht="17.100000000000001" customHeight="1" x14ac:dyDescent="0.2">
      <c r="A137" s="3">
        <v>3</v>
      </c>
      <c r="B137" s="4" t="s">
        <v>927</v>
      </c>
      <c r="C137" s="4" t="s">
        <v>928</v>
      </c>
      <c r="D137" s="4" t="s">
        <v>926</v>
      </c>
      <c r="E137" s="5">
        <v>500</v>
      </c>
      <c r="F137" s="6">
        <v>2471.9850000000001</v>
      </c>
      <c r="G137" s="7">
        <v>8.4158740000000003E-3</v>
      </c>
      <c r="H137" s="6">
        <v>5.0448000000000004</v>
      </c>
      <c r="I137" s="6"/>
    </row>
    <row r="138" spans="1:9" ht="17.100000000000001" customHeight="1" x14ac:dyDescent="0.2">
      <c r="A138" s="3">
        <v>4</v>
      </c>
      <c r="B138" s="4" t="s">
        <v>929</v>
      </c>
      <c r="C138" s="4" t="s">
        <v>930</v>
      </c>
      <c r="D138" s="4" t="s">
        <v>923</v>
      </c>
      <c r="E138" s="5">
        <v>500</v>
      </c>
      <c r="F138" s="6">
        <v>2397.7975000000001</v>
      </c>
      <c r="G138" s="7">
        <v>8.1633030000000002E-3</v>
      </c>
      <c r="H138" s="6">
        <v>6.03</v>
      </c>
      <c r="I138" s="6"/>
    </row>
    <row r="139" spans="1:9" ht="17.100000000000001" customHeight="1" x14ac:dyDescent="0.2">
      <c r="A139" s="3">
        <v>5</v>
      </c>
      <c r="B139" s="4" t="s">
        <v>931</v>
      </c>
      <c r="C139" s="4" t="s">
        <v>932</v>
      </c>
      <c r="D139" s="4" t="s">
        <v>923</v>
      </c>
      <c r="E139" s="5">
        <v>200</v>
      </c>
      <c r="F139" s="6">
        <v>980.971</v>
      </c>
      <c r="G139" s="7">
        <v>3.339716E-3</v>
      </c>
      <c r="H139" s="6">
        <v>5.5750000000000002</v>
      </c>
      <c r="I139" s="6"/>
    </row>
    <row r="140" spans="1:9" ht="14.1" customHeight="1" x14ac:dyDescent="0.2">
      <c r="A140" s="1"/>
      <c r="B140" s="1"/>
      <c r="C140" s="2" t="s">
        <v>119</v>
      </c>
      <c r="D140" s="1"/>
      <c r="E140" s="1" t="s">
        <v>120</v>
      </c>
      <c r="F140" s="9">
        <v>13338.786</v>
      </c>
      <c r="G140" s="10">
        <v>4.5411903000000003E-2</v>
      </c>
      <c r="H140" s="6"/>
      <c r="I140" s="6"/>
    </row>
    <row r="141" spans="1:9" ht="14.1" customHeight="1" x14ac:dyDescent="0.2">
      <c r="A141" s="1"/>
      <c r="B141" s="1"/>
      <c r="C141" s="11"/>
      <c r="D141" s="1"/>
      <c r="E141" s="1"/>
      <c r="F141" s="12"/>
      <c r="G141" s="12"/>
      <c r="H141" s="6"/>
      <c r="I141" s="6"/>
    </row>
    <row r="142" spans="1:9" ht="14.1" customHeight="1" x14ac:dyDescent="0.2">
      <c r="A142" s="1"/>
      <c r="B142" s="1"/>
      <c r="C142" s="2" t="s">
        <v>134</v>
      </c>
      <c r="D142" s="1"/>
      <c r="E142" s="1"/>
      <c r="F142" s="12"/>
      <c r="G142" s="12"/>
      <c r="H142" s="6"/>
      <c r="I142" s="6"/>
    </row>
    <row r="143" spans="1:9" ht="29.1" customHeight="1" x14ac:dyDescent="0.2">
      <c r="A143" s="3">
        <v>1</v>
      </c>
      <c r="B143" s="4" t="s">
        <v>933</v>
      </c>
      <c r="C143" s="4" t="s">
        <v>934</v>
      </c>
      <c r="D143" s="4" t="s">
        <v>926</v>
      </c>
      <c r="E143" s="5">
        <v>500</v>
      </c>
      <c r="F143" s="6">
        <v>2456.7550000000001</v>
      </c>
      <c r="G143" s="7">
        <v>8.3640239999999994E-3</v>
      </c>
      <c r="H143" s="6">
        <v>5.31</v>
      </c>
      <c r="I143" s="6"/>
    </row>
    <row r="144" spans="1:9" ht="29.1" customHeight="1" x14ac:dyDescent="0.2">
      <c r="A144" s="3">
        <v>2</v>
      </c>
      <c r="B144" s="4" t="s">
        <v>935</v>
      </c>
      <c r="C144" s="4" t="s">
        <v>936</v>
      </c>
      <c r="D144" s="4" t="s">
        <v>926</v>
      </c>
      <c r="E144" s="5">
        <v>500</v>
      </c>
      <c r="F144" s="6">
        <v>2354.5974999999999</v>
      </c>
      <c r="G144" s="7">
        <v>8.0162280000000002E-3</v>
      </c>
      <c r="H144" s="6">
        <v>6.44</v>
      </c>
      <c r="I144" s="6"/>
    </row>
    <row r="145" spans="1:9" ht="14.1" customHeight="1" x14ac:dyDescent="0.2">
      <c r="A145" s="1"/>
      <c r="B145" s="1"/>
      <c r="C145" s="2" t="s">
        <v>119</v>
      </c>
      <c r="D145" s="1"/>
      <c r="E145" s="1" t="s">
        <v>120</v>
      </c>
      <c r="F145" s="9">
        <v>4811.3525</v>
      </c>
      <c r="G145" s="10">
        <v>1.6380252000000001E-2</v>
      </c>
      <c r="H145" s="6"/>
      <c r="I145" s="6"/>
    </row>
    <row r="146" spans="1:9" ht="14.1" customHeight="1" x14ac:dyDescent="0.2">
      <c r="A146" s="1"/>
      <c r="B146" s="1"/>
      <c r="C146" s="11"/>
      <c r="D146" s="1"/>
      <c r="E146" s="1"/>
      <c r="F146" s="12"/>
      <c r="G146" s="12"/>
      <c r="H146" s="6"/>
      <c r="I146" s="6"/>
    </row>
    <row r="147" spans="1:9" ht="14.1" customHeight="1" x14ac:dyDescent="0.2">
      <c r="A147" s="1"/>
      <c r="B147" s="1"/>
      <c r="C147" s="2" t="s">
        <v>135</v>
      </c>
      <c r="D147" s="1"/>
      <c r="E147" s="1"/>
      <c r="F147" s="12"/>
      <c r="G147" s="12"/>
      <c r="H147" s="6"/>
      <c r="I147" s="6"/>
    </row>
    <row r="148" spans="1:9" ht="17.100000000000001" customHeight="1" x14ac:dyDescent="0.2">
      <c r="A148" s="3">
        <v>1</v>
      </c>
      <c r="B148" s="4" t="s">
        <v>662</v>
      </c>
      <c r="C148" s="4" t="s">
        <v>987</v>
      </c>
      <c r="D148" s="4" t="s">
        <v>598</v>
      </c>
      <c r="E148" s="5">
        <v>7500000</v>
      </c>
      <c r="F148" s="6">
        <v>7408.3125</v>
      </c>
      <c r="G148" s="7">
        <v>2.5221602999999999E-2</v>
      </c>
      <c r="H148" s="6">
        <v>4.91</v>
      </c>
      <c r="I148" s="6"/>
    </row>
    <row r="149" spans="1:9" ht="17.100000000000001" customHeight="1" x14ac:dyDescent="0.2">
      <c r="A149" s="3">
        <v>2</v>
      </c>
      <c r="B149" s="4" t="s">
        <v>937</v>
      </c>
      <c r="C149" s="4" t="s">
        <v>988</v>
      </c>
      <c r="D149" s="4" t="s">
        <v>598</v>
      </c>
      <c r="E149" s="5">
        <v>2500000</v>
      </c>
      <c r="F149" s="6">
        <v>2488.7125000000001</v>
      </c>
      <c r="G149" s="7">
        <v>8.4728230000000009E-3</v>
      </c>
      <c r="H149" s="6">
        <v>4.5982000000000003</v>
      </c>
      <c r="I149" s="6"/>
    </row>
    <row r="150" spans="1:9" ht="17.100000000000001" customHeight="1" x14ac:dyDescent="0.2">
      <c r="A150" s="3">
        <v>3</v>
      </c>
      <c r="B150" s="4" t="s">
        <v>938</v>
      </c>
      <c r="C150" s="4" t="s">
        <v>991</v>
      </c>
      <c r="D150" s="4" t="s">
        <v>598</v>
      </c>
      <c r="E150" s="5">
        <v>2500000</v>
      </c>
      <c r="F150" s="6">
        <v>2463.3375000000001</v>
      </c>
      <c r="G150" s="7">
        <v>8.3864339999999999E-3</v>
      </c>
      <c r="H150" s="6">
        <v>5.125</v>
      </c>
      <c r="I150" s="6"/>
    </row>
    <row r="151" spans="1:9" ht="17.100000000000001" customHeight="1" x14ac:dyDescent="0.2">
      <c r="A151" s="3">
        <v>4</v>
      </c>
      <c r="B151" s="4" t="s">
        <v>939</v>
      </c>
      <c r="C151" s="4" t="s">
        <v>993</v>
      </c>
      <c r="D151" s="4" t="s">
        <v>598</v>
      </c>
      <c r="E151" s="5">
        <v>2500000</v>
      </c>
      <c r="F151" s="6">
        <v>2419.23</v>
      </c>
      <c r="G151" s="7">
        <v>8.2362700000000004E-3</v>
      </c>
      <c r="H151" s="6">
        <v>5.59</v>
      </c>
      <c r="I151" s="6"/>
    </row>
    <row r="152" spans="1:9" ht="17.100000000000001" customHeight="1" x14ac:dyDescent="0.2">
      <c r="A152" s="3">
        <v>5</v>
      </c>
      <c r="B152" s="4" t="s">
        <v>940</v>
      </c>
      <c r="C152" s="4" t="s">
        <v>992</v>
      </c>
      <c r="D152" s="4" t="s">
        <v>598</v>
      </c>
      <c r="E152" s="5">
        <v>500000</v>
      </c>
      <c r="F152" s="6">
        <v>486.68349999999998</v>
      </c>
      <c r="G152" s="7">
        <v>1.656914E-3</v>
      </c>
      <c r="H152" s="6">
        <v>5.4574999999999996</v>
      </c>
      <c r="I152" s="6"/>
    </row>
    <row r="153" spans="1:9" ht="14.1" customHeight="1" x14ac:dyDescent="0.2">
      <c r="A153" s="1"/>
      <c r="B153" s="1"/>
      <c r="C153" s="2" t="s">
        <v>119</v>
      </c>
      <c r="D153" s="1"/>
      <c r="E153" s="1" t="s">
        <v>120</v>
      </c>
      <c r="F153" s="9">
        <v>15266.276</v>
      </c>
      <c r="G153" s="10">
        <v>5.1974043999999997E-2</v>
      </c>
      <c r="H153" s="6"/>
      <c r="I153" s="6"/>
    </row>
    <row r="154" spans="1:9" ht="14.1" customHeight="1" x14ac:dyDescent="0.2">
      <c r="A154" s="1"/>
      <c r="B154" s="1"/>
      <c r="C154" s="11"/>
      <c r="D154" s="1"/>
      <c r="E154" s="1"/>
      <c r="F154" s="12"/>
      <c r="G154" s="12"/>
      <c r="H154" s="6"/>
      <c r="I154" s="6"/>
    </row>
    <row r="155" spans="1:9" ht="14.1" customHeight="1" x14ac:dyDescent="0.2">
      <c r="A155" s="1"/>
      <c r="B155" s="1"/>
      <c r="C155" s="2" t="s">
        <v>136</v>
      </c>
      <c r="D155" s="1"/>
      <c r="E155" s="1"/>
      <c r="F155" s="12"/>
      <c r="G155" s="12"/>
      <c r="H155" s="6"/>
      <c r="I155" s="6"/>
    </row>
    <row r="156" spans="1:9" ht="17.100000000000001" customHeight="1" x14ac:dyDescent="0.2">
      <c r="A156" s="3">
        <v>1</v>
      </c>
      <c r="B156" s="4"/>
      <c r="C156" s="4" t="s">
        <v>137</v>
      </c>
      <c r="D156" s="4"/>
      <c r="E156" s="8"/>
      <c r="F156" s="6">
        <v>7376.4467015</v>
      </c>
      <c r="G156" s="7">
        <v>2.5113116000000001E-2</v>
      </c>
      <c r="H156" s="6">
        <v>4.1713246754849944</v>
      </c>
      <c r="I156" s="6"/>
    </row>
    <row r="157" spans="1:9" ht="14.1" customHeight="1" x14ac:dyDescent="0.2">
      <c r="A157" s="1"/>
      <c r="B157" s="1"/>
      <c r="C157" s="2" t="s">
        <v>119</v>
      </c>
      <c r="D157" s="1"/>
      <c r="E157" s="1" t="s">
        <v>120</v>
      </c>
      <c r="F157" s="9">
        <v>7376.4467015</v>
      </c>
      <c r="G157" s="10">
        <v>2.5113116000000001E-2</v>
      </c>
      <c r="H157" s="6"/>
      <c r="I157" s="6"/>
    </row>
    <row r="158" spans="1:9" ht="14.1" customHeight="1" x14ac:dyDescent="0.2">
      <c r="A158" s="1"/>
      <c r="B158" s="1"/>
      <c r="C158" s="11"/>
      <c r="D158" s="1"/>
      <c r="E158" s="1"/>
      <c r="F158" s="12"/>
      <c r="G158" s="12"/>
      <c r="H158" s="6"/>
      <c r="I158" s="6"/>
    </row>
    <row r="159" spans="1:9" ht="14.1" customHeight="1" x14ac:dyDescent="0.2">
      <c r="A159" s="1"/>
      <c r="B159" s="1"/>
      <c r="C159" s="2" t="s">
        <v>138</v>
      </c>
      <c r="D159" s="1"/>
      <c r="E159" s="1"/>
      <c r="F159" s="9">
        <v>40792.861201500004</v>
      </c>
      <c r="G159" s="10">
        <v>0.138879315</v>
      </c>
      <c r="H159" s="6"/>
      <c r="I159" s="6"/>
    </row>
    <row r="160" spans="1:9" ht="14.1" customHeight="1" x14ac:dyDescent="0.2">
      <c r="A160" s="1"/>
      <c r="B160" s="1"/>
      <c r="C160" s="12"/>
      <c r="D160" s="1"/>
      <c r="E160" s="1"/>
      <c r="F160" s="1"/>
      <c r="G160" s="1"/>
      <c r="H160" s="6"/>
      <c r="I160" s="6"/>
    </row>
    <row r="161" spans="1:16" ht="14.1" customHeight="1" x14ac:dyDescent="0.2">
      <c r="A161" s="1"/>
      <c r="B161" s="1"/>
      <c r="C161" s="2" t="s">
        <v>139</v>
      </c>
      <c r="D161" s="1"/>
      <c r="E161" s="1"/>
      <c r="F161" s="1"/>
      <c r="G161" s="1"/>
      <c r="H161" s="6"/>
      <c r="I161" s="6"/>
    </row>
    <row r="162" spans="1:16" ht="14.1" customHeight="1" x14ac:dyDescent="0.2">
      <c r="A162" s="1"/>
      <c r="B162" s="1"/>
      <c r="C162" s="2" t="s">
        <v>140</v>
      </c>
      <c r="D162" s="1"/>
      <c r="E162" s="1"/>
      <c r="F162" s="1"/>
      <c r="G162" s="1"/>
      <c r="H162" s="6"/>
      <c r="I162" s="6"/>
    </row>
    <row r="163" spans="1:16" ht="14.1" customHeight="1" x14ac:dyDescent="0.2">
      <c r="A163" s="1"/>
      <c r="B163" s="1"/>
      <c r="C163" s="2" t="s">
        <v>119</v>
      </c>
      <c r="D163" s="1"/>
      <c r="E163" s="1" t="s">
        <v>120</v>
      </c>
      <c r="F163" s="13">
        <v>0</v>
      </c>
      <c r="G163" s="14">
        <v>0</v>
      </c>
      <c r="H163" s="6"/>
      <c r="I163" s="6"/>
    </row>
    <row r="164" spans="1:16" ht="14.1" customHeight="1" x14ac:dyDescent="0.2">
      <c r="A164" s="1"/>
      <c r="B164" s="1"/>
      <c r="C164" s="11"/>
      <c r="D164" s="1"/>
      <c r="E164" s="1"/>
      <c r="F164" s="12"/>
      <c r="G164" s="12"/>
      <c r="H164" s="6"/>
      <c r="I164" s="6"/>
    </row>
    <row r="165" spans="1:16" ht="14.1" customHeight="1" x14ac:dyDescent="0.2">
      <c r="A165" s="1"/>
      <c r="B165" s="1"/>
      <c r="C165" s="2" t="s">
        <v>141</v>
      </c>
      <c r="D165" s="1"/>
      <c r="E165" s="1"/>
      <c r="F165" s="1"/>
      <c r="G165" s="1"/>
      <c r="H165" s="6"/>
      <c r="I165" s="6"/>
    </row>
    <row r="166" spans="1:16" ht="14.1" customHeight="1" x14ac:dyDescent="0.2">
      <c r="A166" s="1"/>
      <c r="B166" s="1"/>
      <c r="C166" s="2" t="s">
        <v>142</v>
      </c>
      <c r="D166" s="1"/>
      <c r="E166" s="1"/>
      <c r="F166" s="1"/>
      <c r="G166" s="1"/>
      <c r="H166" s="6"/>
      <c r="I166" s="6"/>
      <c r="K166" s="170"/>
      <c r="L166" s="170"/>
      <c r="M166" s="170"/>
      <c r="N166" s="170"/>
      <c r="O166" s="170"/>
      <c r="P166" s="170"/>
    </row>
    <row r="167" spans="1:16" ht="14.1" customHeight="1" x14ac:dyDescent="0.2">
      <c r="A167" s="1"/>
      <c r="B167" s="1"/>
      <c r="C167" s="2" t="s">
        <v>119</v>
      </c>
      <c r="D167" s="1"/>
      <c r="E167" s="1" t="s">
        <v>120</v>
      </c>
      <c r="F167" s="13">
        <v>0</v>
      </c>
      <c r="G167" s="14">
        <v>0</v>
      </c>
      <c r="H167" s="6"/>
      <c r="I167" s="6"/>
    </row>
    <row r="168" spans="1:16" ht="14.1" customHeight="1" x14ac:dyDescent="0.2">
      <c r="A168" s="1"/>
      <c r="B168" s="1"/>
      <c r="C168" s="11"/>
      <c r="D168" s="1"/>
      <c r="E168" s="1"/>
      <c r="F168" s="12"/>
      <c r="G168" s="12"/>
      <c r="H168" s="6"/>
      <c r="I168" s="6"/>
    </row>
    <row r="169" spans="1:16" ht="24" customHeight="1" x14ac:dyDescent="0.2">
      <c r="A169" s="1"/>
      <c r="B169" s="1"/>
      <c r="C169" s="2" t="s">
        <v>143</v>
      </c>
      <c r="D169" s="1"/>
      <c r="E169" s="1"/>
      <c r="F169" s="12"/>
      <c r="G169" s="12"/>
      <c r="H169" s="6"/>
      <c r="I169" s="6"/>
    </row>
    <row r="170" spans="1:16" ht="14.1" customHeight="1" x14ac:dyDescent="0.2">
      <c r="A170" s="1"/>
      <c r="B170" s="1"/>
      <c r="C170" s="2" t="s">
        <v>119</v>
      </c>
      <c r="D170" s="1"/>
      <c r="E170" s="1" t="s">
        <v>120</v>
      </c>
      <c r="F170" s="13">
        <v>0</v>
      </c>
      <c r="G170" s="14">
        <v>0</v>
      </c>
      <c r="H170" s="6"/>
      <c r="I170" s="6"/>
    </row>
    <row r="171" spans="1:16" ht="14.1" customHeight="1" x14ac:dyDescent="0.2">
      <c r="A171" s="1"/>
      <c r="B171" s="1"/>
      <c r="C171" s="11"/>
      <c r="D171" s="1"/>
      <c r="E171" s="1"/>
      <c r="F171" s="12"/>
      <c r="G171" s="12"/>
      <c r="H171" s="6"/>
      <c r="I171" s="6"/>
    </row>
    <row r="172" spans="1:16" ht="14.1" customHeight="1" x14ac:dyDescent="0.2">
      <c r="A172" s="1"/>
      <c r="B172" s="4"/>
      <c r="C172" s="4"/>
      <c r="D172" s="2"/>
      <c r="E172" s="1"/>
      <c r="F172" s="4"/>
      <c r="G172" s="8"/>
      <c r="H172" s="6"/>
      <c r="I172" s="6"/>
    </row>
    <row r="173" spans="1:16" ht="18" customHeight="1" x14ac:dyDescent="0.2">
      <c r="A173" s="8"/>
      <c r="B173" s="4"/>
      <c r="C173" s="4" t="s">
        <v>1114</v>
      </c>
      <c r="D173" s="4"/>
      <c r="E173" s="8"/>
      <c r="F173" s="6">
        <v>5677.1328596100002</v>
      </c>
      <c r="G173" s="7">
        <v>1.9327800999999999E-2</v>
      </c>
      <c r="H173" s="6"/>
      <c r="I173" s="6"/>
    </row>
    <row r="174" spans="1:16" ht="14.1" customHeight="1" x14ac:dyDescent="0.2">
      <c r="A174" s="11"/>
      <c r="B174" s="11"/>
      <c r="C174" s="2" t="s">
        <v>145</v>
      </c>
      <c r="D174" s="12"/>
      <c r="E174" s="12"/>
      <c r="F174" s="9">
        <v>293728.84938850999</v>
      </c>
      <c r="G174" s="10">
        <v>1</v>
      </c>
      <c r="H174" s="6"/>
      <c r="I174" s="6"/>
    </row>
    <row r="175" spans="1:16" ht="14.1" customHeight="1" x14ac:dyDescent="0.2">
      <c r="A175" s="16"/>
      <c r="B175" s="16"/>
      <c r="C175" s="16"/>
      <c r="D175" s="17"/>
      <c r="E175" s="17"/>
      <c r="F175" s="17"/>
      <c r="G175" s="17"/>
    </row>
    <row r="176" spans="1:16" ht="17.100000000000001" customHeight="1" x14ac:dyDescent="0.2">
      <c r="A176" s="18"/>
      <c r="B176" s="267" t="s">
        <v>941</v>
      </c>
      <c r="C176" s="267"/>
      <c r="D176" s="267"/>
      <c r="E176" s="267"/>
      <c r="F176" s="267"/>
      <c r="G176" s="20"/>
    </row>
    <row r="177" spans="1:16" ht="17.100000000000001" customHeight="1" x14ac:dyDescent="0.2">
      <c r="A177" s="18"/>
      <c r="B177" s="267" t="s">
        <v>942</v>
      </c>
      <c r="C177" s="267"/>
      <c r="D177" s="267"/>
      <c r="E177" s="267"/>
      <c r="F177" s="267"/>
      <c r="G177" s="20"/>
    </row>
    <row r="178" spans="1:16" ht="17.100000000000001" customHeight="1" x14ac:dyDescent="0.2">
      <c r="A178" s="18"/>
      <c r="B178" s="267" t="s">
        <v>146</v>
      </c>
      <c r="C178" s="267"/>
      <c r="D178" s="267"/>
      <c r="E178" s="267"/>
      <c r="F178" s="267"/>
      <c r="G178" s="20"/>
    </row>
    <row r="179" spans="1:16" ht="14.1" customHeight="1" x14ac:dyDescent="0.2">
      <c r="A179" s="18"/>
      <c r="B179" s="18"/>
      <c r="C179" s="18"/>
      <c r="D179" s="20"/>
      <c r="E179" s="20"/>
      <c r="F179" s="20"/>
      <c r="G179" s="20"/>
    </row>
    <row r="180" spans="1:16" ht="14.1" customHeight="1" x14ac:dyDescent="0.2">
      <c r="A180" s="18"/>
      <c r="B180" s="265" t="s">
        <v>147</v>
      </c>
      <c r="C180" s="294"/>
      <c r="D180" s="266"/>
      <c r="E180" s="21"/>
      <c r="F180" s="20"/>
      <c r="G180" s="20"/>
    </row>
    <row r="181" spans="1:16" ht="29.1" customHeight="1" x14ac:dyDescent="0.2">
      <c r="A181" s="18"/>
      <c r="B181" s="272" t="s">
        <v>148</v>
      </c>
      <c r="C181" s="273"/>
      <c r="D181" s="2" t="s">
        <v>1097</v>
      </c>
      <c r="E181" s="21"/>
      <c r="F181" s="20"/>
      <c r="G181" s="20"/>
    </row>
    <row r="182" spans="1:16" ht="17.100000000000001" customHeight="1" x14ac:dyDescent="0.2">
      <c r="A182" s="18"/>
      <c r="B182" s="272" t="s">
        <v>997</v>
      </c>
      <c r="C182" s="273"/>
      <c r="D182" s="2" t="s">
        <v>1061</v>
      </c>
      <c r="E182" s="21"/>
      <c r="F182" s="20"/>
      <c r="G182" s="20"/>
      <c r="J182" s="172"/>
      <c r="K182" s="172"/>
      <c r="L182" s="172"/>
      <c r="M182" s="172"/>
      <c r="N182" s="172"/>
      <c r="O182" s="172"/>
      <c r="P182" s="172"/>
    </row>
    <row r="183" spans="1:16" ht="17.100000000000001" customHeight="1" x14ac:dyDescent="0.2">
      <c r="A183" s="18"/>
      <c r="B183" s="272" t="s">
        <v>151</v>
      </c>
      <c r="C183" s="273"/>
      <c r="D183" s="12" t="s">
        <v>120</v>
      </c>
      <c r="E183" s="21"/>
      <c r="F183" s="20"/>
      <c r="G183" s="20"/>
    </row>
    <row r="184" spans="1:16" ht="24" customHeight="1" x14ac:dyDescent="0.2">
      <c r="A184" s="22"/>
      <c r="B184" s="23" t="s">
        <v>120</v>
      </c>
      <c r="C184" s="23" t="s">
        <v>152</v>
      </c>
      <c r="D184" s="23" t="s">
        <v>153</v>
      </c>
      <c r="E184" s="22"/>
      <c r="F184" s="22"/>
      <c r="G184" s="22"/>
    </row>
    <row r="185" spans="1:16" ht="18" customHeight="1" x14ac:dyDescent="0.2">
      <c r="A185" s="22"/>
      <c r="B185" s="87" t="s">
        <v>154</v>
      </c>
      <c r="C185" s="23" t="s">
        <v>155</v>
      </c>
      <c r="D185" s="23" t="s">
        <v>156</v>
      </c>
      <c r="E185" s="22"/>
      <c r="F185" s="22"/>
      <c r="G185" s="22"/>
    </row>
    <row r="186" spans="1:16" ht="17.100000000000001" customHeight="1" x14ac:dyDescent="0.2">
      <c r="A186" s="22"/>
      <c r="B186" s="4" t="s">
        <v>157</v>
      </c>
      <c r="C186" s="88">
        <v>119.845</v>
      </c>
      <c r="D186" s="88">
        <v>117.2679</v>
      </c>
      <c r="E186" s="22"/>
      <c r="F186" s="19"/>
      <c r="G186" s="25"/>
    </row>
    <row r="187" spans="1:16" ht="29.1" customHeight="1" x14ac:dyDescent="0.2">
      <c r="A187" s="22"/>
      <c r="B187" s="4" t="s">
        <v>1125</v>
      </c>
      <c r="C187" s="88">
        <v>38.927300000000002</v>
      </c>
      <c r="D187" s="88">
        <v>37.739899999999999</v>
      </c>
      <c r="E187" s="22"/>
      <c r="F187" s="19"/>
      <c r="G187" s="25"/>
    </row>
    <row r="188" spans="1:16" ht="17.100000000000001" customHeight="1" x14ac:dyDescent="0.2">
      <c r="A188" s="22"/>
      <c r="B188" s="4" t="s">
        <v>158</v>
      </c>
      <c r="C188" s="88">
        <v>108.562</v>
      </c>
      <c r="D188" s="88">
        <v>106.1183</v>
      </c>
      <c r="E188" s="22"/>
      <c r="F188" s="19"/>
      <c r="G188" s="25"/>
    </row>
    <row r="189" spans="1:16" ht="29.1" customHeight="1" x14ac:dyDescent="0.2">
      <c r="A189" s="22"/>
      <c r="B189" s="4" t="s">
        <v>1127</v>
      </c>
      <c r="C189" s="88">
        <v>26.821400000000001</v>
      </c>
      <c r="D189" s="88">
        <v>25.976900000000001</v>
      </c>
      <c r="E189" s="22"/>
      <c r="F189" s="19"/>
      <c r="G189" s="25"/>
    </row>
    <row r="190" spans="1:16" ht="14.1" customHeight="1" x14ac:dyDescent="0.2">
      <c r="A190" s="22"/>
      <c r="B190" s="22"/>
      <c r="C190" s="22"/>
      <c r="D190" s="22"/>
      <c r="E190" s="22"/>
      <c r="F190" s="22"/>
      <c r="G190" s="22"/>
    </row>
    <row r="191" spans="1:16" ht="17.100000000000001" customHeight="1" x14ac:dyDescent="0.2">
      <c r="A191" s="22"/>
      <c r="B191" s="272" t="s">
        <v>1122</v>
      </c>
      <c r="C191" s="273"/>
      <c r="D191" s="2" t="s">
        <v>120</v>
      </c>
      <c r="E191" s="22"/>
      <c r="F191" s="22"/>
      <c r="G191" s="22"/>
    </row>
    <row r="192" spans="1:16" ht="18" customHeight="1" x14ac:dyDescent="0.2">
      <c r="A192" s="22"/>
      <c r="B192" s="89" t="s">
        <v>154</v>
      </c>
      <c r="C192" s="90" t="s">
        <v>943</v>
      </c>
      <c r="D192" s="90" t="s">
        <v>944</v>
      </c>
      <c r="E192" s="22"/>
      <c r="F192" s="22"/>
      <c r="G192" s="22"/>
    </row>
    <row r="193" spans="1:10" ht="29.1" customHeight="1" x14ac:dyDescent="0.2">
      <c r="A193" s="22"/>
      <c r="B193" s="4" t="s">
        <v>1125</v>
      </c>
      <c r="C193" s="91">
        <v>0.34399999999999997</v>
      </c>
      <c r="D193" s="91">
        <v>0.34399999999999997</v>
      </c>
      <c r="E193" s="22"/>
      <c r="F193" s="19"/>
      <c r="G193" s="25"/>
    </row>
    <row r="194" spans="1:10" ht="29.1" customHeight="1" x14ac:dyDescent="0.2">
      <c r="A194" s="22"/>
      <c r="B194" s="4" t="s">
        <v>1127</v>
      </c>
      <c r="C194" s="91">
        <v>0.23699999999999999</v>
      </c>
      <c r="D194" s="91">
        <v>0.23699999999999999</v>
      </c>
      <c r="E194" s="22"/>
      <c r="F194" s="19"/>
      <c r="G194" s="25"/>
    </row>
    <row r="195" spans="1:10" ht="14.1" customHeight="1" x14ac:dyDescent="0.2">
      <c r="A195" s="22"/>
      <c r="B195" s="92"/>
      <c r="C195" s="92"/>
      <c r="D195" s="93"/>
      <c r="E195" s="22"/>
      <c r="F195" s="19"/>
      <c r="G195" s="25"/>
    </row>
    <row r="196" spans="1:10" ht="14.1" customHeight="1" x14ac:dyDescent="0.2">
      <c r="A196" s="22"/>
      <c r="B196" s="19"/>
      <c r="C196" s="19"/>
      <c r="D196" s="22"/>
      <c r="E196" s="22"/>
      <c r="F196" s="22"/>
      <c r="G196" s="22"/>
    </row>
    <row r="197" spans="1:10" ht="29.1" customHeight="1" x14ac:dyDescent="0.2">
      <c r="A197" s="22"/>
      <c r="B197" s="272" t="s">
        <v>160</v>
      </c>
      <c r="C197" s="273"/>
      <c r="D197" s="2" t="s">
        <v>149</v>
      </c>
      <c r="E197" s="94"/>
      <c r="F197" s="22"/>
      <c r="G197" s="22"/>
    </row>
    <row r="198" spans="1:10" ht="29.1" customHeight="1" x14ac:dyDescent="0.2">
      <c r="A198" s="22"/>
      <c r="B198" s="272" t="s">
        <v>161</v>
      </c>
      <c r="C198" s="273"/>
      <c r="D198" s="2" t="s">
        <v>149</v>
      </c>
      <c r="E198" s="94"/>
      <c r="F198" s="22"/>
      <c r="G198" s="22"/>
    </row>
    <row r="199" spans="1:10" ht="17.100000000000001" customHeight="1" x14ac:dyDescent="0.2">
      <c r="A199" s="22"/>
      <c r="B199" s="290" t="s">
        <v>1109</v>
      </c>
      <c r="C199" s="291"/>
      <c r="D199" s="95">
        <v>2.0451125631799068</v>
      </c>
      <c r="E199" s="94"/>
      <c r="F199" s="22"/>
      <c r="G199" s="22"/>
    </row>
    <row r="200" spans="1:10" ht="17.100000000000001" customHeight="1" x14ac:dyDescent="0.2">
      <c r="A200" s="22"/>
      <c r="B200" s="290" t="s">
        <v>1110</v>
      </c>
      <c r="C200" s="291"/>
      <c r="D200" s="95">
        <v>1.3504730834101595</v>
      </c>
      <c r="E200" s="94"/>
      <c r="F200" s="22"/>
      <c r="G200" s="22"/>
    </row>
    <row r="201" spans="1:10" ht="17.100000000000001" customHeight="1" x14ac:dyDescent="0.2">
      <c r="A201" s="22"/>
      <c r="B201" s="272" t="s">
        <v>945</v>
      </c>
      <c r="C201" s="273"/>
      <c r="D201" s="2" t="s">
        <v>149</v>
      </c>
      <c r="E201" s="94"/>
      <c r="F201" s="22"/>
      <c r="G201" s="22"/>
    </row>
    <row r="202" spans="1:10" ht="17.100000000000001" customHeight="1" x14ac:dyDescent="0.2">
      <c r="A202" s="22"/>
      <c r="B202" s="272" t="s">
        <v>1108</v>
      </c>
      <c r="C202" s="273"/>
      <c r="D202" s="27">
        <v>0.71705419701132278</v>
      </c>
      <c r="E202" s="22"/>
      <c r="F202" s="19"/>
      <c r="G202" s="25"/>
      <c r="J202" s="103"/>
    </row>
    <row r="203" spans="1:10" ht="11.1" customHeight="1" x14ac:dyDescent="0.2">
      <c r="A203" s="96"/>
      <c r="B203" s="96"/>
      <c r="C203" s="96"/>
      <c r="D203" s="96"/>
      <c r="E203" s="96"/>
      <c r="F203" s="96"/>
      <c r="G203" s="96"/>
      <c r="J203" s="103"/>
    </row>
    <row r="204" spans="1:10" x14ac:dyDescent="0.2">
      <c r="B204" s="116" t="s">
        <v>1104</v>
      </c>
      <c r="J204" s="103"/>
    </row>
    <row r="205" spans="1:10" x14ac:dyDescent="0.2">
      <c r="B205" s="116"/>
      <c r="J205" s="103"/>
    </row>
    <row r="206" spans="1:10" ht="38.25" x14ac:dyDescent="0.2">
      <c r="B206" s="117" t="s">
        <v>1076</v>
      </c>
      <c r="C206" s="117" t="s">
        <v>1077</v>
      </c>
      <c r="D206" s="117" t="s">
        <v>1078</v>
      </c>
      <c r="E206" s="117" t="s">
        <v>1079</v>
      </c>
      <c r="F206" s="117" t="s">
        <v>1080</v>
      </c>
      <c r="J206" s="103"/>
    </row>
    <row r="207" spans="1:10" ht="25.5" x14ac:dyDescent="0.2">
      <c r="B207" s="118" t="s">
        <v>1081</v>
      </c>
      <c r="C207" s="119" t="s">
        <v>1082</v>
      </c>
      <c r="D207" s="120">
        <v>0</v>
      </c>
      <c r="E207" s="121">
        <v>0</v>
      </c>
      <c r="F207" s="122">
        <v>1000</v>
      </c>
      <c r="J207" s="103"/>
    </row>
    <row r="208" spans="1:10" x14ac:dyDescent="0.2">
      <c r="B208" s="116"/>
    </row>
    <row r="209" spans="2:16" x14ac:dyDescent="0.2">
      <c r="B209" s="295" t="s">
        <v>1104</v>
      </c>
      <c r="C209" s="296"/>
      <c r="D209" s="296"/>
      <c r="E209" s="296"/>
      <c r="F209" s="296"/>
      <c r="G209" s="297"/>
      <c r="K209"/>
      <c r="L209"/>
      <c r="M209"/>
      <c r="N209"/>
      <c r="O209"/>
      <c r="P209"/>
    </row>
    <row r="210" spans="2:16" ht="29.25" customHeight="1" x14ac:dyDescent="0.2">
      <c r="B210" s="263" t="s">
        <v>1083</v>
      </c>
      <c r="C210" s="263" t="s">
        <v>1084</v>
      </c>
      <c r="D210" s="276" t="s">
        <v>1085</v>
      </c>
      <c r="E210" s="277"/>
      <c r="F210" s="284" t="s">
        <v>1086</v>
      </c>
      <c r="G210" s="284"/>
      <c r="H210" s="123"/>
      <c r="I210" s="103"/>
      <c r="J210" s="103"/>
      <c r="P210"/>
    </row>
    <row r="211" spans="2:16" ht="25.5" x14ac:dyDescent="0.2">
      <c r="B211" s="124" t="s">
        <v>1087</v>
      </c>
      <c r="C211" s="125" t="s">
        <v>1088</v>
      </c>
      <c r="D211" s="292">
        <v>0</v>
      </c>
      <c r="E211" s="293"/>
      <c r="F211" s="292">
        <v>0</v>
      </c>
      <c r="G211" s="293"/>
      <c r="H211" s="126"/>
      <c r="I211" s="103"/>
      <c r="J211" s="103"/>
      <c r="P211"/>
    </row>
    <row r="212" spans="2:16" x14ac:dyDescent="0.2">
      <c r="B212" s="285" t="s">
        <v>1089</v>
      </c>
      <c r="C212" s="286"/>
      <c r="D212" s="286"/>
      <c r="E212" s="286"/>
      <c r="F212" s="286"/>
      <c r="G212" s="287"/>
      <c r="H212" s="123"/>
      <c r="I212" s="103"/>
      <c r="J212" s="103"/>
      <c r="P212"/>
    </row>
    <row r="213" spans="2:16" x14ac:dyDescent="0.2">
      <c r="B213" s="284" t="s">
        <v>1083</v>
      </c>
      <c r="C213" s="284" t="s">
        <v>1084</v>
      </c>
      <c r="D213" s="278" t="s">
        <v>1090</v>
      </c>
      <c r="E213" s="279"/>
      <c r="F213" s="280"/>
      <c r="G213" s="124"/>
      <c r="H213" s="127"/>
      <c r="I213" s="103"/>
      <c r="J213" s="103"/>
      <c r="P213"/>
    </row>
    <row r="214" spans="2:16" ht="38.25" x14ac:dyDescent="0.2">
      <c r="B214" s="284"/>
      <c r="C214" s="284"/>
      <c r="D214" s="128" t="s">
        <v>1091</v>
      </c>
      <c r="E214" s="128" t="s">
        <v>1092</v>
      </c>
      <c r="F214" s="128" t="s">
        <v>1093</v>
      </c>
      <c r="G214" s="128" t="s">
        <v>1096</v>
      </c>
      <c r="H214" s="134" t="s">
        <v>1094</v>
      </c>
      <c r="I214" s="103"/>
      <c r="J214" s="103"/>
      <c r="P214"/>
    </row>
    <row r="215" spans="2:16" ht="25.5" x14ac:dyDescent="0.25">
      <c r="B215" s="129" t="s">
        <v>1087</v>
      </c>
      <c r="C215" s="130" t="s">
        <v>1088</v>
      </c>
      <c r="D215" s="131">
        <v>700</v>
      </c>
      <c r="E215" s="131">
        <v>24.098357999999998</v>
      </c>
      <c r="F215" s="132">
        <v>724.09835799999996</v>
      </c>
      <c r="G215" s="133">
        <v>2.5000000000000001E-3</v>
      </c>
      <c r="H215" s="136">
        <f>F174*10^5</f>
        <v>29372884938.850998</v>
      </c>
      <c r="I215" s="103"/>
      <c r="J215" s="103"/>
      <c r="P215"/>
    </row>
    <row r="216" spans="2:16" ht="27.75" customHeight="1" x14ac:dyDescent="0.2">
      <c r="B216" s="281" t="s">
        <v>1095</v>
      </c>
      <c r="C216" s="282"/>
      <c r="D216" s="282"/>
      <c r="E216" s="282"/>
      <c r="F216" s="282"/>
      <c r="G216" s="283"/>
      <c r="H216" s="135"/>
      <c r="I216" s="103"/>
      <c r="J216" s="103"/>
      <c r="P216"/>
    </row>
    <row r="217" spans="2:16" x14ac:dyDescent="0.2">
      <c r="J217" s="103"/>
    </row>
    <row r="218" spans="2:16" ht="15" x14ac:dyDescent="0.2">
      <c r="J218" s="134" t="s">
        <v>1152</v>
      </c>
    </row>
    <row r="219" spans="2:16" ht="15" x14ac:dyDescent="0.25">
      <c r="J219" s="173">
        <f>G219*10^7</f>
        <v>0</v>
      </c>
    </row>
    <row r="220" spans="2:16" x14ac:dyDescent="0.2">
      <c r="J220" s="103"/>
    </row>
    <row r="221" spans="2:16" x14ac:dyDescent="0.2">
      <c r="J221" s="103"/>
    </row>
  </sheetData>
  <mergeCells count="28">
    <mergeCell ref="B200:C200"/>
    <mergeCell ref="A1:I1"/>
    <mergeCell ref="F210:G210"/>
    <mergeCell ref="F211:G211"/>
    <mergeCell ref="B201:C201"/>
    <mergeCell ref="B202:C202"/>
    <mergeCell ref="B197:C197"/>
    <mergeCell ref="B176:F176"/>
    <mergeCell ref="B177:F177"/>
    <mergeCell ref="B178:F178"/>
    <mergeCell ref="B180:D180"/>
    <mergeCell ref="B181:C181"/>
    <mergeCell ref="B182:C182"/>
    <mergeCell ref="B183:C183"/>
    <mergeCell ref="B209:G209"/>
    <mergeCell ref="D211:E211"/>
    <mergeCell ref="K2:O2"/>
    <mergeCell ref="A2:I2"/>
    <mergeCell ref="A3:I3"/>
    <mergeCell ref="B198:C198"/>
    <mergeCell ref="B199:C199"/>
    <mergeCell ref="B191:C191"/>
    <mergeCell ref="D210:E210"/>
    <mergeCell ref="D213:F213"/>
    <mergeCell ref="B216:G216"/>
    <mergeCell ref="B213:B214"/>
    <mergeCell ref="C213:C214"/>
    <mergeCell ref="B212:G212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13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6.140625" customWidth="1"/>
    <col min="4" max="4" width="17.85546875" customWidth="1"/>
    <col min="5" max="6" width="19.140625" customWidth="1"/>
    <col min="7" max="7" width="16.42578125" customWidth="1"/>
    <col min="9" max="9" width="10.285156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1132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374</v>
      </c>
      <c r="C7" s="4" t="s">
        <v>375</v>
      </c>
      <c r="D7" s="4" t="s">
        <v>19</v>
      </c>
      <c r="E7" s="5">
        <v>42350</v>
      </c>
      <c r="F7" s="6">
        <v>588.220325</v>
      </c>
      <c r="G7" s="7">
        <v>9.3731536000000004E-2</v>
      </c>
      <c r="H7" s="6"/>
    </row>
    <row r="8" spans="1:14" ht="17.100000000000001" customHeight="1" x14ac:dyDescent="0.2">
      <c r="A8" s="3">
        <v>2</v>
      </c>
      <c r="B8" s="4" t="s">
        <v>447</v>
      </c>
      <c r="C8" s="4" t="s">
        <v>448</v>
      </c>
      <c r="D8" s="4" t="s">
        <v>85</v>
      </c>
      <c r="E8" s="5">
        <v>8000</v>
      </c>
      <c r="F8" s="6">
        <v>486.572</v>
      </c>
      <c r="G8" s="7">
        <v>7.7534112000000002E-2</v>
      </c>
      <c r="H8" s="6"/>
    </row>
    <row r="9" spans="1:14" ht="17.100000000000001" customHeight="1" x14ac:dyDescent="0.2">
      <c r="A9" s="3">
        <v>3</v>
      </c>
      <c r="B9" s="4" t="s">
        <v>319</v>
      </c>
      <c r="C9" s="4" t="s">
        <v>320</v>
      </c>
      <c r="D9" s="4" t="s">
        <v>19</v>
      </c>
      <c r="E9" s="5">
        <v>67200</v>
      </c>
      <c r="F9" s="6">
        <v>460.45440000000002</v>
      </c>
      <c r="G9" s="7">
        <v>7.3372333999999997E-2</v>
      </c>
      <c r="H9" s="6"/>
    </row>
    <row r="10" spans="1:14" ht="17.100000000000001" customHeight="1" x14ac:dyDescent="0.2">
      <c r="A10" s="3">
        <v>4</v>
      </c>
      <c r="B10" s="4" t="s">
        <v>11</v>
      </c>
      <c r="C10" s="4" t="s">
        <v>12</v>
      </c>
      <c r="D10" s="4" t="s">
        <v>13</v>
      </c>
      <c r="E10" s="5">
        <v>26450</v>
      </c>
      <c r="F10" s="6">
        <v>437.61525</v>
      </c>
      <c r="G10" s="7">
        <v>6.9732969000000006E-2</v>
      </c>
      <c r="H10" s="6"/>
    </row>
    <row r="11" spans="1:14" ht="29.1" customHeight="1" x14ac:dyDescent="0.2">
      <c r="A11" s="3">
        <v>5</v>
      </c>
      <c r="B11" s="4" t="s">
        <v>55</v>
      </c>
      <c r="C11" s="4" t="s">
        <v>56</v>
      </c>
      <c r="D11" s="4" t="s">
        <v>57</v>
      </c>
      <c r="E11" s="5">
        <v>50000</v>
      </c>
      <c r="F11" s="6">
        <v>369.92500000000001</v>
      </c>
      <c r="G11" s="7">
        <v>5.8946684999999999E-2</v>
      </c>
      <c r="H11" s="6"/>
    </row>
    <row r="12" spans="1:14" ht="17.100000000000001" customHeight="1" x14ac:dyDescent="0.2">
      <c r="A12" s="3">
        <v>6</v>
      </c>
      <c r="B12" s="4" t="s">
        <v>370</v>
      </c>
      <c r="C12" s="4" t="s">
        <v>371</v>
      </c>
      <c r="D12" s="4" t="s">
        <v>203</v>
      </c>
      <c r="E12" s="5">
        <v>123000</v>
      </c>
      <c r="F12" s="6">
        <v>311.00549999999998</v>
      </c>
      <c r="G12" s="7">
        <v>4.9557999999999998E-2</v>
      </c>
      <c r="H12" s="6"/>
      <c r="J12" s="169"/>
    </row>
    <row r="13" spans="1:14" ht="17.100000000000001" customHeight="1" x14ac:dyDescent="0.2">
      <c r="A13" s="3">
        <v>7</v>
      </c>
      <c r="B13" s="4" t="s">
        <v>423</v>
      </c>
      <c r="C13" s="4" t="s">
        <v>424</v>
      </c>
      <c r="D13" s="4" t="s">
        <v>396</v>
      </c>
      <c r="E13" s="5">
        <v>25200</v>
      </c>
      <c r="F13" s="6">
        <v>260.65620000000001</v>
      </c>
      <c r="G13" s="7">
        <v>4.1534956999999997E-2</v>
      </c>
      <c r="H13" s="6"/>
    </row>
    <row r="14" spans="1:14" ht="17.100000000000001" customHeight="1" x14ac:dyDescent="0.2">
      <c r="A14" s="3">
        <v>8</v>
      </c>
      <c r="B14" s="4" t="s">
        <v>380</v>
      </c>
      <c r="C14" s="4" t="s">
        <v>381</v>
      </c>
      <c r="D14" s="4" t="s">
        <v>85</v>
      </c>
      <c r="E14" s="5">
        <v>1750</v>
      </c>
      <c r="F14" s="6">
        <v>226.345</v>
      </c>
      <c r="G14" s="7">
        <v>3.6067546999999998E-2</v>
      </c>
      <c r="H14" s="6"/>
      <c r="J14" s="169" t="s">
        <v>1153</v>
      </c>
    </row>
    <row r="15" spans="1:14" ht="17.100000000000001" customHeight="1" x14ac:dyDescent="0.2">
      <c r="A15" s="3">
        <v>9</v>
      </c>
      <c r="B15" s="4" t="s">
        <v>376</v>
      </c>
      <c r="C15" s="4" t="s">
        <v>377</v>
      </c>
      <c r="D15" s="4" t="s">
        <v>85</v>
      </c>
      <c r="E15" s="5">
        <v>52000</v>
      </c>
      <c r="F15" s="6">
        <v>196.56</v>
      </c>
      <c r="G15" s="7">
        <v>3.1321376999999997E-2</v>
      </c>
      <c r="H15" s="6"/>
    </row>
    <row r="16" spans="1:14" ht="17.100000000000001" customHeight="1" x14ac:dyDescent="0.2">
      <c r="A16" s="3">
        <v>10</v>
      </c>
      <c r="B16" s="4" t="s">
        <v>588</v>
      </c>
      <c r="C16" s="4" t="s">
        <v>589</v>
      </c>
      <c r="D16" s="4" t="s">
        <v>396</v>
      </c>
      <c r="E16" s="5">
        <v>6900</v>
      </c>
      <c r="F16" s="6">
        <v>191.3991</v>
      </c>
      <c r="G16" s="7">
        <v>3.0498999999999998E-2</v>
      </c>
      <c r="H16" s="6"/>
    </row>
    <row r="17" spans="1:8" ht="17.100000000000001" customHeight="1" x14ac:dyDescent="0.2">
      <c r="A17" s="3">
        <v>11</v>
      </c>
      <c r="B17" s="4" t="s">
        <v>406</v>
      </c>
      <c r="C17" s="4" t="s">
        <v>407</v>
      </c>
      <c r="D17" s="4" t="s">
        <v>994</v>
      </c>
      <c r="E17" s="5">
        <v>12000</v>
      </c>
      <c r="F17" s="6">
        <v>180.43199999999999</v>
      </c>
      <c r="G17" s="7">
        <v>2.8751418000000001E-2</v>
      </c>
      <c r="H17" s="6"/>
    </row>
    <row r="18" spans="1:8" ht="17.100000000000001" customHeight="1" x14ac:dyDescent="0.2">
      <c r="A18" s="3">
        <v>12</v>
      </c>
      <c r="B18" s="4" t="s">
        <v>433</v>
      </c>
      <c r="C18" s="4" t="s">
        <v>434</v>
      </c>
      <c r="D18" s="4" t="s">
        <v>106</v>
      </c>
      <c r="E18" s="5">
        <v>14875</v>
      </c>
      <c r="F18" s="6">
        <v>157.02793750000001</v>
      </c>
      <c r="G18" s="7">
        <v>2.5022035000000001E-2</v>
      </c>
      <c r="H18" s="6"/>
    </row>
    <row r="19" spans="1:8" ht="17.100000000000001" customHeight="1" x14ac:dyDescent="0.2">
      <c r="A19" s="3">
        <v>13</v>
      </c>
      <c r="B19" s="4" t="s">
        <v>17</v>
      </c>
      <c r="C19" s="4" t="s">
        <v>18</v>
      </c>
      <c r="D19" s="4" t="s">
        <v>19</v>
      </c>
      <c r="E19" s="5">
        <v>20625</v>
      </c>
      <c r="F19" s="6">
        <v>155.27531250000001</v>
      </c>
      <c r="G19" s="7">
        <v>2.4742759E-2</v>
      </c>
      <c r="H19" s="6"/>
    </row>
    <row r="20" spans="1:8" ht="17.100000000000001" customHeight="1" x14ac:dyDescent="0.2">
      <c r="A20" s="3">
        <v>14</v>
      </c>
      <c r="B20" s="4" t="s">
        <v>590</v>
      </c>
      <c r="C20" s="4" t="s">
        <v>591</v>
      </c>
      <c r="D20" s="4" t="s">
        <v>369</v>
      </c>
      <c r="E20" s="5">
        <v>21250</v>
      </c>
      <c r="F20" s="6">
        <v>110.28749999999999</v>
      </c>
      <c r="G20" s="7">
        <v>1.7574056000000001E-2</v>
      </c>
      <c r="H20" s="6"/>
    </row>
    <row r="21" spans="1:8" ht="17.100000000000001" customHeight="1" x14ac:dyDescent="0.2">
      <c r="A21" s="3">
        <v>15</v>
      </c>
      <c r="B21" s="4" t="s">
        <v>461</v>
      </c>
      <c r="C21" s="4" t="s">
        <v>462</v>
      </c>
      <c r="D21" s="4" t="s">
        <v>396</v>
      </c>
      <c r="E21" s="5">
        <v>1100</v>
      </c>
      <c r="F21" s="6">
        <v>87.629850000000005</v>
      </c>
      <c r="G21" s="7">
        <v>1.3963612E-2</v>
      </c>
      <c r="H21" s="6"/>
    </row>
    <row r="22" spans="1:8" ht="17.100000000000001" customHeight="1" x14ac:dyDescent="0.2">
      <c r="A22" s="3">
        <v>16</v>
      </c>
      <c r="B22" s="4" t="s">
        <v>592</v>
      </c>
      <c r="C22" s="4" t="s">
        <v>593</v>
      </c>
      <c r="D22" s="4" t="s">
        <v>323</v>
      </c>
      <c r="E22" s="5">
        <v>12100</v>
      </c>
      <c r="F22" s="6">
        <v>72.472949999999997</v>
      </c>
      <c r="G22" s="7">
        <v>1.1548394999999999E-2</v>
      </c>
      <c r="H22" s="6"/>
    </row>
    <row r="23" spans="1:8" ht="29.1" customHeight="1" x14ac:dyDescent="0.2">
      <c r="A23" s="3">
        <v>17</v>
      </c>
      <c r="B23" s="4" t="s">
        <v>594</v>
      </c>
      <c r="C23" s="4" t="s">
        <v>595</v>
      </c>
      <c r="D23" s="4" t="s">
        <v>198</v>
      </c>
      <c r="E23" s="5">
        <v>10500</v>
      </c>
      <c r="F23" s="6">
        <v>55.734000000000002</v>
      </c>
      <c r="G23" s="7">
        <v>8.8810829999999997E-3</v>
      </c>
      <c r="H23" s="6"/>
    </row>
    <row r="24" spans="1:8" ht="17.100000000000001" customHeight="1" x14ac:dyDescent="0.2">
      <c r="A24" s="3">
        <v>18</v>
      </c>
      <c r="B24" s="4" t="s">
        <v>427</v>
      </c>
      <c r="C24" s="4" t="s">
        <v>428</v>
      </c>
      <c r="D24" s="4" t="s">
        <v>994</v>
      </c>
      <c r="E24" s="5">
        <v>2400</v>
      </c>
      <c r="F24" s="6">
        <v>28.326000000000001</v>
      </c>
      <c r="G24" s="7">
        <v>4.5136819999999998E-3</v>
      </c>
      <c r="H24" s="6"/>
    </row>
    <row r="25" spans="1:8" ht="14.1" customHeight="1" x14ac:dyDescent="0.2">
      <c r="A25" s="1"/>
      <c r="B25" s="1"/>
      <c r="C25" s="2" t="s">
        <v>119</v>
      </c>
      <c r="D25" s="1"/>
      <c r="E25" s="1" t="s">
        <v>120</v>
      </c>
      <c r="F25" s="9">
        <v>4375.9383250000001</v>
      </c>
      <c r="G25" s="10">
        <v>0.69729555700000001</v>
      </c>
      <c r="H25" s="6"/>
    </row>
    <row r="26" spans="1:8" ht="14.1" customHeight="1" x14ac:dyDescent="0.2">
      <c r="A26" s="1"/>
      <c r="B26" s="1"/>
      <c r="C26" s="11"/>
      <c r="D26" s="1"/>
      <c r="E26" s="1"/>
      <c r="F26" s="12"/>
      <c r="G26" s="12"/>
      <c r="H26" s="6"/>
    </row>
    <row r="27" spans="1:8" ht="14.1" customHeight="1" x14ac:dyDescent="0.2">
      <c r="A27" s="1"/>
      <c r="B27" s="1"/>
      <c r="C27" s="2" t="s">
        <v>121</v>
      </c>
      <c r="D27" s="1"/>
      <c r="E27" s="1"/>
      <c r="F27" s="1"/>
      <c r="G27" s="1"/>
      <c r="H27" s="6"/>
    </row>
    <row r="28" spans="1:8" ht="14.1" customHeight="1" x14ac:dyDescent="0.2">
      <c r="A28" s="1"/>
      <c r="B28" s="1"/>
      <c r="C28" s="2" t="s">
        <v>119</v>
      </c>
      <c r="D28" s="1"/>
      <c r="E28" s="1" t="s">
        <v>120</v>
      </c>
      <c r="F28" s="13">
        <v>0</v>
      </c>
      <c r="G28" s="14">
        <v>0</v>
      </c>
      <c r="H28" s="6"/>
    </row>
    <row r="29" spans="1:8" ht="14.1" customHeight="1" x14ac:dyDescent="0.2">
      <c r="A29" s="1"/>
      <c r="B29" s="1"/>
      <c r="C29" s="11"/>
      <c r="D29" s="1"/>
      <c r="E29" s="1"/>
      <c r="F29" s="12"/>
      <c r="G29" s="12"/>
      <c r="H29" s="6"/>
    </row>
    <row r="30" spans="1:8" ht="14.1" customHeight="1" x14ac:dyDescent="0.2">
      <c r="A30" s="1"/>
      <c r="B30" s="1"/>
      <c r="C30" s="2" t="s">
        <v>122</v>
      </c>
      <c r="D30" s="1"/>
      <c r="E30" s="1"/>
      <c r="F30" s="1"/>
      <c r="G30" s="1"/>
      <c r="H30" s="6"/>
    </row>
    <row r="31" spans="1:8" ht="14.1" customHeight="1" x14ac:dyDescent="0.2">
      <c r="A31" s="1"/>
      <c r="B31" s="1"/>
      <c r="C31" s="2" t="s">
        <v>119</v>
      </c>
      <c r="D31" s="1"/>
      <c r="E31" s="1" t="s">
        <v>120</v>
      </c>
      <c r="F31" s="13">
        <v>0</v>
      </c>
      <c r="G31" s="14">
        <v>0</v>
      </c>
      <c r="H31" s="6"/>
    </row>
    <row r="32" spans="1:8" ht="14.1" customHeight="1" x14ac:dyDescent="0.2">
      <c r="A32" s="1"/>
      <c r="B32" s="1"/>
      <c r="C32" s="11"/>
      <c r="D32" s="1"/>
      <c r="E32" s="1"/>
      <c r="F32" s="12"/>
      <c r="G32" s="12"/>
      <c r="H32" s="6"/>
    </row>
    <row r="33" spans="1:8" ht="14.1" customHeight="1" x14ac:dyDescent="0.2">
      <c r="A33" s="1"/>
      <c r="B33" s="1"/>
      <c r="C33" s="2" t="s">
        <v>123</v>
      </c>
      <c r="D33" s="1"/>
      <c r="E33" s="1"/>
      <c r="F33" s="1"/>
      <c r="G33" s="1"/>
      <c r="H33" s="6"/>
    </row>
    <row r="34" spans="1:8" ht="14.1" customHeight="1" x14ac:dyDescent="0.2">
      <c r="A34" s="1"/>
      <c r="B34" s="1"/>
      <c r="C34" s="2" t="s">
        <v>119</v>
      </c>
      <c r="D34" s="1"/>
      <c r="E34" s="1" t="s">
        <v>120</v>
      </c>
      <c r="F34" s="13">
        <v>0</v>
      </c>
      <c r="G34" s="14">
        <v>0</v>
      </c>
      <c r="H34" s="6"/>
    </row>
    <row r="35" spans="1:8" ht="14.1" customHeight="1" x14ac:dyDescent="0.2">
      <c r="A35" s="1"/>
      <c r="B35" s="1"/>
      <c r="C35" s="11"/>
      <c r="D35" s="1"/>
      <c r="E35" s="1"/>
      <c r="F35" s="12"/>
      <c r="G35" s="12"/>
      <c r="H35" s="6"/>
    </row>
    <row r="36" spans="1:8" ht="14.1" customHeight="1" x14ac:dyDescent="0.2">
      <c r="A36" s="1"/>
      <c r="B36" s="1"/>
      <c r="C36" s="2" t="s">
        <v>124</v>
      </c>
      <c r="D36" s="1"/>
      <c r="E36" s="1"/>
      <c r="F36" s="12"/>
      <c r="G36" s="12"/>
      <c r="H36" s="6"/>
    </row>
    <row r="37" spans="1:8" ht="14.1" customHeight="1" x14ac:dyDescent="0.2">
      <c r="A37" s="1"/>
      <c r="B37" s="1"/>
      <c r="C37" s="2" t="s">
        <v>119</v>
      </c>
      <c r="D37" s="1"/>
      <c r="E37" s="1" t="s">
        <v>120</v>
      </c>
      <c r="F37" s="13">
        <v>0</v>
      </c>
      <c r="G37" s="14">
        <v>0</v>
      </c>
      <c r="H37" s="6"/>
    </row>
    <row r="38" spans="1:8" ht="14.1" customHeight="1" x14ac:dyDescent="0.2">
      <c r="A38" s="1"/>
      <c r="B38" s="1"/>
      <c r="C38" s="11"/>
      <c r="D38" s="1"/>
      <c r="E38" s="1"/>
      <c r="F38" s="12"/>
      <c r="G38" s="12"/>
      <c r="H38" s="6"/>
    </row>
    <row r="39" spans="1:8" ht="14.1" customHeight="1" x14ac:dyDescent="0.2">
      <c r="A39" s="1"/>
      <c r="B39" s="1"/>
      <c r="C39" s="2" t="s">
        <v>125</v>
      </c>
      <c r="D39" s="1"/>
      <c r="E39" s="1"/>
      <c r="F39" s="12"/>
      <c r="G39" s="12"/>
      <c r="H39" s="6"/>
    </row>
    <row r="40" spans="1:8" x14ac:dyDescent="0.2">
      <c r="A40" s="3">
        <v>1</v>
      </c>
      <c r="B40" s="4"/>
      <c r="C40" s="4" t="s">
        <v>1030</v>
      </c>
      <c r="D40" s="4" t="s">
        <v>596</v>
      </c>
      <c r="E40" s="5">
        <v>-2400</v>
      </c>
      <c r="F40" s="6">
        <v>-28.405200000000001</v>
      </c>
      <c r="G40" s="7">
        <v>-4.5262999999999996E-3</v>
      </c>
      <c r="H40" s="6"/>
    </row>
    <row r="41" spans="1:8" x14ac:dyDescent="0.2">
      <c r="A41" s="3">
        <v>2</v>
      </c>
      <c r="B41" s="4"/>
      <c r="C41" s="4" t="s">
        <v>1048</v>
      </c>
      <c r="D41" s="4" t="s">
        <v>596</v>
      </c>
      <c r="E41" s="5">
        <v>-10500</v>
      </c>
      <c r="F41" s="6">
        <v>-55.508249999999997</v>
      </c>
      <c r="G41" s="7">
        <v>-8.8451199999999997E-3</v>
      </c>
      <c r="H41" s="6"/>
    </row>
    <row r="42" spans="1:8" x14ac:dyDescent="0.2">
      <c r="A42" s="3">
        <v>3</v>
      </c>
      <c r="B42" s="4"/>
      <c r="C42" s="4" t="s">
        <v>1013</v>
      </c>
      <c r="D42" s="4" t="s">
        <v>596</v>
      </c>
      <c r="E42" s="5">
        <v>-12100</v>
      </c>
      <c r="F42" s="6">
        <v>-72.515299999999996</v>
      </c>
      <c r="G42" s="7">
        <v>-1.1555139999999998E-2</v>
      </c>
      <c r="H42" s="6"/>
    </row>
    <row r="43" spans="1:8" x14ac:dyDescent="0.2">
      <c r="A43" s="3">
        <v>4</v>
      </c>
      <c r="B43" s="4"/>
      <c r="C43" s="4" t="s">
        <v>1043</v>
      </c>
      <c r="D43" s="4" t="s">
        <v>596</v>
      </c>
      <c r="E43" s="5">
        <v>-1100</v>
      </c>
      <c r="F43" s="6">
        <v>-87.996700000000004</v>
      </c>
      <c r="G43" s="7">
        <v>-1.4022069999999999E-2</v>
      </c>
      <c r="H43" s="6"/>
    </row>
    <row r="44" spans="1:8" x14ac:dyDescent="0.2">
      <c r="A44" s="3">
        <v>5</v>
      </c>
      <c r="B44" s="4"/>
      <c r="C44" s="4" t="s">
        <v>1049</v>
      </c>
      <c r="D44" s="4" t="s">
        <v>596</v>
      </c>
      <c r="E44" s="5">
        <v>-21250</v>
      </c>
      <c r="F44" s="6">
        <v>-110.69125</v>
      </c>
      <c r="G44" s="7">
        <v>-1.7638400000000002E-2</v>
      </c>
      <c r="H44" s="6"/>
    </row>
    <row r="45" spans="1:8" x14ac:dyDescent="0.2">
      <c r="A45" s="3">
        <v>6</v>
      </c>
      <c r="B45" s="4"/>
      <c r="C45" s="4" t="s">
        <v>1021</v>
      </c>
      <c r="D45" s="4" t="s">
        <v>596</v>
      </c>
      <c r="E45" s="5">
        <v>-14875</v>
      </c>
      <c r="F45" s="6">
        <v>-149.50862499999999</v>
      </c>
      <c r="G45" s="7">
        <v>-2.3823850000000001E-2</v>
      </c>
      <c r="H45" s="6"/>
    </row>
    <row r="46" spans="1:8" x14ac:dyDescent="0.2">
      <c r="A46" s="3">
        <v>7</v>
      </c>
      <c r="B46" s="4"/>
      <c r="C46" s="4" t="s">
        <v>1029</v>
      </c>
      <c r="D46" s="4" t="s">
        <v>596</v>
      </c>
      <c r="E46" s="5">
        <v>-20625</v>
      </c>
      <c r="F46" s="6">
        <v>-155.203125</v>
      </c>
      <c r="G46" s="7">
        <v>-2.473125E-2</v>
      </c>
      <c r="H46" s="6"/>
    </row>
    <row r="47" spans="1:8" x14ac:dyDescent="0.2">
      <c r="A47" s="3">
        <v>8</v>
      </c>
      <c r="B47" s="4"/>
      <c r="C47" s="4" t="s">
        <v>1027</v>
      </c>
      <c r="D47" s="4" t="s">
        <v>596</v>
      </c>
      <c r="E47" s="5">
        <v>-12000</v>
      </c>
      <c r="F47" s="6">
        <v>-181.01400000000001</v>
      </c>
      <c r="G47" s="7">
        <v>-2.8844159999999997E-2</v>
      </c>
      <c r="H47" s="6"/>
    </row>
    <row r="48" spans="1:8" x14ac:dyDescent="0.2">
      <c r="A48" s="3">
        <v>9</v>
      </c>
      <c r="B48" s="4"/>
      <c r="C48" s="4" t="s">
        <v>1050</v>
      </c>
      <c r="D48" s="4" t="s">
        <v>596</v>
      </c>
      <c r="E48" s="5">
        <v>-6900</v>
      </c>
      <c r="F48" s="6">
        <v>-192.22710000000001</v>
      </c>
      <c r="G48" s="7">
        <v>-3.0630939999999999E-2</v>
      </c>
      <c r="H48" s="6"/>
    </row>
    <row r="49" spans="1:8" x14ac:dyDescent="0.2">
      <c r="A49" s="3">
        <v>10</v>
      </c>
      <c r="B49" s="4"/>
      <c r="C49" s="4" t="s">
        <v>1011</v>
      </c>
      <c r="D49" s="4" t="s">
        <v>596</v>
      </c>
      <c r="E49" s="5">
        <v>-52000</v>
      </c>
      <c r="F49" s="6">
        <v>-197.23599999999999</v>
      </c>
      <c r="G49" s="7">
        <v>-3.1429100000000001E-2</v>
      </c>
      <c r="H49" s="6"/>
    </row>
    <row r="50" spans="1:8" x14ac:dyDescent="0.2">
      <c r="A50" s="3">
        <v>11</v>
      </c>
      <c r="B50" s="4"/>
      <c r="C50" s="4" t="s">
        <v>1012</v>
      </c>
      <c r="D50" s="4" t="s">
        <v>596</v>
      </c>
      <c r="E50" s="5">
        <v>-1750</v>
      </c>
      <c r="F50" s="6">
        <v>-226.44125</v>
      </c>
      <c r="G50" s="7">
        <v>-3.6082889999999999E-2</v>
      </c>
      <c r="H50" s="6"/>
    </row>
    <row r="51" spans="1:8" x14ac:dyDescent="0.2">
      <c r="A51" s="3">
        <v>12</v>
      </c>
      <c r="B51" s="4"/>
      <c r="C51" s="4" t="s">
        <v>1009</v>
      </c>
      <c r="D51" s="4" t="s">
        <v>596</v>
      </c>
      <c r="E51" s="5">
        <v>-25200</v>
      </c>
      <c r="F51" s="6">
        <v>-260.7192</v>
      </c>
      <c r="G51" s="7">
        <v>-4.1544999999999999E-2</v>
      </c>
      <c r="H51" s="6"/>
    </row>
    <row r="52" spans="1:8" ht="25.5" x14ac:dyDescent="0.2">
      <c r="A52" s="3">
        <v>13</v>
      </c>
      <c r="B52" s="4"/>
      <c r="C52" s="4" t="s">
        <v>1056</v>
      </c>
      <c r="D52" s="4" t="s">
        <v>596</v>
      </c>
      <c r="E52" s="5">
        <v>-123000</v>
      </c>
      <c r="F52" s="6">
        <v>-312.05099999999999</v>
      </c>
      <c r="G52" s="7">
        <v>-4.9724600000000001E-2</v>
      </c>
      <c r="H52" s="6"/>
    </row>
    <row r="53" spans="1:8" x14ac:dyDescent="0.2">
      <c r="A53" s="3">
        <v>14</v>
      </c>
      <c r="B53" s="4"/>
      <c r="C53" s="4" t="s">
        <v>1041</v>
      </c>
      <c r="D53" s="4" t="s">
        <v>596</v>
      </c>
      <c r="E53" s="5">
        <v>-50000</v>
      </c>
      <c r="F53" s="6">
        <v>-369.5</v>
      </c>
      <c r="G53" s="7">
        <v>-5.8878959999999994E-2</v>
      </c>
      <c r="H53" s="6"/>
    </row>
    <row r="54" spans="1:8" x14ac:dyDescent="0.2">
      <c r="A54" s="3">
        <v>15</v>
      </c>
      <c r="B54" s="4"/>
      <c r="C54" s="4" t="s">
        <v>1018</v>
      </c>
      <c r="D54" s="4" t="s">
        <v>596</v>
      </c>
      <c r="E54" s="5">
        <v>-26450</v>
      </c>
      <c r="F54" s="6">
        <v>-437.86652500000002</v>
      </c>
      <c r="G54" s="7">
        <v>-6.9773000000000002E-2</v>
      </c>
      <c r="H54" s="6"/>
    </row>
    <row r="55" spans="1:8" x14ac:dyDescent="0.2">
      <c r="A55" s="3">
        <v>16</v>
      </c>
      <c r="B55" s="4"/>
      <c r="C55" s="4" t="s">
        <v>1019</v>
      </c>
      <c r="D55" s="4" t="s">
        <v>596</v>
      </c>
      <c r="E55" s="5">
        <v>-67200</v>
      </c>
      <c r="F55" s="6">
        <v>-461.63040000000001</v>
      </c>
      <c r="G55" s="7">
        <v>-7.355972999999999E-2</v>
      </c>
      <c r="H55" s="6"/>
    </row>
    <row r="56" spans="1:8" x14ac:dyDescent="0.2">
      <c r="A56" s="3">
        <v>17</v>
      </c>
      <c r="B56" s="4"/>
      <c r="C56" s="4" t="s">
        <v>1026</v>
      </c>
      <c r="D56" s="4" t="s">
        <v>596</v>
      </c>
      <c r="E56" s="5">
        <v>-8000</v>
      </c>
      <c r="F56" s="6">
        <v>-485.36399999999998</v>
      </c>
      <c r="G56" s="7">
        <v>-7.734162E-2</v>
      </c>
      <c r="H56" s="6"/>
    </row>
    <row r="57" spans="1:8" x14ac:dyDescent="0.2">
      <c r="A57" s="3">
        <v>18</v>
      </c>
      <c r="B57" s="4"/>
      <c r="C57" s="4" t="s">
        <v>1031</v>
      </c>
      <c r="D57" s="4" t="s">
        <v>596</v>
      </c>
      <c r="E57" s="5">
        <v>-42350</v>
      </c>
      <c r="F57" s="6">
        <v>-588.220325</v>
      </c>
      <c r="G57" s="7">
        <v>-9.3731530000000007E-2</v>
      </c>
      <c r="H57" s="6"/>
    </row>
    <row r="58" spans="1:8" ht="14.1" customHeight="1" x14ac:dyDescent="0.2">
      <c r="A58" s="1"/>
      <c r="B58" s="1"/>
      <c r="C58" s="2" t="s">
        <v>119</v>
      </c>
      <c r="D58" s="1"/>
      <c r="E58" s="1" t="s">
        <v>120</v>
      </c>
      <c r="F58" s="9">
        <v>-4372.09825</v>
      </c>
      <c r="G58" s="10">
        <v>-0.69668364999999999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8" customHeight="1" x14ac:dyDescent="0.2">
      <c r="A60" s="1"/>
      <c r="B60" s="1"/>
      <c r="C60" s="2" t="s">
        <v>126</v>
      </c>
      <c r="D60" s="1"/>
      <c r="E60" s="1"/>
      <c r="F60" s="9">
        <v>4375.9383250000001</v>
      </c>
      <c r="G60" s="10">
        <v>0.69729555700000001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127</v>
      </c>
      <c r="D62" s="1"/>
      <c r="E62" s="1"/>
      <c r="F62" s="12"/>
      <c r="G62" s="12"/>
      <c r="H62" s="6"/>
    </row>
    <row r="63" spans="1:8" ht="24" customHeight="1" x14ac:dyDescent="0.2">
      <c r="A63" s="1"/>
      <c r="B63" s="1"/>
      <c r="C63" s="2" t="s">
        <v>10</v>
      </c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119</v>
      </c>
      <c r="D64" s="1"/>
      <c r="E64" s="1" t="s">
        <v>120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128</v>
      </c>
      <c r="D66" s="1"/>
      <c r="E66" s="1"/>
      <c r="F66" s="1"/>
      <c r="G66" s="1"/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129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130</v>
      </c>
      <c r="D72" s="1"/>
      <c r="E72" s="1"/>
      <c r="F72" s="12"/>
      <c r="G72" s="12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131</v>
      </c>
      <c r="D75" s="1"/>
      <c r="E75" s="1"/>
      <c r="F75" s="9">
        <v>0</v>
      </c>
      <c r="G75" s="10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132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133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134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135</v>
      </c>
      <c r="D84" s="1"/>
      <c r="E84" s="1"/>
      <c r="F84" s="12"/>
      <c r="G84" s="12"/>
      <c r="H84" s="6"/>
    </row>
    <row r="85" spans="1:8" ht="17.100000000000001" customHeight="1" x14ac:dyDescent="0.2">
      <c r="A85" s="3">
        <v>1</v>
      </c>
      <c r="B85" s="4" t="s">
        <v>597</v>
      </c>
      <c r="C85" s="4" t="s">
        <v>990</v>
      </c>
      <c r="D85" s="4" t="s">
        <v>598</v>
      </c>
      <c r="E85" s="5">
        <v>1000000</v>
      </c>
      <c r="F85" s="6">
        <v>994.55200000000002</v>
      </c>
      <c r="G85" s="7">
        <v>0.158479539</v>
      </c>
      <c r="H85" s="6">
        <v>4.6500000000000004</v>
      </c>
    </row>
    <row r="86" spans="1:8" ht="14.1" customHeight="1" x14ac:dyDescent="0.2">
      <c r="A86" s="1"/>
      <c r="B86" s="1"/>
      <c r="C86" s="2" t="s">
        <v>119</v>
      </c>
      <c r="D86" s="1"/>
      <c r="E86" s="1" t="s">
        <v>120</v>
      </c>
      <c r="F86" s="9">
        <v>994.55200000000002</v>
      </c>
      <c r="G86" s="10">
        <v>0.158479539</v>
      </c>
      <c r="H86" s="6"/>
    </row>
    <row r="87" spans="1:8" ht="14.1" customHeight="1" x14ac:dyDescent="0.2">
      <c r="A87" s="1"/>
      <c r="B87" s="1"/>
      <c r="C87" s="11"/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136</v>
      </c>
      <c r="D88" s="1"/>
      <c r="E88" s="1"/>
      <c r="F88" s="12"/>
      <c r="G88" s="12"/>
      <c r="H88" s="6"/>
    </row>
    <row r="89" spans="1:8" ht="17.100000000000001" customHeight="1" x14ac:dyDescent="0.2">
      <c r="A89" s="3">
        <v>1</v>
      </c>
      <c r="B89" s="4"/>
      <c r="C89" s="4" t="s">
        <v>137</v>
      </c>
      <c r="D89" s="4"/>
      <c r="E89" s="8"/>
      <c r="F89" s="6">
        <v>158.1663245</v>
      </c>
      <c r="G89" s="7">
        <v>2.5203435E-2</v>
      </c>
      <c r="H89" s="6">
        <v>4.1713246754849944</v>
      </c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9">
        <v>158.1663245</v>
      </c>
      <c r="G90" s="10">
        <v>2.5203435E-2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138</v>
      </c>
      <c r="D92" s="1"/>
      <c r="E92" s="1"/>
      <c r="F92" s="9">
        <v>1152.7183245000001</v>
      </c>
      <c r="G92" s="10">
        <v>0.183682974</v>
      </c>
      <c r="H92" s="6"/>
    </row>
    <row r="93" spans="1:8" ht="14.1" customHeight="1" x14ac:dyDescent="0.2">
      <c r="A93" s="1"/>
      <c r="B93" s="1"/>
      <c r="C93" s="12"/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139</v>
      </c>
      <c r="D94" s="1"/>
      <c r="E94" s="1"/>
      <c r="F94" s="1"/>
      <c r="G94" s="1"/>
      <c r="H94" s="6"/>
    </row>
    <row r="95" spans="1:8" ht="14.1" customHeight="1" x14ac:dyDescent="0.2">
      <c r="A95" s="1"/>
      <c r="B95" s="1"/>
      <c r="C95" s="2" t="s">
        <v>140</v>
      </c>
      <c r="D95" s="1"/>
      <c r="E95" s="1"/>
      <c r="F95" s="1"/>
      <c r="G95" s="1"/>
      <c r="H95" s="6"/>
    </row>
    <row r="96" spans="1:8" ht="17.25" customHeight="1" x14ac:dyDescent="0.2">
      <c r="A96" s="3">
        <v>1</v>
      </c>
      <c r="B96" s="4" t="s">
        <v>599</v>
      </c>
      <c r="C96" s="97" t="s">
        <v>1001</v>
      </c>
      <c r="D96" s="4"/>
      <c r="E96" s="5">
        <v>31859.646000000001</v>
      </c>
      <c r="F96" s="6">
        <v>602.43293112599997</v>
      </c>
      <c r="G96" s="7">
        <v>9.5996281000000003E-2</v>
      </c>
      <c r="H96" s="6"/>
    </row>
    <row r="97" spans="1:15" ht="14.1" customHeight="1" x14ac:dyDescent="0.2">
      <c r="A97" s="1"/>
      <c r="B97" s="1"/>
      <c r="C97" s="2" t="s">
        <v>119</v>
      </c>
      <c r="D97" s="1"/>
      <c r="E97" s="1" t="s">
        <v>120</v>
      </c>
      <c r="F97" s="9">
        <v>602.43293112599997</v>
      </c>
      <c r="G97" s="10">
        <v>9.5996281000000003E-2</v>
      </c>
      <c r="H97" s="6"/>
    </row>
    <row r="98" spans="1:15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15" ht="14.1" customHeight="1" x14ac:dyDescent="0.2">
      <c r="A99" s="1"/>
      <c r="B99" s="1"/>
      <c r="C99" s="2" t="s">
        <v>141</v>
      </c>
      <c r="D99" s="1"/>
      <c r="E99" s="1"/>
      <c r="F99" s="1"/>
      <c r="G99" s="1"/>
      <c r="H99" s="6"/>
    </row>
    <row r="100" spans="1:15" ht="14.1" customHeight="1" x14ac:dyDescent="0.2">
      <c r="A100" s="1"/>
      <c r="B100" s="1"/>
      <c r="C100" s="2" t="s">
        <v>142</v>
      </c>
      <c r="D100" s="1"/>
      <c r="E100" s="1"/>
      <c r="F100" s="1"/>
      <c r="G100" s="1"/>
      <c r="H100" s="6"/>
    </row>
    <row r="101" spans="1:15" ht="14.1" customHeight="1" x14ac:dyDescent="0.2">
      <c r="A101" s="1"/>
      <c r="B101" s="1"/>
      <c r="C101" s="2" t="s">
        <v>119</v>
      </c>
      <c r="D101" s="1"/>
      <c r="E101" s="1" t="s">
        <v>120</v>
      </c>
      <c r="F101" s="13">
        <v>0</v>
      </c>
      <c r="G101" s="14">
        <v>0</v>
      </c>
      <c r="H101" s="6"/>
    </row>
    <row r="102" spans="1:15" ht="14.1" customHeight="1" x14ac:dyDescent="0.2">
      <c r="A102" s="1"/>
      <c r="B102" s="1"/>
      <c r="C102" s="11"/>
      <c r="D102" s="1"/>
      <c r="E102" s="1"/>
      <c r="F102" s="12"/>
      <c r="G102" s="12"/>
      <c r="H102" s="6"/>
    </row>
    <row r="103" spans="1:15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15" ht="24" customHeight="1" x14ac:dyDescent="0.2">
      <c r="A104" s="1"/>
      <c r="B104" s="1"/>
      <c r="C104" s="2" t="s">
        <v>143</v>
      </c>
      <c r="D104" s="1"/>
      <c r="E104" s="1"/>
      <c r="F104" s="12"/>
      <c r="G104" s="12"/>
      <c r="H104" s="6"/>
    </row>
    <row r="105" spans="1:15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15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15" ht="18" customHeight="1" x14ac:dyDescent="0.2">
      <c r="A107" s="8"/>
      <c r="B107" s="4"/>
      <c r="C107" s="4" t="s">
        <v>600</v>
      </c>
      <c r="D107" s="4"/>
      <c r="E107" s="8"/>
      <c r="F107" s="6">
        <v>198.02000649999999</v>
      </c>
      <c r="G107" s="7">
        <v>3.1554025770141325E-2</v>
      </c>
      <c r="H107" s="6"/>
    </row>
    <row r="108" spans="1:15" ht="18" customHeight="1" x14ac:dyDescent="0.2">
      <c r="A108" s="8"/>
      <c r="B108" s="4"/>
      <c r="C108" s="4" t="s">
        <v>1114</v>
      </c>
      <c r="D108" s="4"/>
      <c r="E108" s="8"/>
      <c r="F108" s="6">
        <v>-53.523456135999403</v>
      </c>
      <c r="G108" s="7">
        <v>-8.5288377880259995E-3</v>
      </c>
      <c r="H108" s="6"/>
    </row>
    <row r="109" spans="1:15" ht="14.1" customHeight="1" x14ac:dyDescent="0.2">
      <c r="A109" s="11"/>
      <c r="B109" s="11"/>
      <c r="C109" s="2" t="s">
        <v>145</v>
      </c>
      <c r="D109" s="15"/>
      <c r="E109" s="15"/>
      <c r="F109" s="113">
        <v>6275.586130990001</v>
      </c>
      <c r="G109" s="114">
        <v>0.99999999998211531</v>
      </c>
      <c r="H109" s="6"/>
    </row>
    <row r="110" spans="1:15" ht="14.1" customHeight="1" x14ac:dyDescent="0.2">
      <c r="A110" s="16"/>
      <c r="B110" s="16"/>
      <c r="C110" s="16"/>
      <c r="D110" s="17"/>
      <c r="E110" s="17"/>
      <c r="F110" s="17"/>
      <c r="G110" s="17"/>
    </row>
    <row r="111" spans="1:15" s="103" customFormat="1" ht="17.100000000000001" customHeight="1" x14ac:dyDescent="0.2">
      <c r="A111" s="161"/>
      <c r="B111" s="299" t="s">
        <v>942</v>
      </c>
      <c r="C111" s="299"/>
      <c r="D111" s="299"/>
      <c r="E111" s="299"/>
      <c r="F111" s="299"/>
      <c r="G111" s="162"/>
      <c r="I111"/>
      <c r="J111"/>
      <c r="K111"/>
      <c r="L111"/>
      <c r="M111"/>
      <c r="N111"/>
      <c r="O111"/>
    </row>
    <row r="112" spans="1:15" ht="17.100000000000001" customHeight="1" x14ac:dyDescent="0.2">
      <c r="A112" s="18"/>
      <c r="B112" s="267" t="s">
        <v>146</v>
      </c>
      <c r="C112" s="267"/>
      <c r="D112" s="267"/>
      <c r="E112" s="267"/>
      <c r="F112" s="267"/>
      <c r="G112" s="20"/>
      <c r="I112" s="172"/>
    </row>
    <row r="113" spans="1:15" s="106" customFormat="1" ht="15" x14ac:dyDescent="0.2">
      <c r="A113" s="104" t="s">
        <v>120</v>
      </c>
      <c r="B113" s="298" t="s">
        <v>1002</v>
      </c>
      <c r="C113" s="298"/>
      <c r="D113" s="298"/>
      <c r="E113" s="298"/>
      <c r="F113" s="298"/>
      <c r="G113" s="105" t="s">
        <v>120</v>
      </c>
      <c r="H113"/>
      <c r="I113"/>
      <c r="J113"/>
      <c r="K113"/>
      <c r="L113"/>
      <c r="M113"/>
      <c r="N113"/>
      <c r="O113"/>
    </row>
    <row r="114" spans="1:15" ht="14.1" customHeight="1" x14ac:dyDescent="0.2">
      <c r="A114" s="18"/>
      <c r="B114" s="18"/>
      <c r="C114" s="18"/>
      <c r="D114" s="20"/>
      <c r="E114" s="20"/>
      <c r="F114" s="20"/>
      <c r="G114" s="20"/>
    </row>
    <row r="115" spans="1:15" ht="14.1" customHeight="1" x14ac:dyDescent="0.2">
      <c r="A115" s="18"/>
      <c r="B115" s="265" t="s">
        <v>147</v>
      </c>
      <c r="C115" s="266"/>
      <c r="D115" s="12" t="s">
        <v>120</v>
      </c>
      <c r="E115" s="21"/>
      <c r="F115" s="20"/>
      <c r="G115" s="20"/>
    </row>
    <row r="116" spans="1:15" ht="29.1" customHeight="1" x14ac:dyDescent="0.2">
      <c r="A116" s="18"/>
      <c r="B116" s="272" t="s">
        <v>148</v>
      </c>
      <c r="C116" s="273"/>
      <c r="D116" s="2" t="s">
        <v>1097</v>
      </c>
      <c r="E116" s="21"/>
      <c r="F116" s="20"/>
      <c r="G116" s="20"/>
    </row>
    <row r="117" spans="1:15" ht="17.100000000000001" customHeight="1" x14ac:dyDescent="0.2">
      <c r="A117" s="18"/>
      <c r="B117" s="272" t="s">
        <v>150</v>
      </c>
      <c r="C117" s="273"/>
      <c r="D117" s="2" t="s">
        <v>149</v>
      </c>
      <c r="E117" s="21"/>
      <c r="F117" s="20"/>
      <c r="G117" s="20"/>
    </row>
    <row r="118" spans="1:15" ht="17.100000000000001" customHeight="1" x14ac:dyDescent="0.2">
      <c r="A118" s="18"/>
      <c r="B118" s="272" t="s">
        <v>151</v>
      </c>
      <c r="C118" s="273"/>
      <c r="D118" s="12" t="s">
        <v>120</v>
      </c>
      <c r="E118" s="21"/>
      <c r="F118" s="20"/>
      <c r="G118" s="20"/>
    </row>
    <row r="119" spans="1:15" ht="24" customHeight="1" x14ac:dyDescent="0.2">
      <c r="A119" s="22"/>
      <c r="B119" s="23" t="s">
        <v>120</v>
      </c>
      <c r="C119" s="23" t="s">
        <v>152</v>
      </c>
      <c r="D119" s="23" t="s">
        <v>153</v>
      </c>
      <c r="E119" s="22"/>
      <c r="F119" s="22"/>
      <c r="G119" s="22"/>
    </row>
    <row r="120" spans="1:15" ht="18" customHeight="1" x14ac:dyDescent="0.2">
      <c r="A120" s="22"/>
      <c r="B120" s="23" t="s">
        <v>154</v>
      </c>
      <c r="C120" s="23" t="s">
        <v>155</v>
      </c>
      <c r="D120" s="23" t="s">
        <v>156</v>
      </c>
      <c r="E120" s="22"/>
      <c r="F120" s="22"/>
      <c r="G120" s="22"/>
    </row>
    <row r="121" spans="1:15" ht="17.100000000000001" customHeight="1" x14ac:dyDescent="0.2">
      <c r="A121" s="22"/>
      <c r="B121" s="4" t="s">
        <v>157</v>
      </c>
      <c r="C121" s="24">
        <v>12.278700000000001</v>
      </c>
      <c r="D121" s="24">
        <v>12.332100000000001</v>
      </c>
      <c r="E121" s="22"/>
      <c r="F121" s="19"/>
      <c r="G121" s="25"/>
    </row>
    <row r="122" spans="1:15" ht="25.5" customHeight="1" x14ac:dyDescent="0.2">
      <c r="A122" s="22"/>
      <c r="B122" s="4" t="s">
        <v>1125</v>
      </c>
      <c r="C122" s="24">
        <v>10.618</v>
      </c>
      <c r="D122" s="24">
        <v>10.664099999999999</v>
      </c>
      <c r="E122" s="22"/>
      <c r="F122" s="19"/>
      <c r="G122" s="25"/>
    </row>
    <row r="123" spans="1:15" ht="17.100000000000001" customHeight="1" x14ac:dyDescent="0.2">
      <c r="A123" s="22"/>
      <c r="B123" s="4" t="s">
        <v>158</v>
      </c>
      <c r="C123" s="24">
        <v>11.8794</v>
      </c>
      <c r="D123" s="24">
        <v>11.9346</v>
      </c>
      <c r="E123" s="22"/>
      <c r="F123" s="19"/>
      <c r="G123" s="25"/>
    </row>
    <row r="124" spans="1:15" ht="24" customHeight="1" x14ac:dyDescent="0.2">
      <c r="A124" s="22"/>
      <c r="B124" s="4" t="s">
        <v>1127</v>
      </c>
      <c r="C124" s="24">
        <v>10.444800000000001</v>
      </c>
      <c r="D124" s="24">
        <v>10.4932</v>
      </c>
      <c r="E124" s="22"/>
      <c r="F124" s="19"/>
      <c r="G124" s="25"/>
    </row>
    <row r="125" spans="1:15" ht="14.1" customHeight="1" x14ac:dyDescent="0.2">
      <c r="A125" s="22"/>
      <c r="B125" s="22"/>
      <c r="C125" s="22"/>
      <c r="D125" s="22"/>
      <c r="E125" s="22"/>
      <c r="F125" s="22"/>
      <c r="G125" s="22"/>
    </row>
    <row r="126" spans="1:15" ht="17.100000000000001" customHeight="1" x14ac:dyDescent="0.2">
      <c r="A126" s="22"/>
      <c r="B126" s="272" t="s">
        <v>1122</v>
      </c>
      <c r="C126" s="273"/>
      <c r="D126" s="2" t="s">
        <v>149</v>
      </c>
      <c r="E126" s="22"/>
      <c r="F126" s="22"/>
      <c r="G126" s="22"/>
    </row>
    <row r="127" spans="1:15" ht="14.1" customHeight="1" x14ac:dyDescent="0.2">
      <c r="A127" s="22"/>
      <c r="B127" s="19"/>
      <c r="C127" s="19"/>
      <c r="D127" s="22"/>
      <c r="E127" s="22"/>
      <c r="F127" s="22"/>
      <c r="G127" s="22"/>
    </row>
    <row r="128" spans="1:15" ht="29.1" customHeight="1" x14ac:dyDescent="0.2">
      <c r="A128" s="22"/>
      <c r="B128" s="272" t="s">
        <v>160</v>
      </c>
      <c r="C128" s="273"/>
      <c r="D128" s="2" t="s">
        <v>1106</v>
      </c>
      <c r="E128" s="22"/>
      <c r="F128" s="22"/>
      <c r="G128" s="22"/>
    </row>
    <row r="129" spans="1:15" ht="29.1" customHeight="1" x14ac:dyDescent="0.2">
      <c r="A129" s="22"/>
      <c r="B129" s="272" t="s">
        <v>161</v>
      </c>
      <c r="C129" s="273"/>
      <c r="D129" s="2" t="s">
        <v>149</v>
      </c>
      <c r="E129" s="22"/>
      <c r="F129" s="22"/>
      <c r="G129" s="22"/>
    </row>
    <row r="130" spans="1:15" ht="12.75" customHeight="1" x14ac:dyDescent="0.2">
      <c r="A130" s="22"/>
      <c r="B130" s="290" t="s">
        <v>1109</v>
      </c>
      <c r="C130" s="291"/>
      <c r="D130" s="95">
        <v>6.2825456183534259E-2</v>
      </c>
      <c r="E130" s="22"/>
      <c r="F130" s="22"/>
      <c r="G130" s="22"/>
    </row>
    <row r="131" spans="1:15" ht="12.75" customHeight="1" x14ac:dyDescent="0.2">
      <c r="A131" s="22"/>
      <c r="B131" s="290" t="s">
        <v>1110</v>
      </c>
      <c r="C131" s="291"/>
      <c r="D131" s="95">
        <v>6.2825456183534259E-2</v>
      </c>
      <c r="E131" s="22"/>
      <c r="F131" s="22"/>
      <c r="G131" s="22"/>
    </row>
    <row r="132" spans="1:15" ht="17.100000000000001" customHeight="1" x14ac:dyDescent="0.2">
      <c r="A132" s="22"/>
      <c r="B132" s="272" t="s">
        <v>1111</v>
      </c>
      <c r="C132" s="273"/>
      <c r="D132" s="27">
        <v>10.698870658198159</v>
      </c>
      <c r="E132" s="22"/>
      <c r="F132" s="19"/>
      <c r="G132" s="25"/>
    </row>
    <row r="133" spans="1:15" ht="17.100000000000001" customHeight="1" x14ac:dyDescent="0.2">
      <c r="A133" s="22"/>
      <c r="B133" s="272" t="s">
        <v>1112</v>
      </c>
      <c r="C133" s="273"/>
      <c r="D133" s="2" t="s">
        <v>149</v>
      </c>
      <c r="E133" s="22"/>
      <c r="F133" s="22"/>
      <c r="G133" s="22"/>
    </row>
    <row r="135" spans="1:15" x14ac:dyDescent="0.2">
      <c r="B135" s="137" t="s">
        <v>1104</v>
      </c>
      <c r="C135" s="137"/>
      <c r="D135" s="137"/>
      <c r="E135" s="138"/>
      <c r="F135" s="139"/>
    </row>
    <row r="136" spans="1:15" ht="38.25" x14ac:dyDescent="0.2">
      <c r="B136" s="117" t="s">
        <v>1076</v>
      </c>
      <c r="C136" s="117" t="s">
        <v>1077</v>
      </c>
      <c r="D136" s="117" t="s">
        <v>1078</v>
      </c>
      <c r="E136" s="117" t="s">
        <v>1079</v>
      </c>
      <c r="F136" s="117" t="s">
        <v>1080</v>
      </c>
    </row>
    <row r="137" spans="1:15" s="140" customFormat="1" ht="25.5" x14ac:dyDescent="0.2">
      <c r="B137" s="141" t="s">
        <v>1081</v>
      </c>
      <c r="C137" s="142" t="s">
        <v>1082</v>
      </c>
      <c r="D137" s="143">
        <v>0</v>
      </c>
      <c r="E137" s="144">
        <v>0</v>
      </c>
      <c r="F137" s="145">
        <v>50</v>
      </c>
      <c r="I137"/>
      <c r="J137" s="170"/>
      <c r="K137" s="170"/>
      <c r="L137" s="170"/>
      <c r="M137" s="170"/>
      <c r="N137" s="170"/>
      <c r="O137" s="170"/>
    </row>
  </sheetData>
  <mergeCells count="18">
    <mergeCell ref="A1:H1"/>
    <mergeCell ref="A2:H2"/>
    <mergeCell ref="A3:H3"/>
    <mergeCell ref="B132:C132"/>
    <mergeCell ref="B133:C133"/>
    <mergeCell ref="B116:C116"/>
    <mergeCell ref="B117:C117"/>
    <mergeCell ref="B118:C118"/>
    <mergeCell ref="B126:C126"/>
    <mergeCell ref="B128:C128"/>
    <mergeCell ref="B129:C129"/>
    <mergeCell ref="B130:C130"/>
    <mergeCell ref="B131:C131"/>
    <mergeCell ref="J2:N2"/>
    <mergeCell ref="B115:C115"/>
    <mergeCell ref="B113:F113"/>
    <mergeCell ref="B111:F111"/>
    <mergeCell ref="B112:F112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F97E-73CC-4A5B-A713-EA8CAA13A015}">
  <sheetPr>
    <outlinePr summaryBelow="0" summaryRight="0"/>
  </sheetPr>
  <dimension ref="A1:P2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  <col min="10" max="16" width="9.140625" style="103"/>
  </cols>
  <sheetData>
    <row r="1" spans="1:16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6" ht="17.100000000000001" customHeight="1" x14ac:dyDescent="0.2">
      <c r="A2" s="269" t="s">
        <v>1133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6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6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  <c r="J4" s="171"/>
      <c r="K4" s="171"/>
      <c r="L4" s="171"/>
      <c r="M4" s="171"/>
      <c r="N4" s="171"/>
      <c r="O4" s="171"/>
      <c r="P4" s="171"/>
    </row>
    <row r="5" spans="1:16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6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6" ht="17.100000000000001" customHeight="1" x14ac:dyDescent="0.2">
      <c r="A7" s="3">
        <v>1</v>
      </c>
      <c r="B7" s="4" t="s">
        <v>374</v>
      </c>
      <c r="C7" s="4" t="s">
        <v>375</v>
      </c>
      <c r="D7" s="4" t="s">
        <v>19</v>
      </c>
      <c r="E7" s="5">
        <v>793000</v>
      </c>
      <c r="F7" s="6">
        <v>11014.3735</v>
      </c>
      <c r="G7" s="7">
        <v>6.9876243000000005E-2</v>
      </c>
      <c r="H7" s="6"/>
    </row>
    <row r="8" spans="1:16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330000</v>
      </c>
      <c r="F8" s="6">
        <v>8687.7450000000008</v>
      </c>
      <c r="G8" s="7">
        <v>5.5115888000000002E-2</v>
      </c>
      <c r="H8" s="6"/>
    </row>
    <row r="9" spans="1:16" ht="17.100000000000001" customHeight="1" x14ac:dyDescent="0.2">
      <c r="A9" s="3">
        <v>3</v>
      </c>
      <c r="B9" s="4" t="s">
        <v>17</v>
      </c>
      <c r="C9" s="4" t="s">
        <v>18</v>
      </c>
      <c r="D9" s="4" t="s">
        <v>19</v>
      </c>
      <c r="E9" s="5">
        <v>983000</v>
      </c>
      <c r="F9" s="6">
        <v>7400.5155000000004</v>
      </c>
      <c r="G9" s="7">
        <v>4.6949580999999997E-2</v>
      </c>
      <c r="H9" s="6"/>
    </row>
    <row r="10" spans="1:16" ht="17.100000000000001" customHeight="1" x14ac:dyDescent="0.2">
      <c r="A10" s="3">
        <v>4</v>
      </c>
      <c r="B10" s="4" t="s">
        <v>406</v>
      </c>
      <c r="C10" s="4" t="s">
        <v>407</v>
      </c>
      <c r="D10" s="4" t="s">
        <v>994</v>
      </c>
      <c r="E10" s="5">
        <v>462963</v>
      </c>
      <c r="F10" s="6">
        <v>6961.1116679999996</v>
      </c>
      <c r="G10" s="7">
        <v>4.4161961E-2</v>
      </c>
      <c r="H10" s="6"/>
    </row>
    <row r="11" spans="1:16" x14ac:dyDescent="0.2">
      <c r="A11" s="99">
        <v>6</v>
      </c>
      <c r="B11" s="97" t="s">
        <v>1003</v>
      </c>
      <c r="C11" s="97" t="s">
        <v>1004</v>
      </c>
      <c r="D11" s="97" t="s">
        <v>92</v>
      </c>
      <c r="E11" s="100">
        <v>1141230</v>
      </c>
      <c r="F11" s="101">
        <v>4504.0923999999995</v>
      </c>
      <c r="G11" s="102">
        <v>2.8574390000000002E-2</v>
      </c>
      <c r="H11" s="6"/>
      <c r="J11" s="174"/>
      <c r="K11" s="174"/>
      <c r="L11" s="174"/>
      <c r="M11" s="174"/>
      <c r="N11" s="174"/>
      <c r="O11" s="174"/>
    </row>
    <row r="12" spans="1:16" ht="17.100000000000001" customHeight="1" x14ac:dyDescent="0.2">
      <c r="A12" s="3">
        <v>5</v>
      </c>
      <c r="B12" s="4" t="s">
        <v>319</v>
      </c>
      <c r="C12" s="4" t="s">
        <v>320</v>
      </c>
      <c r="D12" s="4" t="s">
        <v>19</v>
      </c>
      <c r="E12" s="5">
        <v>605000</v>
      </c>
      <c r="F12" s="6">
        <v>4145.46</v>
      </c>
      <c r="G12" s="7">
        <v>2.6299196E-2</v>
      </c>
      <c r="H12" s="6"/>
      <c r="P12"/>
    </row>
    <row r="13" spans="1:16" ht="17.100000000000001" customHeight="1" x14ac:dyDescent="0.2">
      <c r="A13" s="3">
        <v>6</v>
      </c>
      <c r="B13" s="4" t="s">
        <v>427</v>
      </c>
      <c r="C13" s="4" t="s">
        <v>428</v>
      </c>
      <c r="D13" s="4" t="s">
        <v>994</v>
      </c>
      <c r="E13" s="5">
        <v>346850</v>
      </c>
      <c r="F13" s="6">
        <v>4093.6971250000001</v>
      </c>
      <c r="G13" s="7">
        <v>2.5970808000000001E-2</v>
      </c>
      <c r="H13" s="6"/>
    </row>
    <row r="14" spans="1:16" ht="17.100000000000001" customHeight="1" x14ac:dyDescent="0.2">
      <c r="A14" s="3">
        <v>7</v>
      </c>
      <c r="B14" s="4" t="s">
        <v>50</v>
      </c>
      <c r="C14" s="4" t="s">
        <v>51</v>
      </c>
      <c r="D14" s="4" t="s">
        <v>19</v>
      </c>
      <c r="E14" s="5">
        <v>761795</v>
      </c>
      <c r="F14" s="6">
        <v>3565.962395</v>
      </c>
      <c r="G14" s="7">
        <v>2.2622808000000001E-2</v>
      </c>
      <c r="H14" s="6"/>
      <c r="J14" s="169" t="s">
        <v>1154</v>
      </c>
    </row>
    <row r="15" spans="1:16" ht="29.1" customHeight="1" x14ac:dyDescent="0.2">
      <c r="A15" s="3">
        <v>8</v>
      </c>
      <c r="B15" s="4" t="s">
        <v>408</v>
      </c>
      <c r="C15" s="4" t="s">
        <v>409</v>
      </c>
      <c r="D15" s="4" t="s">
        <v>85</v>
      </c>
      <c r="E15" s="5">
        <v>150000</v>
      </c>
      <c r="F15" s="6">
        <v>3460.125</v>
      </c>
      <c r="G15" s="7">
        <v>2.1951365E-2</v>
      </c>
      <c r="H15" s="6"/>
    </row>
    <row r="16" spans="1:16" ht="17.100000000000001" customHeight="1" x14ac:dyDescent="0.2">
      <c r="A16" s="3">
        <v>9</v>
      </c>
      <c r="B16" s="4" t="s">
        <v>630</v>
      </c>
      <c r="C16" s="4" t="s">
        <v>631</v>
      </c>
      <c r="D16" s="4" t="s">
        <v>318</v>
      </c>
      <c r="E16" s="5">
        <v>350000</v>
      </c>
      <c r="F16" s="6">
        <v>2832.9</v>
      </c>
      <c r="G16" s="7">
        <v>1.7972189999999999E-2</v>
      </c>
      <c r="H16" s="6"/>
    </row>
    <row r="17" spans="1:16" ht="17.100000000000001" customHeight="1" x14ac:dyDescent="0.2">
      <c r="A17" s="3">
        <v>10</v>
      </c>
      <c r="B17" s="4" t="s">
        <v>93</v>
      </c>
      <c r="C17" s="4" t="s">
        <v>94</v>
      </c>
      <c r="D17" s="4" t="s">
        <v>95</v>
      </c>
      <c r="E17" s="5">
        <v>106000</v>
      </c>
      <c r="F17" s="6">
        <v>2438.636</v>
      </c>
      <c r="G17" s="7">
        <v>1.5470941E-2</v>
      </c>
      <c r="H17" s="6"/>
    </row>
    <row r="18" spans="1:16" ht="17.100000000000001" customHeight="1" x14ac:dyDescent="0.2">
      <c r="A18" s="3">
        <v>11</v>
      </c>
      <c r="B18" s="4" t="s">
        <v>32</v>
      </c>
      <c r="C18" s="4" t="s">
        <v>33</v>
      </c>
      <c r="D18" s="4" t="s">
        <v>28</v>
      </c>
      <c r="E18" s="5">
        <v>140000</v>
      </c>
      <c r="F18" s="6">
        <v>2399.67</v>
      </c>
      <c r="G18" s="7">
        <v>1.5223736999999999E-2</v>
      </c>
      <c r="H18" s="6"/>
      <c r="J18" s="174"/>
      <c r="K18" s="174"/>
      <c r="L18" s="174"/>
      <c r="M18" s="174"/>
      <c r="N18" s="174"/>
      <c r="O18" s="174"/>
    </row>
    <row r="19" spans="1:16" ht="17.100000000000001" customHeight="1" x14ac:dyDescent="0.2">
      <c r="A19" s="3">
        <v>12</v>
      </c>
      <c r="B19" s="4" t="s">
        <v>410</v>
      </c>
      <c r="C19" s="4" t="s">
        <v>411</v>
      </c>
      <c r="D19" s="4" t="s">
        <v>994</v>
      </c>
      <c r="E19" s="5">
        <v>68060</v>
      </c>
      <c r="F19" s="6">
        <v>2289.7766099999999</v>
      </c>
      <c r="G19" s="7">
        <v>1.4526562999999999E-2</v>
      </c>
      <c r="H19" s="6"/>
    </row>
    <row r="20" spans="1:16" ht="25.5" x14ac:dyDescent="0.2">
      <c r="A20" s="3">
        <v>13</v>
      </c>
      <c r="B20" s="97" t="s">
        <v>999</v>
      </c>
      <c r="C20" s="97" t="s">
        <v>1000</v>
      </c>
      <c r="D20" s="97" t="s">
        <v>31</v>
      </c>
      <c r="E20" s="100">
        <v>1575000</v>
      </c>
      <c r="F20" s="101">
        <v>2121.0525000000002</v>
      </c>
      <c r="G20" s="102">
        <v>1.345616E-2</v>
      </c>
      <c r="H20" s="6"/>
    </row>
    <row r="21" spans="1:16" ht="17.100000000000001" customHeight="1" x14ac:dyDescent="0.2">
      <c r="A21" s="3">
        <v>14</v>
      </c>
      <c r="B21" s="4" t="s">
        <v>11</v>
      </c>
      <c r="C21" s="4" t="s">
        <v>12</v>
      </c>
      <c r="D21" s="4" t="s">
        <v>13</v>
      </c>
      <c r="E21" s="5">
        <v>118975</v>
      </c>
      <c r="F21" s="6">
        <v>1968.4413750000001</v>
      </c>
      <c r="G21" s="7">
        <v>1.2487981E-2</v>
      </c>
      <c r="H21" s="6"/>
      <c r="P21"/>
    </row>
    <row r="22" spans="1:16" ht="17.100000000000001" customHeight="1" x14ac:dyDescent="0.2">
      <c r="A22" s="3">
        <v>15</v>
      </c>
      <c r="B22" s="4" t="s">
        <v>20</v>
      </c>
      <c r="C22" s="4" t="s">
        <v>21</v>
      </c>
      <c r="D22" s="4" t="s">
        <v>22</v>
      </c>
      <c r="E22" s="5">
        <v>275205</v>
      </c>
      <c r="F22" s="6">
        <v>1926.98541</v>
      </c>
      <c r="G22" s="7">
        <v>1.222498E-2</v>
      </c>
      <c r="H22" s="6"/>
    </row>
    <row r="23" spans="1:16" ht="17.100000000000001" customHeight="1" x14ac:dyDescent="0.2">
      <c r="A23" s="3">
        <v>16</v>
      </c>
      <c r="B23" s="4" t="s">
        <v>324</v>
      </c>
      <c r="C23" s="4" t="s">
        <v>325</v>
      </c>
      <c r="D23" s="4" t="s">
        <v>19</v>
      </c>
      <c r="E23" s="5">
        <v>1899728</v>
      </c>
      <c r="F23" s="6">
        <v>1904.47732</v>
      </c>
      <c r="G23" s="7">
        <v>1.2082186999999999E-2</v>
      </c>
      <c r="H23" s="6"/>
    </row>
    <row r="24" spans="1:16" ht="17.100000000000001" customHeight="1" x14ac:dyDescent="0.2">
      <c r="A24" s="3">
        <v>17</v>
      </c>
      <c r="B24" s="4" t="s">
        <v>416</v>
      </c>
      <c r="C24" s="4" t="s">
        <v>417</v>
      </c>
      <c r="D24" s="4" t="s">
        <v>418</v>
      </c>
      <c r="E24" s="5">
        <v>78000</v>
      </c>
      <c r="F24" s="6">
        <v>1835.5350000000001</v>
      </c>
      <c r="G24" s="7">
        <v>1.164481E-2</v>
      </c>
      <c r="H24" s="6"/>
    </row>
    <row r="25" spans="1:16" ht="17.100000000000001" customHeight="1" x14ac:dyDescent="0.2">
      <c r="A25" s="3">
        <v>18</v>
      </c>
      <c r="B25" s="4" t="s">
        <v>316</v>
      </c>
      <c r="C25" s="4" t="s">
        <v>317</v>
      </c>
      <c r="D25" s="4" t="s">
        <v>318</v>
      </c>
      <c r="E25" s="5">
        <v>160000</v>
      </c>
      <c r="F25" s="6">
        <v>1690.4</v>
      </c>
      <c r="G25" s="7">
        <v>1.0724060000000001E-2</v>
      </c>
      <c r="H25" s="6"/>
    </row>
    <row r="26" spans="1:16" ht="17.100000000000001" customHeight="1" x14ac:dyDescent="0.2">
      <c r="A26" s="3">
        <v>19</v>
      </c>
      <c r="B26" s="4" t="s">
        <v>222</v>
      </c>
      <c r="C26" s="4" t="s">
        <v>223</v>
      </c>
      <c r="D26" s="4" t="s">
        <v>95</v>
      </c>
      <c r="E26" s="5">
        <v>107086</v>
      </c>
      <c r="F26" s="6">
        <v>1681.6250010000001</v>
      </c>
      <c r="G26" s="7">
        <v>1.066839E-2</v>
      </c>
      <c r="H26" s="6"/>
    </row>
    <row r="27" spans="1:16" ht="29.1" customHeight="1" x14ac:dyDescent="0.2">
      <c r="A27" s="3">
        <v>20</v>
      </c>
      <c r="B27" s="4" t="s">
        <v>168</v>
      </c>
      <c r="C27" s="4" t="s">
        <v>169</v>
      </c>
      <c r="D27" s="4" t="s">
        <v>25</v>
      </c>
      <c r="E27" s="5">
        <v>450000</v>
      </c>
      <c r="F27" s="6">
        <v>1662.3</v>
      </c>
      <c r="G27" s="7">
        <v>1.0545791000000001E-2</v>
      </c>
      <c r="H27" s="6"/>
    </row>
    <row r="28" spans="1:16" ht="29.1" customHeight="1" x14ac:dyDescent="0.2">
      <c r="A28" s="3">
        <v>21</v>
      </c>
      <c r="B28" s="4" t="s">
        <v>414</v>
      </c>
      <c r="C28" s="4" t="s">
        <v>415</v>
      </c>
      <c r="D28" s="4" t="s">
        <v>198</v>
      </c>
      <c r="E28" s="5">
        <v>190100</v>
      </c>
      <c r="F28" s="6">
        <v>1636.0006000000001</v>
      </c>
      <c r="G28" s="7">
        <v>1.0378945000000001E-2</v>
      </c>
      <c r="H28" s="6"/>
    </row>
    <row r="29" spans="1:16" ht="17.100000000000001" customHeight="1" x14ac:dyDescent="0.2">
      <c r="A29" s="3">
        <v>22</v>
      </c>
      <c r="B29" s="4" t="s">
        <v>435</v>
      </c>
      <c r="C29" s="4" t="s">
        <v>436</v>
      </c>
      <c r="D29" s="4" t="s">
        <v>437</v>
      </c>
      <c r="E29" s="5">
        <v>382975</v>
      </c>
      <c r="F29" s="6">
        <v>1618.2608625</v>
      </c>
      <c r="G29" s="7">
        <v>1.0266402000000001E-2</v>
      </c>
      <c r="H29" s="6"/>
    </row>
    <row r="30" spans="1:16" ht="17.100000000000001" customHeight="1" x14ac:dyDescent="0.2">
      <c r="A30" s="3">
        <v>23</v>
      </c>
      <c r="B30" s="4" t="s">
        <v>312</v>
      </c>
      <c r="C30" s="4" t="s">
        <v>313</v>
      </c>
      <c r="D30" s="4" t="s">
        <v>254</v>
      </c>
      <c r="E30" s="5">
        <v>3529</v>
      </c>
      <c r="F30" s="6">
        <v>1594.8980245</v>
      </c>
      <c r="G30" s="7">
        <v>1.0118185999999999E-2</v>
      </c>
      <c r="H30" s="6"/>
    </row>
    <row r="31" spans="1:16" ht="17.100000000000001" customHeight="1" x14ac:dyDescent="0.2">
      <c r="A31" s="3">
        <v>24</v>
      </c>
      <c r="B31" s="4" t="s">
        <v>592</v>
      </c>
      <c r="C31" s="4" t="s">
        <v>593</v>
      </c>
      <c r="D31" s="4" t="s">
        <v>323</v>
      </c>
      <c r="E31" s="5">
        <v>258500</v>
      </c>
      <c r="F31" s="6">
        <v>1548.28575</v>
      </c>
      <c r="G31" s="7">
        <v>9.822473E-3</v>
      </c>
      <c r="H31" s="6"/>
    </row>
    <row r="32" spans="1:16" ht="29.1" customHeight="1" x14ac:dyDescent="0.2">
      <c r="A32" s="3">
        <v>25</v>
      </c>
      <c r="B32" s="4" t="s">
        <v>217</v>
      </c>
      <c r="C32" s="4" t="s">
        <v>218</v>
      </c>
      <c r="D32" s="4" t="s">
        <v>219</v>
      </c>
      <c r="E32" s="5">
        <v>39082</v>
      </c>
      <c r="F32" s="6">
        <v>1533.753549</v>
      </c>
      <c r="G32" s="7">
        <v>9.7302799999999991E-3</v>
      </c>
      <c r="H32" s="6"/>
    </row>
    <row r="33" spans="1:8" ht="29.1" customHeight="1" x14ac:dyDescent="0.2">
      <c r="A33" s="3">
        <v>26</v>
      </c>
      <c r="B33" s="4" t="s">
        <v>382</v>
      </c>
      <c r="C33" s="4" t="s">
        <v>383</v>
      </c>
      <c r="D33" s="4" t="s">
        <v>233</v>
      </c>
      <c r="E33" s="5">
        <v>200000</v>
      </c>
      <c r="F33" s="6">
        <v>1519.5</v>
      </c>
      <c r="G33" s="7">
        <v>9.6398539999999998E-3</v>
      </c>
      <c r="H33" s="6"/>
    </row>
    <row r="34" spans="1:8" ht="17.100000000000001" customHeight="1" x14ac:dyDescent="0.2">
      <c r="A34" s="3">
        <v>27</v>
      </c>
      <c r="B34" s="4" t="s">
        <v>433</v>
      </c>
      <c r="C34" s="4" t="s">
        <v>434</v>
      </c>
      <c r="D34" s="4" t="s">
        <v>106</v>
      </c>
      <c r="E34" s="5">
        <v>136425</v>
      </c>
      <c r="F34" s="6">
        <v>1440.1705125000001</v>
      </c>
      <c r="G34" s="7">
        <v>9.13658E-3</v>
      </c>
      <c r="H34" s="6"/>
    </row>
    <row r="35" spans="1:8" ht="17.100000000000001" customHeight="1" x14ac:dyDescent="0.2">
      <c r="A35" s="3">
        <v>28</v>
      </c>
      <c r="B35" s="4" t="s">
        <v>380</v>
      </c>
      <c r="C35" s="4" t="s">
        <v>381</v>
      </c>
      <c r="D35" s="4" t="s">
        <v>85</v>
      </c>
      <c r="E35" s="5">
        <v>10088</v>
      </c>
      <c r="F35" s="6">
        <v>1304.7819199999999</v>
      </c>
      <c r="G35" s="7">
        <v>8.2776619999999999E-3</v>
      </c>
      <c r="H35" s="6"/>
    </row>
    <row r="36" spans="1:8" ht="17.100000000000001" customHeight="1" x14ac:dyDescent="0.2">
      <c r="A36" s="3">
        <v>29</v>
      </c>
      <c r="B36" s="4" t="s">
        <v>412</v>
      </c>
      <c r="C36" s="4" t="s">
        <v>413</v>
      </c>
      <c r="D36" s="4" t="s">
        <v>323</v>
      </c>
      <c r="E36" s="5">
        <v>106750</v>
      </c>
      <c r="F36" s="6">
        <v>1253.405125</v>
      </c>
      <c r="G36" s="7">
        <v>7.9517219999999996E-3</v>
      </c>
      <c r="H36" s="6"/>
    </row>
    <row r="37" spans="1:8" ht="17.100000000000001" customHeight="1" x14ac:dyDescent="0.2">
      <c r="A37" s="3">
        <v>30</v>
      </c>
      <c r="B37" s="4" t="s">
        <v>461</v>
      </c>
      <c r="C37" s="4" t="s">
        <v>462</v>
      </c>
      <c r="D37" s="4" t="s">
        <v>396</v>
      </c>
      <c r="E37" s="5">
        <v>14500</v>
      </c>
      <c r="F37" s="6">
        <v>1155.12075</v>
      </c>
      <c r="G37" s="7">
        <v>7.3281969999999998E-3</v>
      </c>
      <c r="H37" s="6"/>
    </row>
    <row r="38" spans="1:8" ht="17.100000000000001" customHeight="1" x14ac:dyDescent="0.2">
      <c r="A38" s="3">
        <v>31</v>
      </c>
      <c r="B38" s="4" t="s">
        <v>346</v>
      </c>
      <c r="C38" s="4" t="s">
        <v>347</v>
      </c>
      <c r="D38" s="4" t="s">
        <v>106</v>
      </c>
      <c r="E38" s="5">
        <v>300000</v>
      </c>
      <c r="F38" s="6">
        <v>1133.55</v>
      </c>
      <c r="G38" s="7">
        <v>7.19135E-3</v>
      </c>
      <c r="H38" s="6"/>
    </row>
    <row r="39" spans="1:8" ht="29.1" customHeight="1" x14ac:dyDescent="0.2">
      <c r="A39" s="3">
        <v>32</v>
      </c>
      <c r="B39" s="4" t="s">
        <v>305</v>
      </c>
      <c r="C39" s="4" t="s">
        <v>306</v>
      </c>
      <c r="D39" s="4" t="s">
        <v>219</v>
      </c>
      <c r="E39" s="5">
        <v>230000</v>
      </c>
      <c r="F39" s="6">
        <v>1109.29</v>
      </c>
      <c r="G39" s="7">
        <v>7.0374419999999997E-3</v>
      </c>
      <c r="H39" s="6"/>
    </row>
    <row r="40" spans="1:8" ht="17.100000000000001" customHeight="1" x14ac:dyDescent="0.2">
      <c r="A40" s="3">
        <v>33</v>
      </c>
      <c r="B40" s="4" t="s">
        <v>453</v>
      </c>
      <c r="C40" s="4" t="s">
        <v>454</v>
      </c>
      <c r="D40" s="4" t="s">
        <v>396</v>
      </c>
      <c r="E40" s="5">
        <v>247503</v>
      </c>
      <c r="F40" s="6">
        <v>1097.7995565000001</v>
      </c>
      <c r="G40" s="7">
        <v>6.9645460000000003E-3</v>
      </c>
      <c r="H40" s="6"/>
    </row>
    <row r="41" spans="1:8" ht="29.1" customHeight="1" x14ac:dyDescent="0.2">
      <c r="A41" s="3">
        <v>34</v>
      </c>
      <c r="B41" s="4" t="s">
        <v>23</v>
      </c>
      <c r="C41" s="4" t="s">
        <v>24</v>
      </c>
      <c r="D41" s="4" t="s">
        <v>25</v>
      </c>
      <c r="E41" s="5">
        <v>16380</v>
      </c>
      <c r="F41" s="6">
        <v>996.32988</v>
      </c>
      <c r="G41" s="7">
        <v>6.3208120000000003E-3</v>
      </c>
      <c r="H41" s="6"/>
    </row>
    <row r="42" spans="1:8" ht="17.100000000000001" customHeight="1" x14ac:dyDescent="0.2">
      <c r="A42" s="3">
        <v>35</v>
      </c>
      <c r="B42" s="4" t="s">
        <v>441</v>
      </c>
      <c r="C42" s="4" t="s">
        <v>442</v>
      </c>
      <c r="D42" s="4" t="s">
        <v>95</v>
      </c>
      <c r="E42" s="5">
        <v>175000</v>
      </c>
      <c r="F42" s="6">
        <v>975.45</v>
      </c>
      <c r="G42" s="7">
        <v>6.1883479999999998E-3</v>
      </c>
      <c r="H42" s="6"/>
    </row>
    <row r="43" spans="1:8" ht="17.100000000000001" customHeight="1" x14ac:dyDescent="0.2">
      <c r="A43" s="3">
        <v>36</v>
      </c>
      <c r="B43" s="4" t="s">
        <v>394</v>
      </c>
      <c r="C43" s="4" t="s">
        <v>395</v>
      </c>
      <c r="D43" s="4" t="s">
        <v>396</v>
      </c>
      <c r="E43" s="5">
        <v>130000</v>
      </c>
      <c r="F43" s="6">
        <v>957.51499999999999</v>
      </c>
      <c r="G43" s="7">
        <v>6.0745670000000003E-3</v>
      </c>
      <c r="H43" s="6"/>
    </row>
    <row r="44" spans="1:8" ht="29.1" customHeight="1" x14ac:dyDescent="0.2">
      <c r="A44" s="3">
        <v>37</v>
      </c>
      <c r="B44" s="4" t="s">
        <v>354</v>
      </c>
      <c r="C44" s="4" t="s">
        <v>355</v>
      </c>
      <c r="D44" s="4" t="s">
        <v>356</v>
      </c>
      <c r="E44" s="5">
        <v>100000</v>
      </c>
      <c r="F44" s="6">
        <v>944.9</v>
      </c>
      <c r="G44" s="7">
        <v>5.994536E-3</v>
      </c>
      <c r="H44" s="6"/>
    </row>
    <row r="45" spans="1:8" ht="17.100000000000001" customHeight="1" x14ac:dyDescent="0.2">
      <c r="A45" s="3">
        <v>38</v>
      </c>
      <c r="B45" s="4" t="s">
        <v>425</v>
      </c>
      <c r="C45" s="4" t="s">
        <v>426</v>
      </c>
      <c r="D45" s="4" t="s">
        <v>418</v>
      </c>
      <c r="E45" s="5">
        <v>345400</v>
      </c>
      <c r="F45" s="6">
        <v>934.82510000000002</v>
      </c>
      <c r="G45" s="7">
        <v>5.9306200000000002E-3</v>
      </c>
      <c r="H45" s="6"/>
    </row>
    <row r="46" spans="1:8" ht="29.1" customHeight="1" x14ac:dyDescent="0.2">
      <c r="A46" s="3">
        <v>39</v>
      </c>
      <c r="B46" s="4" t="s">
        <v>350</v>
      </c>
      <c r="C46" s="4" t="s">
        <v>351</v>
      </c>
      <c r="D46" s="4" t="s">
        <v>198</v>
      </c>
      <c r="E46" s="5">
        <v>32000</v>
      </c>
      <c r="F46" s="6">
        <v>915.50400000000002</v>
      </c>
      <c r="G46" s="7">
        <v>5.8080450000000004E-3</v>
      </c>
      <c r="H46" s="6"/>
    </row>
    <row r="47" spans="1:8" ht="17.100000000000001" customHeight="1" x14ac:dyDescent="0.2">
      <c r="A47" s="3">
        <v>40</v>
      </c>
      <c r="B47" s="4" t="s">
        <v>352</v>
      </c>
      <c r="C47" s="4" t="s">
        <v>353</v>
      </c>
      <c r="D47" s="4" t="s">
        <v>85</v>
      </c>
      <c r="E47" s="5">
        <v>137000</v>
      </c>
      <c r="F47" s="6">
        <v>851.66049999999996</v>
      </c>
      <c r="G47" s="7">
        <v>5.4030160000000001E-3</v>
      </c>
      <c r="H47" s="6"/>
    </row>
    <row r="48" spans="1:8" ht="17.100000000000001" customHeight="1" x14ac:dyDescent="0.2">
      <c r="A48" s="3">
        <v>41</v>
      </c>
      <c r="B48" s="4" t="s">
        <v>431</v>
      </c>
      <c r="C48" s="4" t="s">
        <v>432</v>
      </c>
      <c r="D48" s="4" t="s">
        <v>19</v>
      </c>
      <c r="E48" s="5">
        <v>46000</v>
      </c>
      <c r="F48" s="6">
        <v>849.55100000000004</v>
      </c>
      <c r="G48" s="7">
        <v>5.3896329999999996E-3</v>
      </c>
      <c r="H48" s="6"/>
    </row>
    <row r="49" spans="1:8" ht="17.100000000000001" customHeight="1" x14ac:dyDescent="0.2">
      <c r="A49" s="3">
        <v>42</v>
      </c>
      <c r="B49" s="4" t="s">
        <v>361</v>
      </c>
      <c r="C49" s="4" t="s">
        <v>362</v>
      </c>
      <c r="D49" s="4" t="s">
        <v>176</v>
      </c>
      <c r="E49" s="5">
        <v>24000</v>
      </c>
      <c r="F49" s="6">
        <v>840.56399999999996</v>
      </c>
      <c r="G49" s="7">
        <v>5.3326190000000002E-3</v>
      </c>
      <c r="H49" s="6"/>
    </row>
    <row r="50" spans="1:8" ht="17.100000000000001" customHeight="1" x14ac:dyDescent="0.2">
      <c r="A50" s="3">
        <v>43</v>
      </c>
      <c r="B50" s="4" t="s">
        <v>321</v>
      </c>
      <c r="C50" s="4" t="s">
        <v>322</v>
      </c>
      <c r="D50" s="4" t="s">
        <v>323</v>
      </c>
      <c r="E50" s="5">
        <v>104401</v>
      </c>
      <c r="F50" s="6">
        <v>829.67474700000002</v>
      </c>
      <c r="G50" s="7">
        <v>5.2635360000000001E-3</v>
      </c>
      <c r="H50" s="6"/>
    </row>
    <row r="51" spans="1:8" ht="17.100000000000001" customHeight="1" x14ac:dyDescent="0.2">
      <c r="A51" s="3">
        <v>44</v>
      </c>
      <c r="B51" s="4" t="s">
        <v>115</v>
      </c>
      <c r="C51" s="4" t="s">
        <v>116</v>
      </c>
      <c r="D51" s="4" t="s">
        <v>92</v>
      </c>
      <c r="E51" s="5">
        <v>989100</v>
      </c>
      <c r="F51" s="6">
        <v>720.06479999999999</v>
      </c>
      <c r="G51" s="7">
        <v>4.5681599999999999E-3</v>
      </c>
      <c r="H51" s="6"/>
    </row>
    <row r="52" spans="1:8" ht="17.100000000000001" customHeight="1" x14ac:dyDescent="0.2">
      <c r="A52" s="3">
        <v>45</v>
      </c>
      <c r="B52" s="4" t="s">
        <v>423</v>
      </c>
      <c r="C52" s="4" t="s">
        <v>424</v>
      </c>
      <c r="D52" s="4" t="s">
        <v>396</v>
      </c>
      <c r="E52" s="5">
        <v>68700</v>
      </c>
      <c r="F52" s="6">
        <v>710.59844999999996</v>
      </c>
      <c r="G52" s="7">
        <v>4.5081050000000001E-3</v>
      </c>
      <c r="H52" s="6"/>
    </row>
    <row r="53" spans="1:8" ht="29.1" customHeight="1" x14ac:dyDescent="0.2">
      <c r="A53" s="3">
        <v>46</v>
      </c>
      <c r="B53" s="4" t="s">
        <v>521</v>
      </c>
      <c r="C53" s="4" t="s">
        <v>522</v>
      </c>
      <c r="D53" s="4" t="s">
        <v>198</v>
      </c>
      <c r="E53" s="5">
        <v>70000</v>
      </c>
      <c r="F53" s="6">
        <v>695.06500000000005</v>
      </c>
      <c r="G53" s="7">
        <v>4.4095590000000004E-3</v>
      </c>
      <c r="H53" s="6"/>
    </row>
    <row r="54" spans="1:8" ht="17.100000000000001" customHeight="1" x14ac:dyDescent="0.2">
      <c r="A54" s="3">
        <v>47</v>
      </c>
      <c r="B54" s="4" t="s">
        <v>372</v>
      </c>
      <c r="C54" s="4" t="s">
        <v>373</v>
      </c>
      <c r="D54" s="4" t="s">
        <v>80</v>
      </c>
      <c r="E54" s="5">
        <v>1070000</v>
      </c>
      <c r="F54" s="6">
        <v>643.60500000000002</v>
      </c>
      <c r="G54" s="7">
        <v>4.083092E-3</v>
      </c>
      <c r="H54" s="6"/>
    </row>
    <row r="55" spans="1:8" ht="29.1" customHeight="1" x14ac:dyDescent="0.2">
      <c r="A55" s="3">
        <v>48</v>
      </c>
      <c r="B55" s="4" t="s">
        <v>189</v>
      </c>
      <c r="C55" s="4" t="s">
        <v>190</v>
      </c>
      <c r="D55" s="4" t="s">
        <v>191</v>
      </c>
      <c r="E55" s="5">
        <v>86000</v>
      </c>
      <c r="F55" s="6">
        <v>605.48299999999995</v>
      </c>
      <c r="G55" s="7">
        <v>3.8412419999999999E-3</v>
      </c>
      <c r="H55" s="6"/>
    </row>
    <row r="56" spans="1:8" ht="29.1" customHeight="1" x14ac:dyDescent="0.2">
      <c r="A56" s="3">
        <v>49</v>
      </c>
      <c r="B56" s="4" t="s">
        <v>55</v>
      </c>
      <c r="C56" s="4" t="s">
        <v>56</v>
      </c>
      <c r="D56" s="4" t="s">
        <v>57</v>
      </c>
      <c r="E56" s="5">
        <v>81250</v>
      </c>
      <c r="F56" s="6">
        <v>601.12812499999995</v>
      </c>
      <c r="G56" s="7">
        <v>3.8136149999999998E-3</v>
      </c>
      <c r="H56" s="6"/>
    </row>
    <row r="57" spans="1:8" ht="29.1" customHeight="1" x14ac:dyDescent="0.2">
      <c r="A57" s="3">
        <v>50</v>
      </c>
      <c r="B57" s="4" t="s">
        <v>449</v>
      </c>
      <c r="C57" s="4" t="s">
        <v>450</v>
      </c>
      <c r="D57" s="4" t="s">
        <v>198</v>
      </c>
      <c r="E57" s="5">
        <v>16700</v>
      </c>
      <c r="F57" s="6">
        <v>599.74710000000005</v>
      </c>
      <c r="G57" s="7">
        <v>3.804853E-3</v>
      </c>
      <c r="H57" s="6"/>
    </row>
    <row r="58" spans="1:8" ht="17.100000000000001" customHeight="1" x14ac:dyDescent="0.2">
      <c r="A58" s="3">
        <v>51</v>
      </c>
      <c r="B58" s="4" t="s">
        <v>246</v>
      </c>
      <c r="C58" s="4" t="s">
        <v>247</v>
      </c>
      <c r="D58" s="4" t="s">
        <v>248</v>
      </c>
      <c r="E58" s="5">
        <v>325000</v>
      </c>
      <c r="F58" s="6">
        <v>591.33749999999998</v>
      </c>
      <c r="G58" s="7">
        <v>3.7515019999999999E-3</v>
      </c>
      <c r="H58" s="6"/>
    </row>
    <row r="59" spans="1:8" ht="17.100000000000001" customHeight="1" x14ac:dyDescent="0.2">
      <c r="A59" s="3">
        <v>52</v>
      </c>
      <c r="B59" s="4" t="s">
        <v>263</v>
      </c>
      <c r="C59" s="4" t="s">
        <v>264</v>
      </c>
      <c r="D59" s="4" t="s">
        <v>16</v>
      </c>
      <c r="E59" s="5">
        <v>255000</v>
      </c>
      <c r="F59" s="6">
        <v>580.89</v>
      </c>
      <c r="G59" s="7">
        <v>3.6852220000000002E-3</v>
      </c>
      <c r="H59" s="6"/>
    </row>
    <row r="60" spans="1:8" ht="17.100000000000001" customHeight="1" x14ac:dyDescent="0.2">
      <c r="A60" s="3">
        <v>53</v>
      </c>
      <c r="B60" s="4" t="s">
        <v>390</v>
      </c>
      <c r="C60" s="4" t="s">
        <v>391</v>
      </c>
      <c r="D60" s="4" t="s">
        <v>80</v>
      </c>
      <c r="E60" s="5">
        <v>96692</v>
      </c>
      <c r="F60" s="6">
        <v>576.67108800000005</v>
      </c>
      <c r="G60" s="7">
        <v>3.6584569999999999E-3</v>
      </c>
      <c r="H60" s="6"/>
    </row>
    <row r="61" spans="1:8" ht="17.100000000000001" customHeight="1" x14ac:dyDescent="0.2">
      <c r="A61" s="3">
        <v>54</v>
      </c>
      <c r="B61" s="4" t="s">
        <v>376</v>
      </c>
      <c r="C61" s="4" t="s">
        <v>377</v>
      </c>
      <c r="D61" s="4" t="s">
        <v>85</v>
      </c>
      <c r="E61" s="5">
        <v>150000</v>
      </c>
      <c r="F61" s="6">
        <v>567</v>
      </c>
      <c r="G61" s="7">
        <v>3.597102E-3</v>
      </c>
      <c r="H61" s="6"/>
    </row>
    <row r="62" spans="1:8" ht="17.100000000000001" customHeight="1" x14ac:dyDescent="0.2">
      <c r="A62" s="3">
        <v>55</v>
      </c>
      <c r="B62" s="4" t="s">
        <v>686</v>
      </c>
      <c r="C62" s="4" t="s">
        <v>687</v>
      </c>
      <c r="D62" s="4" t="s">
        <v>369</v>
      </c>
      <c r="E62" s="5">
        <v>70000</v>
      </c>
      <c r="F62" s="6">
        <v>536.86500000000001</v>
      </c>
      <c r="G62" s="7">
        <v>3.4059229999999999E-3</v>
      </c>
      <c r="H62" s="6"/>
    </row>
    <row r="63" spans="1:8" ht="17.100000000000001" customHeight="1" x14ac:dyDescent="0.2">
      <c r="A63" s="3">
        <v>56</v>
      </c>
      <c r="B63" s="4" t="s">
        <v>342</v>
      </c>
      <c r="C63" s="4" t="s">
        <v>343</v>
      </c>
      <c r="D63" s="4" t="s">
        <v>85</v>
      </c>
      <c r="E63" s="5">
        <v>45000</v>
      </c>
      <c r="F63" s="6">
        <v>529.29</v>
      </c>
      <c r="G63" s="7">
        <v>3.3578670000000001E-3</v>
      </c>
      <c r="H63" s="6"/>
    </row>
    <row r="64" spans="1:8" ht="29.1" customHeight="1" x14ac:dyDescent="0.2">
      <c r="A64" s="3">
        <v>57</v>
      </c>
      <c r="B64" s="4" t="s">
        <v>192</v>
      </c>
      <c r="C64" s="4" t="s">
        <v>193</v>
      </c>
      <c r="D64" s="4" t="s">
        <v>80</v>
      </c>
      <c r="E64" s="5">
        <v>130000</v>
      </c>
      <c r="F64" s="6">
        <v>469.88499999999999</v>
      </c>
      <c r="G64" s="7">
        <v>2.9809960000000001E-3</v>
      </c>
      <c r="H64" s="6"/>
    </row>
    <row r="65" spans="1:8" ht="29.1" customHeight="1" x14ac:dyDescent="0.2">
      <c r="A65" s="3">
        <v>58</v>
      </c>
      <c r="B65" s="4" t="s">
        <v>708</v>
      </c>
      <c r="C65" s="4" t="s">
        <v>709</v>
      </c>
      <c r="D65" s="4" t="s">
        <v>198</v>
      </c>
      <c r="E65" s="5">
        <v>10500</v>
      </c>
      <c r="F65" s="6">
        <v>458.81324999999998</v>
      </c>
      <c r="G65" s="7">
        <v>2.9107550000000001E-3</v>
      </c>
      <c r="H65" s="6"/>
    </row>
    <row r="66" spans="1:8" ht="17.100000000000001" customHeight="1" x14ac:dyDescent="0.2">
      <c r="A66" s="3">
        <v>59</v>
      </c>
      <c r="B66" s="4" t="s">
        <v>338</v>
      </c>
      <c r="C66" s="4" t="s">
        <v>339</v>
      </c>
      <c r="D66" s="4" t="s">
        <v>80</v>
      </c>
      <c r="E66" s="5">
        <v>45000</v>
      </c>
      <c r="F66" s="6">
        <v>458.1225</v>
      </c>
      <c r="G66" s="7">
        <v>2.9063729999999999E-3</v>
      </c>
      <c r="H66" s="6"/>
    </row>
    <row r="67" spans="1:8" ht="17.100000000000001" customHeight="1" x14ac:dyDescent="0.2">
      <c r="A67" s="3">
        <v>60</v>
      </c>
      <c r="B67" s="4" t="s">
        <v>473</v>
      </c>
      <c r="C67" s="4" t="s">
        <v>474</v>
      </c>
      <c r="D67" s="4" t="s">
        <v>80</v>
      </c>
      <c r="E67" s="5">
        <v>20625</v>
      </c>
      <c r="F67" s="6">
        <v>457.05</v>
      </c>
      <c r="G67" s="7">
        <v>2.8995689999999998E-3</v>
      </c>
      <c r="H67" s="6"/>
    </row>
    <row r="68" spans="1:8" ht="17.100000000000001" customHeight="1" x14ac:dyDescent="0.2">
      <c r="A68" s="3">
        <v>61</v>
      </c>
      <c r="B68" s="4" t="s">
        <v>52</v>
      </c>
      <c r="C68" s="4" t="s">
        <v>53</v>
      </c>
      <c r="D68" s="4" t="s">
        <v>54</v>
      </c>
      <c r="E68" s="5">
        <v>275000</v>
      </c>
      <c r="F68" s="6">
        <v>404.8</v>
      </c>
      <c r="G68" s="7">
        <v>2.5680899999999999E-3</v>
      </c>
      <c r="H68" s="6"/>
    </row>
    <row r="69" spans="1:8" ht="53.1" customHeight="1" x14ac:dyDescent="0.2">
      <c r="A69" s="3">
        <v>62</v>
      </c>
      <c r="B69" s="4" t="s">
        <v>73</v>
      </c>
      <c r="C69" s="4" t="s">
        <v>74</v>
      </c>
      <c r="D69" s="4" t="s">
        <v>75</v>
      </c>
      <c r="E69" s="5">
        <v>247500</v>
      </c>
      <c r="F69" s="6">
        <v>340.3125</v>
      </c>
      <c r="G69" s="7">
        <v>2.158975E-3</v>
      </c>
      <c r="H69" s="6"/>
    </row>
    <row r="70" spans="1:8" ht="53.1" customHeight="1" x14ac:dyDescent="0.2">
      <c r="A70" s="3">
        <v>63</v>
      </c>
      <c r="B70" s="4" t="s">
        <v>251</v>
      </c>
      <c r="C70" s="4" t="s">
        <v>1141</v>
      </c>
      <c r="D70" s="4" t="s">
        <v>75</v>
      </c>
      <c r="E70" s="5">
        <v>151829</v>
      </c>
      <c r="F70" s="6">
        <v>301.38056499999999</v>
      </c>
      <c r="G70" s="7">
        <v>1.911987E-3</v>
      </c>
      <c r="H70" s="6"/>
    </row>
    <row r="71" spans="1:8" ht="29.1" customHeight="1" x14ac:dyDescent="0.2">
      <c r="A71" s="3">
        <v>64</v>
      </c>
      <c r="B71" s="4" t="s">
        <v>743</v>
      </c>
      <c r="C71" s="4" t="s">
        <v>744</v>
      </c>
      <c r="D71" s="4" t="s">
        <v>25</v>
      </c>
      <c r="E71" s="5">
        <v>20900</v>
      </c>
      <c r="F71" s="6">
        <v>298.57740000000001</v>
      </c>
      <c r="G71" s="7">
        <v>1.894204E-3</v>
      </c>
      <c r="H71" s="6"/>
    </row>
    <row r="72" spans="1:8" ht="17.100000000000001" customHeight="1" x14ac:dyDescent="0.2">
      <c r="A72" s="3">
        <v>65</v>
      </c>
      <c r="B72" s="4" t="s">
        <v>447</v>
      </c>
      <c r="C72" s="4" t="s">
        <v>448</v>
      </c>
      <c r="D72" s="4" t="s">
        <v>85</v>
      </c>
      <c r="E72" s="5">
        <v>4864</v>
      </c>
      <c r="F72" s="6">
        <v>295.83577600000001</v>
      </c>
      <c r="G72" s="7">
        <v>1.8768109999999999E-3</v>
      </c>
      <c r="H72" s="6"/>
    </row>
    <row r="73" spans="1:8" ht="53.1" customHeight="1" x14ac:dyDescent="0.2">
      <c r="A73" s="3">
        <v>66</v>
      </c>
      <c r="B73" s="4" t="s">
        <v>86</v>
      </c>
      <c r="C73" s="4" t="s">
        <v>87</v>
      </c>
      <c r="D73" s="4" t="s">
        <v>75</v>
      </c>
      <c r="E73" s="5">
        <v>20670</v>
      </c>
      <c r="F73" s="6">
        <v>292.82155499999999</v>
      </c>
      <c r="G73" s="7">
        <v>1.8576879999999999E-3</v>
      </c>
      <c r="H73" s="6"/>
    </row>
    <row r="74" spans="1:8" ht="17.100000000000001" customHeight="1" x14ac:dyDescent="0.2">
      <c r="A74" s="3">
        <v>67</v>
      </c>
      <c r="B74" s="4" t="s">
        <v>336</v>
      </c>
      <c r="C74" s="4" t="s">
        <v>337</v>
      </c>
      <c r="D74" s="4" t="s">
        <v>19</v>
      </c>
      <c r="E74" s="5">
        <v>20000</v>
      </c>
      <c r="F74" s="6">
        <v>250.27</v>
      </c>
      <c r="G74" s="7">
        <v>1.5877370000000001E-3</v>
      </c>
      <c r="H74" s="6"/>
    </row>
    <row r="75" spans="1:8" ht="29.1" customHeight="1" x14ac:dyDescent="0.2">
      <c r="A75" s="3">
        <v>68</v>
      </c>
      <c r="B75" s="4" t="s">
        <v>636</v>
      </c>
      <c r="C75" s="4" t="s">
        <v>637</v>
      </c>
      <c r="D75" s="4" t="s">
        <v>198</v>
      </c>
      <c r="E75" s="5">
        <v>39950</v>
      </c>
      <c r="F75" s="6">
        <v>247.13069999999999</v>
      </c>
      <c r="G75" s="7">
        <v>1.5678210000000001E-3</v>
      </c>
      <c r="H75" s="6"/>
    </row>
    <row r="76" spans="1:8" ht="17.100000000000001" customHeight="1" x14ac:dyDescent="0.2">
      <c r="A76" s="3">
        <v>69</v>
      </c>
      <c r="B76" s="4" t="s">
        <v>634</v>
      </c>
      <c r="C76" s="4" t="s">
        <v>635</v>
      </c>
      <c r="D76" s="4" t="s">
        <v>80</v>
      </c>
      <c r="E76" s="5">
        <v>8100</v>
      </c>
      <c r="F76" s="6">
        <v>231.63165000000001</v>
      </c>
      <c r="G76" s="7">
        <v>1.4694930000000001E-3</v>
      </c>
      <c r="H76" s="6"/>
    </row>
    <row r="77" spans="1:8" ht="17.100000000000001" customHeight="1" x14ac:dyDescent="0.2">
      <c r="A77" s="3">
        <v>70</v>
      </c>
      <c r="B77" s="4" t="s">
        <v>754</v>
      </c>
      <c r="C77" s="4" t="s">
        <v>755</v>
      </c>
      <c r="D77" s="4" t="s">
        <v>756</v>
      </c>
      <c r="E77" s="5">
        <v>69750</v>
      </c>
      <c r="F77" s="6">
        <v>223.82775000000001</v>
      </c>
      <c r="G77" s="7">
        <v>1.4199849999999999E-3</v>
      </c>
      <c r="H77" s="6"/>
    </row>
    <row r="78" spans="1:8" ht="17.100000000000001" customHeight="1" x14ac:dyDescent="0.2">
      <c r="A78" s="3">
        <v>71</v>
      </c>
      <c r="B78" s="4" t="s">
        <v>679</v>
      </c>
      <c r="C78" s="4" t="s">
        <v>680</v>
      </c>
      <c r="D78" s="4" t="s">
        <v>396</v>
      </c>
      <c r="E78" s="5">
        <v>7350</v>
      </c>
      <c r="F78" s="6">
        <v>204.38512499999999</v>
      </c>
      <c r="G78" s="7">
        <v>1.296639E-3</v>
      </c>
      <c r="H78" s="6"/>
    </row>
    <row r="79" spans="1:8" ht="29.1" customHeight="1" x14ac:dyDescent="0.2">
      <c r="A79" s="3">
        <v>72</v>
      </c>
      <c r="B79" s="4" t="s">
        <v>946</v>
      </c>
      <c r="C79" s="4" t="s">
        <v>947</v>
      </c>
      <c r="D79" s="4" t="s">
        <v>219</v>
      </c>
      <c r="E79" s="5">
        <v>13000</v>
      </c>
      <c r="F79" s="6">
        <v>123.30500000000001</v>
      </c>
      <c r="G79" s="7">
        <v>7.8225899999999999E-4</v>
      </c>
      <c r="H79" s="6"/>
    </row>
    <row r="80" spans="1:8" ht="17.100000000000001" customHeight="1" x14ac:dyDescent="0.2">
      <c r="A80" s="3">
        <v>73</v>
      </c>
      <c r="B80" s="4" t="s">
        <v>386</v>
      </c>
      <c r="C80" s="4" t="s">
        <v>387</v>
      </c>
      <c r="D80" s="4" t="s">
        <v>239</v>
      </c>
      <c r="E80" s="5">
        <v>48014</v>
      </c>
      <c r="F80" s="6">
        <v>114.297327</v>
      </c>
      <c r="G80" s="7">
        <v>7.2511299999999999E-4</v>
      </c>
      <c r="H80" s="6"/>
    </row>
    <row r="81" spans="1:8" ht="17.100000000000001" customHeight="1" x14ac:dyDescent="0.2">
      <c r="A81" s="3">
        <v>74</v>
      </c>
      <c r="B81" s="4" t="s">
        <v>332</v>
      </c>
      <c r="C81" s="4" t="s">
        <v>333</v>
      </c>
      <c r="D81" s="4" t="s">
        <v>239</v>
      </c>
      <c r="E81" s="5">
        <v>2750</v>
      </c>
      <c r="F81" s="6">
        <v>109.43075</v>
      </c>
      <c r="G81" s="7">
        <v>6.9423900000000003E-4</v>
      </c>
      <c r="H81" s="6"/>
    </row>
    <row r="82" spans="1:8" ht="17.100000000000001" customHeight="1" x14ac:dyDescent="0.2">
      <c r="A82" s="3">
        <v>75</v>
      </c>
      <c r="B82" s="4" t="s">
        <v>111</v>
      </c>
      <c r="C82" s="4" t="s">
        <v>112</v>
      </c>
      <c r="D82" s="4" t="s">
        <v>54</v>
      </c>
      <c r="E82" s="5">
        <v>34620</v>
      </c>
      <c r="F82" s="6">
        <v>88.107900000000001</v>
      </c>
      <c r="G82" s="7">
        <v>5.5896500000000003E-4</v>
      </c>
      <c r="H82" s="6"/>
    </row>
    <row r="83" spans="1:8" ht="17.100000000000001" customHeight="1" x14ac:dyDescent="0.2">
      <c r="A83" s="3">
        <v>76</v>
      </c>
      <c r="B83" s="4" t="s">
        <v>725</v>
      </c>
      <c r="C83" s="4" t="s">
        <v>726</v>
      </c>
      <c r="D83" s="4" t="s">
        <v>92</v>
      </c>
      <c r="E83" s="5">
        <v>24750</v>
      </c>
      <c r="F83" s="6">
        <v>85.523624999999996</v>
      </c>
      <c r="G83" s="7">
        <v>5.4257000000000003E-4</v>
      </c>
      <c r="H83" s="6"/>
    </row>
    <row r="84" spans="1:8" ht="17.100000000000001" customHeight="1" x14ac:dyDescent="0.2">
      <c r="A84" s="3">
        <v>77</v>
      </c>
      <c r="B84" s="4" t="s">
        <v>745</v>
      </c>
      <c r="C84" s="4" t="s">
        <v>746</v>
      </c>
      <c r="D84" s="4" t="s">
        <v>19</v>
      </c>
      <c r="E84" s="5">
        <v>240000</v>
      </c>
      <c r="F84" s="6">
        <v>75.239999999999995</v>
      </c>
      <c r="G84" s="7">
        <v>4.7732999999999999E-4</v>
      </c>
      <c r="H84" s="6"/>
    </row>
    <row r="85" spans="1:8" ht="17.100000000000001" customHeight="1" x14ac:dyDescent="0.2">
      <c r="A85" s="3">
        <v>78</v>
      </c>
      <c r="B85" s="4" t="s">
        <v>757</v>
      </c>
      <c r="C85" s="4" t="s">
        <v>758</v>
      </c>
      <c r="D85" s="4" t="s">
        <v>106</v>
      </c>
      <c r="E85" s="5">
        <v>13500</v>
      </c>
      <c r="F85" s="6">
        <v>74.418750000000003</v>
      </c>
      <c r="G85" s="7">
        <v>4.7212000000000003E-4</v>
      </c>
      <c r="H85" s="6"/>
    </row>
    <row r="86" spans="1:8" ht="17.100000000000001" customHeight="1" x14ac:dyDescent="0.2">
      <c r="A86" s="3">
        <v>79</v>
      </c>
      <c r="B86" s="4" t="s">
        <v>419</v>
      </c>
      <c r="C86" s="4" t="s">
        <v>420</v>
      </c>
      <c r="D86" s="4" t="s">
        <v>994</v>
      </c>
      <c r="E86" s="5">
        <v>4200</v>
      </c>
      <c r="F86" s="6">
        <v>43.711500000000001</v>
      </c>
      <c r="G86" s="7">
        <v>2.7731000000000001E-4</v>
      </c>
      <c r="H86" s="6"/>
    </row>
    <row r="87" spans="1:8" ht="17.100000000000001" customHeight="1" x14ac:dyDescent="0.2">
      <c r="A87" s="3">
        <v>80</v>
      </c>
      <c r="B87" s="4" t="s">
        <v>948</v>
      </c>
      <c r="C87" s="4" t="s">
        <v>949</v>
      </c>
      <c r="D87" s="4" t="s">
        <v>85</v>
      </c>
      <c r="E87" s="5">
        <v>35696</v>
      </c>
      <c r="F87" s="6">
        <v>27.057568</v>
      </c>
      <c r="G87" s="7">
        <v>1.7165600000000001E-4</v>
      </c>
      <c r="H87" s="6"/>
    </row>
    <row r="88" spans="1:8" ht="17.100000000000001" customHeight="1" x14ac:dyDescent="0.2">
      <c r="A88" s="3">
        <v>81</v>
      </c>
      <c r="B88" s="4" t="s">
        <v>421</v>
      </c>
      <c r="C88" s="4" t="s">
        <v>422</v>
      </c>
      <c r="D88" s="4" t="s">
        <v>994</v>
      </c>
      <c r="E88" s="5">
        <v>5600</v>
      </c>
      <c r="F88" s="6">
        <v>26.770800000000001</v>
      </c>
      <c r="G88" s="7">
        <v>1.6983699999999999E-4</v>
      </c>
      <c r="H88" s="6"/>
    </row>
    <row r="89" spans="1:8" ht="17.100000000000001" customHeight="1" x14ac:dyDescent="0.2">
      <c r="A89" s="3">
        <v>82</v>
      </c>
      <c r="B89" s="4" t="s">
        <v>950</v>
      </c>
      <c r="C89" s="4" t="s">
        <v>951</v>
      </c>
      <c r="D89" s="4" t="s">
        <v>22</v>
      </c>
      <c r="E89" s="5">
        <v>1600</v>
      </c>
      <c r="F89" s="6">
        <v>15.7608</v>
      </c>
      <c r="G89" s="7">
        <v>9.9988000000000006E-5</v>
      </c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9">
        <f>SUM(F7:F89)</f>
        <v>119301.88553499996</v>
      </c>
      <c r="G90" s="10">
        <f>SUM(G7:G89)</f>
        <v>0.75686260999999955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121</v>
      </c>
      <c r="D92" s="1"/>
      <c r="E92" s="1"/>
      <c r="F92" s="1"/>
      <c r="G92" s="1"/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122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123</v>
      </c>
      <c r="D98" s="1"/>
      <c r="E98" s="1"/>
      <c r="F98" s="1"/>
      <c r="G98" s="1"/>
      <c r="H98" s="6"/>
    </row>
    <row r="99" spans="1:8" ht="14.1" customHeight="1" x14ac:dyDescent="0.2">
      <c r="A99" s="1"/>
      <c r="B99" s="1"/>
      <c r="C99" s="2" t="s">
        <v>119</v>
      </c>
      <c r="D99" s="1"/>
      <c r="E99" s="1" t="s">
        <v>120</v>
      </c>
      <c r="F99" s="13">
        <v>0</v>
      </c>
      <c r="G99" s="14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124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2" t="s">
        <v>125</v>
      </c>
      <c r="D104" s="1"/>
      <c r="E104" s="1"/>
      <c r="F104" s="12"/>
      <c r="G104" s="12"/>
      <c r="H104" s="6"/>
    </row>
    <row r="105" spans="1:8" x14ac:dyDescent="0.2">
      <c r="A105" s="3">
        <v>1</v>
      </c>
      <c r="B105" s="4"/>
      <c r="C105" s="4" t="s">
        <v>1032</v>
      </c>
      <c r="D105" s="4" t="s">
        <v>596</v>
      </c>
      <c r="E105" s="5">
        <v>-1600</v>
      </c>
      <c r="F105" s="6">
        <v>-15.4816</v>
      </c>
      <c r="G105" s="7">
        <v>-9.8216999999999998E-5</v>
      </c>
      <c r="H105" s="6"/>
    </row>
    <row r="106" spans="1:8" x14ac:dyDescent="0.2">
      <c r="A106" s="3">
        <v>2</v>
      </c>
      <c r="B106" s="4"/>
      <c r="C106" s="4" t="s">
        <v>1033</v>
      </c>
      <c r="D106" s="4" t="s">
        <v>596</v>
      </c>
      <c r="E106" s="5">
        <v>-5600</v>
      </c>
      <c r="F106" s="6">
        <v>-26.866</v>
      </c>
      <c r="G106" s="7">
        <v>-1.7044E-4</v>
      </c>
      <c r="H106" s="6"/>
    </row>
    <row r="107" spans="1:8" x14ac:dyDescent="0.2">
      <c r="A107" s="3">
        <v>3</v>
      </c>
      <c r="B107" s="4"/>
      <c r="C107" s="4" t="s">
        <v>1052</v>
      </c>
      <c r="D107" s="4" t="s">
        <v>596</v>
      </c>
      <c r="E107" s="5">
        <v>-35696</v>
      </c>
      <c r="F107" s="6">
        <v>-27.182504000000002</v>
      </c>
      <c r="G107" s="7">
        <v>-1.7244800000000001E-4</v>
      </c>
      <c r="H107" s="6"/>
    </row>
    <row r="108" spans="1:8" x14ac:dyDescent="0.2">
      <c r="A108" s="3">
        <v>4</v>
      </c>
      <c r="B108" s="4"/>
      <c r="C108" s="4" t="s">
        <v>1014</v>
      </c>
      <c r="D108" s="4" t="s">
        <v>596</v>
      </c>
      <c r="E108" s="5">
        <v>-4200</v>
      </c>
      <c r="F108" s="6">
        <v>-43.755600000000001</v>
      </c>
      <c r="G108" s="7">
        <v>-2.7758999999999998E-4</v>
      </c>
      <c r="H108" s="6"/>
    </row>
    <row r="109" spans="1:8" x14ac:dyDescent="0.2">
      <c r="A109" s="3">
        <v>5</v>
      </c>
      <c r="B109" s="4"/>
      <c r="C109" s="4" t="s">
        <v>1009</v>
      </c>
      <c r="D109" s="4" t="s">
        <v>596</v>
      </c>
      <c r="E109" s="5">
        <v>-7000</v>
      </c>
      <c r="F109" s="6">
        <v>-72.421999999999997</v>
      </c>
      <c r="G109" s="7">
        <v>-4.59452E-4</v>
      </c>
      <c r="H109" s="6"/>
    </row>
    <row r="110" spans="1:8" x14ac:dyDescent="0.2">
      <c r="A110" s="3">
        <v>6</v>
      </c>
      <c r="B110" s="4"/>
      <c r="C110" s="4" t="s">
        <v>1034</v>
      </c>
      <c r="D110" s="4" t="s">
        <v>596</v>
      </c>
      <c r="E110" s="5">
        <v>-240000</v>
      </c>
      <c r="F110" s="6">
        <v>-73.8</v>
      </c>
      <c r="G110" s="7">
        <v>-4.6819400000000001E-4</v>
      </c>
      <c r="H110" s="6"/>
    </row>
    <row r="111" spans="1:8" x14ac:dyDescent="0.2">
      <c r="A111" s="3">
        <v>7</v>
      </c>
      <c r="B111" s="4"/>
      <c r="C111" s="4" t="s">
        <v>1053</v>
      </c>
      <c r="D111" s="4" t="s">
        <v>596</v>
      </c>
      <c r="E111" s="5">
        <v>-13500</v>
      </c>
      <c r="F111" s="6">
        <v>-74.702250000000006</v>
      </c>
      <c r="G111" s="7">
        <v>-4.7391799999999998E-4</v>
      </c>
      <c r="H111" s="6"/>
    </row>
    <row r="112" spans="1:8" x14ac:dyDescent="0.2">
      <c r="A112" s="3">
        <v>8</v>
      </c>
      <c r="B112" s="4"/>
      <c r="C112" s="4" t="s">
        <v>1054</v>
      </c>
      <c r="D112" s="4" t="s">
        <v>596</v>
      </c>
      <c r="E112" s="5">
        <v>-24750</v>
      </c>
      <c r="F112" s="6">
        <v>-85.845375000000004</v>
      </c>
      <c r="G112" s="7">
        <v>-5.4461099999999997E-4</v>
      </c>
      <c r="H112" s="6"/>
    </row>
    <row r="113" spans="1:8" x14ac:dyDescent="0.2">
      <c r="A113" s="3">
        <v>9</v>
      </c>
      <c r="B113" s="4"/>
      <c r="C113" s="4" t="s">
        <v>1026</v>
      </c>
      <c r="D113" s="4" t="s">
        <v>596</v>
      </c>
      <c r="E113" s="5">
        <v>-1750</v>
      </c>
      <c r="F113" s="6">
        <v>-106.17337499999999</v>
      </c>
      <c r="G113" s="7">
        <v>-6.7357400000000003E-4</v>
      </c>
      <c r="H113" s="6"/>
    </row>
    <row r="114" spans="1:8" ht="25.5" x14ac:dyDescent="0.2">
      <c r="A114" s="3">
        <v>10</v>
      </c>
      <c r="B114" s="4"/>
      <c r="C114" s="4" t="s">
        <v>1035</v>
      </c>
      <c r="D114" s="4" t="s">
        <v>596</v>
      </c>
      <c r="E114" s="5">
        <v>-2750</v>
      </c>
      <c r="F114" s="6">
        <v>-109.404625</v>
      </c>
      <c r="G114" s="7">
        <v>-6.9407300000000002E-4</v>
      </c>
      <c r="H114" s="6"/>
    </row>
    <row r="115" spans="1:8" x14ac:dyDescent="0.2">
      <c r="A115" s="3">
        <v>11</v>
      </c>
      <c r="B115" s="4"/>
      <c r="C115" s="4" t="s">
        <v>1036</v>
      </c>
      <c r="D115" s="4" t="s">
        <v>596</v>
      </c>
      <c r="E115" s="5">
        <v>-13000</v>
      </c>
      <c r="F115" s="6">
        <v>-121.96599999999999</v>
      </c>
      <c r="G115" s="7">
        <v>-7.7376400000000003E-4</v>
      </c>
      <c r="H115" s="6"/>
    </row>
    <row r="116" spans="1:8" x14ac:dyDescent="0.2">
      <c r="A116" s="3">
        <v>12</v>
      </c>
      <c r="B116" s="4"/>
      <c r="C116" s="4" t="s">
        <v>1037</v>
      </c>
      <c r="D116" s="4" t="s">
        <v>596</v>
      </c>
      <c r="E116" s="5">
        <v>-70400</v>
      </c>
      <c r="F116" s="6">
        <v>-191.1712</v>
      </c>
      <c r="G116" s="7">
        <v>-1.2128079999999999E-3</v>
      </c>
      <c r="H116" s="6"/>
    </row>
    <row r="117" spans="1:8" x14ac:dyDescent="0.2">
      <c r="A117" s="3">
        <v>13</v>
      </c>
      <c r="B117" s="4"/>
      <c r="C117" s="4" t="s">
        <v>1038</v>
      </c>
      <c r="D117" s="4" t="s">
        <v>596</v>
      </c>
      <c r="E117" s="5">
        <v>-7350</v>
      </c>
      <c r="F117" s="6">
        <v>-205.120125</v>
      </c>
      <c r="G117" s="7">
        <v>-1.3013020000000001E-3</v>
      </c>
      <c r="H117" s="6"/>
    </row>
    <row r="118" spans="1:8" x14ac:dyDescent="0.2">
      <c r="A118" s="3">
        <v>14</v>
      </c>
      <c r="B118" s="4"/>
      <c r="C118" s="4" t="s">
        <v>1039</v>
      </c>
      <c r="D118" s="4" t="s">
        <v>596</v>
      </c>
      <c r="E118" s="5">
        <v>-69750</v>
      </c>
      <c r="F118" s="6">
        <v>-224.769375</v>
      </c>
      <c r="G118" s="7">
        <v>-1.425958E-3</v>
      </c>
      <c r="H118" s="6"/>
    </row>
    <row r="119" spans="1:8" x14ac:dyDescent="0.2">
      <c r="A119" s="3">
        <v>15</v>
      </c>
      <c r="B119" s="4"/>
      <c r="C119" s="4" t="s">
        <v>1016</v>
      </c>
      <c r="D119" s="4" t="s">
        <v>596</v>
      </c>
      <c r="E119" s="5">
        <v>-8100</v>
      </c>
      <c r="F119" s="6">
        <v>-230.70824999999999</v>
      </c>
      <c r="G119" s="7">
        <v>-1.463635E-3</v>
      </c>
      <c r="H119" s="6"/>
    </row>
    <row r="120" spans="1:8" x14ac:dyDescent="0.2">
      <c r="A120" s="3">
        <v>16</v>
      </c>
      <c r="B120" s="4"/>
      <c r="C120" s="4" t="s">
        <v>1010</v>
      </c>
      <c r="D120" s="4" t="s">
        <v>596</v>
      </c>
      <c r="E120" s="5">
        <v>-39950</v>
      </c>
      <c r="F120" s="6">
        <v>-247.96965</v>
      </c>
      <c r="G120" s="7">
        <v>-1.5731429999999999E-3</v>
      </c>
      <c r="H120" s="6"/>
    </row>
    <row r="121" spans="1:8" ht="25.5" x14ac:dyDescent="0.2">
      <c r="A121" s="3">
        <v>17</v>
      </c>
      <c r="B121" s="4"/>
      <c r="C121" s="4" t="s">
        <v>1040</v>
      </c>
      <c r="D121" s="4" t="s">
        <v>596</v>
      </c>
      <c r="E121" s="5">
        <v>-21750</v>
      </c>
      <c r="F121" s="6">
        <v>-255.36675</v>
      </c>
      <c r="G121" s="7">
        <v>-1.6200710000000001E-3</v>
      </c>
      <c r="H121" s="6"/>
    </row>
    <row r="122" spans="1:8" x14ac:dyDescent="0.2">
      <c r="A122" s="3">
        <v>18</v>
      </c>
      <c r="B122" s="4"/>
      <c r="C122" s="4" t="s">
        <v>1041</v>
      </c>
      <c r="D122" s="4" t="s">
        <v>596</v>
      </c>
      <c r="E122" s="5">
        <v>-37500</v>
      </c>
      <c r="F122" s="6">
        <v>-277.125</v>
      </c>
      <c r="G122" s="7">
        <v>-1.758108E-3</v>
      </c>
      <c r="H122" s="6"/>
    </row>
    <row r="123" spans="1:8" x14ac:dyDescent="0.2">
      <c r="A123" s="3">
        <v>19</v>
      </c>
      <c r="B123" s="4"/>
      <c r="C123" s="4" t="s">
        <v>1042</v>
      </c>
      <c r="D123" s="4" t="s">
        <v>596</v>
      </c>
      <c r="E123" s="5">
        <v>-20900</v>
      </c>
      <c r="F123" s="6">
        <v>-299.06855000000002</v>
      </c>
      <c r="G123" s="7">
        <v>-1.8973200000000001E-3</v>
      </c>
      <c r="H123" s="6"/>
    </row>
    <row r="124" spans="1:8" x14ac:dyDescent="0.2">
      <c r="A124" s="3">
        <v>20</v>
      </c>
      <c r="B124" s="4"/>
      <c r="C124" s="4" t="s">
        <v>1018</v>
      </c>
      <c r="D124" s="4" t="s">
        <v>596</v>
      </c>
      <c r="E124" s="5">
        <v>-18975</v>
      </c>
      <c r="F124" s="6">
        <v>-314.12163750000002</v>
      </c>
      <c r="G124" s="7">
        <v>-1.9928179999999999E-3</v>
      </c>
      <c r="H124" s="6"/>
    </row>
    <row r="125" spans="1:8" x14ac:dyDescent="0.2">
      <c r="A125" s="3">
        <v>21</v>
      </c>
      <c r="B125" s="4"/>
      <c r="C125" s="4" t="s">
        <v>1022</v>
      </c>
      <c r="D125" s="4" t="s">
        <v>596</v>
      </c>
      <c r="E125" s="5">
        <v>-247500</v>
      </c>
      <c r="F125" s="6">
        <v>-341.55</v>
      </c>
      <c r="G125" s="7">
        <v>-2.1668260000000002E-3</v>
      </c>
      <c r="H125" s="6"/>
    </row>
    <row r="126" spans="1:8" x14ac:dyDescent="0.2">
      <c r="A126" s="3">
        <v>22</v>
      </c>
      <c r="B126" s="4"/>
      <c r="C126" s="4" t="s">
        <v>1043</v>
      </c>
      <c r="D126" s="4" t="s">
        <v>596</v>
      </c>
      <c r="E126" s="5">
        <v>-4500</v>
      </c>
      <c r="F126" s="6">
        <v>-359.98649999999998</v>
      </c>
      <c r="G126" s="7">
        <v>-2.283789E-3</v>
      </c>
      <c r="H126" s="6"/>
    </row>
    <row r="127" spans="1:8" ht="25.5" x14ac:dyDescent="0.2">
      <c r="A127" s="3">
        <v>23</v>
      </c>
      <c r="B127" s="4"/>
      <c r="C127" s="4" t="s">
        <v>1044</v>
      </c>
      <c r="D127" s="4" t="s">
        <v>596</v>
      </c>
      <c r="E127" s="5">
        <v>-42000</v>
      </c>
      <c r="F127" s="6">
        <v>-361.74599999999998</v>
      </c>
      <c r="G127" s="7">
        <v>-2.2949509999999999E-3</v>
      </c>
      <c r="H127" s="6"/>
    </row>
    <row r="128" spans="1:8" x14ac:dyDescent="0.2">
      <c r="A128" s="3">
        <v>24</v>
      </c>
      <c r="B128" s="4"/>
      <c r="C128" s="4" t="s">
        <v>1017</v>
      </c>
      <c r="D128" s="4" t="s">
        <v>596</v>
      </c>
      <c r="E128" s="5">
        <v>-100000</v>
      </c>
      <c r="F128" s="6">
        <v>-379.15</v>
      </c>
      <c r="G128" s="7">
        <v>-2.4053640000000001E-3</v>
      </c>
      <c r="H128" s="6"/>
    </row>
    <row r="129" spans="1:8" x14ac:dyDescent="0.2">
      <c r="A129" s="3">
        <v>25</v>
      </c>
      <c r="B129" s="4"/>
      <c r="C129" s="4" t="s">
        <v>1045</v>
      </c>
      <c r="D129" s="4" t="s">
        <v>596</v>
      </c>
      <c r="E129" s="5">
        <v>-10500</v>
      </c>
      <c r="F129" s="6">
        <v>-459.03375</v>
      </c>
      <c r="G129" s="7">
        <v>-2.9121540000000001E-3</v>
      </c>
      <c r="H129" s="6"/>
    </row>
    <row r="130" spans="1:8" ht="25.5" x14ac:dyDescent="0.2">
      <c r="A130" s="3">
        <v>26</v>
      </c>
      <c r="B130" s="4"/>
      <c r="C130" s="4" t="s">
        <v>1055</v>
      </c>
      <c r="D130" s="4" t="s">
        <v>596</v>
      </c>
      <c r="E130" s="5">
        <v>-14000</v>
      </c>
      <c r="F130" s="6">
        <v>-492.31700000000001</v>
      </c>
      <c r="G130" s="7">
        <v>-3.1233060000000002E-3</v>
      </c>
      <c r="H130" s="6"/>
    </row>
    <row r="131" spans="1:8" x14ac:dyDescent="0.2">
      <c r="A131" s="3">
        <v>27</v>
      </c>
      <c r="B131" s="4"/>
      <c r="C131" s="4" t="s">
        <v>1008</v>
      </c>
      <c r="D131" s="4" t="s">
        <v>596</v>
      </c>
      <c r="E131" s="5">
        <v>-16700</v>
      </c>
      <c r="F131" s="6">
        <v>-600.54034999999999</v>
      </c>
      <c r="G131" s="7">
        <v>-3.8098860000000002E-3</v>
      </c>
      <c r="H131" s="6"/>
    </row>
    <row r="132" spans="1:8" x14ac:dyDescent="0.2">
      <c r="A132" s="3">
        <v>28</v>
      </c>
      <c r="B132" s="4"/>
      <c r="C132" s="4" t="s">
        <v>1046</v>
      </c>
      <c r="D132" s="4" t="s">
        <v>596</v>
      </c>
      <c r="E132" s="5">
        <v>-142975</v>
      </c>
      <c r="F132" s="6">
        <v>-606.78589999999997</v>
      </c>
      <c r="G132" s="7">
        <v>-3.8495080000000002E-3</v>
      </c>
      <c r="H132" s="6"/>
    </row>
    <row r="133" spans="1:8" x14ac:dyDescent="0.2">
      <c r="A133" s="3">
        <v>29</v>
      </c>
      <c r="B133" s="4"/>
      <c r="C133" s="4" t="s">
        <v>1029</v>
      </c>
      <c r="D133" s="4" t="s">
        <v>596</v>
      </c>
      <c r="E133" s="5">
        <v>-82500</v>
      </c>
      <c r="F133" s="6">
        <v>-620.8125</v>
      </c>
      <c r="G133" s="7">
        <v>-3.9384939999999998E-3</v>
      </c>
      <c r="H133" s="6"/>
    </row>
    <row r="134" spans="1:8" x14ac:dyDescent="0.2">
      <c r="A134" s="3">
        <v>30</v>
      </c>
      <c r="B134" s="4"/>
      <c r="C134" s="4" t="s">
        <v>1025</v>
      </c>
      <c r="D134" s="4" t="s">
        <v>596</v>
      </c>
      <c r="E134" s="5">
        <v>-160500</v>
      </c>
      <c r="F134" s="6">
        <v>-751.62149999999997</v>
      </c>
      <c r="G134" s="7">
        <v>-4.7683589999999998E-3</v>
      </c>
      <c r="H134" s="6"/>
    </row>
    <row r="135" spans="1:8" x14ac:dyDescent="0.2">
      <c r="A135" s="3">
        <v>31</v>
      </c>
      <c r="B135" s="4"/>
      <c r="C135" s="4" t="s">
        <v>1028</v>
      </c>
      <c r="D135" s="4" t="s">
        <v>596</v>
      </c>
      <c r="E135" s="5">
        <v>-42000</v>
      </c>
      <c r="F135" s="6">
        <v>-981.56100000000004</v>
      </c>
      <c r="G135" s="7">
        <v>-6.2271169999999999E-3</v>
      </c>
      <c r="H135" s="6"/>
    </row>
    <row r="136" spans="1:8" x14ac:dyDescent="0.2">
      <c r="A136" s="3">
        <v>32</v>
      </c>
      <c r="B136" s="4"/>
      <c r="C136" s="4" t="s">
        <v>1007</v>
      </c>
      <c r="D136" s="4" t="s">
        <v>596</v>
      </c>
      <c r="E136" s="5">
        <v>-285000</v>
      </c>
      <c r="F136" s="6">
        <v>-1057.0650000000001</v>
      </c>
      <c r="G136" s="7">
        <v>-6.7061220000000001E-3</v>
      </c>
      <c r="H136" s="6"/>
    </row>
    <row r="137" spans="1:8" x14ac:dyDescent="0.2">
      <c r="A137" s="3">
        <v>33</v>
      </c>
      <c r="B137" s="4"/>
      <c r="C137" s="4" t="s">
        <v>1021</v>
      </c>
      <c r="D137" s="4" t="s">
        <v>596</v>
      </c>
      <c r="E137" s="5">
        <v>-136425</v>
      </c>
      <c r="F137" s="6">
        <v>-1371.2076750000001</v>
      </c>
      <c r="G137" s="7">
        <v>-8.6990729999999999E-3</v>
      </c>
      <c r="H137" s="6"/>
    </row>
    <row r="138" spans="1:8" ht="25.5" x14ac:dyDescent="0.2">
      <c r="A138" s="3">
        <v>34</v>
      </c>
      <c r="B138" s="4"/>
      <c r="C138" s="4" t="s">
        <v>1013</v>
      </c>
      <c r="D138" s="4" t="s">
        <v>596</v>
      </c>
      <c r="E138" s="5">
        <v>-258500</v>
      </c>
      <c r="F138" s="6">
        <v>-1549.1904999999999</v>
      </c>
      <c r="G138" s="7">
        <v>-9.8282130000000006E-3</v>
      </c>
      <c r="H138" s="6"/>
    </row>
    <row r="139" spans="1:8" x14ac:dyDescent="0.2">
      <c r="A139" s="3">
        <v>35</v>
      </c>
      <c r="B139" s="4"/>
      <c r="C139" s="4" t="s">
        <v>1019</v>
      </c>
      <c r="D139" s="4" t="s">
        <v>596</v>
      </c>
      <c r="E139" s="5">
        <v>-240000</v>
      </c>
      <c r="F139" s="6">
        <v>-1648.68</v>
      </c>
      <c r="G139" s="7">
        <v>-1.0459384E-2</v>
      </c>
      <c r="H139" s="6"/>
    </row>
    <row r="140" spans="1:8" x14ac:dyDescent="0.2">
      <c r="A140" s="3">
        <v>36</v>
      </c>
      <c r="B140" s="4"/>
      <c r="C140" s="4" t="s">
        <v>1023</v>
      </c>
      <c r="D140" s="4" t="s">
        <v>596</v>
      </c>
      <c r="E140" s="5">
        <v>-268750</v>
      </c>
      <c r="F140" s="6">
        <v>-2182.7874999999999</v>
      </c>
      <c r="G140" s="7">
        <v>-1.3847813E-2</v>
      </c>
      <c r="H140" s="6"/>
    </row>
    <row r="141" spans="1:8" x14ac:dyDescent="0.2">
      <c r="A141" s="3">
        <v>37</v>
      </c>
      <c r="B141" s="4"/>
      <c r="C141" s="4" t="s">
        <v>1027</v>
      </c>
      <c r="D141" s="4" t="s">
        <v>596</v>
      </c>
      <c r="E141" s="5">
        <v>-153000</v>
      </c>
      <c r="F141" s="6">
        <v>-2307.9285</v>
      </c>
      <c r="G141" s="7">
        <v>-1.464172E-2</v>
      </c>
      <c r="H141" s="6"/>
    </row>
    <row r="142" spans="1:8" x14ac:dyDescent="0.2">
      <c r="A142" s="3">
        <v>38</v>
      </c>
      <c r="B142" s="4"/>
      <c r="C142" s="4" t="s">
        <v>1030</v>
      </c>
      <c r="D142" s="4" t="s">
        <v>596</v>
      </c>
      <c r="E142" s="5">
        <v>-244800</v>
      </c>
      <c r="F142" s="6">
        <v>-2897.3303999999998</v>
      </c>
      <c r="G142" s="7">
        <v>-1.8380942000000001E-2</v>
      </c>
      <c r="H142" s="6"/>
    </row>
    <row r="143" spans="1:8" x14ac:dyDescent="0.2">
      <c r="A143" s="3">
        <v>39</v>
      </c>
      <c r="B143" s="4"/>
      <c r="C143" s="4" t="s">
        <v>1047</v>
      </c>
      <c r="D143" s="4" t="s">
        <v>952</v>
      </c>
      <c r="E143" s="5">
        <v>-22500</v>
      </c>
      <c r="F143" s="6">
        <v>-3729.96</v>
      </c>
      <c r="G143" s="7">
        <v>-2.3663224E-2</v>
      </c>
      <c r="H143" s="6"/>
    </row>
    <row r="144" spans="1:8" x14ac:dyDescent="0.2">
      <c r="A144" s="3">
        <v>40</v>
      </c>
      <c r="B144" s="4"/>
      <c r="C144" s="4" t="s">
        <v>1031</v>
      </c>
      <c r="D144" s="4" t="s">
        <v>596</v>
      </c>
      <c r="E144" s="5">
        <v>-495000</v>
      </c>
      <c r="F144" s="6">
        <v>-6875.3024999999998</v>
      </c>
      <c r="G144" s="7">
        <v>-4.3617578999999997E-2</v>
      </c>
      <c r="H144" s="6"/>
    </row>
    <row r="145" spans="1:8" ht="14.1" customHeight="1" x14ac:dyDescent="0.2">
      <c r="A145" s="1"/>
      <c r="B145" s="1"/>
      <c r="C145" s="2" t="s">
        <v>119</v>
      </c>
      <c r="D145" s="1"/>
      <c r="E145" s="1" t="s">
        <v>120</v>
      </c>
      <c r="F145" s="9">
        <v>-32577.576441500001</v>
      </c>
      <c r="G145" s="10">
        <v>-0.206675268</v>
      </c>
      <c r="H145" s="6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8" ht="18" customHeight="1" x14ac:dyDescent="0.2">
      <c r="A147" s="1"/>
      <c r="B147" s="1"/>
      <c r="C147" s="2" t="s">
        <v>126</v>
      </c>
      <c r="D147" s="1"/>
      <c r="E147" s="1"/>
      <c r="F147" s="9">
        <v>119301.88553499996</v>
      </c>
      <c r="G147" s="10">
        <v>0.75686260999999955</v>
      </c>
      <c r="H147" s="6"/>
    </row>
    <row r="148" spans="1:8" ht="14.1" customHeight="1" x14ac:dyDescent="0.2">
      <c r="A148" s="1"/>
      <c r="B148" s="1"/>
      <c r="C148" s="11"/>
      <c r="D148" s="1"/>
      <c r="E148" s="1"/>
      <c r="F148" s="12"/>
      <c r="G148" s="12"/>
      <c r="H148" s="6"/>
    </row>
    <row r="149" spans="1:8" ht="14.1" customHeight="1" x14ac:dyDescent="0.2">
      <c r="A149" s="1"/>
      <c r="B149" s="1"/>
      <c r="C149" s="2" t="s">
        <v>127</v>
      </c>
      <c r="D149" s="1"/>
      <c r="E149" s="1"/>
      <c r="F149" s="12"/>
      <c r="G149" s="12"/>
      <c r="H149" s="6"/>
    </row>
    <row r="150" spans="1:8" ht="24" customHeight="1" x14ac:dyDescent="0.2">
      <c r="A150" s="1"/>
      <c r="B150" s="1"/>
      <c r="C150" s="2" t="s">
        <v>10</v>
      </c>
      <c r="D150" s="1"/>
      <c r="E150" s="1"/>
      <c r="F150" s="12"/>
      <c r="G150" s="12"/>
      <c r="H150" s="6"/>
    </row>
    <row r="151" spans="1:8" ht="29.1" customHeight="1" x14ac:dyDescent="0.2">
      <c r="A151" s="3">
        <v>1</v>
      </c>
      <c r="B151" s="4" t="s">
        <v>953</v>
      </c>
      <c r="C151" s="4" t="s">
        <v>954</v>
      </c>
      <c r="D151" s="4" t="s">
        <v>623</v>
      </c>
      <c r="E151" s="5">
        <v>250</v>
      </c>
      <c r="F151" s="6">
        <v>2503.7424999999998</v>
      </c>
      <c r="G151" s="7">
        <v>1.5883983000000001E-2</v>
      </c>
      <c r="H151" s="6">
        <v>4.8</v>
      </c>
    </row>
    <row r="152" spans="1:8" ht="29.1" customHeight="1" x14ac:dyDescent="0.2">
      <c r="A152" s="3">
        <v>2</v>
      </c>
      <c r="B152" s="4" t="s">
        <v>955</v>
      </c>
      <c r="C152" s="4" t="s">
        <v>956</v>
      </c>
      <c r="D152" s="4" t="s">
        <v>623</v>
      </c>
      <c r="E152" s="5">
        <v>250</v>
      </c>
      <c r="F152" s="6">
        <v>2444.92</v>
      </c>
      <c r="G152" s="7">
        <v>1.5510807E-2</v>
      </c>
      <c r="H152" s="6">
        <v>6.4649999999999999</v>
      </c>
    </row>
    <row r="153" spans="1:8" ht="29.1" customHeight="1" x14ac:dyDescent="0.2">
      <c r="A153" s="3">
        <v>3</v>
      </c>
      <c r="B153" s="4" t="s">
        <v>651</v>
      </c>
      <c r="C153" s="4" t="s">
        <v>652</v>
      </c>
      <c r="D153" s="4" t="s">
        <v>653</v>
      </c>
      <c r="E153" s="5">
        <v>150</v>
      </c>
      <c r="F153" s="6">
        <v>1498.4414999999999</v>
      </c>
      <c r="G153" s="7">
        <v>9.5062570000000006E-3</v>
      </c>
      <c r="H153" s="6">
        <v>6.47</v>
      </c>
    </row>
    <row r="154" spans="1:8" ht="29.1" customHeight="1" x14ac:dyDescent="0.2">
      <c r="A154" s="3">
        <v>4</v>
      </c>
      <c r="B154" s="4" t="s">
        <v>957</v>
      </c>
      <c r="C154" s="4" t="s">
        <v>958</v>
      </c>
      <c r="D154" s="4" t="s">
        <v>623</v>
      </c>
      <c r="E154" s="5">
        <v>100</v>
      </c>
      <c r="F154" s="6">
        <v>1006.431</v>
      </c>
      <c r="G154" s="7">
        <v>6.3848949999999998E-3</v>
      </c>
      <c r="H154" s="6">
        <v>5.9749999999999996</v>
      </c>
    </row>
    <row r="155" spans="1:8" ht="29.1" customHeight="1" x14ac:dyDescent="0.2">
      <c r="A155" s="3">
        <v>5</v>
      </c>
      <c r="B155" s="4" t="s">
        <v>959</v>
      </c>
      <c r="C155" s="4" t="s">
        <v>960</v>
      </c>
      <c r="D155" s="4" t="s">
        <v>623</v>
      </c>
      <c r="E155" s="5">
        <v>100</v>
      </c>
      <c r="F155" s="6">
        <v>1004.396</v>
      </c>
      <c r="G155" s="7">
        <v>6.3719850000000001E-3</v>
      </c>
      <c r="H155" s="6">
        <v>6.21</v>
      </c>
    </row>
    <row r="156" spans="1:8" ht="17.100000000000001" customHeight="1" x14ac:dyDescent="0.2">
      <c r="A156" s="3">
        <v>6</v>
      </c>
      <c r="B156" s="4" t="s">
        <v>961</v>
      </c>
      <c r="C156" s="4" t="s">
        <v>962</v>
      </c>
      <c r="D156" s="4" t="s">
        <v>623</v>
      </c>
      <c r="E156" s="5">
        <v>100</v>
      </c>
      <c r="F156" s="6">
        <v>1002.972</v>
      </c>
      <c r="G156" s="7">
        <v>6.3629510000000004E-3</v>
      </c>
      <c r="H156" s="6">
        <v>6.51</v>
      </c>
    </row>
    <row r="157" spans="1:8" ht="29.1" customHeight="1" x14ac:dyDescent="0.2">
      <c r="A157" s="3">
        <v>7</v>
      </c>
      <c r="B157" s="4" t="s">
        <v>963</v>
      </c>
      <c r="C157" s="4" t="s">
        <v>964</v>
      </c>
      <c r="D157" s="4" t="s">
        <v>653</v>
      </c>
      <c r="E157" s="5">
        <v>100</v>
      </c>
      <c r="F157" s="6">
        <v>1002.5</v>
      </c>
      <c r="G157" s="7">
        <v>6.3599559999999999E-3</v>
      </c>
      <c r="H157" s="6">
        <v>6.36</v>
      </c>
    </row>
    <row r="158" spans="1:8" ht="29.1" customHeight="1" x14ac:dyDescent="0.2">
      <c r="A158" s="3">
        <v>8</v>
      </c>
      <c r="B158" s="4" t="s">
        <v>965</v>
      </c>
      <c r="C158" s="4" t="s">
        <v>966</v>
      </c>
      <c r="D158" s="4" t="s">
        <v>623</v>
      </c>
      <c r="E158" s="5">
        <v>100</v>
      </c>
      <c r="F158" s="6">
        <v>998.12199999999996</v>
      </c>
      <c r="G158" s="7">
        <v>6.3321819999999996E-3</v>
      </c>
      <c r="H158" s="6">
        <v>5.45</v>
      </c>
    </row>
    <row r="159" spans="1:8" ht="17.100000000000001" customHeight="1" x14ac:dyDescent="0.2">
      <c r="A159" s="3">
        <v>9</v>
      </c>
      <c r="B159" s="4" t="s">
        <v>967</v>
      </c>
      <c r="C159" s="4" t="s">
        <v>968</v>
      </c>
      <c r="D159" s="4" t="s">
        <v>623</v>
      </c>
      <c r="E159" s="5">
        <v>100</v>
      </c>
      <c r="F159" s="6">
        <v>989.39400000000001</v>
      </c>
      <c r="G159" s="7">
        <v>6.2768110000000002E-3</v>
      </c>
      <c r="H159" s="6">
        <v>6.5149999999999997</v>
      </c>
    </row>
    <row r="160" spans="1:8" ht="29.1" customHeight="1" x14ac:dyDescent="0.2">
      <c r="A160" s="3">
        <v>10</v>
      </c>
      <c r="B160" s="4" t="s">
        <v>640</v>
      </c>
      <c r="C160" s="4" t="s">
        <v>641</v>
      </c>
      <c r="D160" s="4" t="s">
        <v>642</v>
      </c>
      <c r="E160" s="5">
        <v>100</v>
      </c>
      <c r="F160" s="6">
        <v>985.97299999999996</v>
      </c>
      <c r="G160" s="7">
        <v>6.2551070000000002E-3</v>
      </c>
      <c r="H160" s="6">
        <v>6.6449999999999996</v>
      </c>
    </row>
    <row r="161" spans="1:8" ht="29.1" customHeight="1" x14ac:dyDescent="0.2">
      <c r="A161" s="3">
        <v>11</v>
      </c>
      <c r="B161" s="4" t="s">
        <v>969</v>
      </c>
      <c r="C161" s="4" t="s">
        <v>970</v>
      </c>
      <c r="D161" s="4" t="s">
        <v>623</v>
      </c>
      <c r="E161" s="5">
        <v>50</v>
      </c>
      <c r="F161" s="6">
        <v>504.92599999999999</v>
      </c>
      <c r="G161" s="7">
        <v>3.2032990000000002E-3</v>
      </c>
      <c r="H161" s="6">
        <v>5.46</v>
      </c>
    </row>
    <row r="162" spans="1:8" ht="29.1" customHeight="1" x14ac:dyDescent="0.2">
      <c r="A162" s="3">
        <v>12</v>
      </c>
      <c r="B162" s="4" t="s">
        <v>971</v>
      </c>
      <c r="C162" s="4" t="s">
        <v>972</v>
      </c>
      <c r="D162" s="4" t="s">
        <v>623</v>
      </c>
      <c r="E162" s="5">
        <v>50</v>
      </c>
      <c r="F162" s="6">
        <v>502.68700000000001</v>
      </c>
      <c r="G162" s="7">
        <v>3.1890949999999999E-3</v>
      </c>
      <c r="H162" s="6">
        <v>6.37</v>
      </c>
    </row>
    <row r="163" spans="1:8" ht="29.1" customHeight="1" x14ac:dyDescent="0.2">
      <c r="A163" s="3">
        <v>13</v>
      </c>
      <c r="B163" s="4" t="s">
        <v>973</v>
      </c>
      <c r="C163" s="4" t="s">
        <v>974</v>
      </c>
      <c r="D163" s="4" t="s">
        <v>653</v>
      </c>
      <c r="E163" s="5">
        <v>50</v>
      </c>
      <c r="F163" s="6">
        <v>502.47899999999998</v>
      </c>
      <c r="G163" s="7">
        <v>3.1877749999999999E-3</v>
      </c>
      <c r="H163" s="6">
        <v>5.3449999999999998</v>
      </c>
    </row>
    <row r="164" spans="1:8" ht="29.1" customHeight="1" x14ac:dyDescent="0.2">
      <c r="A164" s="3">
        <v>14</v>
      </c>
      <c r="B164" s="4" t="s">
        <v>975</v>
      </c>
      <c r="C164" s="4" t="s">
        <v>976</v>
      </c>
      <c r="D164" s="4" t="s">
        <v>623</v>
      </c>
      <c r="E164" s="5">
        <v>50</v>
      </c>
      <c r="F164" s="6">
        <v>501.19200000000001</v>
      </c>
      <c r="G164" s="7">
        <v>3.1796099999999998E-3</v>
      </c>
      <c r="H164" s="6">
        <v>6.3</v>
      </c>
    </row>
    <row r="165" spans="1:8" ht="29.1" customHeight="1" x14ac:dyDescent="0.2">
      <c r="A165" s="3">
        <v>15</v>
      </c>
      <c r="B165" s="4" t="s">
        <v>870</v>
      </c>
      <c r="C165" s="4" t="s">
        <v>871</v>
      </c>
      <c r="D165" s="4" t="s">
        <v>642</v>
      </c>
      <c r="E165" s="5">
        <v>50</v>
      </c>
      <c r="F165" s="6">
        <v>489.75599999999997</v>
      </c>
      <c r="G165" s="7">
        <v>3.1070590000000001E-3</v>
      </c>
      <c r="H165" s="6">
        <v>6.6449999999999996</v>
      </c>
    </row>
    <row r="166" spans="1:8" ht="17.100000000000001" customHeight="1" x14ac:dyDescent="0.2">
      <c r="A166" s="3">
        <v>16</v>
      </c>
      <c r="B166" s="4" t="s">
        <v>977</v>
      </c>
      <c r="C166" s="4" t="s">
        <v>978</v>
      </c>
      <c r="D166" s="4" t="s">
        <v>623</v>
      </c>
      <c r="E166" s="5">
        <v>30</v>
      </c>
      <c r="F166" s="6">
        <v>300.24270000000001</v>
      </c>
      <c r="G166" s="7">
        <v>1.904769E-3</v>
      </c>
      <c r="H166" s="6">
        <v>4.51</v>
      </c>
    </row>
    <row r="167" spans="1:8" ht="29.1" customHeight="1" x14ac:dyDescent="0.2">
      <c r="A167" s="3">
        <v>17</v>
      </c>
      <c r="B167" s="4" t="s">
        <v>903</v>
      </c>
      <c r="C167" s="4" t="s">
        <v>904</v>
      </c>
      <c r="D167" s="4" t="s">
        <v>623</v>
      </c>
      <c r="E167" s="5">
        <v>30</v>
      </c>
      <c r="F167" s="6">
        <v>290.12759999999997</v>
      </c>
      <c r="G167" s="7">
        <v>1.840597E-3</v>
      </c>
      <c r="H167" s="6">
        <v>6.9649999999999999</v>
      </c>
    </row>
    <row r="168" spans="1:8" ht="29.1" customHeight="1" x14ac:dyDescent="0.2">
      <c r="A168" s="3">
        <v>18</v>
      </c>
      <c r="B168" s="4" t="s">
        <v>645</v>
      </c>
      <c r="C168" s="4" t="s">
        <v>646</v>
      </c>
      <c r="D168" s="4" t="s">
        <v>623</v>
      </c>
      <c r="E168" s="5">
        <v>10</v>
      </c>
      <c r="F168" s="6">
        <v>102.44410000000001</v>
      </c>
      <c r="G168" s="7">
        <v>6.4991500000000004E-4</v>
      </c>
      <c r="H168" s="6">
        <v>6.7149999999999999</v>
      </c>
    </row>
    <row r="169" spans="1:8" ht="17.100000000000001" customHeight="1" x14ac:dyDescent="0.2">
      <c r="A169" s="3">
        <v>19</v>
      </c>
      <c r="B169" s="4" t="s">
        <v>647</v>
      </c>
      <c r="C169" s="4" t="s">
        <v>648</v>
      </c>
      <c r="D169" s="4" t="s">
        <v>623</v>
      </c>
      <c r="E169" s="5">
        <v>10</v>
      </c>
      <c r="F169" s="6">
        <v>101.92659999999999</v>
      </c>
      <c r="G169" s="7">
        <v>6.4663199999999996E-4</v>
      </c>
      <c r="H169" s="6">
        <v>6.3</v>
      </c>
    </row>
    <row r="170" spans="1:8" ht="29.1" customHeight="1" x14ac:dyDescent="0.2">
      <c r="A170" s="3">
        <v>20</v>
      </c>
      <c r="B170" s="4" t="s">
        <v>896</v>
      </c>
      <c r="C170" s="4" t="s">
        <v>897</v>
      </c>
      <c r="D170" s="4" t="s">
        <v>642</v>
      </c>
      <c r="E170" s="5">
        <v>10</v>
      </c>
      <c r="F170" s="6">
        <v>100.3129</v>
      </c>
      <c r="G170" s="7">
        <v>6.3639499999999999E-4</v>
      </c>
      <c r="H170" s="6">
        <v>5.01</v>
      </c>
    </row>
    <row r="171" spans="1:8" ht="29.1" customHeight="1" x14ac:dyDescent="0.2">
      <c r="A171" s="3">
        <v>21</v>
      </c>
      <c r="B171" s="4" t="s">
        <v>979</v>
      </c>
      <c r="C171" s="4" t="s">
        <v>980</v>
      </c>
      <c r="D171" s="4" t="s">
        <v>623</v>
      </c>
      <c r="E171" s="5">
        <v>10</v>
      </c>
      <c r="F171" s="6">
        <v>99.652199999999993</v>
      </c>
      <c r="G171" s="7">
        <v>6.3220300000000002E-4</v>
      </c>
      <c r="H171" s="6">
        <v>5.7834000000000003</v>
      </c>
    </row>
    <row r="172" spans="1:8" ht="14.1" customHeight="1" x14ac:dyDescent="0.2">
      <c r="A172" s="1"/>
      <c r="B172" s="1"/>
      <c r="C172" s="2" t="s">
        <v>119</v>
      </c>
      <c r="D172" s="1"/>
      <c r="E172" s="1" t="s">
        <v>120</v>
      </c>
      <c r="F172" s="9">
        <v>16932.6381</v>
      </c>
      <c r="G172" s="10">
        <v>0.10742228299999999</v>
      </c>
      <c r="H172" s="6"/>
    </row>
    <row r="173" spans="1:8" ht="14.1" customHeight="1" x14ac:dyDescent="0.2">
      <c r="A173" s="1"/>
      <c r="B173" s="1"/>
      <c r="C173" s="11"/>
      <c r="D173" s="1"/>
      <c r="E173" s="1"/>
      <c r="F173" s="12"/>
      <c r="G173" s="12"/>
      <c r="H173" s="6"/>
    </row>
    <row r="174" spans="1:8" ht="14.1" customHeight="1" x14ac:dyDescent="0.2">
      <c r="A174" s="1"/>
      <c r="B174" s="1"/>
      <c r="C174" s="2" t="s">
        <v>128</v>
      </c>
      <c r="D174" s="1"/>
      <c r="E174" s="1"/>
      <c r="F174" s="1"/>
      <c r="G174" s="1"/>
      <c r="H174" s="6"/>
    </row>
    <row r="175" spans="1:8" ht="14.1" customHeight="1" x14ac:dyDescent="0.2">
      <c r="A175" s="1"/>
      <c r="B175" s="1"/>
      <c r="C175" s="2" t="s">
        <v>119</v>
      </c>
      <c r="D175" s="1"/>
      <c r="E175" s="1" t="s">
        <v>120</v>
      </c>
      <c r="F175" s="13">
        <v>0</v>
      </c>
      <c r="G175" s="14">
        <v>0</v>
      </c>
      <c r="H175" s="6"/>
    </row>
    <row r="176" spans="1:8" ht="14.1" customHeight="1" x14ac:dyDescent="0.2">
      <c r="A176" s="1"/>
      <c r="B176" s="1"/>
      <c r="C176" s="11"/>
      <c r="D176" s="1"/>
      <c r="E176" s="1"/>
      <c r="F176" s="12"/>
      <c r="G176" s="12"/>
      <c r="H176" s="6"/>
    </row>
    <row r="177" spans="1:8" ht="14.1" customHeight="1" x14ac:dyDescent="0.2">
      <c r="A177" s="1"/>
      <c r="B177" s="1"/>
      <c r="C177" s="2" t="s">
        <v>129</v>
      </c>
      <c r="D177" s="1"/>
      <c r="E177" s="1"/>
      <c r="F177" s="1"/>
      <c r="G177" s="1"/>
      <c r="H177" s="6"/>
    </row>
    <row r="178" spans="1:8" ht="29.1" customHeight="1" x14ac:dyDescent="0.2">
      <c r="A178" s="3">
        <v>1</v>
      </c>
      <c r="B178" s="4" t="s">
        <v>654</v>
      </c>
      <c r="C178" s="4" t="s">
        <v>655</v>
      </c>
      <c r="D178" s="4" t="s">
        <v>598</v>
      </c>
      <c r="E178" s="5">
        <v>1500000</v>
      </c>
      <c r="F178" s="6">
        <v>1430.76</v>
      </c>
      <c r="G178" s="7">
        <v>9.0768789999999995E-3</v>
      </c>
      <c r="H178" s="6">
        <v>6.9294000000000002</v>
      </c>
    </row>
    <row r="179" spans="1:8" ht="29.1" customHeight="1" x14ac:dyDescent="0.2">
      <c r="A179" s="3">
        <v>2</v>
      </c>
      <c r="B179" s="4" t="s">
        <v>907</v>
      </c>
      <c r="C179" s="4" t="s">
        <v>908</v>
      </c>
      <c r="D179" s="4" t="s">
        <v>598</v>
      </c>
      <c r="E179" s="5">
        <v>1000000</v>
      </c>
      <c r="F179" s="6">
        <v>1014.566</v>
      </c>
      <c r="G179" s="7">
        <v>6.436504E-3</v>
      </c>
      <c r="H179" s="6">
        <v>6.3724999999999996</v>
      </c>
    </row>
    <row r="180" spans="1:8" ht="29.1" customHeight="1" x14ac:dyDescent="0.2">
      <c r="A180" s="3">
        <v>3</v>
      </c>
      <c r="B180" s="4" t="s">
        <v>981</v>
      </c>
      <c r="C180" s="4" t="s">
        <v>982</v>
      </c>
      <c r="D180" s="4" t="s">
        <v>598</v>
      </c>
      <c r="E180" s="5">
        <v>500000</v>
      </c>
      <c r="F180" s="6">
        <v>491.89150000000001</v>
      </c>
      <c r="G180" s="7">
        <v>3.1206070000000001E-3</v>
      </c>
      <c r="H180" s="6">
        <v>6.0194000000000001</v>
      </c>
    </row>
    <row r="181" spans="1:8" ht="29.1" customHeight="1" x14ac:dyDescent="0.2">
      <c r="A181" s="3">
        <v>4</v>
      </c>
      <c r="B181" s="4" t="s">
        <v>919</v>
      </c>
      <c r="C181" s="4" t="s">
        <v>920</v>
      </c>
      <c r="D181" s="4" t="s">
        <v>598</v>
      </c>
      <c r="E181" s="5">
        <v>200000</v>
      </c>
      <c r="F181" s="6">
        <v>201.69319999999999</v>
      </c>
      <c r="G181" s="7">
        <v>1.279561E-3</v>
      </c>
      <c r="H181" s="6">
        <v>5.2103999999999999</v>
      </c>
    </row>
    <row r="182" spans="1:8" ht="29.1" customHeight="1" x14ac:dyDescent="0.2">
      <c r="A182" s="3">
        <v>5</v>
      </c>
      <c r="B182" s="4" t="s">
        <v>911</v>
      </c>
      <c r="C182" s="4" t="s">
        <v>912</v>
      </c>
      <c r="D182" s="4" t="s">
        <v>598</v>
      </c>
      <c r="E182" s="5">
        <v>200000</v>
      </c>
      <c r="F182" s="6">
        <v>201.3578</v>
      </c>
      <c r="G182" s="7">
        <v>1.2774329999999999E-3</v>
      </c>
      <c r="H182" s="6">
        <v>5.5617000000000001</v>
      </c>
    </row>
    <row r="183" spans="1:8" ht="29.1" customHeight="1" x14ac:dyDescent="0.2">
      <c r="A183" s="3">
        <v>6</v>
      </c>
      <c r="B183" s="4" t="s">
        <v>913</v>
      </c>
      <c r="C183" s="4" t="s">
        <v>914</v>
      </c>
      <c r="D183" s="4" t="s">
        <v>598</v>
      </c>
      <c r="E183" s="5">
        <v>100000</v>
      </c>
      <c r="F183" s="6">
        <v>102.7377</v>
      </c>
      <c r="G183" s="7">
        <v>6.5177799999999999E-4</v>
      </c>
      <c r="H183" s="6">
        <v>7.2249999999999996</v>
      </c>
    </row>
    <row r="184" spans="1:8" ht="29.1" customHeight="1" x14ac:dyDescent="0.2">
      <c r="A184" s="3">
        <v>7</v>
      </c>
      <c r="B184" s="4" t="s">
        <v>915</v>
      </c>
      <c r="C184" s="4" t="s">
        <v>916</v>
      </c>
      <c r="D184" s="4" t="s">
        <v>598</v>
      </c>
      <c r="E184" s="5">
        <v>100000</v>
      </c>
      <c r="F184" s="6">
        <v>102.45229999999999</v>
      </c>
      <c r="G184" s="7">
        <v>6.4996699999999999E-4</v>
      </c>
      <c r="H184" s="6">
        <v>7.085</v>
      </c>
    </row>
    <row r="185" spans="1:8" ht="29.1" customHeight="1" x14ac:dyDescent="0.2">
      <c r="A185" s="3">
        <v>8</v>
      </c>
      <c r="B185" s="4" t="s">
        <v>917</v>
      </c>
      <c r="C185" s="4" t="s">
        <v>918</v>
      </c>
      <c r="D185" s="4" t="s">
        <v>598</v>
      </c>
      <c r="E185" s="5">
        <v>100000</v>
      </c>
      <c r="F185" s="6">
        <v>102.3128</v>
      </c>
      <c r="G185" s="7">
        <v>6.4908200000000004E-4</v>
      </c>
      <c r="H185" s="6">
        <v>7.0949999999999998</v>
      </c>
    </row>
    <row r="186" spans="1:8" ht="29.1" customHeight="1" x14ac:dyDescent="0.2">
      <c r="A186" s="3">
        <v>9</v>
      </c>
      <c r="B186" s="4" t="s">
        <v>983</v>
      </c>
      <c r="C186" s="4" t="s">
        <v>984</v>
      </c>
      <c r="D186" s="4" t="s">
        <v>598</v>
      </c>
      <c r="E186" s="5">
        <v>100000</v>
      </c>
      <c r="F186" s="6">
        <v>100.49379999999999</v>
      </c>
      <c r="G186" s="7">
        <v>6.3754199999999995E-4</v>
      </c>
      <c r="H186" s="6">
        <v>5.3760000000000003</v>
      </c>
    </row>
    <row r="187" spans="1:8" ht="29.1" customHeight="1" x14ac:dyDescent="0.2">
      <c r="A187" s="3">
        <v>10</v>
      </c>
      <c r="B187" s="4" t="s">
        <v>985</v>
      </c>
      <c r="C187" s="4" t="s">
        <v>986</v>
      </c>
      <c r="D187" s="4" t="s">
        <v>598</v>
      </c>
      <c r="E187" s="5">
        <v>100000</v>
      </c>
      <c r="F187" s="6">
        <v>100.1048</v>
      </c>
      <c r="G187" s="7">
        <v>6.3507400000000001E-4</v>
      </c>
      <c r="H187" s="6">
        <v>4.2691999999999997</v>
      </c>
    </row>
    <row r="188" spans="1:8" ht="14.1" customHeight="1" x14ac:dyDescent="0.2">
      <c r="A188" s="1"/>
      <c r="B188" s="1"/>
      <c r="C188" s="2" t="s">
        <v>119</v>
      </c>
      <c r="D188" s="1"/>
      <c r="E188" s="1" t="s">
        <v>120</v>
      </c>
      <c r="F188" s="9">
        <v>3848.3699000000001</v>
      </c>
      <c r="G188" s="10">
        <v>2.4414426999999999E-2</v>
      </c>
      <c r="H188" s="6"/>
    </row>
    <row r="189" spans="1:8" ht="14.1" customHeight="1" x14ac:dyDescent="0.2">
      <c r="A189" s="1"/>
      <c r="B189" s="1"/>
      <c r="C189" s="11"/>
      <c r="D189" s="1"/>
      <c r="E189" s="1"/>
      <c r="F189" s="12"/>
      <c r="G189" s="12"/>
      <c r="H189" s="6"/>
    </row>
    <row r="190" spans="1:8" ht="14.1" customHeight="1" x14ac:dyDescent="0.2">
      <c r="A190" s="1"/>
      <c r="B190" s="1"/>
      <c r="C190" s="2" t="s">
        <v>130</v>
      </c>
      <c r="D190" s="1"/>
      <c r="E190" s="1"/>
      <c r="F190" s="12"/>
      <c r="G190" s="12"/>
      <c r="H190" s="6"/>
    </row>
    <row r="191" spans="1:8" ht="14.1" customHeight="1" x14ac:dyDescent="0.2">
      <c r="A191" s="1"/>
      <c r="B191" s="1"/>
      <c r="C191" s="2" t="s">
        <v>119</v>
      </c>
      <c r="D191" s="1"/>
      <c r="E191" s="1" t="s">
        <v>120</v>
      </c>
      <c r="F191" s="13">
        <v>0</v>
      </c>
      <c r="G191" s="14">
        <v>0</v>
      </c>
      <c r="H191" s="6"/>
    </row>
    <row r="192" spans="1:8" ht="14.1" customHeight="1" x14ac:dyDescent="0.2">
      <c r="A192" s="1"/>
      <c r="B192" s="1"/>
      <c r="C192" s="11"/>
      <c r="D192" s="1"/>
      <c r="E192" s="1"/>
      <c r="F192" s="12"/>
      <c r="G192" s="12"/>
      <c r="H192" s="6"/>
    </row>
    <row r="193" spans="1:15" ht="14.1" customHeight="1" x14ac:dyDescent="0.2">
      <c r="A193" s="1"/>
      <c r="B193" s="1"/>
      <c r="C193" s="2" t="s">
        <v>131</v>
      </c>
      <c r="D193" s="1"/>
      <c r="E193" s="1"/>
      <c r="F193" s="9">
        <v>20781.008000000002</v>
      </c>
      <c r="G193" s="10">
        <v>0.13183671</v>
      </c>
      <c r="H193" s="6"/>
    </row>
    <row r="194" spans="1:15" ht="14.1" customHeight="1" x14ac:dyDescent="0.2">
      <c r="A194" s="1"/>
      <c r="B194" s="1"/>
      <c r="C194" s="11"/>
      <c r="D194" s="1"/>
      <c r="E194" s="1"/>
      <c r="F194" s="12"/>
      <c r="G194" s="12"/>
      <c r="H194" s="6"/>
    </row>
    <row r="195" spans="1:15" ht="14.1" customHeight="1" x14ac:dyDescent="0.2">
      <c r="A195" s="1"/>
      <c r="B195" s="1"/>
      <c r="C195" s="2" t="s">
        <v>132</v>
      </c>
      <c r="D195" s="1"/>
      <c r="E195" s="1"/>
      <c r="F195" s="12"/>
      <c r="G195" s="12"/>
      <c r="H195" s="6"/>
    </row>
    <row r="196" spans="1:15" ht="14.1" customHeight="1" x14ac:dyDescent="0.2">
      <c r="A196" s="1"/>
      <c r="B196" s="1"/>
      <c r="C196" s="2" t="s">
        <v>133</v>
      </c>
      <c r="D196" s="1"/>
      <c r="E196" s="1"/>
      <c r="F196" s="12"/>
      <c r="G196" s="12"/>
      <c r="H196" s="6"/>
    </row>
    <row r="197" spans="1:15" ht="14.1" customHeight="1" x14ac:dyDescent="0.2">
      <c r="A197" s="1"/>
      <c r="B197" s="1"/>
      <c r="C197" s="2" t="s">
        <v>119</v>
      </c>
      <c r="D197" s="1"/>
      <c r="E197" s="1" t="s">
        <v>120</v>
      </c>
      <c r="F197" s="13">
        <v>0</v>
      </c>
      <c r="G197" s="14">
        <v>0</v>
      </c>
      <c r="H197" s="6"/>
    </row>
    <row r="198" spans="1:15" ht="14.1" customHeight="1" x14ac:dyDescent="0.2">
      <c r="A198" s="1"/>
      <c r="B198" s="1"/>
      <c r="C198" s="11"/>
      <c r="D198" s="1"/>
      <c r="E198" s="1"/>
      <c r="F198" s="12"/>
      <c r="G198" s="12"/>
      <c r="H198" s="6"/>
    </row>
    <row r="199" spans="1:15" ht="14.1" customHeight="1" x14ac:dyDescent="0.2">
      <c r="A199" s="1"/>
      <c r="B199" s="1"/>
      <c r="C199" s="2" t="s">
        <v>134</v>
      </c>
      <c r="D199" s="1"/>
      <c r="E199" s="1"/>
      <c r="F199" s="12"/>
      <c r="G199" s="12"/>
      <c r="H199" s="6"/>
    </row>
    <row r="200" spans="1:15" ht="14.1" customHeight="1" x14ac:dyDescent="0.2">
      <c r="A200" s="1"/>
      <c r="B200" s="1"/>
      <c r="C200" s="2" t="s">
        <v>119</v>
      </c>
      <c r="D200" s="1"/>
      <c r="E200" s="1" t="s">
        <v>120</v>
      </c>
      <c r="F200" s="13">
        <v>0</v>
      </c>
      <c r="G200" s="14">
        <v>0</v>
      </c>
      <c r="H200" s="6"/>
    </row>
    <row r="201" spans="1:15" ht="14.1" customHeight="1" x14ac:dyDescent="0.2">
      <c r="A201" s="1"/>
      <c r="B201" s="1"/>
      <c r="C201" s="11"/>
      <c r="D201" s="1"/>
      <c r="E201" s="1"/>
      <c r="F201" s="12"/>
      <c r="G201" s="12"/>
      <c r="H201" s="6"/>
    </row>
    <row r="202" spans="1:15" ht="14.1" customHeight="1" x14ac:dyDescent="0.2">
      <c r="A202" s="1"/>
      <c r="B202" s="1"/>
      <c r="C202" s="2" t="s">
        <v>135</v>
      </c>
      <c r="D202" s="1"/>
      <c r="E202" s="1"/>
      <c r="F202" s="12"/>
      <c r="G202" s="12"/>
      <c r="H202" s="6"/>
    </row>
    <row r="203" spans="1:15" ht="17.100000000000001" customHeight="1" x14ac:dyDescent="0.2">
      <c r="A203" s="3">
        <v>1</v>
      </c>
      <c r="B203" s="4" t="s">
        <v>597</v>
      </c>
      <c r="C203" s="4" t="s">
        <v>990</v>
      </c>
      <c r="D203" s="4" t="s">
        <v>598</v>
      </c>
      <c r="E203" s="5">
        <v>5000000</v>
      </c>
      <c r="F203" s="6">
        <v>4972.76</v>
      </c>
      <c r="G203" s="7">
        <v>3.1547667000000001E-2</v>
      </c>
      <c r="H203" s="6">
        <v>4.6500000000000004</v>
      </c>
      <c r="J203" s="170"/>
      <c r="K203" s="170"/>
      <c r="L203" s="170"/>
      <c r="M203" s="170"/>
      <c r="N203" s="170"/>
      <c r="O203" s="170"/>
    </row>
    <row r="204" spans="1:15" ht="14.1" customHeight="1" x14ac:dyDescent="0.2">
      <c r="A204" s="1"/>
      <c r="B204" s="1"/>
      <c r="C204" s="2" t="s">
        <v>119</v>
      </c>
      <c r="D204" s="1"/>
      <c r="E204" s="1" t="s">
        <v>120</v>
      </c>
      <c r="F204" s="9">
        <v>4972.76</v>
      </c>
      <c r="G204" s="10">
        <v>3.1547667000000001E-2</v>
      </c>
      <c r="H204" s="6"/>
    </row>
    <row r="205" spans="1:15" ht="14.1" customHeight="1" x14ac:dyDescent="0.2">
      <c r="A205" s="1"/>
      <c r="B205" s="1"/>
      <c r="C205" s="11"/>
      <c r="D205" s="1"/>
      <c r="E205" s="1"/>
      <c r="F205" s="12"/>
      <c r="G205" s="12"/>
      <c r="H205" s="6"/>
    </row>
    <row r="206" spans="1:15" ht="14.1" customHeight="1" x14ac:dyDescent="0.2">
      <c r="A206" s="1"/>
      <c r="B206" s="1"/>
      <c r="C206" s="2" t="s">
        <v>136</v>
      </c>
      <c r="D206" s="1"/>
      <c r="E206" s="1"/>
      <c r="F206" s="12"/>
      <c r="G206" s="12"/>
      <c r="H206" s="6"/>
    </row>
    <row r="207" spans="1:15" ht="17.100000000000001" customHeight="1" x14ac:dyDescent="0.2">
      <c r="A207" s="3">
        <v>1</v>
      </c>
      <c r="B207" s="4"/>
      <c r="C207" s="4" t="s">
        <v>137</v>
      </c>
      <c r="D207" s="4"/>
      <c r="E207" s="8"/>
      <c r="F207" s="6">
        <v>6811.4786672</v>
      </c>
      <c r="G207" s="7">
        <v>4.3212674E-2</v>
      </c>
      <c r="H207" s="6">
        <v>4.1713246754849944</v>
      </c>
    </row>
    <row r="208" spans="1:15" ht="14.1" customHeight="1" x14ac:dyDescent="0.2">
      <c r="A208" s="1"/>
      <c r="B208" s="1"/>
      <c r="C208" s="2" t="s">
        <v>119</v>
      </c>
      <c r="D208" s="1"/>
      <c r="E208" s="1" t="s">
        <v>120</v>
      </c>
      <c r="F208" s="9">
        <v>6811.4786672</v>
      </c>
      <c r="G208" s="10">
        <v>4.3212674E-2</v>
      </c>
      <c r="H208" s="6"/>
    </row>
    <row r="209" spans="1:8" ht="14.1" customHeight="1" x14ac:dyDescent="0.2">
      <c r="A209" s="1"/>
      <c r="B209" s="1"/>
      <c r="C209" s="11"/>
      <c r="D209" s="1"/>
      <c r="E209" s="1"/>
      <c r="F209" s="12"/>
      <c r="G209" s="12"/>
      <c r="H209" s="6"/>
    </row>
    <row r="210" spans="1:8" ht="14.1" customHeight="1" x14ac:dyDescent="0.2">
      <c r="A210" s="1"/>
      <c r="B210" s="1"/>
      <c r="C210" s="2" t="s">
        <v>138</v>
      </c>
      <c r="D210" s="1"/>
      <c r="E210" s="1"/>
      <c r="F210" s="9">
        <v>11784.238667199999</v>
      </c>
      <c r="G210" s="10">
        <v>7.4760340999999994E-2</v>
      </c>
      <c r="H210" s="6"/>
    </row>
    <row r="211" spans="1:8" ht="14.1" customHeight="1" x14ac:dyDescent="0.2">
      <c r="A211" s="1"/>
      <c r="B211" s="1"/>
      <c r="C211" s="12"/>
      <c r="D211" s="1"/>
      <c r="E211" s="1"/>
      <c r="F211" s="1"/>
      <c r="G211" s="1"/>
      <c r="H211" s="6"/>
    </row>
    <row r="212" spans="1:8" ht="14.1" customHeight="1" x14ac:dyDescent="0.2">
      <c r="A212" s="1"/>
      <c r="B212" s="1"/>
      <c r="C212" s="2" t="s">
        <v>139</v>
      </c>
      <c r="D212" s="1"/>
      <c r="E212" s="1"/>
      <c r="F212" s="1"/>
      <c r="G212" s="1"/>
      <c r="H212" s="6"/>
    </row>
    <row r="213" spans="1:8" ht="14.1" customHeight="1" x14ac:dyDescent="0.2">
      <c r="A213" s="1"/>
      <c r="B213" s="1"/>
      <c r="C213" s="2" t="s">
        <v>140</v>
      </c>
      <c r="D213" s="1"/>
      <c r="E213" s="1"/>
      <c r="F213" s="1"/>
      <c r="G213" s="1"/>
      <c r="H213" s="6"/>
    </row>
    <row r="214" spans="1:8" ht="14.1" customHeight="1" x14ac:dyDescent="0.2">
      <c r="A214" s="1"/>
      <c r="B214" s="1"/>
      <c r="C214" s="2" t="s">
        <v>119</v>
      </c>
      <c r="D214" s="1"/>
      <c r="E214" s="1" t="s">
        <v>120</v>
      </c>
      <c r="F214" s="13">
        <v>0</v>
      </c>
      <c r="G214" s="14">
        <v>0</v>
      </c>
      <c r="H214" s="6"/>
    </row>
    <row r="215" spans="1:8" ht="14.1" customHeight="1" x14ac:dyDescent="0.2">
      <c r="A215" s="1"/>
      <c r="B215" s="1"/>
      <c r="C215" s="11"/>
      <c r="D215" s="1"/>
      <c r="E215" s="1"/>
      <c r="F215" s="12"/>
      <c r="G215" s="12"/>
      <c r="H215" s="6"/>
    </row>
    <row r="216" spans="1:8" ht="14.1" customHeight="1" x14ac:dyDescent="0.2">
      <c r="A216" s="1"/>
      <c r="B216" s="1"/>
      <c r="C216" s="2" t="s">
        <v>141</v>
      </c>
      <c r="D216" s="1"/>
      <c r="E216" s="1"/>
      <c r="F216" s="1"/>
      <c r="G216" s="1"/>
      <c r="H216" s="6"/>
    </row>
    <row r="217" spans="1:8" ht="14.1" customHeight="1" x14ac:dyDescent="0.2">
      <c r="A217" s="1"/>
      <c r="B217" s="1"/>
      <c r="C217" s="2" t="s">
        <v>142</v>
      </c>
      <c r="D217" s="1"/>
      <c r="E217" s="1"/>
      <c r="F217" s="1"/>
      <c r="G217" s="1"/>
      <c r="H217" s="6"/>
    </row>
    <row r="218" spans="1:8" ht="14.1" customHeight="1" x14ac:dyDescent="0.2">
      <c r="A218" s="1"/>
      <c r="B218" s="1"/>
      <c r="C218" s="2" t="s">
        <v>119</v>
      </c>
      <c r="D218" s="1"/>
      <c r="E218" s="1" t="s">
        <v>120</v>
      </c>
      <c r="F218" s="13">
        <v>0</v>
      </c>
      <c r="G218" s="14">
        <v>0</v>
      </c>
      <c r="H218" s="6"/>
    </row>
    <row r="219" spans="1:8" ht="14.1" customHeight="1" x14ac:dyDescent="0.2">
      <c r="A219" s="1"/>
      <c r="B219" s="1"/>
      <c r="C219" s="11"/>
      <c r="D219" s="1"/>
      <c r="E219" s="1"/>
      <c r="F219" s="12"/>
      <c r="G219" s="12"/>
      <c r="H219" s="6"/>
    </row>
    <row r="220" spans="1:8" ht="24" customHeight="1" x14ac:dyDescent="0.2">
      <c r="A220" s="1"/>
      <c r="B220" s="1"/>
      <c r="C220" s="2" t="s">
        <v>143</v>
      </c>
      <c r="D220" s="1"/>
      <c r="E220" s="1"/>
      <c r="F220" s="12"/>
      <c r="G220" s="12"/>
      <c r="H220" s="6"/>
    </row>
    <row r="221" spans="1:8" ht="14.1" customHeight="1" x14ac:dyDescent="0.2">
      <c r="A221" s="1"/>
      <c r="B221" s="1"/>
      <c r="C221" s="2" t="s">
        <v>119</v>
      </c>
      <c r="D221" s="1"/>
      <c r="E221" s="1" t="s">
        <v>120</v>
      </c>
      <c r="F221" s="13">
        <v>0</v>
      </c>
      <c r="G221" s="14">
        <v>0</v>
      </c>
      <c r="H221" s="6"/>
    </row>
    <row r="222" spans="1:8" ht="14.1" customHeight="1" x14ac:dyDescent="0.2">
      <c r="A222" s="1"/>
      <c r="B222" s="1"/>
      <c r="C222" s="11"/>
      <c r="D222" s="1"/>
      <c r="E222" s="1"/>
      <c r="F222" s="12"/>
      <c r="G222" s="12"/>
      <c r="H222" s="6"/>
    </row>
    <row r="223" spans="1:8" ht="18" customHeight="1" x14ac:dyDescent="0.2">
      <c r="A223" s="8"/>
      <c r="B223" s="4"/>
      <c r="C223" s="4" t="s">
        <v>600</v>
      </c>
      <c r="D223" s="4"/>
      <c r="E223" s="8"/>
      <c r="F223" s="6">
        <v>7041.8512973000006</v>
      </c>
      <c r="G223" s="7">
        <v>4.4674180575346244E-2</v>
      </c>
      <c r="H223" s="6"/>
    </row>
    <row r="224" spans="1:8" ht="18" customHeight="1" x14ac:dyDescent="0.2">
      <c r="A224" s="8"/>
      <c r="B224" s="4"/>
      <c r="C224" s="4" t="s">
        <v>1114</v>
      </c>
      <c r="D224" s="4"/>
      <c r="E224" s="8"/>
      <c r="F224" s="6">
        <v>-1282.1125281699401</v>
      </c>
      <c r="G224" s="7">
        <v>-8.1338449483218962E-3</v>
      </c>
      <c r="H224" s="6"/>
    </row>
    <row r="225" spans="1:9" ht="14.1" customHeight="1" x14ac:dyDescent="0.2">
      <c r="A225" s="11"/>
      <c r="B225" s="11"/>
      <c r="C225" s="2" t="s">
        <v>145</v>
      </c>
      <c r="D225" s="12"/>
      <c r="E225" s="12"/>
      <c r="F225" s="113">
        <f>+F224+F223+F210+F193+F147</f>
        <v>157626.87097133003</v>
      </c>
      <c r="G225" s="10">
        <v>0.99999999662702388</v>
      </c>
      <c r="H225" s="6"/>
    </row>
    <row r="226" spans="1:9" ht="14.1" customHeight="1" x14ac:dyDescent="0.2">
      <c r="A226" s="16"/>
      <c r="B226" s="16"/>
      <c r="C226" s="16"/>
      <c r="D226" s="17"/>
      <c r="E226" s="17"/>
      <c r="F226" s="17"/>
      <c r="G226" s="17"/>
    </row>
    <row r="227" spans="1:9" ht="17.100000000000001" customHeight="1" x14ac:dyDescent="0.2">
      <c r="A227" s="18"/>
      <c r="B227" s="267" t="s">
        <v>941</v>
      </c>
      <c r="C227" s="267"/>
      <c r="D227" s="267"/>
      <c r="E227" s="267"/>
      <c r="F227" s="267"/>
      <c r="G227" s="20"/>
    </row>
    <row r="228" spans="1:9" ht="17.100000000000001" customHeight="1" x14ac:dyDescent="0.2">
      <c r="A228" s="18"/>
      <c r="B228" s="267" t="s">
        <v>942</v>
      </c>
      <c r="C228" s="267"/>
      <c r="D228" s="267"/>
      <c r="E228" s="267"/>
      <c r="F228" s="267"/>
      <c r="G228" s="20"/>
    </row>
    <row r="229" spans="1:9" ht="14.1" customHeight="1" x14ac:dyDescent="0.2">
      <c r="A229" s="18"/>
      <c r="B229" s="18"/>
      <c r="C229" s="18"/>
      <c r="D229" s="20"/>
      <c r="E229" s="20"/>
      <c r="F229" s="20"/>
      <c r="G229" s="20"/>
    </row>
    <row r="230" spans="1:9" ht="14.1" customHeight="1" x14ac:dyDescent="0.2">
      <c r="A230" s="18"/>
      <c r="B230" s="265" t="s">
        <v>147</v>
      </c>
      <c r="C230" s="294"/>
      <c r="D230" s="266"/>
      <c r="E230" s="21"/>
      <c r="F230" s="20"/>
      <c r="G230" s="20"/>
      <c r="I230" s="172"/>
    </row>
    <row r="231" spans="1:9" ht="29.1" customHeight="1" x14ac:dyDescent="0.2">
      <c r="A231" s="18"/>
      <c r="B231" s="272" t="s">
        <v>148</v>
      </c>
      <c r="C231" s="273"/>
      <c r="D231" s="2" t="s">
        <v>149</v>
      </c>
      <c r="E231" s="21"/>
      <c r="F231" s="20"/>
      <c r="G231" s="20"/>
    </row>
    <row r="232" spans="1:9" ht="17.100000000000001" customHeight="1" x14ac:dyDescent="0.2">
      <c r="A232" s="18"/>
      <c r="B232" s="272" t="s">
        <v>150</v>
      </c>
      <c r="C232" s="273"/>
      <c r="D232" s="2" t="s">
        <v>149</v>
      </c>
      <c r="E232" s="21"/>
      <c r="F232" s="20"/>
      <c r="G232" s="20"/>
    </row>
    <row r="233" spans="1:9" ht="17.100000000000001" customHeight="1" x14ac:dyDescent="0.2">
      <c r="A233" s="18"/>
      <c r="B233" s="272" t="s">
        <v>151</v>
      </c>
      <c r="C233" s="273"/>
      <c r="D233" s="12" t="s">
        <v>120</v>
      </c>
      <c r="E233" s="21"/>
      <c r="F233" s="20"/>
      <c r="G233" s="20"/>
    </row>
    <row r="234" spans="1:9" ht="24" customHeight="1" x14ac:dyDescent="0.2">
      <c r="A234" s="22"/>
      <c r="B234" s="23" t="s">
        <v>120</v>
      </c>
      <c r="C234" s="23" t="s">
        <v>152</v>
      </c>
      <c r="D234" s="23" t="s">
        <v>153</v>
      </c>
      <c r="E234" s="22"/>
      <c r="F234" s="22"/>
      <c r="G234" s="22"/>
    </row>
    <row r="235" spans="1:9" ht="18" customHeight="1" x14ac:dyDescent="0.2">
      <c r="A235" s="22"/>
      <c r="B235" s="87" t="s">
        <v>154</v>
      </c>
      <c r="C235" s="23" t="s">
        <v>155</v>
      </c>
      <c r="D235" s="23" t="s">
        <v>156</v>
      </c>
      <c r="E235" s="22"/>
      <c r="F235" s="22"/>
      <c r="G235" s="22"/>
    </row>
    <row r="236" spans="1:9" ht="17.100000000000001" customHeight="1" x14ac:dyDescent="0.2">
      <c r="A236" s="22"/>
      <c r="B236" s="4" t="s">
        <v>157</v>
      </c>
      <c r="C236" s="88">
        <v>28.055900000000001</v>
      </c>
      <c r="D236" s="88">
        <v>27.4528</v>
      </c>
      <c r="E236" s="22"/>
      <c r="F236" s="19"/>
      <c r="G236" s="25"/>
    </row>
    <row r="237" spans="1:9" ht="29.1" customHeight="1" x14ac:dyDescent="0.2">
      <c r="A237" s="22"/>
      <c r="B237" s="4" t="s">
        <v>1125</v>
      </c>
      <c r="C237" s="88">
        <v>16.497199999999999</v>
      </c>
      <c r="D237" s="88">
        <v>16.142399999999999</v>
      </c>
      <c r="E237" s="22"/>
      <c r="F237" s="19"/>
      <c r="G237" s="25"/>
    </row>
    <row r="238" spans="1:9" ht="17.100000000000001" customHeight="1" x14ac:dyDescent="0.2">
      <c r="A238" s="22"/>
      <c r="B238" s="4" t="s">
        <v>158</v>
      </c>
      <c r="C238" s="88">
        <v>25.078199999999999</v>
      </c>
      <c r="D238" s="88">
        <v>24.508800000000001</v>
      </c>
      <c r="E238" s="22"/>
      <c r="F238" s="19"/>
      <c r="G238" s="25"/>
    </row>
    <row r="239" spans="1:9" ht="29.1" customHeight="1" x14ac:dyDescent="0.2">
      <c r="A239" s="22"/>
      <c r="B239" s="4" t="s">
        <v>1127</v>
      </c>
      <c r="C239" s="88">
        <v>14.1493</v>
      </c>
      <c r="D239" s="88">
        <v>13.827999999999999</v>
      </c>
      <c r="E239" s="22"/>
      <c r="F239" s="19"/>
      <c r="G239" s="25"/>
    </row>
    <row r="240" spans="1:9" ht="14.1" customHeight="1" x14ac:dyDescent="0.2">
      <c r="A240" s="22"/>
      <c r="B240" s="22"/>
      <c r="C240" s="22"/>
      <c r="D240" s="22"/>
      <c r="E240" s="22"/>
      <c r="F240" s="22"/>
      <c r="G240" s="22"/>
    </row>
    <row r="241" spans="1:9" ht="17.100000000000001" customHeight="1" x14ac:dyDescent="0.2">
      <c r="A241" s="22"/>
      <c r="B241" s="272" t="s">
        <v>1122</v>
      </c>
      <c r="C241" s="273"/>
      <c r="D241" s="2" t="s">
        <v>149</v>
      </c>
      <c r="E241" s="22"/>
      <c r="F241" s="22"/>
      <c r="G241" s="22"/>
    </row>
    <row r="242" spans="1:9" ht="14.1" customHeight="1" x14ac:dyDescent="0.2">
      <c r="A242" s="22"/>
      <c r="B242" s="19"/>
      <c r="C242" s="19"/>
      <c r="D242" s="22"/>
      <c r="E242" s="22"/>
      <c r="F242" s="22"/>
      <c r="G242" s="22"/>
    </row>
    <row r="243" spans="1:9" ht="29.1" customHeight="1" x14ac:dyDescent="0.2">
      <c r="A243" s="22"/>
      <c r="B243" s="272" t="s">
        <v>160</v>
      </c>
      <c r="C243" s="273"/>
      <c r="D243" s="2" t="s">
        <v>1106</v>
      </c>
      <c r="E243" s="94"/>
      <c r="F243" s="22"/>
      <c r="G243" s="22"/>
    </row>
    <row r="244" spans="1:9" ht="29.1" customHeight="1" x14ac:dyDescent="0.2">
      <c r="A244" s="22"/>
      <c r="B244" s="272" t="s">
        <v>161</v>
      </c>
      <c r="C244" s="273"/>
      <c r="D244" s="2" t="s">
        <v>149</v>
      </c>
      <c r="E244" s="94"/>
      <c r="F244" s="22"/>
      <c r="G244" s="22"/>
    </row>
    <row r="245" spans="1:9" ht="17.100000000000001" customHeight="1" x14ac:dyDescent="0.2">
      <c r="A245" s="22"/>
      <c r="B245" s="290" t="s">
        <v>1109</v>
      </c>
      <c r="C245" s="291"/>
      <c r="D245" s="95">
        <v>0.59733202805748398</v>
      </c>
      <c r="E245" s="94"/>
      <c r="F245" s="22"/>
      <c r="G245" s="22"/>
    </row>
    <row r="246" spans="1:9" ht="17.100000000000001" customHeight="1" x14ac:dyDescent="0.2">
      <c r="A246" s="22"/>
      <c r="B246" s="290" t="s">
        <v>1110</v>
      </c>
      <c r="C246" s="291"/>
      <c r="D246" s="95">
        <v>0.56802836413176383</v>
      </c>
      <c r="E246" s="94"/>
      <c r="F246" s="22"/>
      <c r="G246" s="22"/>
    </row>
    <row r="247" spans="1:9" ht="17.100000000000001" customHeight="1" x14ac:dyDescent="0.2">
      <c r="A247" s="22"/>
      <c r="B247" s="272" t="s">
        <v>945</v>
      </c>
      <c r="C247" s="273"/>
      <c r="D247" s="2" t="s">
        <v>149</v>
      </c>
      <c r="E247" s="94"/>
      <c r="F247" s="22"/>
      <c r="G247" s="22"/>
    </row>
    <row r="248" spans="1:9" ht="17.100000000000001" customHeight="1" x14ac:dyDescent="0.2">
      <c r="A248" s="22"/>
      <c r="B248" s="272" t="s">
        <v>1108</v>
      </c>
      <c r="C248" s="273"/>
      <c r="D248" s="27">
        <v>3.7752232221272957</v>
      </c>
      <c r="E248" s="22"/>
      <c r="F248" s="19"/>
      <c r="G248" s="25"/>
    </row>
    <row r="250" spans="1:9" x14ac:dyDescent="0.2">
      <c r="I250" s="103"/>
    </row>
    <row r="251" spans="1:9" x14ac:dyDescent="0.2">
      <c r="I251" s="103"/>
    </row>
    <row r="252" spans="1:9" x14ac:dyDescent="0.2">
      <c r="I252" s="103"/>
    </row>
    <row r="253" spans="1:9" x14ac:dyDescent="0.2">
      <c r="I253" s="103"/>
    </row>
    <row r="254" spans="1:9" x14ac:dyDescent="0.2">
      <c r="I254" s="103"/>
    </row>
    <row r="255" spans="1:9" x14ac:dyDescent="0.2">
      <c r="I255" s="103"/>
    </row>
  </sheetData>
  <mergeCells count="17">
    <mergeCell ref="B248:C248"/>
    <mergeCell ref="A1:H1"/>
    <mergeCell ref="A2:H2"/>
    <mergeCell ref="A3:H3"/>
    <mergeCell ref="B243:C243"/>
    <mergeCell ref="B227:F227"/>
    <mergeCell ref="B228:F228"/>
    <mergeCell ref="B230:D230"/>
    <mergeCell ref="B231:C231"/>
    <mergeCell ref="B232:C232"/>
    <mergeCell ref="B233:C233"/>
    <mergeCell ref="B241:C241"/>
    <mergeCell ref="J2:N2"/>
    <mergeCell ref="B244:C244"/>
    <mergeCell ref="B245:C245"/>
    <mergeCell ref="B246:C246"/>
    <mergeCell ref="B247:C24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P14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4.5703125" bestFit="1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1134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406</v>
      </c>
      <c r="C7" s="4" t="s">
        <v>407</v>
      </c>
      <c r="D7" s="4" t="s">
        <v>994</v>
      </c>
      <c r="E7" s="5">
        <v>142161</v>
      </c>
      <c r="F7" s="6">
        <v>2137.532796</v>
      </c>
      <c r="G7" s="7">
        <v>7.7552250000000003E-2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64548</v>
      </c>
      <c r="F8" s="6">
        <v>1699.3229220000001</v>
      </c>
      <c r="G8" s="7">
        <v>6.1653471000000001E-2</v>
      </c>
      <c r="H8" s="6"/>
    </row>
    <row r="9" spans="1:14" ht="17.100000000000001" customHeight="1" x14ac:dyDescent="0.2">
      <c r="A9" s="3">
        <v>3</v>
      </c>
      <c r="B9" s="4" t="s">
        <v>410</v>
      </c>
      <c r="C9" s="4" t="s">
        <v>411</v>
      </c>
      <c r="D9" s="4" t="s">
        <v>994</v>
      </c>
      <c r="E9" s="5">
        <v>42421</v>
      </c>
      <c r="F9" s="6">
        <v>1427.1909135000001</v>
      </c>
      <c r="G9" s="7">
        <v>5.1780196000000001E-2</v>
      </c>
      <c r="H9" s="6"/>
    </row>
    <row r="10" spans="1:14" ht="17.100000000000001" customHeight="1" x14ac:dyDescent="0.2">
      <c r="A10" s="3">
        <v>4</v>
      </c>
      <c r="B10" s="4" t="s">
        <v>416</v>
      </c>
      <c r="C10" s="4" t="s">
        <v>417</v>
      </c>
      <c r="D10" s="4" t="s">
        <v>418</v>
      </c>
      <c r="E10" s="5">
        <v>58279</v>
      </c>
      <c r="F10" s="6">
        <v>1371.4505675</v>
      </c>
      <c r="G10" s="7">
        <v>4.9757869000000003E-2</v>
      </c>
      <c r="H10" s="6"/>
    </row>
    <row r="11" spans="1:14" ht="17.100000000000001" customHeight="1" x14ac:dyDescent="0.2">
      <c r="A11" s="3">
        <v>5</v>
      </c>
      <c r="B11" s="4" t="s">
        <v>29</v>
      </c>
      <c r="C11" s="4" t="s">
        <v>30</v>
      </c>
      <c r="D11" s="4" t="s">
        <v>31</v>
      </c>
      <c r="E11" s="5">
        <v>875337</v>
      </c>
      <c r="F11" s="6">
        <v>1365.5257200000001</v>
      </c>
      <c r="G11" s="7">
        <v>4.9542907999999997E-2</v>
      </c>
      <c r="H11" s="6"/>
    </row>
    <row r="12" spans="1:14" ht="17.100000000000001" customHeight="1" x14ac:dyDescent="0.2">
      <c r="A12" s="3">
        <v>6</v>
      </c>
      <c r="B12" s="4" t="s">
        <v>17</v>
      </c>
      <c r="C12" s="4" t="s">
        <v>18</v>
      </c>
      <c r="D12" s="4" t="s">
        <v>19</v>
      </c>
      <c r="E12" s="5">
        <v>179100</v>
      </c>
      <c r="F12" s="6">
        <v>1348.3543500000001</v>
      </c>
      <c r="G12" s="7">
        <v>4.8919911000000003E-2</v>
      </c>
      <c r="H12" s="6"/>
    </row>
    <row r="13" spans="1:14" ht="17.100000000000001" customHeight="1" x14ac:dyDescent="0.2">
      <c r="A13" s="3">
        <v>7</v>
      </c>
      <c r="B13" s="4" t="s">
        <v>425</v>
      </c>
      <c r="C13" s="4" t="s">
        <v>426</v>
      </c>
      <c r="D13" s="4" t="s">
        <v>418</v>
      </c>
      <c r="E13" s="5">
        <v>405400</v>
      </c>
      <c r="F13" s="6">
        <v>1097.2150999999999</v>
      </c>
      <c r="G13" s="7">
        <v>3.9808278000000002E-2</v>
      </c>
      <c r="H13" s="6"/>
    </row>
    <row r="14" spans="1:14" ht="17.100000000000001" customHeight="1" x14ac:dyDescent="0.2">
      <c r="A14" s="3">
        <v>8</v>
      </c>
      <c r="B14" s="4" t="s">
        <v>374</v>
      </c>
      <c r="C14" s="4" t="s">
        <v>375</v>
      </c>
      <c r="D14" s="4" t="s">
        <v>19</v>
      </c>
      <c r="E14" s="5">
        <v>77164</v>
      </c>
      <c r="F14" s="6">
        <v>1071.769378</v>
      </c>
      <c r="G14" s="7">
        <v>3.8885076999999997E-2</v>
      </c>
      <c r="H14" s="6"/>
      <c r="J14" s="175" t="s">
        <v>1171</v>
      </c>
    </row>
    <row r="15" spans="1:14" ht="17.100000000000001" customHeight="1" x14ac:dyDescent="0.2">
      <c r="A15" s="3">
        <v>9</v>
      </c>
      <c r="B15" s="4" t="s">
        <v>433</v>
      </c>
      <c r="C15" s="4" t="s">
        <v>434</v>
      </c>
      <c r="D15" s="4" t="s">
        <v>106</v>
      </c>
      <c r="E15" s="5">
        <v>82677</v>
      </c>
      <c r="F15" s="6">
        <v>872.77975049999998</v>
      </c>
      <c r="G15" s="7">
        <v>3.1665495000000002E-2</v>
      </c>
      <c r="H15" s="6"/>
    </row>
    <row r="16" spans="1:14" ht="17.100000000000001" customHeight="1" x14ac:dyDescent="0.2">
      <c r="A16" s="3">
        <v>10</v>
      </c>
      <c r="B16" s="4" t="s">
        <v>419</v>
      </c>
      <c r="C16" s="4" t="s">
        <v>420</v>
      </c>
      <c r="D16" s="4" t="s">
        <v>994</v>
      </c>
      <c r="E16" s="5">
        <v>82146</v>
      </c>
      <c r="F16" s="6">
        <v>854.93449499999997</v>
      </c>
      <c r="G16" s="7">
        <v>3.1018047E-2</v>
      </c>
      <c r="H16" s="6"/>
    </row>
    <row r="17" spans="1:10" ht="17.100000000000001" customHeight="1" x14ac:dyDescent="0.2">
      <c r="A17" s="3">
        <v>11</v>
      </c>
      <c r="B17" s="4" t="s">
        <v>50</v>
      </c>
      <c r="C17" s="4" t="s">
        <v>51</v>
      </c>
      <c r="D17" s="4" t="s">
        <v>19</v>
      </c>
      <c r="E17" s="5">
        <v>175968</v>
      </c>
      <c r="F17" s="6">
        <v>823.70620799999995</v>
      </c>
      <c r="G17" s="7">
        <v>2.9885048000000001E-2</v>
      </c>
      <c r="H17" s="6"/>
    </row>
    <row r="18" spans="1:10" ht="29.1" customHeight="1" x14ac:dyDescent="0.2">
      <c r="A18" s="3">
        <v>12</v>
      </c>
      <c r="B18" s="4" t="s">
        <v>23</v>
      </c>
      <c r="C18" s="4" t="s">
        <v>24</v>
      </c>
      <c r="D18" s="4" t="s">
        <v>25</v>
      </c>
      <c r="E18" s="5">
        <v>11611</v>
      </c>
      <c r="F18" s="6">
        <v>706.25068599999997</v>
      </c>
      <c r="G18" s="7">
        <v>2.5623620999999999E-2</v>
      </c>
      <c r="H18" s="6"/>
    </row>
    <row r="19" spans="1:10" ht="17.100000000000001" customHeight="1" x14ac:dyDescent="0.2">
      <c r="A19" s="3">
        <v>13</v>
      </c>
      <c r="B19" s="4" t="s">
        <v>66</v>
      </c>
      <c r="C19" s="4" t="s">
        <v>67</v>
      </c>
      <c r="D19" s="4" t="s">
        <v>68</v>
      </c>
      <c r="E19" s="5">
        <v>441676</v>
      </c>
      <c r="F19" s="6">
        <v>668.03494999999998</v>
      </c>
      <c r="G19" s="7">
        <v>2.4237108E-2</v>
      </c>
      <c r="H19" s="6"/>
    </row>
    <row r="20" spans="1:10" ht="17.100000000000001" customHeight="1" x14ac:dyDescent="0.2">
      <c r="A20" s="3">
        <v>14</v>
      </c>
      <c r="B20" s="4" t="s">
        <v>602</v>
      </c>
      <c r="C20" s="4" t="s">
        <v>603</v>
      </c>
      <c r="D20" s="4" t="s">
        <v>396</v>
      </c>
      <c r="E20" s="5">
        <v>16543</v>
      </c>
      <c r="F20" s="6">
        <v>639.23806300000001</v>
      </c>
      <c r="G20" s="7">
        <v>2.3192322000000001E-2</v>
      </c>
      <c r="H20" s="6"/>
    </row>
    <row r="21" spans="1:10" ht="17.100000000000001" customHeight="1" x14ac:dyDescent="0.2">
      <c r="A21" s="3">
        <v>15</v>
      </c>
      <c r="B21" s="4" t="s">
        <v>20</v>
      </c>
      <c r="C21" s="4" t="s">
        <v>21</v>
      </c>
      <c r="D21" s="4" t="s">
        <v>22</v>
      </c>
      <c r="E21" s="5">
        <v>89738</v>
      </c>
      <c r="F21" s="6">
        <v>628.34547599999996</v>
      </c>
      <c r="G21" s="7">
        <v>2.2797126000000001E-2</v>
      </c>
      <c r="H21" s="6"/>
    </row>
    <row r="22" spans="1:10" ht="17.100000000000001" customHeight="1" x14ac:dyDescent="0.2">
      <c r="A22" s="3">
        <v>16</v>
      </c>
      <c r="B22" s="4" t="s">
        <v>187</v>
      </c>
      <c r="C22" s="4" t="s">
        <v>188</v>
      </c>
      <c r="D22" s="4" t="s">
        <v>181</v>
      </c>
      <c r="E22" s="5">
        <v>38644</v>
      </c>
      <c r="F22" s="6">
        <v>530.06042600000001</v>
      </c>
      <c r="G22" s="7">
        <v>1.9231227E-2</v>
      </c>
      <c r="H22" s="6"/>
    </row>
    <row r="23" spans="1:10" ht="17.100000000000001" customHeight="1" x14ac:dyDescent="0.2">
      <c r="A23" s="3">
        <v>17</v>
      </c>
      <c r="B23" s="4" t="s">
        <v>604</v>
      </c>
      <c r="C23" s="4" t="s">
        <v>605</v>
      </c>
      <c r="D23" s="4" t="s">
        <v>28</v>
      </c>
      <c r="E23" s="5">
        <v>21900</v>
      </c>
      <c r="F23" s="6">
        <v>498.82724999999999</v>
      </c>
      <c r="G23" s="7">
        <v>1.8098050000000001E-2</v>
      </c>
      <c r="H23" s="6"/>
    </row>
    <row r="24" spans="1:10" ht="29.1" customHeight="1" x14ac:dyDescent="0.2">
      <c r="A24" s="3">
        <v>18</v>
      </c>
      <c r="B24" s="4" t="s">
        <v>217</v>
      </c>
      <c r="C24" s="4" t="s">
        <v>218</v>
      </c>
      <c r="D24" s="4" t="s">
        <v>219</v>
      </c>
      <c r="E24" s="5">
        <v>12675</v>
      </c>
      <c r="F24" s="6">
        <v>497.4240375</v>
      </c>
      <c r="G24" s="7">
        <v>1.804714E-2</v>
      </c>
      <c r="H24" s="6"/>
      <c r="J24" s="169" t="s">
        <v>1170</v>
      </c>
    </row>
    <row r="25" spans="1:10" ht="17.100000000000001" customHeight="1" x14ac:dyDescent="0.2">
      <c r="A25" s="3">
        <v>19</v>
      </c>
      <c r="B25" s="4" t="s">
        <v>443</v>
      </c>
      <c r="C25" s="4" t="s">
        <v>444</v>
      </c>
      <c r="D25" s="4" t="s">
        <v>19</v>
      </c>
      <c r="E25" s="5">
        <v>235822</v>
      </c>
      <c r="F25" s="6">
        <v>483.43509999999998</v>
      </c>
      <c r="G25" s="7">
        <v>1.7539604E-2</v>
      </c>
      <c r="H25" s="6"/>
    </row>
    <row r="26" spans="1:10" ht="17.100000000000001" customHeight="1" x14ac:dyDescent="0.2">
      <c r="A26" s="3">
        <v>20</v>
      </c>
      <c r="B26" s="4" t="s">
        <v>100</v>
      </c>
      <c r="C26" s="4" t="s">
        <v>101</v>
      </c>
      <c r="D26" s="4" t="s">
        <v>54</v>
      </c>
      <c r="E26" s="5">
        <v>85801</v>
      </c>
      <c r="F26" s="6">
        <v>479.88499300000001</v>
      </c>
      <c r="G26" s="7">
        <v>1.7410802E-2</v>
      </c>
      <c r="H26" s="6"/>
    </row>
    <row r="27" spans="1:10" ht="29.1" customHeight="1" x14ac:dyDescent="0.2">
      <c r="A27" s="3">
        <v>21</v>
      </c>
      <c r="B27" s="4" t="s">
        <v>310</v>
      </c>
      <c r="C27" s="4" t="s">
        <v>311</v>
      </c>
      <c r="D27" s="4" t="s">
        <v>219</v>
      </c>
      <c r="E27" s="5">
        <v>19372</v>
      </c>
      <c r="F27" s="6">
        <v>477.33576599999998</v>
      </c>
      <c r="G27" s="7">
        <v>1.7318312999999998E-2</v>
      </c>
      <c r="H27" s="6"/>
    </row>
    <row r="28" spans="1:10" ht="53.1" customHeight="1" x14ac:dyDescent="0.2">
      <c r="A28" s="3">
        <v>22</v>
      </c>
      <c r="B28" s="4" t="s">
        <v>73</v>
      </c>
      <c r="C28" s="4" t="s">
        <v>74</v>
      </c>
      <c r="D28" s="4" t="s">
        <v>75</v>
      </c>
      <c r="E28" s="5">
        <v>324000</v>
      </c>
      <c r="F28" s="6">
        <v>445.5</v>
      </c>
      <c r="G28" s="7">
        <v>1.6163273999999998E-2</v>
      </c>
      <c r="H28" s="6"/>
    </row>
    <row r="29" spans="1:10" ht="17.100000000000001" customHeight="1" x14ac:dyDescent="0.2">
      <c r="A29" s="3">
        <v>23</v>
      </c>
      <c r="B29" s="4" t="s">
        <v>98</v>
      </c>
      <c r="C29" s="4" t="s">
        <v>99</v>
      </c>
      <c r="D29" s="4" t="s">
        <v>22</v>
      </c>
      <c r="E29" s="5">
        <v>210695</v>
      </c>
      <c r="F29" s="6">
        <v>425.18250999999998</v>
      </c>
      <c r="G29" s="7">
        <v>1.5426130999999999E-2</v>
      </c>
      <c r="H29" s="6"/>
    </row>
    <row r="30" spans="1:10" ht="17.100000000000001" customHeight="1" x14ac:dyDescent="0.2">
      <c r="A30" s="3">
        <v>24</v>
      </c>
      <c r="B30" s="4" t="s">
        <v>606</v>
      </c>
      <c r="C30" s="4" t="s">
        <v>607</v>
      </c>
      <c r="D30" s="4" t="s">
        <v>80</v>
      </c>
      <c r="E30" s="5">
        <v>13500</v>
      </c>
      <c r="F30" s="6">
        <v>405.62774999999999</v>
      </c>
      <c r="G30" s="7">
        <v>1.4716661000000001E-2</v>
      </c>
      <c r="H30" s="6"/>
    </row>
    <row r="31" spans="1:10" ht="17.100000000000001" customHeight="1" x14ac:dyDescent="0.2">
      <c r="A31" s="3">
        <v>25</v>
      </c>
      <c r="B31" s="4" t="s">
        <v>380</v>
      </c>
      <c r="C31" s="4" t="s">
        <v>381</v>
      </c>
      <c r="D31" s="4" t="s">
        <v>85</v>
      </c>
      <c r="E31" s="5">
        <v>3000</v>
      </c>
      <c r="F31" s="6">
        <v>388.02</v>
      </c>
      <c r="G31" s="7">
        <v>1.407783E-2</v>
      </c>
      <c r="H31" s="6"/>
    </row>
    <row r="32" spans="1:10" ht="29.1" customHeight="1" x14ac:dyDescent="0.2">
      <c r="A32" s="3">
        <v>26</v>
      </c>
      <c r="B32" s="4" t="s">
        <v>504</v>
      </c>
      <c r="C32" s="4" t="s">
        <v>505</v>
      </c>
      <c r="D32" s="4" t="s">
        <v>198</v>
      </c>
      <c r="E32" s="5">
        <v>5548</v>
      </c>
      <c r="F32" s="6">
        <v>379.605256</v>
      </c>
      <c r="G32" s="7">
        <v>1.3772533E-2</v>
      </c>
      <c r="H32" s="6"/>
    </row>
    <row r="33" spans="1:8" ht="17.100000000000001" customHeight="1" x14ac:dyDescent="0.2">
      <c r="A33" s="3">
        <v>27</v>
      </c>
      <c r="B33" s="4" t="s">
        <v>263</v>
      </c>
      <c r="C33" s="4" t="s">
        <v>264</v>
      </c>
      <c r="D33" s="4" t="s">
        <v>16</v>
      </c>
      <c r="E33" s="5">
        <v>164814</v>
      </c>
      <c r="F33" s="6">
        <v>375.44629200000003</v>
      </c>
      <c r="G33" s="7">
        <v>1.3621641E-2</v>
      </c>
      <c r="H33" s="6"/>
    </row>
    <row r="34" spans="1:8" ht="29.1" customHeight="1" x14ac:dyDescent="0.2">
      <c r="A34" s="3">
        <v>28</v>
      </c>
      <c r="B34" s="4" t="s">
        <v>608</v>
      </c>
      <c r="C34" s="4" t="s">
        <v>609</v>
      </c>
      <c r="D34" s="4" t="s">
        <v>610</v>
      </c>
      <c r="E34" s="5">
        <v>10800</v>
      </c>
      <c r="F34" s="6">
        <v>346.73399999999998</v>
      </c>
      <c r="G34" s="7">
        <v>1.2579925E-2</v>
      </c>
      <c r="H34" s="6"/>
    </row>
    <row r="35" spans="1:8" ht="17.100000000000001" customHeight="1" x14ac:dyDescent="0.2">
      <c r="A35" s="3">
        <v>29</v>
      </c>
      <c r="B35" s="4" t="s">
        <v>611</v>
      </c>
      <c r="C35" s="4" t="s">
        <v>612</v>
      </c>
      <c r="D35" s="4" t="s">
        <v>437</v>
      </c>
      <c r="E35" s="5">
        <v>111500</v>
      </c>
      <c r="F35" s="6">
        <v>335.55925000000002</v>
      </c>
      <c r="G35" s="7">
        <v>1.2174491000000001E-2</v>
      </c>
      <c r="H35" s="6"/>
    </row>
    <row r="36" spans="1:8" ht="17.100000000000001" customHeight="1" x14ac:dyDescent="0.2">
      <c r="A36" s="3">
        <v>30</v>
      </c>
      <c r="B36" s="4" t="s">
        <v>461</v>
      </c>
      <c r="C36" s="4" t="s">
        <v>462</v>
      </c>
      <c r="D36" s="4" t="s">
        <v>396</v>
      </c>
      <c r="E36" s="5">
        <v>3990</v>
      </c>
      <c r="F36" s="6">
        <v>317.85736500000002</v>
      </c>
      <c r="G36" s="7">
        <v>1.1532245999999999E-2</v>
      </c>
      <c r="H36" s="6"/>
    </row>
    <row r="37" spans="1:8" ht="17.100000000000001" customHeight="1" x14ac:dyDescent="0.2">
      <c r="A37" s="3">
        <v>31</v>
      </c>
      <c r="B37" s="4" t="s">
        <v>613</v>
      </c>
      <c r="C37" s="4" t="s">
        <v>614</v>
      </c>
      <c r="D37" s="4" t="s">
        <v>230</v>
      </c>
      <c r="E37" s="5">
        <v>8420</v>
      </c>
      <c r="F37" s="6">
        <v>307.14476000000002</v>
      </c>
      <c r="G37" s="7">
        <v>1.114358E-2</v>
      </c>
      <c r="H37" s="6"/>
    </row>
    <row r="38" spans="1:8" ht="29.1" customHeight="1" x14ac:dyDescent="0.2">
      <c r="A38" s="3">
        <v>32</v>
      </c>
      <c r="B38" s="4" t="s">
        <v>326</v>
      </c>
      <c r="C38" s="4" t="s">
        <v>327</v>
      </c>
      <c r="D38" s="4" t="s">
        <v>210</v>
      </c>
      <c r="E38" s="5">
        <v>128809</v>
      </c>
      <c r="F38" s="6">
        <v>302.37912749999998</v>
      </c>
      <c r="G38" s="7">
        <v>1.0970677E-2</v>
      </c>
      <c r="H38" s="6"/>
    </row>
    <row r="39" spans="1:8" ht="17.100000000000001" customHeight="1" x14ac:dyDescent="0.2">
      <c r="A39" s="3">
        <v>33</v>
      </c>
      <c r="B39" s="4" t="s">
        <v>11</v>
      </c>
      <c r="C39" s="4" t="s">
        <v>12</v>
      </c>
      <c r="D39" s="4" t="s">
        <v>13</v>
      </c>
      <c r="E39" s="5">
        <v>15750</v>
      </c>
      <c r="F39" s="6">
        <v>260.58375000000001</v>
      </c>
      <c r="G39" s="7">
        <v>9.4542910000000001E-3</v>
      </c>
      <c r="H39" s="6"/>
    </row>
    <row r="40" spans="1:8" ht="29.1" customHeight="1" x14ac:dyDescent="0.2">
      <c r="A40" s="3">
        <v>34</v>
      </c>
      <c r="B40" s="4" t="s">
        <v>350</v>
      </c>
      <c r="C40" s="4" t="s">
        <v>351</v>
      </c>
      <c r="D40" s="4" t="s">
        <v>198</v>
      </c>
      <c r="E40" s="5">
        <v>7443</v>
      </c>
      <c r="F40" s="6">
        <v>212.94050849999999</v>
      </c>
      <c r="G40" s="7">
        <v>7.7257369999999999E-3</v>
      </c>
      <c r="H40" s="6"/>
    </row>
    <row r="41" spans="1:8" ht="17.100000000000001" customHeight="1" x14ac:dyDescent="0.2">
      <c r="A41" s="3">
        <v>35</v>
      </c>
      <c r="B41" s="4" t="s">
        <v>283</v>
      </c>
      <c r="C41" s="4" t="s">
        <v>284</v>
      </c>
      <c r="D41" s="4" t="s">
        <v>176</v>
      </c>
      <c r="E41" s="5">
        <v>21105</v>
      </c>
      <c r="F41" s="6">
        <v>165.33656999999999</v>
      </c>
      <c r="G41" s="7">
        <v>5.9986090000000002E-3</v>
      </c>
      <c r="H41" s="6"/>
    </row>
    <row r="42" spans="1:8" ht="17.100000000000001" customHeight="1" x14ac:dyDescent="0.2">
      <c r="A42" s="3">
        <v>36</v>
      </c>
      <c r="B42" s="4" t="s">
        <v>363</v>
      </c>
      <c r="C42" s="4" t="s">
        <v>364</v>
      </c>
      <c r="D42" s="4" t="s">
        <v>95</v>
      </c>
      <c r="E42" s="5">
        <v>4242</v>
      </c>
      <c r="F42" s="6">
        <v>156.91582199999999</v>
      </c>
      <c r="G42" s="7">
        <v>5.6930940000000001E-3</v>
      </c>
      <c r="H42" s="6"/>
    </row>
    <row r="43" spans="1:8" ht="17.100000000000001" customHeight="1" x14ac:dyDescent="0.2">
      <c r="A43" s="3">
        <v>37</v>
      </c>
      <c r="B43" s="4" t="s">
        <v>378</v>
      </c>
      <c r="C43" s="4" t="s">
        <v>379</v>
      </c>
      <c r="D43" s="4" t="s">
        <v>181</v>
      </c>
      <c r="E43" s="5">
        <v>30973</v>
      </c>
      <c r="F43" s="6">
        <v>138.44931</v>
      </c>
      <c r="G43" s="7">
        <v>5.0231069999999997E-3</v>
      </c>
      <c r="H43" s="6"/>
    </row>
    <row r="44" spans="1:8" ht="17.100000000000001" customHeight="1" x14ac:dyDescent="0.2">
      <c r="A44" s="3">
        <v>38</v>
      </c>
      <c r="B44" s="4" t="s">
        <v>615</v>
      </c>
      <c r="C44" s="4" t="s">
        <v>616</v>
      </c>
      <c r="D44" s="4" t="s">
        <v>95</v>
      </c>
      <c r="E44" s="5">
        <v>12038</v>
      </c>
      <c r="F44" s="6">
        <v>122.059301</v>
      </c>
      <c r="G44" s="7">
        <v>4.4284579999999997E-3</v>
      </c>
      <c r="H44" s="6"/>
    </row>
    <row r="45" spans="1:8" ht="29.1" customHeight="1" x14ac:dyDescent="0.2">
      <c r="A45" s="3">
        <v>39</v>
      </c>
      <c r="B45" s="4" t="s">
        <v>285</v>
      </c>
      <c r="C45" s="4" t="s">
        <v>286</v>
      </c>
      <c r="D45" s="4" t="s">
        <v>233</v>
      </c>
      <c r="E45" s="5">
        <v>13358</v>
      </c>
      <c r="F45" s="6">
        <v>74.223726999999997</v>
      </c>
      <c r="G45" s="7">
        <v>2.692926E-3</v>
      </c>
      <c r="H45" s="6"/>
    </row>
    <row r="46" spans="1:8" ht="14.1" customHeight="1" x14ac:dyDescent="0.2">
      <c r="A46" s="1"/>
      <c r="B46" s="1"/>
      <c r="C46" s="2" t="s">
        <v>119</v>
      </c>
      <c r="D46" s="1"/>
      <c r="E46" s="1" t="s">
        <v>120</v>
      </c>
      <c r="F46" s="9">
        <v>24838.184249999998</v>
      </c>
      <c r="G46" s="10">
        <v>0.90115907399999995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121</v>
      </c>
      <c r="D48" s="1"/>
      <c r="E48" s="1"/>
      <c r="F48" s="1"/>
      <c r="G48" s="1"/>
      <c r="H48" s="6"/>
    </row>
    <row r="49" spans="1:8" ht="14.1" customHeight="1" x14ac:dyDescent="0.2">
      <c r="A49" s="1"/>
      <c r="B49" s="1"/>
      <c r="C49" s="2" t="s">
        <v>119</v>
      </c>
      <c r="D49" s="1"/>
      <c r="E49" s="1" t="s">
        <v>120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122</v>
      </c>
      <c r="D51" s="1"/>
      <c r="E51" s="1"/>
      <c r="F51" s="1"/>
      <c r="G51" s="1"/>
      <c r="H51" s="6"/>
    </row>
    <row r="52" spans="1:8" ht="17.100000000000001" customHeight="1" x14ac:dyDescent="0.2">
      <c r="A52" s="3">
        <v>1</v>
      </c>
      <c r="B52" s="4" t="s">
        <v>618</v>
      </c>
      <c r="C52" s="4" t="s">
        <v>1062</v>
      </c>
      <c r="D52" s="4"/>
      <c r="E52" s="5">
        <v>200000</v>
      </c>
      <c r="F52" s="6">
        <v>1.9999999999999999E-6</v>
      </c>
      <c r="G52" s="8" t="s">
        <v>118</v>
      </c>
      <c r="H52" s="6"/>
    </row>
    <row r="53" spans="1:8" ht="17.100000000000001" customHeight="1" x14ac:dyDescent="0.2">
      <c r="A53" s="3">
        <v>2</v>
      </c>
      <c r="B53" s="4" t="s">
        <v>617</v>
      </c>
      <c r="C53" s="4" t="s">
        <v>1063</v>
      </c>
      <c r="D53" s="4"/>
      <c r="E53" s="5">
        <v>50000</v>
      </c>
      <c r="F53" s="6">
        <v>4.9999999999999998E-7</v>
      </c>
      <c r="G53" s="8" t="s">
        <v>118</v>
      </c>
      <c r="H53" s="6"/>
    </row>
    <row r="54" spans="1:8" ht="17.100000000000001" customHeight="1" x14ac:dyDescent="0.2">
      <c r="A54" s="3">
        <v>3</v>
      </c>
      <c r="B54" s="4" t="s">
        <v>619</v>
      </c>
      <c r="C54" s="4" t="s">
        <v>1064</v>
      </c>
      <c r="D54" s="4"/>
      <c r="E54" s="5">
        <v>50000</v>
      </c>
      <c r="F54" s="6">
        <v>4.9999999999999998E-7</v>
      </c>
      <c r="G54" s="8" t="s">
        <v>118</v>
      </c>
      <c r="H54" s="6"/>
    </row>
    <row r="55" spans="1:8" ht="17.100000000000001" customHeight="1" x14ac:dyDescent="0.2">
      <c r="A55" s="3">
        <v>4</v>
      </c>
      <c r="B55" s="4" t="s">
        <v>620</v>
      </c>
      <c r="C55" s="4" t="s">
        <v>1065</v>
      </c>
      <c r="D55" s="4"/>
      <c r="E55" s="5">
        <v>20</v>
      </c>
      <c r="F55" s="6">
        <v>0</v>
      </c>
      <c r="G55" s="8" t="s">
        <v>118</v>
      </c>
      <c r="H55" s="6"/>
    </row>
    <row r="56" spans="1:8" ht="14.1" customHeight="1" x14ac:dyDescent="0.2">
      <c r="A56" s="1"/>
      <c r="B56" s="1"/>
      <c r="C56" s="2" t="s">
        <v>119</v>
      </c>
      <c r="D56" s="1"/>
      <c r="E56" s="1" t="s">
        <v>120</v>
      </c>
      <c r="F56" s="13">
        <v>0</v>
      </c>
      <c r="G56" s="14">
        <v>0</v>
      </c>
      <c r="H56" s="6"/>
    </row>
    <row r="57" spans="1:8" ht="14.1" customHeight="1" x14ac:dyDescent="0.2">
      <c r="A57" s="1"/>
      <c r="B57" s="1"/>
      <c r="C57" s="11"/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123</v>
      </c>
      <c r="D58" s="1"/>
      <c r="E58" s="1"/>
      <c r="F58" s="1"/>
      <c r="G58" s="1"/>
      <c r="H58" s="6"/>
    </row>
    <row r="59" spans="1:8" ht="14.1" customHeight="1" x14ac:dyDescent="0.2">
      <c r="A59" s="1"/>
      <c r="B59" s="1"/>
      <c r="C59" s="2" t="s">
        <v>119</v>
      </c>
      <c r="D59" s="1"/>
      <c r="E59" s="1" t="s">
        <v>120</v>
      </c>
      <c r="F59" s="13">
        <v>0</v>
      </c>
      <c r="G59" s="14">
        <v>0</v>
      </c>
      <c r="H59" s="6"/>
    </row>
    <row r="60" spans="1:8" ht="14.1" customHeight="1" x14ac:dyDescent="0.2">
      <c r="A60" s="1"/>
      <c r="B60" s="1"/>
      <c r="C60" s="11"/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124</v>
      </c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119</v>
      </c>
      <c r="D62" s="1"/>
      <c r="E62" s="1" t="s">
        <v>120</v>
      </c>
      <c r="F62" s="13">
        <v>0</v>
      </c>
      <c r="G62" s="14">
        <v>0</v>
      </c>
      <c r="H62" s="6"/>
    </row>
    <row r="63" spans="1:8" ht="14.1" customHeight="1" x14ac:dyDescent="0.2">
      <c r="A63" s="1"/>
      <c r="B63" s="1"/>
      <c r="C63" s="11"/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125</v>
      </c>
      <c r="D64" s="1"/>
      <c r="E64" s="1"/>
      <c r="F64" s="12"/>
      <c r="G64" s="12"/>
      <c r="H64" s="6"/>
    </row>
    <row r="65" spans="1:15" ht="14.1" customHeight="1" x14ac:dyDescent="0.2">
      <c r="A65" s="1"/>
      <c r="B65" s="1"/>
      <c r="C65" s="2" t="s">
        <v>119</v>
      </c>
      <c r="D65" s="1"/>
      <c r="E65" s="1" t="s">
        <v>120</v>
      </c>
      <c r="F65" s="13">
        <v>0</v>
      </c>
      <c r="G65" s="14">
        <v>0</v>
      </c>
      <c r="H65" s="6"/>
    </row>
    <row r="66" spans="1:15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15" ht="18" customHeight="1" x14ac:dyDescent="0.2">
      <c r="A67" s="1"/>
      <c r="B67" s="1"/>
      <c r="C67" s="2" t="s">
        <v>126</v>
      </c>
      <c r="D67" s="1"/>
      <c r="E67" s="1"/>
      <c r="F67" s="9">
        <v>24838.184249999998</v>
      </c>
      <c r="G67" s="10">
        <v>0.90115907399999995</v>
      </c>
      <c r="H67" s="6"/>
    </row>
    <row r="68" spans="1:15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15" ht="14.1" customHeight="1" x14ac:dyDescent="0.2">
      <c r="A69" s="1"/>
      <c r="B69" s="1"/>
      <c r="C69" s="2" t="s">
        <v>127</v>
      </c>
      <c r="D69" s="1"/>
      <c r="E69" s="1"/>
      <c r="F69" s="12"/>
      <c r="G69" s="12"/>
      <c r="H69" s="6"/>
      <c r="J69" s="103"/>
      <c r="K69" s="103"/>
      <c r="L69" s="103"/>
      <c r="M69" s="103"/>
      <c r="N69" s="103"/>
      <c r="O69" s="103"/>
    </row>
    <row r="70" spans="1:15" ht="24" customHeight="1" x14ac:dyDescent="0.2">
      <c r="A70" s="1"/>
      <c r="B70" s="1"/>
      <c r="C70" s="2" t="s">
        <v>10</v>
      </c>
      <c r="D70" s="1"/>
      <c r="E70" s="1"/>
      <c r="F70" s="12"/>
      <c r="G70" s="12"/>
      <c r="H70" s="6"/>
    </row>
    <row r="71" spans="1:15" ht="29.1" customHeight="1" x14ac:dyDescent="0.2">
      <c r="A71" s="3">
        <v>1</v>
      </c>
      <c r="B71" s="4" t="s">
        <v>621</v>
      </c>
      <c r="C71" s="4" t="s">
        <v>622</v>
      </c>
      <c r="D71" s="4" t="s">
        <v>623</v>
      </c>
      <c r="E71" s="5">
        <v>4200</v>
      </c>
      <c r="F71" s="6">
        <v>1.1872560000000001</v>
      </c>
      <c r="G71" s="8" t="s">
        <v>118</v>
      </c>
      <c r="H71" s="6">
        <v>6.89</v>
      </c>
    </row>
    <row r="72" spans="1:15" ht="14.1" customHeight="1" x14ac:dyDescent="0.2">
      <c r="A72" s="1"/>
      <c r="B72" s="1"/>
      <c r="C72" s="2" t="s">
        <v>119</v>
      </c>
      <c r="D72" s="1"/>
      <c r="E72" s="1" t="s">
        <v>120</v>
      </c>
      <c r="F72" s="9">
        <v>1.1872560000000001</v>
      </c>
      <c r="G72" s="10">
        <v>4.3074999999999997E-5</v>
      </c>
      <c r="H72" s="6"/>
    </row>
    <row r="73" spans="1:15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15" ht="14.1" customHeight="1" x14ac:dyDescent="0.2">
      <c r="A74" s="1"/>
      <c r="B74" s="1"/>
      <c r="C74" s="2" t="s">
        <v>128</v>
      </c>
      <c r="D74" s="1"/>
      <c r="E74" s="1"/>
      <c r="F74" s="1"/>
      <c r="G74" s="1"/>
      <c r="H74" s="6"/>
    </row>
    <row r="75" spans="1:15" ht="14.1" customHeight="1" x14ac:dyDescent="0.2">
      <c r="A75" s="1"/>
      <c r="B75" s="1"/>
      <c r="C75" s="2" t="s">
        <v>119</v>
      </c>
      <c r="D75" s="1"/>
      <c r="E75" s="1" t="s">
        <v>120</v>
      </c>
      <c r="F75" s="13">
        <v>0</v>
      </c>
      <c r="G75" s="14">
        <v>0</v>
      </c>
      <c r="H75" s="6"/>
    </row>
    <row r="76" spans="1:15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15" ht="14.1" customHeight="1" x14ac:dyDescent="0.2">
      <c r="A77" s="1"/>
      <c r="B77" s="1"/>
      <c r="C77" s="2" t="s">
        <v>129</v>
      </c>
      <c r="D77" s="1"/>
      <c r="E77" s="1"/>
      <c r="F77" s="1"/>
      <c r="G77" s="1"/>
      <c r="H77" s="6"/>
    </row>
    <row r="78" spans="1:15" ht="14.1" customHeight="1" x14ac:dyDescent="0.2">
      <c r="A78" s="1"/>
      <c r="B78" s="1"/>
      <c r="C78" s="2" t="s">
        <v>119</v>
      </c>
      <c r="D78" s="1"/>
      <c r="E78" s="1" t="s">
        <v>120</v>
      </c>
      <c r="F78" s="13">
        <v>0</v>
      </c>
      <c r="G78" s="14">
        <v>0</v>
      </c>
      <c r="H78" s="6"/>
    </row>
    <row r="79" spans="1:15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15" ht="14.1" customHeight="1" x14ac:dyDescent="0.2">
      <c r="A80" s="1"/>
      <c r="B80" s="1"/>
      <c r="C80" s="2" t="s">
        <v>130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119</v>
      </c>
      <c r="D81" s="1"/>
      <c r="E81" s="1" t="s">
        <v>120</v>
      </c>
      <c r="F81" s="13">
        <v>0</v>
      </c>
      <c r="G81" s="14">
        <v>0</v>
      </c>
      <c r="H81" s="6"/>
    </row>
    <row r="82" spans="1:8" ht="14.1" customHeight="1" x14ac:dyDescent="0.2">
      <c r="A82" s="1"/>
      <c r="B82" s="1"/>
      <c r="C82" s="11"/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131</v>
      </c>
      <c r="D83" s="1"/>
      <c r="E83" s="1"/>
      <c r="F83" s="9">
        <v>1.1872560000000001</v>
      </c>
      <c r="G83" s="10">
        <v>4.3074999999999997E-5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132</v>
      </c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133</v>
      </c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ht="14.1" customHeight="1" x14ac:dyDescent="0.2">
      <c r="A88" s="1"/>
      <c r="B88" s="1"/>
      <c r="C88" s="11"/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134</v>
      </c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119</v>
      </c>
      <c r="D90" s="1"/>
      <c r="E90" s="1" t="s">
        <v>120</v>
      </c>
      <c r="F90" s="13">
        <v>0</v>
      </c>
      <c r="G90" s="14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135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136</v>
      </c>
      <c r="D95" s="1"/>
      <c r="E95" s="1"/>
      <c r="F95" s="12"/>
      <c r="G95" s="12"/>
      <c r="H95" s="6"/>
    </row>
    <row r="96" spans="1:8" ht="17.100000000000001" customHeight="1" x14ac:dyDescent="0.2">
      <c r="A96" s="3">
        <v>1</v>
      </c>
      <c r="B96" s="4"/>
      <c r="C96" s="4" t="s">
        <v>137</v>
      </c>
      <c r="D96" s="4"/>
      <c r="E96" s="8"/>
      <c r="F96" s="6">
        <v>2687.6256517000002</v>
      </c>
      <c r="G96" s="7">
        <v>9.7510277000000006E-2</v>
      </c>
      <c r="H96" s="6">
        <v>4.1713246754849944</v>
      </c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9">
        <v>2687.6256517000002</v>
      </c>
      <c r="G97" s="10">
        <v>9.7510277000000006E-2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138</v>
      </c>
      <c r="D99" s="1"/>
      <c r="E99" s="1"/>
      <c r="F99" s="9">
        <v>2687.6256517000002</v>
      </c>
      <c r="G99" s="10">
        <v>9.7510277000000006E-2</v>
      </c>
      <c r="H99" s="6"/>
    </row>
    <row r="100" spans="1:8" ht="14.1" customHeight="1" x14ac:dyDescent="0.2">
      <c r="A100" s="1"/>
      <c r="B100" s="1"/>
      <c r="C100" s="12"/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139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140</v>
      </c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141</v>
      </c>
      <c r="D105" s="1"/>
      <c r="E105" s="1"/>
      <c r="F105" s="1"/>
      <c r="G105" s="1"/>
      <c r="H105" s="6"/>
    </row>
    <row r="106" spans="1:8" ht="14.1" customHeight="1" x14ac:dyDescent="0.2">
      <c r="A106" s="1"/>
      <c r="B106" s="1"/>
      <c r="C106" s="2" t="s">
        <v>142</v>
      </c>
      <c r="D106" s="1"/>
      <c r="E106" s="1"/>
      <c r="F106" s="1"/>
      <c r="G106" s="1"/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13">
        <v>0</v>
      </c>
      <c r="G107" s="14">
        <v>0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11"/>
      <c r="D109" s="1"/>
      <c r="E109" s="1"/>
      <c r="F109" s="12"/>
      <c r="G109" s="12"/>
      <c r="H109" s="6"/>
    </row>
    <row r="110" spans="1:8" ht="24" customHeight="1" x14ac:dyDescent="0.2">
      <c r="A110" s="1"/>
      <c r="B110" s="1"/>
      <c r="C110" s="2" t="s">
        <v>143</v>
      </c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119</v>
      </c>
      <c r="D111" s="1"/>
      <c r="E111" s="1" t="s">
        <v>120</v>
      </c>
      <c r="F111" s="13">
        <v>0</v>
      </c>
      <c r="G111" s="14">
        <v>0</v>
      </c>
      <c r="H111" s="6"/>
    </row>
    <row r="112" spans="1:8" ht="14.1" customHeight="1" x14ac:dyDescent="0.2">
      <c r="A112" s="1"/>
      <c r="B112" s="1"/>
      <c r="C112" s="11"/>
      <c r="D112" s="1"/>
      <c r="E112" s="1"/>
      <c r="F112" s="12"/>
      <c r="G112" s="12"/>
      <c r="H112" s="6"/>
    </row>
    <row r="113" spans="1:16" ht="14.1" customHeight="1" x14ac:dyDescent="0.2">
      <c r="A113" s="1"/>
      <c r="B113" s="4"/>
      <c r="C113" s="4"/>
      <c r="D113" s="2"/>
      <c r="E113" s="1"/>
      <c r="F113" s="4"/>
      <c r="G113" s="8"/>
      <c r="H113" s="6"/>
    </row>
    <row r="114" spans="1:16" ht="18" customHeight="1" x14ac:dyDescent="0.2">
      <c r="A114" s="8"/>
      <c r="B114" s="4"/>
      <c r="C114" s="4" t="s">
        <v>1114</v>
      </c>
      <c r="D114" s="4"/>
      <c r="E114" s="8"/>
      <c r="F114" s="6">
        <v>35.488815440000003</v>
      </c>
      <c r="G114" s="7">
        <v>1.287577E-3</v>
      </c>
      <c r="H114" s="6"/>
    </row>
    <row r="115" spans="1:16" ht="14.1" customHeight="1" x14ac:dyDescent="0.2">
      <c r="A115" s="11"/>
      <c r="B115" s="11"/>
      <c r="C115" s="2" t="s">
        <v>145</v>
      </c>
      <c r="D115" s="15"/>
      <c r="E115" s="15"/>
      <c r="F115" s="9">
        <v>27562.485973139999</v>
      </c>
      <c r="G115" s="10">
        <v>1.000000003</v>
      </c>
      <c r="H115" s="6"/>
    </row>
    <row r="116" spans="1:16" ht="14.1" customHeight="1" x14ac:dyDescent="0.2">
      <c r="A116" s="16"/>
      <c r="B116" s="16"/>
      <c r="C116" s="16"/>
      <c r="D116" s="17"/>
      <c r="E116" s="17"/>
      <c r="F116" s="17"/>
      <c r="G116" s="17"/>
    </row>
    <row r="117" spans="1:16" s="103" customFormat="1" ht="17.100000000000001" customHeight="1" x14ac:dyDescent="0.2">
      <c r="A117" s="161"/>
      <c r="B117" s="299" t="s">
        <v>942</v>
      </c>
      <c r="C117" s="299"/>
      <c r="D117" s="299"/>
      <c r="E117" s="299"/>
      <c r="F117" s="299"/>
      <c r="G117" s="162"/>
      <c r="H117"/>
      <c r="I117"/>
      <c r="J117"/>
      <c r="K117"/>
      <c r="L117"/>
      <c r="M117"/>
      <c r="N117"/>
      <c r="O117"/>
      <c r="P117"/>
    </row>
    <row r="118" spans="1:16" ht="17.100000000000001" customHeight="1" x14ac:dyDescent="0.2">
      <c r="A118" s="18"/>
      <c r="B118" s="267" t="s">
        <v>624</v>
      </c>
      <c r="C118" s="267"/>
      <c r="D118" s="267"/>
      <c r="E118" s="267"/>
      <c r="F118" s="267"/>
      <c r="G118" s="20"/>
    </row>
    <row r="119" spans="1:16" ht="17.100000000000001" customHeight="1" x14ac:dyDescent="0.2">
      <c r="A119" s="18"/>
      <c r="B119" s="267" t="s">
        <v>146</v>
      </c>
      <c r="C119" s="267"/>
      <c r="D119" s="267"/>
      <c r="E119" s="267"/>
      <c r="F119" s="267"/>
      <c r="G119" s="20"/>
      <c r="P119" s="103"/>
    </row>
    <row r="120" spans="1:16" ht="14.1" customHeight="1" x14ac:dyDescent="0.2">
      <c r="A120" s="18"/>
      <c r="B120" s="18"/>
      <c r="C120" s="18"/>
      <c r="D120" s="20"/>
      <c r="E120" s="20"/>
      <c r="F120" s="20"/>
      <c r="G120" s="20"/>
    </row>
    <row r="121" spans="1:16" ht="14.1" customHeight="1" x14ac:dyDescent="0.2">
      <c r="A121" s="18"/>
      <c r="B121" s="265" t="s">
        <v>147</v>
      </c>
      <c r="C121" s="266"/>
      <c r="D121" s="12" t="s">
        <v>120</v>
      </c>
      <c r="E121" s="21"/>
      <c r="F121" s="20"/>
      <c r="G121" s="20"/>
    </row>
    <row r="122" spans="1:16" ht="29.1" customHeight="1" x14ac:dyDescent="0.2">
      <c r="A122" s="18"/>
      <c r="B122" s="272" t="s">
        <v>148</v>
      </c>
      <c r="C122" s="273"/>
      <c r="D122" s="2" t="s">
        <v>1101</v>
      </c>
      <c r="E122" s="21"/>
      <c r="F122" s="20"/>
      <c r="G122" s="20"/>
    </row>
    <row r="123" spans="1:16" ht="17.100000000000001" customHeight="1" x14ac:dyDescent="0.2">
      <c r="A123" s="18"/>
      <c r="B123" s="272" t="s">
        <v>1066</v>
      </c>
      <c r="C123" s="273"/>
      <c r="D123" s="111" t="s">
        <v>998</v>
      </c>
      <c r="E123" s="21"/>
      <c r="F123" s="20"/>
      <c r="G123" s="20"/>
    </row>
    <row r="124" spans="1:16" ht="17.100000000000001" customHeight="1" x14ac:dyDescent="0.2">
      <c r="A124" s="18"/>
      <c r="B124" s="272" t="s">
        <v>151</v>
      </c>
      <c r="C124" s="273"/>
      <c r="D124" s="12" t="s">
        <v>120</v>
      </c>
      <c r="E124" s="21"/>
      <c r="F124" s="20"/>
      <c r="G124" s="20"/>
    </row>
    <row r="125" spans="1:16" ht="24" customHeight="1" x14ac:dyDescent="0.2">
      <c r="A125" s="22"/>
      <c r="B125" s="23" t="s">
        <v>120</v>
      </c>
      <c r="C125" s="23" t="s">
        <v>152</v>
      </c>
      <c r="D125" s="23" t="s">
        <v>153</v>
      </c>
      <c r="E125" s="22"/>
      <c r="F125" s="22"/>
      <c r="G125" s="22"/>
    </row>
    <row r="126" spans="1:16" ht="18" customHeight="1" x14ac:dyDescent="0.2">
      <c r="A126" s="22"/>
      <c r="B126" s="23" t="s">
        <v>154</v>
      </c>
      <c r="C126" s="23" t="s">
        <v>155</v>
      </c>
      <c r="D126" s="23" t="s">
        <v>156</v>
      </c>
      <c r="E126" s="22"/>
      <c r="F126" s="22"/>
      <c r="G126" s="22"/>
    </row>
    <row r="127" spans="1:16" ht="17.100000000000001" customHeight="1" x14ac:dyDescent="0.2">
      <c r="A127" s="22"/>
      <c r="B127" s="4" t="s">
        <v>157</v>
      </c>
      <c r="C127" s="24">
        <v>88.303700000000006</v>
      </c>
      <c r="D127" s="24">
        <v>86.021100000000004</v>
      </c>
      <c r="E127" s="22"/>
      <c r="F127" s="19"/>
      <c r="G127" s="25"/>
    </row>
    <row r="128" spans="1:16" ht="29.1" customHeight="1" x14ac:dyDescent="0.2">
      <c r="A128" s="22"/>
      <c r="B128" s="4" t="s">
        <v>1123</v>
      </c>
      <c r="C128" s="24">
        <v>48.920099999999998</v>
      </c>
      <c r="D128" s="24">
        <v>47.6509</v>
      </c>
      <c r="E128" s="22"/>
      <c r="F128" s="19"/>
      <c r="G128" s="25"/>
    </row>
    <row r="129" spans="1:15" ht="17.100000000000001" customHeight="1" x14ac:dyDescent="0.2">
      <c r="A129" s="22"/>
      <c r="B129" s="4" t="s">
        <v>158</v>
      </c>
      <c r="C129" s="24">
        <v>84.067400000000006</v>
      </c>
      <c r="D129" s="24">
        <v>81.825000000000003</v>
      </c>
      <c r="E129" s="22"/>
      <c r="F129" s="19"/>
      <c r="G129" s="25"/>
    </row>
    <row r="130" spans="1:15" ht="29.1" customHeight="1" x14ac:dyDescent="0.2">
      <c r="A130" s="22"/>
      <c r="B130" s="4" t="s">
        <v>1124</v>
      </c>
      <c r="C130" s="24">
        <v>30.3384</v>
      </c>
      <c r="D130" s="24">
        <v>29.529199999999999</v>
      </c>
      <c r="E130" s="22"/>
      <c r="F130" s="19"/>
      <c r="G130" s="25"/>
    </row>
    <row r="131" spans="1:15" ht="14.1" customHeight="1" x14ac:dyDescent="0.2">
      <c r="A131" s="22"/>
      <c r="B131" s="22"/>
      <c r="C131" s="22"/>
      <c r="D131" s="22"/>
      <c r="E131" s="22"/>
      <c r="F131" s="22"/>
      <c r="G131" s="22"/>
    </row>
    <row r="132" spans="1:15" ht="17.100000000000001" customHeight="1" x14ac:dyDescent="0.2">
      <c r="A132" s="22"/>
      <c r="B132" s="272" t="s">
        <v>1122</v>
      </c>
      <c r="C132" s="273"/>
      <c r="D132" s="2" t="s">
        <v>149</v>
      </c>
      <c r="E132" s="22"/>
      <c r="F132" s="22"/>
      <c r="G132" s="22"/>
    </row>
    <row r="133" spans="1:15" ht="18" customHeight="1" x14ac:dyDescent="0.2">
      <c r="A133" s="22"/>
      <c r="B133" s="26" t="s">
        <v>159</v>
      </c>
      <c r="C133" s="26" t="s">
        <v>159</v>
      </c>
      <c r="D133" s="26"/>
      <c r="E133" s="22"/>
      <c r="F133" s="22"/>
      <c r="G133" s="22"/>
    </row>
    <row r="134" spans="1:15" ht="14.1" customHeight="1" x14ac:dyDescent="0.2">
      <c r="A134" s="22"/>
      <c r="B134" s="19"/>
      <c r="C134" s="25"/>
      <c r="D134" s="22"/>
      <c r="E134" s="22"/>
      <c r="F134" s="19"/>
      <c r="G134" s="25"/>
    </row>
    <row r="135" spans="1:15" ht="14.1" customHeight="1" x14ac:dyDescent="0.2">
      <c r="A135" s="22"/>
      <c r="B135" s="19"/>
      <c r="C135" s="19"/>
      <c r="D135" s="22"/>
      <c r="E135" s="22"/>
      <c r="F135" s="22"/>
      <c r="G135" s="22"/>
    </row>
    <row r="136" spans="1:15" ht="29.1" customHeight="1" x14ac:dyDescent="0.2">
      <c r="A136" s="22"/>
      <c r="B136" s="272" t="s">
        <v>160</v>
      </c>
      <c r="C136" s="273"/>
      <c r="D136" s="2" t="s">
        <v>149</v>
      </c>
      <c r="E136" s="22"/>
      <c r="F136" s="22"/>
      <c r="G136" s="22"/>
    </row>
    <row r="137" spans="1:15" ht="29.1" customHeight="1" x14ac:dyDescent="0.2">
      <c r="A137" s="22"/>
      <c r="B137" s="272" t="s">
        <v>161</v>
      </c>
      <c r="C137" s="273"/>
      <c r="D137" s="2" t="s">
        <v>149</v>
      </c>
      <c r="E137" s="22"/>
      <c r="F137" s="22"/>
      <c r="G137" s="22"/>
    </row>
    <row r="138" spans="1:15" ht="17.100000000000001" customHeight="1" x14ac:dyDescent="0.2">
      <c r="A138" s="22"/>
      <c r="B138" s="272" t="s">
        <v>162</v>
      </c>
      <c r="C138" s="273"/>
      <c r="D138" s="27">
        <v>0.24132168657618933</v>
      </c>
      <c r="E138" s="22"/>
      <c r="F138" s="19"/>
      <c r="G138" s="25"/>
    </row>
    <row r="139" spans="1:15" ht="17.100000000000001" customHeight="1" x14ac:dyDescent="0.2">
      <c r="A139" s="22"/>
      <c r="B139" s="272" t="s">
        <v>163</v>
      </c>
      <c r="C139" s="273"/>
      <c r="D139" s="2" t="s">
        <v>149</v>
      </c>
      <c r="E139" s="22"/>
      <c r="F139" s="22"/>
      <c r="G139" s="22"/>
      <c r="J139" s="103"/>
      <c r="K139" s="103"/>
      <c r="L139" s="103"/>
      <c r="M139" s="103"/>
      <c r="N139" s="103"/>
      <c r="O139" s="103"/>
    </row>
    <row r="140" spans="1:15" x14ac:dyDescent="0.2">
      <c r="J140" s="103"/>
      <c r="K140" s="103"/>
      <c r="L140" s="103"/>
      <c r="M140" s="103"/>
      <c r="N140" s="103"/>
      <c r="O140" s="103"/>
    </row>
    <row r="141" spans="1:15" x14ac:dyDescent="0.2">
      <c r="B141" s="116" t="s">
        <v>1105</v>
      </c>
      <c r="C141" s="116"/>
      <c r="D141" s="116"/>
      <c r="E141" s="146"/>
      <c r="F141" s="139"/>
    </row>
    <row r="142" spans="1:15" ht="38.25" x14ac:dyDescent="0.2">
      <c r="B142" s="147" t="s">
        <v>1076</v>
      </c>
      <c r="C142" s="148" t="s">
        <v>1077</v>
      </c>
      <c r="D142" s="148" t="s">
        <v>1078</v>
      </c>
      <c r="E142" s="148" t="s">
        <v>1079</v>
      </c>
      <c r="F142" s="148" t="s">
        <v>1080</v>
      </c>
      <c r="J142" s="170"/>
      <c r="K142" s="170"/>
      <c r="L142" s="170"/>
      <c r="M142" s="170"/>
      <c r="N142" s="170"/>
      <c r="O142" s="170"/>
    </row>
    <row r="143" spans="1:15" x14ac:dyDescent="0.2">
      <c r="B143" s="149" t="s">
        <v>1098</v>
      </c>
      <c r="C143" s="150" t="s">
        <v>1099</v>
      </c>
      <c r="D143" s="151">
        <v>0</v>
      </c>
      <c r="E143" s="152">
        <v>0</v>
      </c>
      <c r="F143" s="153">
        <v>241.97234</v>
      </c>
      <c r="I143" s="103"/>
    </row>
    <row r="144" spans="1:15" x14ac:dyDescent="0.2">
      <c r="B144" s="149" t="s">
        <v>1100</v>
      </c>
      <c r="C144" s="150" t="s">
        <v>1099</v>
      </c>
      <c r="D144" s="151">
        <v>0</v>
      </c>
      <c r="E144" s="152">
        <v>0</v>
      </c>
      <c r="F144" s="153">
        <v>23.186299999999999</v>
      </c>
    </row>
    <row r="145" spans="9:9" x14ac:dyDescent="0.2">
      <c r="I145" s="170"/>
    </row>
  </sheetData>
  <mergeCells count="16">
    <mergeCell ref="A1:H1"/>
    <mergeCell ref="A2:H2"/>
    <mergeCell ref="A3:H3"/>
    <mergeCell ref="B138:C138"/>
    <mergeCell ref="B139:C139"/>
    <mergeCell ref="B122:C122"/>
    <mergeCell ref="B123:C123"/>
    <mergeCell ref="B124:C124"/>
    <mergeCell ref="B132:C132"/>
    <mergeCell ref="B136:C136"/>
    <mergeCell ref="B137:C137"/>
    <mergeCell ref="J2:N2"/>
    <mergeCell ref="B121:C121"/>
    <mergeCell ref="B118:F118"/>
    <mergeCell ref="B119:F119"/>
    <mergeCell ref="B117:F117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19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5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5" ht="17.100000000000001" customHeight="1" x14ac:dyDescent="0.2">
      <c r="A2" s="269" t="s">
        <v>1135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5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5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5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5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5" ht="17.100000000000001" customHeight="1" x14ac:dyDescent="0.2">
      <c r="A7" s="3">
        <v>1</v>
      </c>
      <c r="B7" s="4" t="s">
        <v>374</v>
      </c>
      <c r="C7" s="4" t="s">
        <v>375</v>
      </c>
      <c r="D7" s="4" t="s">
        <v>19</v>
      </c>
      <c r="E7" s="5">
        <v>208423</v>
      </c>
      <c r="F7" s="6">
        <v>2894.8912584999998</v>
      </c>
      <c r="G7" s="7">
        <v>7.7314627999999996E-2</v>
      </c>
      <c r="H7" s="6"/>
    </row>
    <row r="8" spans="1:15" ht="17.100000000000001" customHeight="1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274558</v>
      </c>
      <c r="F8" s="6">
        <v>2067.0099030000001</v>
      </c>
      <c r="G8" s="7">
        <v>5.5204180999999998E-2</v>
      </c>
      <c r="H8" s="6"/>
    </row>
    <row r="9" spans="1:15" ht="17.100000000000001" customHeight="1" x14ac:dyDescent="0.2">
      <c r="A9" s="3">
        <v>3</v>
      </c>
      <c r="B9" s="4" t="s">
        <v>427</v>
      </c>
      <c r="C9" s="4" t="s">
        <v>428</v>
      </c>
      <c r="D9" s="4" t="s">
        <v>994</v>
      </c>
      <c r="E9" s="5">
        <v>132600</v>
      </c>
      <c r="F9" s="6">
        <v>1565.0115000000001</v>
      </c>
      <c r="G9" s="7">
        <v>4.1797176999999998E-2</v>
      </c>
      <c r="H9" s="6"/>
    </row>
    <row r="10" spans="1:15" ht="17.100000000000001" customHeight="1" x14ac:dyDescent="0.2">
      <c r="A10" s="3">
        <v>4</v>
      </c>
      <c r="B10" s="4" t="s">
        <v>406</v>
      </c>
      <c r="C10" s="4" t="s">
        <v>407</v>
      </c>
      <c r="D10" s="4" t="s">
        <v>994</v>
      </c>
      <c r="E10" s="5">
        <v>94100</v>
      </c>
      <c r="F10" s="6">
        <v>1414.8876</v>
      </c>
      <c r="G10" s="7">
        <v>3.7787778000000001E-2</v>
      </c>
      <c r="H10" s="6"/>
    </row>
    <row r="11" spans="1:15" ht="17.100000000000001" customHeight="1" x14ac:dyDescent="0.2">
      <c r="A11" s="3">
        <v>5</v>
      </c>
      <c r="B11" s="4" t="s">
        <v>416</v>
      </c>
      <c r="C11" s="4" t="s">
        <v>417</v>
      </c>
      <c r="D11" s="4" t="s">
        <v>418</v>
      </c>
      <c r="E11" s="5">
        <v>48458</v>
      </c>
      <c r="F11" s="6">
        <v>1140.3378849999999</v>
      </c>
      <c r="G11" s="7">
        <v>3.0455306000000001E-2</v>
      </c>
      <c r="H11" s="6"/>
    </row>
    <row r="12" spans="1:15" ht="17.100000000000001" customHeight="1" x14ac:dyDescent="0.2">
      <c r="A12" s="3">
        <v>6</v>
      </c>
      <c r="B12" s="4" t="s">
        <v>50</v>
      </c>
      <c r="C12" s="4" t="s">
        <v>51</v>
      </c>
      <c r="D12" s="4" t="s">
        <v>19</v>
      </c>
      <c r="E12" s="5">
        <v>237812</v>
      </c>
      <c r="F12" s="6">
        <v>1113.1979719999999</v>
      </c>
      <c r="G12" s="7">
        <v>2.9730473E-2</v>
      </c>
      <c r="H12" s="6"/>
    </row>
    <row r="13" spans="1:15" ht="53.1" customHeight="1" x14ac:dyDescent="0.2">
      <c r="A13" s="3">
        <v>7</v>
      </c>
      <c r="B13" s="4" t="s">
        <v>73</v>
      </c>
      <c r="C13" s="4" t="s">
        <v>74</v>
      </c>
      <c r="D13" s="4" t="s">
        <v>75</v>
      </c>
      <c r="E13" s="5">
        <v>746089</v>
      </c>
      <c r="F13" s="6">
        <v>1025.8723749999999</v>
      </c>
      <c r="G13" s="7">
        <v>2.7398245000000002E-2</v>
      </c>
      <c r="H13" s="6"/>
      <c r="J13" s="169" t="s">
        <v>1155</v>
      </c>
      <c r="K13" s="176"/>
      <c r="L13" s="176"/>
      <c r="M13" s="176"/>
      <c r="N13" s="176"/>
      <c r="O13" s="176"/>
    </row>
    <row r="14" spans="1:15" ht="29.1" customHeight="1" x14ac:dyDescent="0.2">
      <c r="A14" s="3">
        <v>8</v>
      </c>
      <c r="B14" s="4" t="s">
        <v>408</v>
      </c>
      <c r="C14" s="4" t="s">
        <v>409</v>
      </c>
      <c r="D14" s="4" t="s">
        <v>85</v>
      </c>
      <c r="E14" s="5">
        <v>44400</v>
      </c>
      <c r="F14" s="6">
        <v>1024.1969999999999</v>
      </c>
      <c r="G14" s="7">
        <v>2.7353500999999999E-2</v>
      </c>
      <c r="H14" s="6"/>
    </row>
    <row r="15" spans="1:15" ht="17.100000000000001" customHeight="1" x14ac:dyDescent="0.2">
      <c r="A15" s="3">
        <v>9</v>
      </c>
      <c r="B15" s="4" t="s">
        <v>319</v>
      </c>
      <c r="C15" s="4" t="s">
        <v>320</v>
      </c>
      <c r="D15" s="4" t="s">
        <v>19</v>
      </c>
      <c r="E15" s="5">
        <v>121365</v>
      </c>
      <c r="F15" s="6">
        <v>831.59298000000001</v>
      </c>
      <c r="G15" s="7">
        <v>2.2209573999999999E-2</v>
      </c>
      <c r="H15" s="6"/>
    </row>
    <row r="16" spans="1:15" ht="17.100000000000001" customHeight="1" x14ac:dyDescent="0.2">
      <c r="A16" s="3">
        <v>10</v>
      </c>
      <c r="B16" s="4" t="s">
        <v>447</v>
      </c>
      <c r="C16" s="4" t="s">
        <v>448</v>
      </c>
      <c r="D16" s="4" t="s">
        <v>85</v>
      </c>
      <c r="E16" s="5">
        <v>13125</v>
      </c>
      <c r="F16" s="6">
        <v>798.28218749999996</v>
      </c>
      <c r="G16" s="7">
        <v>2.1319933999999999E-2</v>
      </c>
      <c r="H16" s="6"/>
    </row>
    <row r="17" spans="1:15" ht="17.100000000000001" customHeight="1" x14ac:dyDescent="0.2">
      <c r="A17" s="3">
        <v>11</v>
      </c>
      <c r="B17" s="4" t="s">
        <v>26</v>
      </c>
      <c r="C17" s="4" t="s">
        <v>27</v>
      </c>
      <c r="D17" s="4" t="s">
        <v>28</v>
      </c>
      <c r="E17" s="5">
        <v>31514</v>
      </c>
      <c r="F17" s="6">
        <v>769.50885200000005</v>
      </c>
      <c r="G17" s="7">
        <v>2.0551476999999999E-2</v>
      </c>
      <c r="H17" s="6"/>
    </row>
    <row r="18" spans="1:15" ht="17.100000000000001" customHeight="1" x14ac:dyDescent="0.2">
      <c r="A18" s="3">
        <v>12</v>
      </c>
      <c r="B18" s="4" t="s">
        <v>14</v>
      </c>
      <c r="C18" s="4" t="s">
        <v>15</v>
      </c>
      <c r="D18" s="4" t="s">
        <v>16</v>
      </c>
      <c r="E18" s="5">
        <v>19000</v>
      </c>
      <c r="F18" s="6">
        <v>500.20350000000002</v>
      </c>
      <c r="G18" s="7">
        <v>1.3359067000000001E-2</v>
      </c>
      <c r="H18" s="6"/>
    </row>
    <row r="19" spans="1:15" ht="17.100000000000001" customHeight="1" x14ac:dyDescent="0.2">
      <c r="A19" s="3">
        <v>13</v>
      </c>
      <c r="B19" s="4" t="s">
        <v>11</v>
      </c>
      <c r="C19" s="4" t="s">
        <v>12</v>
      </c>
      <c r="D19" s="4" t="s">
        <v>13</v>
      </c>
      <c r="E19" s="5">
        <v>27750</v>
      </c>
      <c r="F19" s="6">
        <v>459.12374999999997</v>
      </c>
      <c r="G19" s="7">
        <v>1.2261940000000001E-2</v>
      </c>
      <c r="H19" s="6"/>
    </row>
    <row r="20" spans="1:15" ht="17.100000000000001" customHeight="1" x14ac:dyDescent="0.2">
      <c r="A20" s="3">
        <v>14</v>
      </c>
      <c r="B20" s="4" t="s">
        <v>545</v>
      </c>
      <c r="C20" s="4" t="s">
        <v>1113</v>
      </c>
      <c r="D20" s="4" t="s">
        <v>396</v>
      </c>
      <c r="E20" s="5">
        <v>197230</v>
      </c>
      <c r="F20" s="6">
        <v>420.19851499999999</v>
      </c>
      <c r="G20" s="7">
        <v>1.1222352999999999E-2</v>
      </c>
      <c r="H20" s="6"/>
    </row>
    <row r="21" spans="1:15" ht="17.100000000000001" customHeight="1" x14ac:dyDescent="0.2">
      <c r="A21" s="3">
        <v>15</v>
      </c>
      <c r="B21" s="4" t="s">
        <v>626</v>
      </c>
      <c r="C21" s="4" t="s">
        <v>627</v>
      </c>
      <c r="D21" s="4" t="s">
        <v>994</v>
      </c>
      <c r="E21" s="5">
        <v>9750</v>
      </c>
      <c r="F21" s="6">
        <v>414.73575</v>
      </c>
      <c r="G21" s="7">
        <v>1.1076458000000001E-2</v>
      </c>
      <c r="H21" s="6"/>
    </row>
    <row r="22" spans="1:15" ht="17.100000000000001" customHeight="1" x14ac:dyDescent="0.2">
      <c r="A22" s="3">
        <v>16</v>
      </c>
      <c r="B22" s="4" t="s">
        <v>461</v>
      </c>
      <c r="C22" s="4" t="s">
        <v>462</v>
      </c>
      <c r="D22" s="4" t="s">
        <v>396</v>
      </c>
      <c r="E22" s="5">
        <v>5000</v>
      </c>
      <c r="F22" s="6">
        <v>398.3175</v>
      </c>
      <c r="G22" s="7">
        <v>1.0637971E-2</v>
      </c>
      <c r="H22" s="6"/>
    </row>
    <row r="23" spans="1:15" ht="17.100000000000001" customHeight="1" x14ac:dyDescent="0.2">
      <c r="A23" s="3">
        <v>17</v>
      </c>
      <c r="B23" s="4" t="s">
        <v>539</v>
      </c>
      <c r="C23" s="4" t="s">
        <v>540</v>
      </c>
      <c r="D23" s="4" t="s">
        <v>181</v>
      </c>
      <c r="E23" s="5">
        <v>10000</v>
      </c>
      <c r="F23" s="6">
        <v>392.29</v>
      </c>
      <c r="G23" s="7">
        <v>1.0476993E-2</v>
      </c>
      <c r="H23" s="6"/>
    </row>
    <row r="24" spans="1:15" ht="17.100000000000001" customHeight="1" x14ac:dyDescent="0.2">
      <c r="A24" s="3">
        <v>18</v>
      </c>
      <c r="B24" s="4" t="s">
        <v>443</v>
      </c>
      <c r="C24" s="4" t="s">
        <v>444</v>
      </c>
      <c r="D24" s="4" t="s">
        <v>19</v>
      </c>
      <c r="E24" s="5">
        <v>182215</v>
      </c>
      <c r="F24" s="6">
        <v>373.54075</v>
      </c>
      <c r="G24" s="7">
        <v>9.9762519999999997E-3</v>
      </c>
      <c r="H24" s="6"/>
    </row>
    <row r="25" spans="1:15" ht="29.1" customHeight="1" x14ac:dyDescent="0.2">
      <c r="A25" s="3">
        <v>19</v>
      </c>
      <c r="B25" s="4" t="s">
        <v>628</v>
      </c>
      <c r="C25" s="4" t="s">
        <v>629</v>
      </c>
      <c r="D25" s="4" t="s">
        <v>219</v>
      </c>
      <c r="E25" s="5">
        <v>20000</v>
      </c>
      <c r="F25" s="6">
        <v>349.73</v>
      </c>
      <c r="G25" s="7">
        <v>9.3403319999999998E-3</v>
      </c>
      <c r="H25" s="6"/>
    </row>
    <row r="26" spans="1:15" ht="29.1" customHeight="1" x14ac:dyDescent="0.2">
      <c r="A26" s="3">
        <v>20</v>
      </c>
      <c r="B26" s="4" t="s">
        <v>192</v>
      </c>
      <c r="C26" s="4" t="s">
        <v>193</v>
      </c>
      <c r="D26" s="4" t="s">
        <v>80</v>
      </c>
      <c r="E26" s="5">
        <v>93000</v>
      </c>
      <c r="F26" s="6">
        <v>336.14850000000001</v>
      </c>
      <c r="G26" s="7">
        <v>8.9776070000000003E-3</v>
      </c>
      <c r="H26" s="6"/>
    </row>
    <row r="27" spans="1:15" ht="17.100000000000001" customHeight="1" x14ac:dyDescent="0.2">
      <c r="A27" s="3">
        <v>21</v>
      </c>
      <c r="B27" s="4" t="s">
        <v>630</v>
      </c>
      <c r="C27" s="4" t="s">
        <v>631</v>
      </c>
      <c r="D27" s="4" t="s">
        <v>318</v>
      </c>
      <c r="E27" s="5">
        <v>40000</v>
      </c>
      <c r="F27" s="6">
        <v>323.76</v>
      </c>
      <c r="G27" s="7">
        <v>8.6467439999999996E-3</v>
      </c>
      <c r="H27" s="6"/>
    </row>
    <row r="28" spans="1:15" ht="17.100000000000001" customHeight="1" x14ac:dyDescent="0.2">
      <c r="A28" s="3">
        <v>22</v>
      </c>
      <c r="B28" s="4" t="s">
        <v>380</v>
      </c>
      <c r="C28" s="4" t="s">
        <v>381</v>
      </c>
      <c r="D28" s="4" t="s">
        <v>85</v>
      </c>
      <c r="E28" s="5">
        <v>2500</v>
      </c>
      <c r="F28" s="6">
        <v>323.35000000000002</v>
      </c>
      <c r="G28" s="7">
        <v>8.6357940000000005E-3</v>
      </c>
      <c r="H28" s="6"/>
    </row>
    <row r="29" spans="1:15" ht="29.1" customHeight="1" x14ac:dyDescent="0.2">
      <c r="A29" s="3">
        <v>23</v>
      </c>
      <c r="B29" s="4" t="s">
        <v>83</v>
      </c>
      <c r="C29" s="4" t="s">
        <v>84</v>
      </c>
      <c r="D29" s="4" t="s">
        <v>85</v>
      </c>
      <c r="E29" s="5">
        <v>47000</v>
      </c>
      <c r="F29" s="6">
        <v>319.41199999999998</v>
      </c>
      <c r="G29" s="7">
        <v>8.5306210000000004E-3</v>
      </c>
      <c r="H29" s="6"/>
    </row>
    <row r="30" spans="1:15" ht="53.1" customHeight="1" x14ac:dyDescent="0.2">
      <c r="A30" s="3">
        <v>24</v>
      </c>
      <c r="B30" s="4" t="s">
        <v>86</v>
      </c>
      <c r="C30" s="4" t="s">
        <v>87</v>
      </c>
      <c r="D30" s="4" t="s">
        <v>75</v>
      </c>
      <c r="E30" s="5">
        <v>22157</v>
      </c>
      <c r="F30" s="6">
        <v>313.88714049999999</v>
      </c>
      <c r="G30" s="7">
        <v>8.3830669999999993E-3</v>
      </c>
      <c r="H30" s="6"/>
    </row>
    <row r="31" spans="1:15" ht="17.100000000000001" customHeight="1" x14ac:dyDescent="0.2">
      <c r="A31" s="3">
        <v>25</v>
      </c>
      <c r="B31" s="4" t="s">
        <v>433</v>
      </c>
      <c r="C31" s="4" t="s">
        <v>434</v>
      </c>
      <c r="D31" s="4" t="s">
        <v>106</v>
      </c>
      <c r="E31" s="5">
        <v>29325</v>
      </c>
      <c r="F31" s="6">
        <v>309.56936250000001</v>
      </c>
      <c r="G31" s="7">
        <v>8.2677510000000003E-3</v>
      </c>
      <c r="H31" s="6"/>
      <c r="J31" s="176"/>
      <c r="K31" s="176"/>
      <c r="L31" s="176"/>
      <c r="M31" s="176"/>
      <c r="N31" s="176"/>
      <c r="O31" s="176"/>
    </row>
    <row r="32" spans="1:15" ht="17.100000000000001" customHeight="1" x14ac:dyDescent="0.2">
      <c r="A32" s="3">
        <v>26</v>
      </c>
      <c r="B32" s="4" t="s">
        <v>357</v>
      </c>
      <c r="C32" s="4" t="s">
        <v>358</v>
      </c>
      <c r="D32" s="4" t="s">
        <v>186</v>
      </c>
      <c r="E32" s="5">
        <v>55785</v>
      </c>
      <c r="F32" s="6">
        <v>307.34745750000002</v>
      </c>
      <c r="G32" s="7">
        <v>8.2084099999999993E-3</v>
      </c>
      <c r="H32" s="6"/>
    </row>
    <row r="33" spans="1:8" ht="17.100000000000001" customHeight="1" x14ac:dyDescent="0.2">
      <c r="A33" s="3">
        <v>27</v>
      </c>
      <c r="B33" s="4" t="s">
        <v>386</v>
      </c>
      <c r="C33" s="4" t="s">
        <v>387</v>
      </c>
      <c r="D33" s="4" t="s">
        <v>239</v>
      </c>
      <c r="E33" s="5">
        <v>120000</v>
      </c>
      <c r="F33" s="6">
        <v>285.66000000000003</v>
      </c>
      <c r="G33" s="7">
        <v>7.6291969999999999E-3</v>
      </c>
      <c r="H33" s="6"/>
    </row>
    <row r="34" spans="1:8" ht="17.100000000000001" customHeight="1" x14ac:dyDescent="0.2">
      <c r="A34" s="3">
        <v>28</v>
      </c>
      <c r="B34" s="4" t="s">
        <v>541</v>
      </c>
      <c r="C34" s="4" t="s">
        <v>542</v>
      </c>
      <c r="D34" s="4" t="s">
        <v>994</v>
      </c>
      <c r="E34" s="5">
        <v>20655</v>
      </c>
      <c r="F34" s="6">
        <v>274.42232999999999</v>
      </c>
      <c r="G34" s="7">
        <v>7.32907E-3</v>
      </c>
      <c r="H34" s="6"/>
    </row>
    <row r="35" spans="1:8" ht="17.100000000000001" customHeight="1" x14ac:dyDescent="0.2">
      <c r="A35" s="3">
        <v>29</v>
      </c>
      <c r="B35" s="4" t="s">
        <v>441</v>
      </c>
      <c r="C35" s="4" t="s">
        <v>442</v>
      </c>
      <c r="D35" s="4" t="s">
        <v>95</v>
      </c>
      <c r="E35" s="5">
        <v>44905</v>
      </c>
      <c r="F35" s="6">
        <v>250.30046999999999</v>
      </c>
      <c r="G35" s="7">
        <v>6.6848410000000004E-3</v>
      </c>
      <c r="H35" s="6"/>
    </row>
    <row r="36" spans="1:8" ht="17.100000000000001" customHeight="1" x14ac:dyDescent="0.2">
      <c r="A36" s="3">
        <v>30</v>
      </c>
      <c r="B36" s="4" t="s">
        <v>113</v>
      </c>
      <c r="C36" s="4" t="s">
        <v>114</v>
      </c>
      <c r="D36" s="4" t="s">
        <v>92</v>
      </c>
      <c r="E36" s="5">
        <v>30333</v>
      </c>
      <c r="F36" s="6">
        <v>244.40814750000001</v>
      </c>
      <c r="G36" s="7">
        <v>6.5274729999999998E-3</v>
      </c>
      <c r="H36" s="6"/>
    </row>
    <row r="37" spans="1:8" ht="17.100000000000001" customHeight="1" x14ac:dyDescent="0.2">
      <c r="A37" s="3">
        <v>31</v>
      </c>
      <c r="B37" s="4" t="s">
        <v>321</v>
      </c>
      <c r="C37" s="4" t="s">
        <v>322</v>
      </c>
      <c r="D37" s="4" t="s">
        <v>323</v>
      </c>
      <c r="E37" s="5">
        <v>30000</v>
      </c>
      <c r="F37" s="6">
        <v>238.41</v>
      </c>
      <c r="G37" s="7">
        <v>6.367279E-3</v>
      </c>
      <c r="H37" s="6"/>
    </row>
    <row r="38" spans="1:8" ht="17.100000000000001" customHeight="1" x14ac:dyDescent="0.2">
      <c r="A38" s="3">
        <v>32</v>
      </c>
      <c r="B38" s="4" t="s">
        <v>346</v>
      </c>
      <c r="C38" s="4" t="s">
        <v>347</v>
      </c>
      <c r="D38" s="4" t="s">
        <v>106</v>
      </c>
      <c r="E38" s="5">
        <v>60000</v>
      </c>
      <c r="F38" s="6">
        <v>226.71</v>
      </c>
      <c r="G38" s="7">
        <v>6.0548039999999996E-3</v>
      </c>
      <c r="H38" s="6"/>
    </row>
    <row r="39" spans="1:8" ht="29.1" customHeight="1" x14ac:dyDescent="0.2">
      <c r="A39" s="3">
        <v>33</v>
      </c>
      <c r="B39" s="4" t="s">
        <v>414</v>
      </c>
      <c r="C39" s="4" t="s">
        <v>415</v>
      </c>
      <c r="D39" s="4" t="s">
        <v>198</v>
      </c>
      <c r="E39" s="5">
        <v>23742</v>
      </c>
      <c r="F39" s="6">
        <v>204.32365200000001</v>
      </c>
      <c r="G39" s="7">
        <v>5.456926E-3</v>
      </c>
      <c r="H39" s="6"/>
    </row>
    <row r="40" spans="1:8" ht="17.100000000000001" customHeight="1" x14ac:dyDescent="0.2">
      <c r="A40" s="3">
        <v>34</v>
      </c>
      <c r="B40" s="4" t="s">
        <v>410</v>
      </c>
      <c r="C40" s="4" t="s">
        <v>411</v>
      </c>
      <c r="D40" s="4" t="s">
        <v>994</v>
      </c>
      <c r="E40" s="5">
        <v>6000</v>
      </c>
      <c r="F40" s="6">
        <v>201.86099999999999</v>
      </c>
      <c r="G40" s="7">
        <v>5.3911549999999999E-3</v>
      </c>
      <c r="H40" s="6"/>
    </row>
    <row r="41" spans="1:8" ht="17.100000000000001" customHeight="1" x14ac:dyDescent="0.2">
      <c r="A41" s="3">
        <v>35</v>
      </c>
      <c r="B41" s="4" t="s">
        <v>632</v>
      </c>
      <c r="C41" s="4" t="s">
        <v>633</v>
      </c>
      <c r="D41" s="4" t="s">
        <v>19</v>
      </c>
      <c r="E41" s="5">
        <v>114046</v>
      </c>
      <c r="F41" s="6">
        <v>193.250947</v>
      </c>
      <c r="G41" s="7">
        <v>5.161204E-3</v>
      </c>
      <c r="H41" s="6"/>
    </row>
    <row r="42" spans="1:8" ht="17.100000000000001" customHeight="1" x14ac:dyDescent="0.2">
      <c r="A42" s="3">
        <v>36</v>
      </c>
      <c r="B42" s="4" t="s">
        <v>552</v>
      </c>
      <c r="C42" s="4" t="s">
        <v>553</v>
      </c>
      <c r="D42" s="4" t="s">
        <v>230</v>
      </c>
      <c r="E42" s="5">
        <v>12505</v>
      </c>
      <c r="F42" s="6">
        <v>192.65203</v>
      </c>
      <c r="G42" s="7">
        <v>5.1452090000000004E-3</v>
      </c>
      <c r="H42" s="6"/>
    </row>
    <row r="43" spans="1:8" ht="17.100000000000001" customHeight="1" x14ac:dyDescent="0.2">
      <c r="A43" s="3">
        <v>37</v>
      </c>
      <c r="B43" s="4" t="s">
        <v>90</v>
      </c>
      <c r="C43" s="4" t="s">
        <v>91</v>
      </c>
      <c r="D43" s="4" t="s">
        <v>92</v>
      </c>
      <c r="E43" s="5">
        <v>40700</v>
      </c>
      <c r="F43" s="6">
        <v>189.11255</v>
      </c>
      <c r="G43" s="7">
        <v>5.0506789999999998E-3</v>
      </c>
      <c r="H43" s="6"/>
    </row>
    <row r="44" spans="1:8" ht="17.100000000000001" customHeight="1" x14ac:dyDescent="0.2">
      <c r="A44" s="3">
        <v>38</v>
      </c>
      <c r="B44" s="4" t="s">
        <v>634</v>
      </c>
      <c r="C44" s="4" t="s">
        <v>635</v>
      </c>
      <c r="D44" s="4" t="s">
        <v>80</v>
      </c>
      <c r="E44" s="5">
        <v>6600</v>
      </c>
      <c r="F44" s="6">
        <v>188.73689999999999</v>
      </c>
      <c r="G44" s="7">
        <v>5.0406460000000002E-3</v>
      </c>
      <c r="H44" s="6"/>
    </row>
    <row r="45" spans="1:8" ht="17.100000000000001" customHeight="1" x14ac:dyDescent="0.2">
      <c r="A45" s="3">
        <v>39</v>
      </c>
      <c r="B45" s="4" t="s">
        <v>438</v>
      </c>
      <c r="C45" s="4" t="s">
        <v>1057</v>
      </c>
      <c r="D45" s="4" t="s">
        <v>22</v>
      </c>
      <c r="E45" s="5">
        <v>56299</v>
      </c>
      <c r="F45" s="6">
        <v>186.82823149999999</v>
      </c>
      <c r="G45" s="7">
        <v>4.9896710000000002E-3</v>
      </c>
      <c r="H45" s="6"/>
    </row>
    <row r="46" spans="1:8" ht="29.1" customHeight="1" x14ac:dyDescent="0.2">
      <c r="A46" s="3">
        <v>40</v>
      </c>
      <c r="B46" s="4" t="s">
        <v>382</v>
      </c>
      <c r="C46" s="4" t="s">
        <v>383</v>
      </c>
      <c r="D46" s="4" t="s">
        <v>233</v>
      </c>
      <c r="E46" s="5">
        <v>22275</v>
      </c>
      <c r="F46" s="6">
        <v>169.23431249999999</v>
      </c>
      <c r="G46" s="7">
        <v>4.5197859999999996E-3</v>
      </c>
      <c r="H46" s="6"/>
    </row>
    <row r="47" spans="1:8" ht="17.100000000000001" customHeight="1" x14ac:dyDescent="0.2">
      <c r="A47" s="3">
        <v>41</v>
      </c>
      <c r="B47" s="4" t="s">
        <v>419</v>
      </c>
      <c r="C47" s="4" t="s">
        <v>420</v>
      </c>
      <c r="D47" s="4" t="s">
        <v>994</v>
      </c>
      <c r="E47" s="5">
        <v>15400</v>
      </c>
      <c r="F47" s="6">
        <v>160.27549999999999</v>
      </c>
      <c r="G47" s="7">
        <v>4.2805200000000003E-3</v>
      </c>
      <c r="H47" s="6"/>
    </row>
    <row r="48" spans="1:8" ht="17.100000000000001" customHeight="1" x14ac:dyDescent="0.2">
      <c r="A48" s="3">
        <v>42</v>
      </c>
      <c r="B48" s="4" t="s">
        <v>556</v>
      </c>
      <c r="C48" s="4" t="s">
        <v>557</v>
      </c>
      <c r="D48" s="4" t="s">
        <v>396</v>
      </c>
      <c r="E48" s="5">
        <v>14930</v>
      </c>
      <c r="F48" s="6">
        <v>158.504345</v>
      </c>
      <c r="G48" s="7">
        <v>4.2332180000000004E-3</v>
      </c>
      <c r="H48" s="6"/>
    </row>
    <row r="49" spans="1:8" ht="17.100000000000001" customHeight="1" x14ac:dyDescent="0.2">
      <c r="A49" s="3">
        <v>43</v>
      </c>
      <c r="B49" s="4" t="s">
        <v>592</v>
      </c>
      <c r="C49" s="4" t="s">
        <v>593</v>
      </c>
      <c r="D49" s="4" t="s">
        <v>323</v>
      </c>
      <c r="E49" s="5">
        <v>26400</v>
      </c>
      <c r="F49" s="6">
        <v>158.12280000000001</v>
      </c>
      <c r="G49" s="7">
        <v>4.2230280000000002E-3</v>
      </c>
      <c r="H49" s="6"/>
    </row>
    <row r="50" spans="1:8" ht="17.100000000000001" customHeight="1" x14ac:dyDescent="0.2">
      <c r="A50" s="3">
        <v>44</v>
      </c>
      <c r="B50" s="4" t="s">
        <v>376</v>
      </c>
      <c r="C50" s="4" t="s">
        <v>377</v>
      </c>
      <c r="D50" s="4" t="s">
        <v>85</v>
      </c>
      <c r="E50" s="5">
        <v>40000</v>
      </c>
      <c r="F50" s="6">
        <v>151.19999999999999</v>
      </c>
      <c r="G50" s="7">
        <v>4.0381380000000001E-3</v>
      </c>
      <c r="H50" s="6"/>
    </row>
    <row r="51" spans="1:8" ht="17.100000000000001" customHeight="1" x14ac:dyDescent="0.2">
      <c r="A51" s="3">
        <v>45</v>
      </c>
      <c r="B51" s="4" t="s">
        <v>312</v>
      </c>
      <c r="C51" s="4" t="s">
        <v>313</v>
      </c>
      <c r="D51" s="4" t="s">
        <v>254</v>
      </c>
      <c r="E51" s="5">
        <v>325</v>
      </c>
      <c r="F51" s="6">
        <v>146.8806625</v>
      </c>
      <c r="G51" s="7">
        <v>3.9227810000000002E-3</v>
      </c>
      <c r="H51" s="6"/>
    </row>
    <row r="52" spans="1:8" ht="29.1" customHeight="1" x14ac:dyDescent="0.2">
      <c r="A52" s="3">
        <v>46</v>
      </c>
      <c r="B52" s="4" t="s">
        <v>350</v>
      </c>
      <c r="C52" s="4" t="s">
        <v>351</v>
      </c>
      <c r="D52" s="4" t="s">
        <v>198</v>
      </c>
      <c r="E52" s="5">
        <v>5027</v>
      </c>
      <c r="F52" s="6">
        <v>143.81995649999999</v>
      </c>
      <c r="G52" s="7">
        <v>3.8410380000000002E-3</v>
      </c>
      <c r="H52" s="6"/>
    </row>
    <row r="53" spans="1:8" ht="17.100000000000001" customHeight="1" x14ac:dyDescent="0.2">
      <c r="A53" s="3">
        <v>47</v>
      </c>
      <c r="B53" s="4" t="s">
        <v>445</v>
      </c>
      <c r="C53" s="4" t="s">
        <v>446</v>
      </c>
      <c r="D53" s="4" t="s">
        <v>248</v>
      </c>
      <c r="E53" s="5">
        <v>5785</v>
      </c>
      <c r="F53" s="6">
        <v>140.41641250000001</v>
      </c>
      <c r="G53" s="7">
        <v>3.7501380000000001E-3</v>
      </c>
      <c r="H53" s="6"/>
    </row>
    <row r="54" spans="1:8" ht="17.100000000000001" customHeight="1" x14ac:dyDescent="0.2">
      <c r="A54" s="3">
        <v>48</v>
      </c>
      <c r="B54" s="4" t="s">
        <v>390</v>
      </c>
      <c r="C54" s="4" t="s">
        <v>391</v>
      </c>
      <c r="D54" s="4" t="s">
        <v>80</v>
      </c>
      <c r="E54" s="5">
        <v>21793</v>
      </c>
      <c r="F54" s="6">
        <v>129.97345200000001</v>
      </c>
      <c r="G54" s="7">
        <v>3.471235E-3</v>
      </c>
      <c r="H54" s="6"/>
    </row>
    <row r="55" spans="1:8" ht="29.1" customHeight="1" x14ac:dyDescent="0.2">
      <c r="A55" s="3">
        <v>49</v>
      </c>
      <c r="B55" s="4" t="s">
        <v>636</v>
      </c>
      <c r="C55" s="4" t="s">
        <v>637</v>
      </c>
      <c r="D55" s="4" t="s">
        <v>198</v>
      </c>
      <c r="E55" s="5">
        <v>17850</v>
      </c>
      <c r="F55" s="6">
        <v>110.42010000000001</v>
      </c>
      <c r="G55" s="7">
        <v>2.9490190000000002E-3</v>
      </c>
      <c r="H55" s="6"/>
    </row>
    <row r="56" spans="1:8" ht="17.100000000000001" customHeight="1" x14ac:dyDescent="0.2">
      <c r="A56" s="3">
        <v>50</v>
      </c>
      <c r="B56" s="4" t="s">
        <v>558</v>
      </c>
      <c r="C56" s="4" t="s">
        <v>559</v>
      </c>
      <c r="D56" s="4" t="s">
        <v>95</v>
      </c>
      <c r="E56" s="5">
        <v>34800</v>
      </c>
      <c r="F56" s="6">
        <v>105.6354</v>
      </c>
      <c r="G56" s="7">
        <v>2.8212329999999998E-3</v>
      </c>
      <c r="H56" s="6"/>
    </row>
    <row r="57" spans="1:8" ht="29.1" customHeight="1" x14ac:dyDescent="0.2">
      <c r="A57" s="3">
        <v>51</v>
      </c>
      <c r="B57" s="4" t="s">
        <v>23</v>
      </c>
      <c r="C57" s="4" t="s">
        <v>24</v>
      </c>
      <c r="D57" s="4" t="s">
        <v>25</v>
      </c>
      <c r="E57" s="5">
        <v>1700</v>
      </c>
      <c r="F57" s="6">
        <v>103.4042</v>
      </c>
      <c r="G57" s="7">
        <v>2.7616429999999998E-3</v>
      </c>
      <c r="H57" s="6"/>
    </row>
    <row r="58" spans="1:8" ht="17.100000000000001" customHeight="1" x14ac:dyDescent="0.2">
      <c r="A58" s="3">
        <v>52</v>
      </c>
      <c r="B58" s="4" t="s">
        <v>388</v>
      </c>
      <c r="C58" s="4" t="s">
        <v>389</v>
      </c>
      <c r="D58" s="4" t="s">
        <v>95</v>
      </c>
      <c r="E58" s="5">
        <v>10973</v>
      </c>
      <c r="F58" s="6">
        <v>101.203979</v>
      </c>
      <c r="G58" s="7">
        <v>2.7028809999999999E-3</v>
      </c>
      <c r="H58" s="6"/>
    </row>
    <row r="59" spans="1:8" ht="17.100000000000001" customHeight="1" x14ac:dyDescent="0.2">
      <c r="A59" s="3">
        <v>53</v>
      </c>
      <c r="B59" s="4" t="s">
        <v>586</v>
      </c>
      <c r="C59" s="4" t="s">
        <v>587</v>
      </c>
      <c r="D59" s="4" t="s">
        <v>302</v>
      </c>
      <c r="E59" s="5">
        <v>9417</v>
      </c>
      <c r="F59" s="6">
        <v>94.772688000000002</v>
      </c>
      <c r="G59" s="7">
        <v>2.5311190000000001E-3</v>
      </c>
      <c r="H59" s="6"/>
    </row>
    <row r="60" spans="1:8" ht="17.100000000000001" customHeight="1" x14ac:dyDescent="0.2">
      <c r="A60" s="3">
        <v>54</v>
      </c>
      <c r="B60" s="4" t="s">
        <v>423</v>
      </c>
      <c r="C60" s="4" t="s">
        <v>424</v>
      </c>
      <c r="D60" s="4" t="s">
        <v>396</v>
      </c>
      <c r="E60" s="5">
        <v>8400</v>
      </c>
      <c r="F60" s="6">
        <v>86.885400000000004</v>
      </c>
      <c r="G60" s="7">
        <v>2.3204710000000002E-3</v>
      </c>
      <c r="H60" s="6"/>
    </row>
    <row r="61" spans="1:8" ht="29.1" customHeight="1" x14ac:dyDescent="0.2">
      <c r="A61" s="3">
        <v>55</v>
      </c>
      <c r="B61" s="4" t="s">
        <v>196</v>
      </c>
      <c r="C61" s="4" t="s">
        <v>197</v>
      </c>
      <c r="D61" s="4" t="s">
        <v>198</v>
      </c>
      <c r="E61" s="5">
        <v>24500</v>
      </c>
      <c r="F61" s="6">
        <v>86.521749999999997</v>
      </c>
      <c r="G61" s="7">
        <v>2.3107589999999999E-3</v>
      </c>
      <c r="H61" s="6"/>
    </row>
    <row r="62" spans="1:8" ht="17.100000000000001" customHeight="1" x14ac:dyDescent="0.2">
      <c r="A62" s="3">
        <v>56</v>
      </c>
      <c r="B62" s="4" t="s">
        <v>469</v>
      </c>
      <c r="C62" s="4" t="s">
        <v>470</v>
      </c>
      <c r="D62" s="4" t="s">
        <v>95</v>
      </c>
      <c r="E62" s="5">
        <v>51230</v>
      </c>
      <c r="F62" s="6">
        <v>66.957610000000003</v>
      </c>
      <c r="G62" s="7">
        <v>1.7882550000000001E-3</v>
      </c>
      <c r="H62" s="6"/>
    </row>
    <row r="63" spans="1:8" ht="29.1" customHeight="1" x14ac:dyDescent="0.2">
      <c r="A63" s="3">
        <v>57</v>
      </c>
      <c r="B63" s="4" t="s">
        <v>344</v>
      </c>
      <c r="C63" s="4" t="s">
        <v>345</v>
      </c>
      <c r="D63" s="4" t="s">
        <v>198</v>
      </c>
      <c r="E63" s="5">
        <v>7060</v>
      </c>
      <c r="F63" s="6">
        <v>63.723559999999999</v>
      </c>
      <c r="G63" s="7">
        <v>1.701882E-3</v>
      </c>
      <c r="H63" s="6"/>
    </row>
    <row r="64" spans="1:8" ht="29.1" customHeight="1" x14ac:dyDescent="0.2">
      <c r="A64" s="3">
        <v>58</v>
      </c>
      <c r="B64" s="4" t="s">
        <v>449</v>
      </c>
      <c r="C64" s="4" t="s">
        <v>450</v>
      </c>
      <c r="D64" s="4" t="s">
        <v>198</v>
      </c>
      <c r="E64" s="5">
        <v>1600</v>
      </c>
      <c r="F64" s="6">
        <v>57.460799999999999</v>
      </c>
      <c r="G64" s="7">
        <v>1.5346209999999999E-3</v>
      </c>
      <c r="H64" s="6"/>
    </row>
    <row r="65" spans="1:8" ht="17.100000000000001" customHeight="1" x14ac:dyDescent="0.2">
      <c r="A65" s="3">
        <v>59</v>
      </c>
      <c r="B65" s="4" t="s">
        <v>638</v>
      </c>
      <c r="C65" s="4" t="s">
        <v>639</v>
      </c>
      <c r="D65" s="4" t="s">
        <v>994</v>
      </c>
      <c r="E65" s="5">
        <v>891</v>
      </c>
      <c r="F65" s="6">
        <v>34.851464999999997</v>
      </c>
      <c r="G65" s="7">
        <v>9.3078699999999998E-4</v>
      </c>
      <c r="H65" s="6"/>
    </row>
    <row r="66" spans="1:8" ht="29.1" customHeight="1" x14ac:dyDescent="0.2">
      <c r="A66" s="3">
        <v>60</v>
      </c>
      <c r="B66" s="4" t="s">
        <v>168</v>
      </c>
      <c r="C66" s="4" t="s">
        <v>169</v>
      </c>
      <c r="D66" s="4" t="s">
        <v>25</v>
      </c>
      <c r="E66" s="5">
        <v>9000</v>
      </c>
      <c r="F66" s="6">
        <v>33.246000000000002</v>
      </c>
      <c r="G66" s="7">
        <v>8.8791E-4</v>
      </c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9">
        <v>25366.590389499997</v>
      </c>
      <c r="G67" s="10">
        <v>0.67747225000000033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121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122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123</v>
      </c>
      <c r="D75" s="1"/>
      <c r="E75" s="1"/>
      <c r="F75" s="1"/>
      <c r="G75" s="1"/>
      <c r="H75" s="6"/>
    </row>
    <row r="76" spans="1:8" ht="14.1" customHeight="1" x14ac:dyDescent="0.2">
      <c r="A76" s="1"/>
      <c r="B76" s="1"/>
      <c r="C76" s="2" t="s">
        <v>119</v>
      </c>
      <c r="D76" s="1"/>
      <c r="E76" s="1" t="s">
        <v>120</v>
      </c>
      <c r="F76" s="9">
        <v>0</v>
      </c>
      <c r="G76" s="10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124</v>
      </c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125</v>
      </c>
      <c r="D81" s="1"/>
      <c r="E81" s="1"/>
      <c r="F81" s="12"/>
      <c r="G81" s="12"/>
      <c r="H81" s="6"/>
    </row>
    <row r="82" spans="1:8" x14ac:dyDescent="0.2">
      <c r="A82" s="3">
        <v>1</v>
      </c>
      <c r="B82" s="4"/>
      <c r="C82" s="4" t="s">
        <v>1007</v>
      </c>
      <c r="D82" s="4" t="s">
        <v>596</v>
      </c>
      <c r="E82" s="5">
        <v>-9000</v>
      </c>
      <c r="F82" s="6">
        <v>-33.381</v>
      </c>
      <c r="G82" s="7">
        <v>-8.9151999999999992E-4</v>
      </c>
      <c r="H82" s="6"/>
    </row>
    <row r="83" spans="1:8" x14ac:dyDescent="0.2">
      <c r="A83" s="3">
        <v>2</v>
      </c>
      <c r="B83" s="4"/>
      <c r="C83" s="4" t="s">
        <v>1008</v>
      </c>
      <c r="D83" s="4" t="s">
        <v>596</v>
      </c>
      <c r="E83" s="5">
        <v>-1600</v>
      </c>
      <c r="F83" s="6">
        <v>-57.536799999999999</v>
      </c>
      <c r="G83" s="7">
        <v>-1.5366499999999999E-3</v>
      </c>
      <c r="H83" s="6"/>
    </row>
    <row r="84" spans="1:8" x14ac:dyDescent="0.2">
      <c r="A84" s="3">
        <v>3</v>
      </c>
      <c r="B84" s="4"/>
      <c r="C84" s="4" t="s">
        <v>1009</v>
      </c>
      <c r="D84" s="4" t="s">
        <v>596</v>
      </c>
      <c r="E84" s="5">
        <v>-8400</v>
      </c>
      <c r="F84" s="6">
        <v>-86.906400000000005</v>
      </c>
      <c r="G84" s="7">
        <v>-2.32103E-3</v>
      </c>
      <c r="H84" s="6"/>
    </row>
    <row r="85" spans="1:8" x14ac:dyDescent="0.2">
      <c r="A85" s="3">
        <v>4</v>
      </c>
      <c r="B85" s="4"/>
      <c r="C85" s="4" t="s">
        <v>1010</v>
      </c>
      <c r="D85" s="4" t="s">
        <v>596</v>
      </c>
      <c r="E85" s="5">
        <v>-17850</v>
      </c>
      <c r="F85" s="6">
        <v>-110.79495</v>
      </c>
      <c r="G85" s="7">
        <v>-2.9590300000000001E-3</v>
      </c>
      <c r="H85" s="6"/>
    </row>
    <row r="86" spans="1:8" x14ac:dyDescent="0.2">
      <c r="A86" s="3">
        <v>5</v>
      </c>
      <c r="B86" s="4"/>
      <c r="C86" s="4" t="s">
        <v>1011</v>
      </c>
      <c r="D86" s="4" t="s">
        <v>596</v>
      </c>
      <c r="E86" s="5">
        <v>-40000</v>
      </c>
      <c r="F86" s="6">
        <v>-151.72</v>
      </c>
      <c r="G86" s="7">
        <v>-4.0520299999999999E-3</v>
      </c>
      <c r="H86" s="6"/>
    </row>
    <row r="87" spans="1:8" x14ac:dyDescent="0.2">
      <c r="A87" s="3">
        <v>6</v>
      </c>
      <c r="B87" s="4"/>
      <c r="C87" s="4" t="s">
        <v>1012</v>
      </c>
      <c r="D87" s="4" t="s">
        <v>596</v>
      </c>
      <c r="E87" s="5">
        <v>-1200</v>
      </c>
      <c r="F87" s="6">
        <v>-155.274</v>
      </c>
      <c r="G87" s="7">
        <v>-4.14694E-3</v>
      </c>
      <c r="H87" s="6"/>
    </row>
    <row r="88" spans="1:8" ht="25.5" x14ac:dyDescent="0.2">
      <c r="A88" s="3">
        <v>7</v>
      </c>
      <c r="B88" s="4"/>
      <c r="C88" s="4" t="s">
        <v>1013</v>
      </c>
      <c r="D88" s="4" t="s">
        <v>596</v>
      </c>
      <c r="E88" s="5">
        <v>-26400</v>
      </c>
      <c r="F88" s="6">
        <v>-158.21520000000001</v>
      </c>
      <c r="G88" s="7">
        <v>-4.2255000000000001E-3</v>
      </c>
      <c r="H88" s="6"/>
    </row>
    <row r="89" spans="1:8" x14ac:dyDescent="0.2">
      <c r="A89" s="3">
        <v>8</v>
      </c>
      <c r="B89" s="4"/>
      <c r="C89" s="4" t="s">
        <v>1014</v>
      </c>
      <c r="D89" s="4" t="s">
        <v>596</v>
      </c>
      <c r="E89" s="5">
        <v>-15400</v>
      </c>
      <c r="F89" s="6">
        <v>-160.43719999999999</v>
      </c>
      <c r="G89" s="7">
        <v>-4.2848399999999998E-3</v>
      </c>
      <c r="H89" s="6"/>
    </row>
    <row r="90" spans="1:8" x14ac:dyDescent="0.2">
      <c r="A90" s="3">
        <v>9</v>
      </c>
      <c r="B90" s="4"/>
      <c r="C90" s="4" t="s">
        <v>1015</v>
      </c>
      <c r="D90" s="4" t="s">
        <v>596</v>
      </c>
      <c r="E90" s="5">
        <v>-22275</v>
      </c>
      <c r="F90" s="6">
        <v>-168.74426249999999</v>
      </c>
      <c r="G90" s="7">
        <v>-4.5066999999999998E-3</v>
      </c>
      <c r="H90" s="6"/>
    </row>
    <row r="91" spans="1:8" x14ac:dyDescent="0.2">
      <c r="A91" s="3">
        <v>10</v>
      </c>
      <c r="B91" s="4"/>
      <c r="C91" s="4" t="s">
        <v>1016</v>
      </c>
      <c r="D91" s="4" t="s">
        <v>596</v>
      </c>
      <c r="E91" s="5">
        <v>-6600</v>
      </c>
      <c r="F91" s="6">
        <v>-187.9845</v>
      </c>
      <c r="G91" s="7">
        <v>-5.0205500000000004E-3</v>
      </c>
      <c r="H91" s="6"/>
    </row>
    <row r="92" spans="1:8" x14ac:dyDescent="0.2">
      <c r="A92" s="3">
        <v>11</v>
      </c>
      <c r="B92" s="4"/>
      <c r="C92" s="4" t="s">
        <v>1017</v>
      </c>
      <c r="D92" s="4" t="s">
        <v>596</v>
      </c>
      <c r="E92" s="5">
        <v>-60000</v>
      </c>
      <c r="F92" s="6">
        <v>-227.49</v>
      </c>
      <c r="G92" s="7">
        <v>-6.0756400000000002E-3</v>
      </c>
      <c r="H92" s="6"/>
    </row>
    <row r="93" spans="1:8" x14ac:dyDescent="0.2">
      <c r="A93" s="3">
        <v>12</v>
      </c>
      <c r="B93" s="4"/>
      <c r="C93" s="4" t="s">
        <v>1018</v>
      </c>
      <c r="D93" s="4" t="s">
        <v>596</v>
      </c>
      <c r="E93" s="5">
        <v>-13800</v>
      </c>
      <c r="F93" s="6">
        <v>-228.4521</v>
      </c>
      <c r="G93" s="7">
        <v>-6.1013300000000003E-3</v>
      </c>
      <c r="H93" s="6"/>
    </row>
    <row r="94" spans="1:8" x14ac:dyDescent="0.2">
      <c r="A94" s="3">
        <v>13</v>
      </c>
      <c r="B94" s="4"/>
      <c r="C94" s="4" t="s">
        <v>1019</v>
      </c>
      <c r="D94" s="4" t="s">
        <v>596</v>
      </c>
      <c r="E94" s="5">
        <v>-34800</v>
      </c>
      <c r="F94" s="6">
        <v>-239.05860000000001</v>
      </c>
      <c r="G94" s="7">
        <v>-6.3846000000000007E-3</v>
      </c>
      <c r="H94" s="6"/>
    </row>
    <row r="95" spans="1:8" ht="25.5" x14ac:dyDescent="0.2">
      <c r="A95" s="3">
        <v>14</v>
      </c>
      <c r="B95" s="4"/>
      <c r="C95" s="4" t="s">
        <v>1020</v>
      </c>
      <c r="D95" s="4" t="s">
        <v>596</v>
      </c>
      <c r="E95" s="5">
        <v>-11400</v>
      </c>
      <c r="F95" s="6">
        <v>-263.31720000000001</v>
      </c>
      <c r="G95" s="7">
        <v>-7.0324799999999998E-3</v>
      </c>
      <c r="H95" s="6"/>
    </row>
    <row r="96" spans="1:8" x14ac:dyDescent="0.2">
      <c r="A96" s="3">
        <v>15</v>
      </c>
      <c r="B96" s="4"/>
      <c r="C96" s="4" t="s">
        <v>1021</v>
      </c>
      <c r="D96" s="4" t="s">
        <v>596</v>
      </c>
      <c r="E96" s="5">
        <v>-29325</v>
      </c>
      <c r="F96" s="6">
        <v>-294.74557499999997</v>
      </c>
      <c r="G96" s="7">
        <v>-7.8718499999999997E-3</v>
      </c>
      <c r="H96" s="6"/>
    </row>
    <row r="97" spans="1:8" x14ac:dyDescent="0.2">
      <c r="A97" s="3">
        <v>16</v>
      </c>
      <c r="B97" s="4"/>
      <c r="C97" s="4" t="s">
        <v>1022</v>
      </c>
      <c r="D97" s="4" t="s">
        <v>596</v>
      </c>
      <c r="E97" s="5">
        <v>-220500</v>
      </c>
      <c r="F97" s="6">
        <v>-304.29000000000002</v>
      </c>
      <c r="G97" s="7">
        <v>-8.1267500000000003E-3</v>
      </c>
      <c r="H97" s="6"/>
    </row>
    <row r="98" spans="1:8" x14ac:dyDescent="0.2">
      <c r="A98" s="3">
        <v>17</v>
      </c>
      <c r="B98" s="4"/>
      <c r="C98" s="4" t="s">
        <v>1023</v>
      </c>
      <c r="D98" s="4" t="s">
        <v>596</v>
      </c>
      <c r="E98" s="5">
        <v>-40000</v>
      </c>
      <c r="F98" s="6">
        <v>-324.88</v>
      </c>
      <c r="G98" s="7">
        <v>-8.676660000000001E-3</v>
      </c>
      <c r="H98" s="6"/>
    </row>
    <row r="99" spans="1:8" ht="25.5" x14ac:dyDescent="0.2">
      <c r="A99" s="3">
        <v>18</v>
      </c>
      <c r="B99" s="4"/>
      <c r="C99" s="4" t="s">
        <v>1024</v>
      </c>
      <c r="D99" s="4" t="s">
        <v>596</v>
      </c>
      <c r="E99" s="5">
        <v>-9750</v>
      </c>
      <c r="F99" s="6">
        <v>-413.83387499999998</v>
      </c>
      <c r="G99" s="7">
        <v>-1.1052370000000001E-2</v>
      </c>
      <c r="H99" s="6"/>
    </row>
    <row r="100" spans="1:8" x14ac:dyDescent="0.2">
      <c r="A100" s="3">
        <v>19</v>
      </c>
      <c r="B100" s="4"/>
      <c r="C100" s="4" t="s">
        <v>1025</v>
      </c>
      <c r="D100" s="4" t="s">
        <v>596</v>
      </c>
      <c r="E100" s="5">
        <v>-88500</v>
      </c>
      <c r="F100" s="6">
        <v>-414.44549999999998</v>
      </c>
      <c r="G100" s="7">
        <v>-1.1068709999999999E-2</v>
      </c>
      <c r="H100" s="6"/>
    </row>
    <row r="101" spans="1:8" x14ac:dyDescent="0.2">
      <c r="A101" s="3">
        <v>20</v>
      </c>
      <c r="B101" s="4"/>
      <c r="C101" s="4" t="s">
        <v>1026</v>
      </c>
      <c r="D101" s="4" t="s">
        <v>596</v>
      </c>
      <c r="E101" s="5">
        <v>-13125</v>
      </c>
      <c r="F101" s="6">
        <v>-796.30031250000002</v>
      </c>
      <c r="G101" s="7">
        <v>-2.1267000000000001E-2</v>
      </c>
      <c r="H101" s="6"/>
    </row>
    <row r="102" spans="1:8" x14ac:dyDescent="0.2">
      <c r="A102" s="3">
        <v>21</v>
      </c>
      <c r="B102" s="4"/>
      <c r="C102" s="4" t="s">
        <v>1027</v>
      </c>
      <c r="D102" s="4" t="s">
        <v>596</v>
      </c>
      <c r="E102" s="5">
        <v>-56100</v>
      </c>
      <c r="F102" s="6">
        <v>-846.24045000000001</v>
      </c>
      <c r="G102" s="7">
        <v>-2.2600769999999999E-2</v>
      </c>
      <c r="H102" s="6"/>
    </row>
    <row r="103" spans="1:8" x14ac:dyDescent="0.2">
      <c r="A103" s="3">
        <v>22</v>
      </c>
      <c r="B103" s="4"/>
      <c r="C103" s="4" t="s">
        <v>1028</v>
      </c>
      <c r="D103" s="4" t="s">
        <v>596</v>
      </c>
      <c r="E103" s="5">
        <v>-42600</v>
      </c>
      <c r="F103" s="6">
        <v>-995.58330000000001</v>
      </c>
      <c r="G103" s="7">
        <v>-2.6589309999999998E-2</v>
      </c>
      <c r="H103" s="6"/>
    </row>
    <row r="104" spans="1:8" x14ac:dyDescent="0.2">
      <c r="A104" s="3">
        <v>23</v>
      </c>
      <c r="B104" s="4"/>
      <c r="C104" s="4" t="s">
        <v>1029</v>
      </c>
      <c r="D104" s="4" t="s">
        <v>596</v>
      </c>
      <c r="E104" s="5">
        <v>-145750</v>
      </c>
      <c r="F104" s="6">
        <v>-1096.76875</v>
      </c>
      <c r="G104" s="7">
        <v>-2.92917E-2</v>
      </c>
      <c r="H104" s="6"/>
    </row>
    <row r="105" spans="1:8" x14ac:dyDescent="0.2">
      <c r="A105" s="3">
        <v>24</v>
      </c>
      <c r="B105" s="4"/>
      <c r="C105" s="4" t="s">
        <v>1030</v>
      </c>
      <c r="D105" s="4" t="s">
        <v>596</v>
      </c>
      <c r="E105" s="5">
        <v>-132600</v>
      </c>
      <c r="F105" s="6">
        <v>-1569.3873000000001</v>
      </c>
      <c r="G105" s="7">
        <v>-4.1914040000000007E-2</v>
      </c>
      <c r="H105" s="6"/>
    </row>
    <row r="106" spans="1:8" x14ac:dyDescent="0.2">
      <c r="A106" s="3">
        <v>25</v>
      </c>
      <c r="B106" s="4"/>
      <c r="C106" s="4" t="s">
        <v>1031</v>
      </c>
      <c r="D106" s="4" t="s">
        <v>596</v>
      </c>
      <c r="E106" s="5">
        <v>-156200</v>
      </c>
      <c r="F106" s="6">
        <v>-2169.5399000000002</v>
      </c>
      <c r="G106" s="7">
        <v>-5.7942479999999998E-2</v>
      </c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9">
        <v>-11455.327175</v>
      </c>
      <c r="G107" s="10">
        <v>-0.30594046000000003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8" customHeight="1" x14ac:dyDescent="0.2">
      <c r="A109" s="1"/>
      <c r="B109" s="1"/>
      <c r="C109" s="2" t="s">
        <v>126</v>
      </c>
      <c r="D109" s="1"/>
      <c r="E109" s="1"/>
      <c r="F109" s="9">
        <v>25366.590389499997</v>
      </c>
      <c r="G109" s="10">
        <v>0.67747225000000033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127</v>
      </c>
      <c r="D111" s="1"/>
      <c r="E111" s="1"/>
      <c r="F111" s="12"/>
      <c r="G111" s="12"/>
      <c r="H111" s="6"/>
    </row>
    <row r="112" spans="1:8" ht="24" customHeight="1" x14ac:dyDescent="0.2">
      <c r="A112" s="1"/>
      <c r="B112" s="1"/>
      <c r="C112" s="2" t="s">
        <v>10</v>
      </c>
      <c r="D112" s="1"/>
      <c r="E112" s="1"/>
      <c r="F112" s="12"/>
      <c r="G112" s="12"/>
      <c r="H112" s="6"/>
    </row>
    <row r="113" spans="1:8" ht="29.1" customHeight="1" x14ac:dyDescent="0.2">
      <c r="A113" s="3">
        <v>1</v>
      </c>
      <c r="B113" s="4" t="s">
        <v>640</v>
      </c>
      <c r="C113" s="4" t="s">
        <v>641</v>
      </c>
      <c r="D113" s="4" t="s">
        <v>642</v>
      </c>
      <c r="E113" s="5">
        <v>50</v>
      </c>
      <c r="F113" s="6">
        <v>492.98649999999998</v>
      </c>
      <c r="G113" s="7">
        <v>1.3166321E-2</v>
      </c>
      <c r="H113" s="6">
        <v>6.6449999999999996</v>
      </c>
    </row>
    <row r="114" spans="1:8" ht="17.100000000000001" customHeight="1" x14ac:dyDescent="0.2">
      <c r="A114" s="3">
        <v>2</v>
      </c>
      <c r="B114" s="4" t="s">
        <v>643</v>
      </c>
      <c r="C114" s="4" t="s">
        <v>644</v>
      </c>
      <c r="D114" s="4" t="s">
        <v>623</v>
      </c>
      <c r="E114" s="5">
        <v>20</v>
      </c>
      <c r="F114" s="6">
        <v>202.24680000000001</v>
      </c>
      <c r="G114" s="7">
        <v>5.4014589999999999E-3</v>
      </c>
      <c r="H114" s="6">
        <v>6.25</v>
      </c>
    </row>
    <row r="115" spans="1:8" ht="29.1" customHeight="1" x14ac:dyDescent="0.2">
      <c r="A115" s="3">
        <v>3</v>
      </c>
      <c r="B115" s="4" t="s">
        <v>645</v>
      </c>
      <c r="C115" s="4" t="s">
        <v>646</v>
      </c>
      <c r="D115" s="4" t="s">
        <v>623</v>
      </c>
      <c r="E115" s="5">
        <v>5</v>
      </c>
      <c r="F115" s="6">
        <v>51.222050000000003</v>
      </c>
      <c r="G115" s="7">
        <v>1.368001E-3</v>
      </c>
      <c r="H115" s="6">
        <v>6.7149999999999999</v>
      </c>
    </row>
    <row r="116" spans="1:8" ht="17.100000000000001" customHeight="1" x14ac:dyDescent="0.2">
      <c r="A116" s="3">
        <v>4</v>
      </c>
      <c r="B116" s="4" t="s">
        <v>647</v>
      </c>
      <c r="C116" s="4" t="s">
        <v>648</v>
      </c>
      <c r="D116" s="4" t="s">
        <v>623</v>
      </c>
      <c r="E116" s="5">
        <v>5</v>
      </c>
      <c r="F116" s="6">
        <v>50.963299999999997</v>
      </c>
      <c r="G116" s="7">
        <v>1.3610899999999999E-3</v>
      </c>
      <c r="H116" s="6">
        <v>6.3</v>
      </c>
    </row>
    <row r="117" spans="1:8" ht="17.100000000000001" customHeight="1" x14ac:dyDescent="0.2">
      <c r="A117" s="3">
        <v>5</v>
      </c>
      <c r="B117" s="4" t="s">
        <v>649</v>
      </c>
      <c r="C117" s="4" t="s">
        <v>650</v>
      </c>
      <c r="D117" s="4" t="s">
        <v>623</v>
      </c>
      <c r="E117" s="5">
        <v>5</v>
      </c>
      <c r="F117" s="6">
        <v>50.338050000000003</v>
      </c>
      <c r="G117" s="7">
        <v>1.344392E-3</v>
      </c>
      <c r="H117" s="6">
        <v>5.8650000000000002</v>
      </c>
    </row>
    <row r="118" spans="1:8" ht="29.1" customHeight="1" x14ac:dyDescent="0.2">
      <c r="A118" s="3">
        <v>6</v>
      </c>
      <c r="B118" s="4" t="s">
        <v>651</v>
      </c>
      <c r="C118" s="4" t="s">
        <v>652</v>
      </c>
      <c r="D118" s="4" t="s">
        <v>653</v>
      </c>
      <c r="E118" s="5">
        <v>5</v>
      </c>
      <c r="F118" s="6">
        <v>49.948050000000002</v>
      </c>
      <c r="G118" s="7">
        <v>1.333976E-3</v>
      </c>
      <c r="H118" s="6">
        <v>6.47</v>
      </c>
    </row>
    <row r="119" spans="1:8" ht="29.1" customHeight="1" x14ac:dyDescent="0.2">
      <c r="A119" s="3">
        <v>7</v>
      </c>
      <c r="B119" s="4" t="s">
        <v>621</v>
      </c>
      <c r="C119" s="4" t="s">
        <v>622</v>
      </c>
      <c r="D119" s="4" t="s">
        <v>623</v>
      </c>
      <c r="E119" s="5">
        <v>1640</v>
      </c>
      <c r="F119" s="6">
        <v>0.46359519999999999</v>
      </c>
      <c r="G119" s="8" t="s">
        <v>118</v>
      </c>
      <c r="H119" s="6">
        <v>6.89</v>
      </c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9">
        <v>898.16834519999998</v>
      </c>
      <c r="G120" s="10">
        <v>2.3987620000000001E-2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128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2" t="s">
        <v>129</v>
      </c>
      <c r="D125" s="1"/>
      <c r="E125" s="1"/>
      <c r="F125" s="1"/>
      <c r="G125" s="1"/>
      <c r="H125" s="6"/>
    </row>
    <row r="126" spans="1:8" ht="29.1" customHeight="1" x14ac:dyDescent="0.2">
      <c r="A126" s="3">
        <v>1</v>
      </c>
      <c r="B126" s="4" t="s">
        <v>654</v>
      </c>
      <c r="C126" s="4" t="s">
        <v>655</v>
      </c>
      <c r="D126" s="4" t="s">
        <v>598</v>
      </c>
      <c r="E126" s="5">
        <v>1500000</v>
      </c>
      <c r="F126" s="6">
        <v>1430.76</v>
      </c>
      <c r="G126" s="7">
        <v>3.8211687000000001E-2</v>
      </c>
      <c r="H126" s="6">
        <v>6.9294000000000002</v>
      </c>
    </row>
    <row r="127" spans="1:8" ht="29.1" customHeight="1" x14ac:dyDescent="0.2">
      <c r="A127" s="3">
        <v>2</v>
      </c>
      <c r="B127" s="4" t="s">
        <v>656</v>
      </c>
      <c r="C127" s="4" t="s">
        <v>657</v>
      </c>
      <c r="D127" s="4" t="s">
        <v>598</v>
      </c>
      <c r="E127" s="5">
        <v>500000</v>
      </c>
      <c r="F127" s="6">
        <v>472.46249999999998</v>
      </c>
      <c r="G127" s="7">
        <v>1.2618180999999999E-2</v>
      </c>
      <c r="H127" s="6">
        <v>6.9775</v>
      </c>
    </row>
    <row r="128" spans="1:8" ht="29.1" customHeight="1" x14ac:dyDescent="0.2">
      <c r="A128" s="3">
        <v>3</v>
      </c>
      <c r="B128" s="4" t="s">
        <v>658</v>
      </c>
      <c r="C128" s="4" t="s">
        <v>659</v>
      </c>
      <c r="D128" s="4" t="s">
        <v>598</v>
      </c>
      <c r="E128" s="5">
        <v>100000</v>
      </c>
      <c r="F128" s="6">
        <v>102.4192</v>
      </c>
      <c r="G128" s="7">
        <v>2.735337E-3</v>
      </c>
      <c r="H128" s="6">
        <v>7.2249999999999996</v>
      </c>
    </row>
    <row r="129" spans="1:15" ht="29.1" customHeight="1" x14ac:dyDescent="0.2">
      <c r="A129" s="3">
        <v>4</v>
      </c>
      <c r="B129" s="4" t="s">
        <v>660</v>
      </c>
      <c r="C129" s="4" t="s">
        <v>661</v>
      </c>
      <c r="D129" s="4" t="s">
        <v>598</v>
      </c>
      <c r="E129" s="5">
        <v>50000</v>
      </c>
      <c r="F129" s="6">
        <v>49.5</v>
      </c>
      <c r="G129" s="7">
        <v>1.32201E-3</v>
      </c>
      <c r="H129" s="6">
        <v>6.6303000000000001</v>
      </c>
    </row>
    <row r="130" spans="1:15" ht="14.1" customHeight="1" x14ac:dyDescent="0.2">
      <c r="A130" s="1"/>
      <c r="B130" s="1"/>
      <c r="C130" s="2" t="s">
        <v>119</v>
      </c>
      <c r="D130" s="1"/>
      <c r="E130" s="1" t="s">
        <v>120</v>
      </c>
      <c r="F130" s="9">
        <v>2055.1417000000001</v>
      </c>
      <c r="G130" s="10">
        <v>5.4887215000000003E-2</v>
      </c>
      <c r="H130" s="6"/>
    </row>
    <row r="131" spans="1:15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15" ht="14.1" customHeight="1" x14ac:dyDescent="0.2">
      <c r="A132" s="1"/>
      <c r="B132" s="1"/>
      <c r="C132" s="2" t="s">
        <v>130</v>
      </c>
      <c r="D132" s="1"/>
      <c r="E132" s="1"/>
      <c r="F132" s="12"/>
      <c r="G132" s="12"/>
      <c r="H132" s="6"/>
    </row>
    <row r="133" spans="1:15" ht="14.1" customHeight="1" x14ac:dyDescent="0.2">
      <c r="A133" s="1"/>
      <c r="B133" s="1"/>
      <c r="C133" s="2" t="s">
        <v>119</v>
      </c>
      <c r="D133" s="1"/>
      <c r="E133" s="1" t="s">
        <v>120</v>
      </c>
      <c r="F133" s="13">
        <v>0</v>
      </c>
      <c r="G133" s="14">
        <v>0</v>
      </c>
      <c r="H133" s="6"/>
    </row>
    <row r="134" spans="1:15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15" ht="14.1" customHeight="1" x14ac:dyDescent="0.2">
      <c r="A135" s="1"/>
      <c r="B135" s="1"/>
      <c r="C135" s="2" t="s">
        <v>131</v>
      </c>
      <c r="D135" s="1"/>
      <c r="E135" s="1"/>
      <c r="F135" s="9">
        <v>2953.3100451999999</v>
      </c>
      <c r="G135" s="10">
        <v>7.8874835000000004E-2</v>
      </c>
      <c r="H135" s="6"/>
    </row>
    <row r="136" spans="1:15" ht="14.1" customHeight="1" x14ac:dyDescent="0.2">
      <c r="A136" s="1"/>
      <c r="B136" s="1"/>
      <c r="C136" s="11"/>
      <c r="D136" s="1"/>
      <c r="E136" s="1"/>
      <c r="F136" s="12"/>
      <c r="G136" s="12"/>
      <c r="H136" s="6"/>
    </row>
    <row r="137" spans="1:15" ht="14.1" customHeight="1" x14ac:dyDescent="0.2">
      <c r="A137" s="1"/>
      <c r="B137" s="1"/>
      <c r="C137" s="2" t="s">
        <v>132</v>
      </c>
      <c r="D137" s="1"/>
      <c r="E137" s="1"/>
      <c r="F137" s="12"/>
      <c r="G137" s="12"/>
      <c r="H137" s="6"/>
    </row>
    <row r="138" spans="1:15" ht="14.1" customHeight="1" x14ac:dyDescent="0.2">
      <c r="A138" s="1"/>
      <c r="B138" s="1"/>
      <c r="C138" s="2" t="s">
        <v>133</v>
      </c>
      <c r="D138" s="1"/>
      <c r="E138" s="1"/>
      <c r="F138" s="12"/>
      <c r="G138" s="12"/>
      <c r="H138" s="6"/>
    </row>
    <row r="139" spans="1:15" ht="14.1" customHeight="1" x14ac:dyDescent="0.2">
      <c r="A139" s="1"/>
      <c r="B139" s="1"/>
      <c r="C139" s="2" t="s">
        <v>119</v>
      </c>
      <c r="D139" s="1"/>
      <c r="E139" s="1" t="s">
        <v>120</v>
      </c>
      <c r="F139" s="13">
        <v>0</v>
      </c>
      <c r="G139" s="14">
        <v>0</v>
      </c>
      <c r="H139" s="6"/>
      <c r="J139" s="103"/>
      <c r="K139" s="103"/>
      <c r="L139" s="103"/>
      <c r="M139" s="103"/>
      <c r="N139" s="103"/>
      <c r="O139" s="103"/>
    </row>
    <row r="140" spans="1:15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15" ht="14.1" customHeight="1" x14ac:dyDescent="0.2">
      <c r="A141" s="1"/>
      <c r="B141" s="1"/>
      <c r="C141" s="2" t="s">
        <v>134</v>
      </c>
      <c r="D141" s="1"/>
      <c r="E141" s="1"/>
      <c r="F141" s="12"/>
      <c r="G141" s="12"/>
      <c r="H141" s="6"/>
    </row>
    <row r="142" spans="1:15" ht="14.1" customHeight="1" x14ac:dyDescent="0.2">
      <c r="A142" s="1"/>
      <c r="B142" s="1"/>
      <c r="C142" s="2" t="s">
        <v>119</v>
      </c>
      <c r="D142" s="1"/>
      <c r="E142" s="1" t="s">
        <v>120</v>
      </c>
      <c r="F142" s="13">
        <v>0</v>
      </c>
      <c r="G142" s="14">
        <v>0</v>
      </c>
      <c r="H142" s="6"/>
    </row>
    <row r="143" spans="1:15" ht="14.1" customHeight="1" x14ac:dyDescent="0.2">
      <c r="A143" s="1"/>
      <c r="B143" s="1"/>
      <c r="C143" s="11"/>
      <c r="D143" s="1"/>
      <c r="E143" s="1"/>
      <c r="F143" s="12"/>
      <c r="G143" s="12"/>
      <c r="H143" s="6"/>
    </row>
    <row r="144" spans="1:15" ht="14.1" customHeight="1" x14ac:dyDescent="0.2">
      <c r="A144" s="1"/>
      <c r="B144" s="1"/>
      <c r="C144" s="2" t="s">
        <v>135</v>
      </c>
      <c r="D144" s="1"/>
      <c r="E144" s="1"/>
      <c r="F144" s="12"/>
      <c r="G144" s="12"/>
      <c r="H144" s="6"/>
    </row>
    <row r="145" spans="1:15" ht="17.100000000000001" customHeight="1" x14ac:dyDescent="0.2">
      <c r="A145" s="3">
        <v>1</v>
      </c>
      <c r="B145" s="4" t="s">
        <v>662</v>
      </c>
      <c r="C145" s="4" t="s">
        <v>987</v>
      </c>
      <c r="D145" s="4" t="s">
        <v>598</v>
      </c>
      <c r="E145" s="5">
        <v>1000000</v>
      </c>
      <c r="F145" s="6">
        <v>987.77499999999998</v>
      </c>
      <c r="G145" s="7">
        <v>2.6380768999999998E-2</v>
      </c>
      <c r="H145" s="6">
        <v>4.91</v>
      </c>
    </row>
    <row r="146" spans="1:15" ht="17.100000000000001" customHeight="1" x14ac:dyDescent="0.2">
      <c r="A146" s="3">
        <v>2</v>
      </c>
      <c r="B146" s="4" t="s">
        <v>663</v>
      </c>
      <c r="C146" s="4" t="s">
        <v>989</v>
      </c>
      <c r="D146" s="4" t="s">
        <v>598</v>
      </c>
      <c r="E146" s="5">
        <v>1000000</v>
      </c>
      <c r="F146" s="6">
        <v>986.75199999999995</v>
      </c>
      <c r="G146" s="7">
        <v>2.6353446999999999E-2</v>
      </c>
      <c r="H146" s="6">
        <v>4.95</v>
      </c>
    </row>
    <row r="147" spans="1:15" ht="14.1" customHeight="1" x14ac:dyDescent="0.2">
      <c r="A147" s="1"/>
      <c r="B147" s="1"/>
      <c r="C147" s="2" t="s">
        <v>119</v>
      </c>
      <c r="D147" s="1"/>
      <c r="E147" s="1" t="s">
        <v>120</v>
      </c>
      <c r="F147" s="9">
        <v>1974.527</v>
      </c>
      <c r="G147" s="10">
        <v>5.2734216E-2</v>
      </c>
      <c r="H147" s="6"/>
    </row>
    <row r="148" spans="1:15" ht="14.1" customHeight="1" x14ac:dyDescent="0.2">
      <c r="A148" s="1"/>
      <c r="B148" s="1"/>
      <c r="C148" s="11"/>
      <c r="D148" s="1"/>
      <c r="E148" s="1"/>
      <c r="F148" s="12"/>
      <c r="G148" s="12"/>
      <c r="H148" s="6"/>
    </row>
    <row r="149" spans="1:15" ht="14.1" customHeight="1" x14ac:dyDescent="0.2">
      <c r="A149" s="1"/>
      <c r="B149" s="1"/>
      <c r="C149" s="2" t="s">
        <v>136</v>
      </c>
      <c r="D149" s="1"/>
      <c r="E149" s="1"/>
      <c r="F149" s="12"/>
      <c r="G149" s="12"/>
      <c r="H149" s="6"/>
    </row>
    <row r="150" spans="1:15" ht="17.100000000000001" customHeight="1" x14ac:dyDescent="0.2">
      <c r="A150" s="3">
        <v>1</v>
      </c>
      <c r="B150" s="4"/>
      <c r="C150" s="4" t="s">
        <v>137</v>
      </c>
      <c r="D150" s="4"/>
      <c r="E150" s="8"/>
      <c r="F150" s="6">
        <v>3584.8953090999998</v>
      </c>
      <c r="G150" s="7">
        <v>9.5742749000000002E-2</v>
      </c>
      <c r="H150" s="6">
        <v>4.1713246754849944</v>
      </c>
    </row>
    <row r="151" spans="1:15" ht="14.1" customHeight="1" x14ac:dyDescent="0.2">
      <c r="A151" s="1"/>
      <c r="B151" s="1"/>
      <c r="C151" s="2" t="s">
        <v>119</v>
      </c>
      <c r="D151" s="1"/>
      <c r="E151" s="1" t="s">
        <v>120</v>
      </c>
      <c r="F151" s="9">
        <v>3584.8953090999998</v>
      </c>
      <c r="G151" s="10">
        <v>9.5742749000000002E-2</v>
      </c>
      <c r="H151" s="6"/>
    </row>
    <row r="152" spans="1:15" ht="14.1" customHeight="1" x14ac:dyDescent="0.2">
      <c r="A152" s="1"/>
      <c r="B152" s="1"/>
      <c r="C152" s="11"/>
      <c r="D152" s="1"/>
      <c r="E152" s="1"/>
      <c r="F152" s="12"/>
      <c r="G152" s="12"/>
      <c r="H152" s="6"/>
    </row>
    <row r="153" spans="1:15" ht="14.1" customHeight="1" x14ac:dyDescent="0.2">
      <c r="A153" s="1"/>
      <c r="B153" s="1"/>
      <c r="C153" s="2" t="s">
        <v>138</v>
      </c>
      <c r="D153" s="1"/>
      <c r="E153" s="1"/>
      <c r="F153" s="9">
        <v>5559.4223091000003</v>
      </c>
      <c r="G153" s="10">
        <v>0.14847696499999999</v>
      </c>
      <c r="H153" s="6"/>
    </row>
    <row r="154" spans="1:15" ht="14.1" customHeight="1" x14ac:dyDescent="0.2">
      <c r="A154" s="1"/>
      <c r="B154" s="1"/>
      <c r="C154" s="12"/>
      <c r="D154" s="1"/>
      <c r="E154" s="1"/>
      <c r="F154" s="1"/>
      <c r="G154" s="1"/>
      <c r="H154" s="6"/>
      <c r="J154" s="170"/>
      <c r="K154" s="170"/>
      <c r="L154" s="170"/>
      <c r="M154" s="170"/>
      <c r="N154" s="170"/>
      <c r="O154" s="170"/>
    </row>
    <row r="155" spans="1:15" ht="14.1" customHeight="1" x14ac:dyDescent="0.2">
      <c r="A155" s="1"/>
      <c r="B155" s="1"/>
      <c r="C155" s="2" t="s">
        <v>139</v>
      </c>
      <c r="D155" s="1"/>
      <c r="E155" s="1"/>
      <c r="F155" s="1"/>
      <c r="G155" s="1"/>
      <c r="H155" s="6"/>
    </row>
    <row r="156" spans="1:15" ht="14.1" customHeight="1" x14ac:dyDescent="0.2">
      <c r="A156" s="1"/>
      <c r="B156" s="1"/>
      <c r="C156" s="2" t="s">
        <v>140</v>
      </c>
      <c r="D156" s="1"/>
      <c r="E156" s="1"/>
      <c r="F156" s="1"/>
      <c r="G156" s="1"/>
      <c r="H156" s="6"/>
    </row>
    <row r="157" spans="1:15" ht="14.1" customHeight="1" x14ac:dyDescent="0.2">
      <c r="A157" s="1"/>
      <c r="B157" s="1"/>
      <c r="C157" s="2" t="s">
        <v>119</v>
      </c>
      <c r="D157" s="1"/>
      <c r="E157" s="1" t="s">
        <v>120</v>
      </c>
      <c r="F157" s="13">
        <v>0</v>
      </c>
      <c r="G157" s="14">
        <v>0</v>
      </c>
      <c r="H157" s="6"/>
    </row>
    <row r="158" spans="1:15" ht="14.1" customHeight="1" x14ac:dyDescent="0.2">
      <c r="A158" s="1"/>
      <c r="B158" s="1"/>
      <c r="C158" s="11"/>
      <c r="D158" s="1"/>
      <c r="E158" s="1"/>
      <c r="F158" s="12"/>
      <c r="G158" s="12"/>
      <c r="H158" s="6"/>
    </row>
    <row r="159" spans="1:15" ht="14.1" customHeight="1" x14ac:dyDescent="0.2">
      <c r="A159" s="1"/>
      <c r="B159" s="1"/>
      <c r="C159" s="2" t="s">
        <v>141</v>
      </c>
      <c r="D159" s="1"/>
      <c r="E159" s="1"/>
      <c r="F159" s="1"/>
      <c r="G159" s="1"/>
      <c r="H159" s="6"/>
    </row>
    <row r="160" spans="1:15" ht="14.1" customHeight="1" x14ac:dyDescent="0.2">
      <c r="A160" s="1"/>
      <c r="B160" s="1"/>
      <c r="C160" s="2" t="s">
        <v>142</v>
      </c>
      <c r="D160" s="1"/>
      <c r="E160" s="1"/>
      <c r="F160" s="1"/>
      <c r="G160" s="1"/>
      <c r="H160" s="6"/>
    </row>
    <row r="161" spans="1:15" ht="14.1" customHeight="1" x14ac:dyDescent="0.2">
      <c r="A161" s="1"/>
      <c r="B161" s="1"/>
      <c r="C161" s="2" t="s">
        <v>119</v>
      </c>
      <c r="D161" s="1"/>
      <c r="E161" s="1" t="s">
        <v>120</v>
      </c>
      <c r="F161" s="13">
        <v>0</v>
      </c>
      <c r="G161" s="14">
        <v>0</v>
      </c>
      <c r="H161" s="6"/>
    </row>
    <row r="162" spans="1:15" ht="14.1" customHeight="1" x14ac:dyDescent="0.2">
      <c r="A162" s="1"/>
      <c r="B162" s="1"/>
      <c r="C162" s="11"/>
      <c r="D162" s="1"/>
      <c r="E162" s="1"/>
      <c r="F162" s="12"/>
      <c r="G162" s="12"/>
      <c r="H162" s="6"/>
    </row>
    <row r="163" spans="1:15" ht="14.1" customHeight="1" x14ac:dyDescent="0.2">
      <c r="A163" s="1"/>
      <c r="B163" s="1"/>
      <c r="C163" s="11"/>
      <c r="D163" s="1"/>
      <c r="E163" s="1"/>
      <c r="F163" s="12"/>
      <c r="G163" s="12"/>
      <c r="H163" s="6"/>
    </row>
    <row r="164" spans="1:15" ht="24" customHeight="1" x14ac:dyDescent="0.2">
      <c r="A164" s="1"/>
      <c r="B164" s="1"/>
      <c r="C164" s="2" t="s">
        <v>143</v>
      </c>
      <c r="D164" s="1"/>
      <c r="E164" s="1"/>
      <c r="F164" s="12"/>
      <c r="G164" s="12"/>
      <c r="H164" s="6"/>
    </row>
    <row r="165" spans="1:15" ht="14.1" customHeight="1" x14ac:dyDescent="0.2">
      <c r="A165" s="1"/>
      <c r="B165" s="1"/>
      <c r="C165" s="2" t="s">
        <v>119</v>
      </c>
      <c r="D165" s="1"/>
      <c r="E165" s="1" t="s">
        <v>120</v>
      </c>
      <c r="F165" s="13">
        <v>0</v>
      </c>
      <c r="G165" s="14">
        <v>0</v>
      </c>
      <c r="H165" s="6"/>
    </row>
    <row r="166" spans="1:15" ht="14.1" customHeight="1" x14ac:dyDescent="0.2">
      <c r="A166" s="1"/>
      <c r="B166" s="1"/>
      <c r="C166" s="11"/>
      <c r="D166" s="1"/>
      <c r="E166" s="1"/>
      <c r="F166" s="12"/>
      <c r="G166" s="12"/>
      <c r="H166" s="6"/>
    </row>
    <row r="167" spans="1:15" ht="18" customHeight="1" x14ac:dyDescent="0.2">
      <c r="A167" s="8"/>
      <c r="B167" s="4"/>
      <c r="C167" s="4" t="s">
        <v>600</v>
      </c>
      <c r="D167" s="4"/>
      <c r="E167" s="8"/>
      <c r="F167" s="6">
        <v>3618.3744105999999</v>
      </c>
      <c r="G167" s="7">
        <v>9.6636884553560454E-2</v>
      </c>
      <c r="H167" s="6"/>
    </row>
    <row r="168" spans="1:15" ht="18" customHeight="1" x14ac:dyDescent="0.2">
      <c r="A168" s="8"/>
      <c r="B168" s="4"/>
      <c r="C168" s="4" t="s">
        <v>1114</v>
      </c>
      <c r="D168" s="4"/>
      <c r="E168" s="8"/>
      <c r="F168" s="6">
        <v>-54.701891089993303</v>
      </c>
      <c r="G168" s="7">
        <v>-1.4609379058836969E-3</v>
      </c>
      <c r="H168" s="6"/>
    </row>
    <row r="169" spans="1:15" ht="14.1" customHeight="1" x14ac:dyDescent="0.2">
      <c r="A169" s="11"/>
      <c r="B169" s="11"/>
      <c r="C169" s="2" t="s">
        <v>145</v>
      </c>
      <c r="D169" s="15"/>
      <c r="E169" s="15"/>
      <c r="F169" s="113">
        <v>37442.995263310004</v>
      </c>
      <c r="G169" s="10">
        <v>0.99999999664767714</v>
      </c>
      <c r="H169" s="6"/>
    </row>
    <row r="170" spans="1:15" ht="14.1" customHeight="1" x14ac:dyDescent="0.2">
      <c r="A170" s="16"/>
      <c r="B170" s="16"/>
      <c r="C170" s="16"/>
      <c r="D170" s="17"/>
      <c r="E170" s="17"/>
      <c r="F170" s="17"/>
      <c r="G170" s="17"/>
    </row>
    <row r="171" spans="1:15" s="103" customFormat="1" ht="17.100000000000001" customHeight="1" x14ac:dyDescent="0.2">
      <c r="A171" s="161"/>
      <c r="B171" s="299" t="s">
        <v>942</v>
      </c>
      <c r="C171" s="299"/>
      <c r="D171" s="299"/>
      <c r="E171" s="299"/>
      <c r="F171" s="299"/>
      <c r="G171" s="162"/>
      <c r="H171"/>
      <c r="I171"/>
      <c r="J171"/>
      <c r="K171"/>
      <c r="L171"/>
      <c r="M171"/>
      <c r="N171"/>
      <c r="O171"/>
    </row>
    <row r="172" spans="1:15" ht="17.100000000000001" customHeight="1" x14ac:dyDescent="0.2">
      <c r="A172" s="18"/>
      <c r="B172" s="267" t="s">
        <v>624</v>
      </c>
      <c r="C172" s="267"/>
      <c r="D172" s="267"/>
      <c r="E172" s="267"/>
      <c r="F172" s="267"/>
      <c r="G172" s="20"/>
      <c r="I172" s="103"/>
    </row>
    <row r="173" spans="1:15" ht="17.100000000000001" customHeight="1" x14ac:dyDescent="0.2">
      <c r="A173" s="18"/>
      <c r="B173" s="267" t="s">
        <v>146</v>
      </c>
      <c r="C173" s="267"/>
      <c r="D173" s="267"/>
      <c r="E173" s="267"/>
      <c r="F173" s="267"/>
      <c r="G173" s="20"/>
    </row>
    <row r="174" spans="1:15" ht="14.1" customHeight="1" x14ac:dyDescent="0.2">
      <c r="A174" s="18"/>
      <c r="B174" s="18"/>
      <c r="C174" s="18"/>
      <c r="D174" s="20"/>
      <c r="E174" s="20"/>
      <c r="F174" s="20"/>
      <c r="G174" s="20"/>
    </row>
    <row r="175" spans="1:15" ht="14.1" customHeight="1" x14ac:dyDescent="0.2">
      <c r="A175" s="18"/>
      <c r="B175" s="265" t="s">
        <v>147</v>
      </c>
      <c r="C175" s="266"/>
      <c r="D175" s="12" t="s">
        <v>120</v>
      </c>
      <c r="E175" s="21"/>
      <c r="F175" s="20"/>
      <c r="G175" s="20"/>
    </row>
    <row r="176" spans="1:15" ht="29.1" customHeight="1" x14ac:dyDescent="0.2">
      <c r="A176" s="18"/>
      <c r="B176" s="272" t="s">
        <v>148</v>
      </c>
      <c r="C176" s="273"/>
      <c r="D176" s="2" t="s">
        <v>149</v>
      </c>
      <c r="E176" s="21"/>
      <c r="F176" s="20"/>
      <c r="G176" s="20"/>
    </row>
    <row r="177" spans="1:7" ht="17.100000000000001" customHeight="1" x14ac:dyDescent="0.2">
      <c r="A177" s="18"/>
      <c r="B177" s="272" t="s">
        <v>150</v>
      </c>
      <c r="C177" s="273"/>
      <c r="D177" s="2" t="s">
        <v>149</v>
      </c>
      <c r="E177" s="21"/>
      <c r="F177" s="20"/>
      <c r="G177" s="20"/>
    </row>
    <row r="178" spans="1:7" ht="17.100000000000001" customHeight="1" x14ac:dyDescent="0.2">
      <c r="A178" s="18"/>
      <c r="B178" s="272" t="s">
        <v>151</v>
      </c>
      <c r="C178" s="273"/>
      <c r="D178" s="12" t="s">
        <v>120</v>
      </c>
      <c r="E178" s="21"/>
      <c r="F178" s="20"/>
      <c r="G178" s="20"/>
    </row>
    <row r="179" spans="1:7" ht="24" customHeight="1" x14ac:dyDescent="0.2">
      <c r="A179" s="22"/>
      <c r="B179" s="23" t="s">
        <v>120</v>
      </c>
      <c r="C179" s="23" t="s">
        <v>152</v>
      </c>
      <c r="D179" s="23" t="s">
        <v>153</v>
      </c>
      <c r="E179" s="22"/>
      <c r="F179" s="22"/>
      <c r="G179" s="22"/>
    </row>
    <row r="180" spans="1:7" ht="18" customHeight="1" x14ac:dyDescent="0.2">
      <c r="A180" s="22"/>
      <c r="B180" s="23" t="s">
        <v>154</v>
      </c>
      <c r="C180" s="112">
        <v>44681</v>
      </c>
      <c r="D180" s="23" t="s">
        <v>156</v>
      </c>
      <c r="E180" s="22"/>
      <c r="F180" s="22"/>
      <c r="G180" s="22"/>
    </row>
    <row r="181" spans="1:7" ht="17.100000000000001" customHeight="1" x14ac:dyDescent="0.2">
      <c r="A181" s="22"/>
      <c r="B181" s="4" t="s">
        <v>157</v>
      </c>
      <c r="C181" s="24">
        <v>55.160800000000002</v>
      </c>
      <c r="D181" s="24">
        <v>54.557099999999998</v>
      </c>
      <c r="E181" s="22"/>
      <c r="F181" s="19"/>
      <c r="G181" s="25"/>
    </row>
    <row r="182" spans="1:7" ht="29.1" customHeight="1" x14ac:dyDescent="0.2">
      <c r="A182" s="22"/>
      <c r="B182" s="4" t="s">
        <v>1123</v>
      </c>
      <c r="C182" s="24">
        <v>14.0997</v>
      </c>
      <c r="D182" s="24">
        <v>13.945399999999999</v>
      </c>
      <c r="E182" s="22"/>
      <c r="F182" s="19"/>
      <c r="G182" s="25"/>
    </row>
    <row r="183" spans="1:7" ht="29.1" customHeight="1" x14ac:dyDescent="0.2">
      <c r="A183" s="22"/>
      <c r="B183" s="4" t="s">
        <v>1126</v>
      </c>
      <c r="C183" s="24">
        <v>20.553799999999999</v>
      </c>
      <c r="D183" s="24">
        <v>20.3279</v>
      </c>
      <c r="E183" s="22"/>
      <c r="F183" s="19"/>
      <c r="G183" s="25"/>
    </row>
    <row r="184" spans="1:7" ht="17.100000000000001" customHeight="1" x14ac:dyDescent="0.2">
      <c r="A184" s="22"/>
      <c r="B184" s="4" t="s">
        <v>158</v>
      </c>
      <c r="C184" s="24">
        <v>50.112400000000001</v>
      </c>
      <c r="D184" s="24">
        <v>49.4923</v>
      </c>
      <c r="E184" s="22"/>
      <c r="F184" s="19"/>
      <c r="G184" s="25"/>
    </row>
    <row r="185" spans="1:7" ht="29.1" customHeight="1" x14ac:dyDescent="0.2">
      <c r="A185" s="22"/>
      <c r="B185" s="4" t="s">
        <v>1124</v>
      </c>
      <c r="C185" s="24">
        <v>13.8621</v>
      </c>
      <c r="D185" s="24">
        <v>13.690899999999999</v>
      </c>
      <c r="E185" s="22"/>
      <c r="F185" s="19"/>
      <c r="G185" s="25"/>
    </row>
    <row r="186" spans="1:7" ht="29.1" customHeight="1" x14ac:dyDescent="0.2">
      <c r="A186" s="22"/>
      <c r="B186" s="4" t="s">
        <v>1128</v>
      </c>
      <c r="C186" s="24">
        <v>14.9267</v>
      </c>
      <c r="D186" s="24">
        <v>14.7415</v>
      </c>
      <c r="E186" s="22"/>
      <c r="F186" s="19"/>
      <c r="G186" s="25"/>
    </row>
    <row r="187" spans="1:7" ht="14.1" customHeight="1" x14ac:dyDescent="0.2">
      <c r="A187" s="22"/>
      <c r="B187" s="22"/>
      <c r="C187" s="22"/>
      <c r="D187" s="22"/>
      <c r="E187" s="22"/>
      <c r="F187" s="22"/>
      <c r="G187" s="22"/>
    </row>
    <row r="188" spans="1:7" ht="17.100000000000001" customHeight="1" x14ac:dyDescent="0.2">
      <c r="A188" s="22"/>
      <c r="B188" s="272" t="s">
        <v>1122</v>
      </c>
      <c r="C188" s="273"/>
      <c r="D188" s="2" t="s">
        <v>149</v>
      </c>
      <c r="E188" s="22"/>
      <c r="F188" s="22"/>
      <c r="G188" s="22"/>
    </row>
    <row r="189" spans="1:7" ht="14.1" customHeight="1" x14ac:dyDescent="0.2">
      <c r="A189" s="22"/>
      <c r="B189" s="19"/>
      <c r="C189" s="19"/>
      <c r="D189" s="22"/>
      <c r="E189" s="22"/>
      <c r="F189" s="22"/>
      <c r="G189" s="22"/>
    </row>
    <row r="190" spans="1:7" ht="29.1" customHeight="1" x14ac:dyDescent="0.2">
      <c r="A190" s="22"/>
      <c r="B190" s="272" t="s">
        <v>160</v>
      </c>
      <c r="C190" s="273"/>
      <c r="D190" s="2" t="s">
        <v>1106</v>
      </c>
      <c r="E190" s="22"/>
      <c r="F190" s="22"/>
      <c r="G190" s="22"/>
    </row>
    <row r="191" spans="1:7" ht="29.1" customHeight="1" x14ac:dyDescent="0.2">
      <c r="A191" s="22"/>
      <c r="B191" s="272" t="s">
        <v>161</v>
      </c>
      <c r="C191" s="273"/>
      <c r="D191" s="2" t="s">
        <v>149</v>
      </c>
      <c r="E191" s="22"/>
      <c r="F191" s="22"/>
      <c r="G191" s="22"/>
    </row>
    <row r="192" spans="1:7" ht="17.100000000000001" customHeight="1" x14ac:dyDescent="0.2">
      <c r="A192" s="22"/>
      <c r="B192" s="290" t="s">
        <v>1109</v>
      </c>
      <c r="C192" s="291"/>
      <c r="D192" s="95">
        <v>0.66692981069436985</v>
      </c>
      <c r="E192" s="94"/>
      <c r="F192" s="22"/>
      <c r="G192" s="22"/>
    </row>
    <row r="193" spans="1:7" ht="17.100000000000001" customHeight="1" x14ac:dyDescent="0.2">
      <c r="A193" s="22"/>
      <c r="B193" s="290" t="s">
        <v>1110</v>
      </c>
      <c r="C193" s="291"/>
      <c r="D193" s="95">
        <v>0.61705446709548695</v>
      </c>
      <c r="E193" s="94"/>
      <c r="F193" s="22"/>
      <c r="G193" s="22"/>
    </row>
    <row r="194" spans="1:7" ht="17.100000000000001" customHeight="1" x14ac:dyDescent="0.2">
      <c r="A194" s="22"/>
      <c r="B194" s="272" t="s">
        <v>162</v>
      </c>
      <c r="C194" s="273"/>
      <c r="D194" s="27">
        <v>4.5212500132473421</v>
      </c>
      <c r="E194" s="22"/>
      <c r="F194" s="19"/>
      <c r="G194" s="25"/>
    </row>
    <row r="195" spans="1:7" ht="17.100000000000001" customHeight="1" x14ac:dyDescent="0.2">
      <c r="A195" s="22"/>
      <c r="B195" s="272" t="s">
        <v>163</v>
      </c>
      <c r="C195" s="273"/>
      <c r="D195" s="2" t="s">
        <v>149</v>
      </c>
      <c r="E195" s="22"/>
      <c r="F195" s="22"/>
      <c r="G195" s="22"/>
    </row>
  </sheetData>
  <mergeCells count="18">
    <mergeCell ref="A1:H1"/>
    <mergeCell ref="A2:H2"/>
    <mergeCell ref="A3:H3"/>
    <mergeCell ref="B194:C194"/>
    <mergeCell ref="B195:C195"/>
    <mergeCell ref="B176:C176"/>
    <mergeCell ref="B177:C177"/>
    <mergeCell ref="B178:C178"/>
    <mergeCell ref="B188:C188"/>
    <mergeCell ref="B190:C190"/>
    <mergeCell ref="B191:C191"/>
    <mergeCell ref="B192:C192"/>
    <mergeCell ref="B193:C193"/>
    <mergeCell ref="J2:N2"/>
    <mergeCell ref="B175:C175"/>
    <mergeCell ref="B172:F172"/>
    <mergeCell ref="B173:F173"/>
    <mergeCell ref="B171:F171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121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1136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755230</v>
      </c>
      <c r="F7" s="6">
        <v>5685.7490550000002</v>
      </c>
      <c r="G7" s="7">
        <v>8.5008546000000004E-2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182000</v>
      </c>
      <c r="F8" s="6">
        <v>4791.4229999999998</v>
      </c>
      <c r="G8" s="7">
        <v>7.1637332999999997E-2</v>
      </c>
      <c r="H8" s="6"/>
    </row>
    <row r="9" spans="1:14" ht="17.100000000000001" customHeight="1" x14ac:dyDescent="0.2">
      <c r="A9" s="3">
        <v>3</v>
      </c>
      <c r="B9" s="4" t="s">
        <v>406</v>
      </c>
      <c r="C9" s="4" t="s">
        <v>407</v>
      </c>
      <c r="D9" s="4" t="s">
        <v>994</v>
      </c>
      <c r="E9" s="5">
        <v>311470</v>
      </c>
      <c r="F9" s="6">
        <v>4683.2629200000001</v>
      </c>
      <c r="G9" s="7">
        <v>7.0020214999999997E-2</v>
      </c>
      <c r="H9" s="6"/>
    </row>
    <row r="10" spans="1:14" ht="17.100000000000001" customHeight="1" x14ac:dyDescent="0.2">
      <c r="A10" s="3">
        <v>4</v>
      </c>
      <c r="B10" s="4" t="s">
        <v>50</v>
      </c>
      <c r="C10" s="4" t="s">
        <v>51</v>
      </c>
      <c r="D10" s="4" t="s">
        <v>19</v>
      </c>
      <c r="E10" s="5">
        <v>595460</v>
      </c>
      <c r="F10" s="6">
        <v>2787.3482600000002</v>
      </c>
      <c r="G10" s="7">
        <v>4.1674091000000003E-2</v>
      </c>
      <c r="H10" s="6"/>
    </row>
    <row r="11" spans="1:14" ht="29.1" customHeight="1" x14ac:dyDescent="0.2">
      <c r="A11" s="3">
        <v>5</v>
      </c>
      <c r="B11" s="4" t="s">
        <v>408</v>
      </c>
      <c r="C11" s="4" t="s">
        <v>409</v>
      </c>
      <c r="D11" s="4" t="s">
        <v>85</v>
      </c>
      <c r="E11" s="5">
        <v>117412</v>
      </c>
      <c r="F11" s="6">
        <v>2708.4013100000002</v>
      </c>
      <c r="G11" s="7">
        <v>4.0493741999999999E-2</v>
      </c>
      <c r="H11" s="6"/>
    </row>
    <row r="12" spans="1:14" ht="17.100000000000001" customHeight="1" x14ac:dyDescent="0.2">
      <c r="A12" s="3">
        <v>6</v>
      </c>
      <c r="B12" s="4" t="s">
        <v>455</v>
      </c>
      <c r="C12" s="4" t="s">
        <v>456</v>
      </c>
      <c r="D12" s="4" t="s">
        <v>302</v>
      </c>
      <c r="E12" s="5">
        <v>64955</v>
      </c>
      <c r="F12" s="6">
        <v>2580.53224</v>
      </c>
      <c r="G12" s="7">
        <v>3.8581951000000003E-2</v>
      </c>
      <c r="H12" s="6"/>
    </row>
    <row r="13" spans="1:14" ht="17.100000000000001" customHeight="1" x14ac:dyDescent="0.2">
      <c r="A13" s="3">
        <v>7</v>
      </c>
      <c r="B13" s="4" t="s">
        <v>443</v>
      </c>
      <c r="C13" s="4" t="s">
        <v>444</v>
      </c>
      <c r="D13" s="4" t="s">
        <v>19</v>
      </c>
      <c r="E13" s="5">
        <v>1213820</v>
      </c>
      <c r="F13" s="6">
        <v>2488.3310000000001</v>
      </c>
      <c r="G13" s="7">
        <v>3.7203435999999999E-2</v>
      </c>
      <c r="H13" s="6"/>
    </row>
    <row r="14" spans="1:14" ht="17.100000000000001" customHeight="1" x14ac:dyDescent="0.2">
      <c r="A14" s="3">
        <v>8</v>
      </c>
      <c r="B14" s="4" t="s">
        <v>11</v>
      </c>
      <c r="C14" s="4" t="s">
        <v>12</v>
      </c>
      <c r="D14" s="4" t="s">
        <v>13</v>
      </c>
      <c r="E14" s="5">
        <v>140450</v>
      </c>
      <c r="F14" s="6">
        <v>2323.7452499999999</v>
      </c>
      <c r="G14" s="7">
        <v>3.4742688000000001E-2</v>
      </c>
      <c r="H14" s="6"/>
      <c r="J14" s="169" t="s">
        <v>1169</v>
      </c>
    </row>
    <row r="15" spans="1:14" ht="17.100000000000001" customHeight="1" x14ac:dyDescent="0.2">
      <c r="A15" s="3">
        <v>9</v>
      </c>
      <c r="B15" s="4" t="s">
        <v>374</v>
      </c>
      <c r="C15" s="4" t="s">
        <v>375</v>
      </c>
      <c r="D15" s="4" t="s">
        <v>19</v>
      </c>
      <c r="E15" s="5">
        <v>162831</v>
      </c>
      <c r="F15" s="6">
        <v>2261.6411745</v>
      </c>
      <c r="G15" s="7">
        <v>3.3814160000000003E-2</v>
      </c>
      <c r="H15" s="6"/>
    </row>
    <row r="16" spans="1:14" ht="17.100000000000001" customHeight="1" x14ac:dyDescent="0.2">
      <c r="A16" s="3">
        <v>10</v>
      </c>
      <c r="B16" s="4" t="s">
        <v>438</v>
      </c>
      <c r="C16" s="4" t="s">
        <v>1057</v>
      </c>
      <c r="D16" s="4" t="s">
        <v>22</v>
      </c>
      <c r="E16" s="5">
        <v>677624</v>
      </c>
      <c r="F16" s="6">
        <v>2248.695244</v>
      </c>
      <c r="G16" s="7">
        <v>3.3620602999999999E-2</v>
      </c>
      <c r="H16" s="6"/>
    </row>
    <row r="17" spans="1:10" ht="17.100000000000001" customHeight="1" x14ac:dyDescent="0.2">
      <c r="A17" s="3">
        <v>11</v>
      </c>
      <c r="B17" s="4" t="s">
        <v>380</v>
      </c>
      <c r="C17" s="4" t="s">
        <v>381</v>
      </c>
      <c r="D17" s="4" t="s">
        <v>85</v>
      </c>
      <c r="E17" s="5">
        <v>17122</v>
      </c>
      <c r="F17" s="6">
        <v>2214.5594799999999</v>
      </c>
      <c r="G17" s="7">
        <v>3.3110234000000002E-2</v>
      </c>
      <c r="H17" s="6"/>
    </row>
    <row r="18" spans="1:10" ht="51" x14ac:dyDescent="0.2">
      <c r="A18" s="3">
        <v>12</v>
      </c>
      <c r="B18" s="4" t="s">
        <v>73</v>
      </c>
      <c r="C18" s="4" t="s">
        <v>74</v>
      </c>
      <c r="D18" s="4" t="s">
        <v>75</v>
      </c>
      <c r="E18" s="5">
        <v>1482942</v>
      </c>
      <c r="F18" s="6">
        <v>2039.0452499999999</v>
      </c>
      <c r="G18" s="7">
        <v>3.0486091999999999E-2</v>
      </c>
      <c r="H18" s="6"/>
    </row>
    <row r="19" spans="1:10" ht="25.5" x14ac:dyDescent="0.2">
      <c r="A19" s="3">
        <v>13</v>
      </c>
      <c r="B19" s="4" t="s">
        <v>350</v>
      </c>
      <c r="C19" s="4" t="s">
        <v>351</v>
      </c>
      <c r="D19" s="4" t="s">
        <v>198</v>
      </c>
      <c r="E19" s="5">
        <v>65586</v>
      </c>
      <c r="F19" s="6">
        <v>1876.3826670000001</v>
      </c>
      <c r="G19" s="7">
        <v>2.8054098E-2</v>
      </c>
      <c r="H19" s="6"/>
    </row>
    <row r="20" spans="1:10" ht="51" x14ac:dyDescent="0.2">
      <c r="A20" s="3">
        <v>14</v>
      </c>
      <c r="B20" s="4" t="s">
        <v>86</v>
      </c>
      <c r="C20" s="4" t="s">
        <v>87</v>
      </c>
      <c r="D20" s="4" t="s">
        <v>75</v>
      </c>
      <c r="E20" s="5">
        <v>127025</v>
      </c>
      <c r="F20" s="6">
        <v>1799.4996625000001</v>
      </c>
      <c r="G20" s="7">
        <v>2.6904608E-2</v>
      </c>
      <c r="H20" s="6"/>
    </row>
    <row r="21" spans="1:10" ht="20.25" customHeight="1" x14ac:dyDescent="0.2">
      <c r="A21" s="3">
        <v>15</v>
      </c>
      <c r="B21" s="4" t="s">
        <v>326</v>
      </c>
      <c r="C21" s="4" t="s">
        <v>327</v>
      </c>
      <c r="D21" s="4" t="s">
        <v>210</v>
      </c>
      <c r="E21" s="5">
        <v>744800</v>
      </c>
      <c r="F21" s="6">
        <v>1748.4179999999999</v>
      </c>
      <c r="G21" s="7">
        <v>2.6140877999999999E-2</v>
      </c>
      <c r="H21" s="6"/>
      <c r="J21" s="169" t="s">
        <v>1168</v>
      </c>
    </row>
    <row r="22" spans="1:10" ht="29.1" customHeight="1" x14ac:dyDescent="0.2">
      <c r="A22" s="3">
        <v>16</v>
      </c>
      <c r="B22" s="4" t="s">
        <v>83</v>
      </c>
      <c r="C22" s="4" t="s">
        <v>84</v>
      </c>
      <c r="D22" s="4" t="s">
        <v>85</v>
      </c>
      <c r="E22" s="5">
        <v>247885</v>
      </c>
      <c r="F22" s="6">
        <v>1684.62646</v>
      </c>
      <c r="G22" s="7">
        <v>2.518712E-2</v>
      </c>
      <c r="H22" s="6"/>
    </row>
    <row r="23" spans="1:10" ht="17.100000000000001" customHeight="1" x14ac:dyDescent="0.2">
      <c r="A23" s="3">
        <v>17</v>
      </c>
      <c r="B23" s="4" t="s">
        <v>453</v>
      </c>
      <c r="C23" s="4" t="s">
        <v>454</v>
      </c>
      <c r="D23" s="4" t="s">
        <v>396</v>
      </c>
      <c r="E23" s="5">
        <v>362330</v>
      </c>
      <c r="F23" s="6">
        <v>1607.1147149999999</v>
      </c>
      <c r="G23" s="7">
        <v>2.4028230000000001E-2</v>
      </c>
      <c r="H23" s="6"/>
    </row>
    <row r="24" spans="1:10" ht="29.1" customHeight="1" x14ac:dyDescent="0.2">
      <c r="A24" s="3">
        <v>18</v>
      </c>
      <c r="B24" s="4" t="s">
        <v>217</v>
      </c>
      <c r="C24" s="4" t="s">
        <v>218</v>
      </c>
      <c r="D24" s="4" t="s">
        <v>219</v>
      </c>
      <c r="E24" s="5">
        <v>40584</v>
      </c>
      <c r="F24" s="6">
        <v>1592.6987879999999</v>
      </c>
      <c r="G24" s="7">
        <v>2.3812694999999998E-2</v>
      </c>
      <c r="H24" s="6"/>
    </row>
    <row r="25" spans="1:10" ht="17.100000000000001" customHeight="1" x14ac:dyDescent="0.2">
      <c r="A25" s="3">
        <v>19</v>
      </c>
      <c r="B25" s="4" t="s">
        <v>38</v>
      </c>
      <c r="C25" s="4" t="s">
        <v>39</v>
      </c>
      <c r="D25" s="4" t="s">
        <v>31</v>
      </c>
      <c r="E25" s="5">
        <v>657694</v>
      </c>
      <c r="F25" s="6">
        <v>1546.5674409999999</v>
      </c>
      <c r="G25" s="7">
        <v>2.3122977999999999E-2</v>
      </c>
      <c r="H25" s="6"/>
    </row>
    <row r="26" spans="1:10" ht="29.1" customHeight="1" x14ac:dyDescent="0.2">
      <c r="A26" s="3">
        <v>20</v>
      </c>
      <c r="B26" s="4" t="s">
        <v>465</v>
      </c>
      <c r="C26" s="4" t="s">
        <v>466</v>
      </c>
      <c r="D26" s="4" t="s">
        <v>25</v>
      </c>
      <c r="E26" s="5">
        <v>6842</v>
      </c>
      <c r="F26" s="6">
        <v>1513.197246</v>
      </c>
      <c r="G26" s="7">
        <v>2.2624055000000001E-2</v>
      </c>
      <c r="H26" s="6"/>
    </row>
    <row r="27" spans="1:10" ht="17.100000000000001" customHeight="1" x14ac:dyDescent="0.2">
      <c r="A27" s="3">
        <v>21</v>
      </c>
      <c r="B27" s="4" t="s">
        <v>386</v>
      </c>
      <c r="C27" s="4" t="s">
        <v>387</v>
      </c>
      <c r="D27" s="4" t="s">
        <v>239</v>
      </c>
      <c r="E27" s="5">
        <v>609355</v>
      </c>
      <c r="F27" s="6">
        <v>1450.5695774999999</v>
      </c>
      <c r="G27" s="7">
        <v>2.1687697999999998E-2</v>
      </c>
      <c r="H27" s="6"/>
    </row>
    <row r="28" spans="1:10" ht="17.100000000000001" customHeight="1" x14ac:dyDescent="0.2">
      <c r="A28" s="3">
        <v>22</v>
      </c>
      <c r="B28" s="4" t="s">
        <v>113</v>
      </c>
      <c r="C28" s="4" t="s">
        <v>114</v>
      </c>
      <c r="D28" s="4" t="s">
        <v>92</v>
      </c>
      <c r="E28" s="5">
        <v>166802</v>
      </c>
      <c r="F28" s="6">
        <v>1344.0071150000001</v>
      </c>
      <c r="G28" s="7">
        <v>2.0094465999999998E-2</v>
      </c>
      <c r="H28" s="6"/>
    </row>
    <row r="29" spans="1:10" ht="17.100000000000001" customHeight="1" x14ac:dyDescent="0.2">
      <c r="A29" s="3">
        <v>23</v>
      </c>
      <c r="B29" s="4" t="s">
        <v>421</v>
      </c>
      <c r="C29" s="4" t="s">
        <v>422</v>
      </c>
      <c r="D29" s="4" t="s">
        <v>994</v>
      </c>
      <c r="E29" s="5">
        <v>260811</v>
      </c>
      <c r="F29" s="6">
        <v>1246.8069855000001</v>
      </c>
      <c r="G29" s="7">
        <v>1.8641211000000001E-2</v>
      </c>
      <c r="H29" s="6"/>
    </row>
    <row r="30" spans="1:10" ht="17.100000000000001" customHeight="1" x14ac:dyDescent="0.2">
      <c r="A30" s="3">
        <v>24</v>
      </c>
      <c r="B30" s="4" t="s">
        <v>392</v>
      </c>
      <c r="C30" s="4" t="s">
        <v>393</v>
      </c>
      <c r="D30" s="4" t="s">
        <v>80</v>
      </c>
      <c r="E30" s="5">
        <v>32050</v>
      </c>
      <c r="F30" s="6">
        <v>1236.71335</v>
      </c>
      <c r="G30" s="7">
        <v>1.8490300000000001E-2</v>
      </c>
      <c r="H30" s="6"/>
    </row>
    <row r="31" spans="1:10" ht="17.100000000000001" customHeight="1" x14ac:dyDescent="0.2">
      <c r="A31" s="3">
        <v>25</v>
      </c>
      <c r="B31" s="4" t="s">
        <v>435</v>
      </c>
      <c r="C31" s="4" t="s">
        <v>436</v>
      </c>
      <c r="D31" s="4" t="s">
        <v>437</v>
      </c>
      <c r="E31" s="5">
        <v>272500</v>
      </c>
      <c r="F31" s="6">
        <v>1151.44875</v>
      </c>
      <c r="G31" s="7">
        <v>1.7215495000000001E-2</v>
      </c>
      <c r="H31" s="6"/>
    </row>
    <row r="32" spans="1:10" ht="17.100000000000001" customHeight="1" x14ac:dyDescent="0.2">
      <c r="A32" s="3">
        <v>26</v>
      </c>
      <c r="B32" s="4" t="s">
        <v>441</v>
      </c>
      <c r="C32" s="4" t="s">
        <v>442</v>
      </c>
      <c r="D32" s="4" t="s">
        <v>95</v>
      </c>
      <c r="E32" s="5">
        <v>190518</v>
      </c>
      <c r="F32" s="6">
        <v>1061.947332</v>
      </c>
      <c r="G32" s="7">
        <v>1.5877345000000001E-2</v>
      </c>
      <c r="H32" s="6"/>
    </row>
    <row r="33" spans="1:8" ht="17.100000000000001" customHeight="1" x14ac:dyDescent="0.2">
      <c r="A33" s="3">
        <v>27</v>
      </c>
      <c r="B33" s="4" t="s">
        <v>469</v>
      </c>
      <c r="C33" s="4" t="s">
        <v>470</v>
      </c>
      <c r="D33" s="4" t="s">
        <v>95</v>
      </c>
      <c r="E33" s="5">
        <v>695514</v>
      </c>
      <c r="F33" s="6">
        <v>909.03679799999998</v>
      </c>
      <c r="G33" s="7">
        <v>1.3591155000000001E-2</v>
      </c>
      <c r="H33" s="6"/>
    </row>
    <row r="34" spans="1:8" ht="17.100000000000001" customHeight="1" x14ac:dyDescent="0.2">
      <c r="A34" s="3">
        <v>28</v>
      </c>
      <c r="B34" s="4" t="s">
        <v>541</v>
      </c>
      <c r="C34" s="4" t="s">
        <v>542</v>
      </c>
      <c r="D34" s="4" t="s">
        <v>994</v>
      </c>
      <c r="E34" s="5">
        <v>66777</v>
      </c>
      <c r="F34" s="6">
        <v>887.19922199999996</v>
      </c>
      <c r="G34" s="7">
        <v>1.3264658E-2</v>
      </c>
      <c r="H34" s="6"/>
    </row>
    <row r="35" spans="1:8" ht="17.100000000000001" customHeight="1" x14ac:dyDescent="0.2">
      <c r="A35" s="3">
        <v>29</v>
      </c>
      <c r="B35" s="4" t="s">
        <v>463</v>
      </c>
      <c r="C35" s="4" t="s">
        <v>464</v>
      </c>
      <c r="D35" s="4" t="s">
        <v>80</v>
      </c>
      <c r="E35" s="5">
        <v>86708</v>
      </c>
      <c r="F35" s="6">
        <v>859.406342</v>
      </c>
      <c r="G35" s="7">
        <v>1.2849121999999999E-2</v>
      </c>
      <c r="H35" s="6"/>
    </row>
    <row r="36" spans="1:8" ht="14.1" customHeight="1" x14ac:dyDescent="0.2">
      <c r="A36" s="1"/>
      <c r="B36" s="1"/>
      <c r="C36" s="2" t="s">
        <v>119</v>
      </c>
      <c r="D36" s="1"/>
      <c r="E36" s="1" t="s">
        <v>120</v>
      </c>
      <c r="F36" s="9">
        <v>60328.374635000015</v>
      </c>
      <c r="G36" s="10">
        <v>0.90197920300000001</v>
      </c>
      <c r="H36" s="6"/>
    </row>
    <row r="37" spans="1:8" ht="14.1" customHeight="1" x14ac:dyDescent="0.2">
      <c r="A37" s="1"/>
      <c r="B37" s="1"/>
      <c r="C37" s="11"/>
      <c r="D37" s="1"/>
      <c r="E37" s="1"/>
      <c r="F37" s="12"/>
      <c r="G37" s="12"/>
      <c r="H37" s="6"/>
    </row>
    <row r="38" spans="1:8" ht="14.1" customHeight="1" x14ac:dyDescent="0.2">
      <c r="A38" s="1"/>
      <c r="B38" s="1"/>
      <c r="C38" s="2" t="s">
        <v>121</v>
      </c>
      <c r="D38" s="1"/>
      <c r="E38" s="1"/>
      <c r="F38" s="1"/>
      <c r="G38" s="1"/>
      <c r="H38" s="6"/>
    </row>
    <row r="39" spans="1:8" ht="14.1" customHeight="1" x14ac:dyDescent="0.2">
      <c r="A39" s="1"/>
      <c r="B39" s="1"/>
      <c r="C39" s="2" t="s">
        <v>119</v>
      </c>
      <c r="D39" s="1"/>
      <c r="E39" s="1" t="s">
        <v>120</v>
      </c>
      <c r="F39" s="13">
        <v>0</v>
      </c>
      <c r="G39" s="14">
        <v>0</v>
      </c>
      <c r="H39" s="6"/>
    </row>
    <row r="40" spans="1:8" ht="14.1" customHeight="1" x14ac:dyDescent="0.2">
      <c r="A40" s="1"/>
      <c r="B40" s="1"/>
      <c r="C40" s="11"/>
      <c r="D40" s="1"/>
      <c r="E40" s="1"/>
      <c r="F40" s="12"/>
      <c r="G40" s="12"/>
      <c r="H40" s="6"/>
    </row>
    <row r="41" spans="1:8" ht="14.1" customHeight="1" x14ac:dyDescent="0.2">
      <c r="A41" s="1"/>
      <c r="B41" s="1"/>
      <c r="C41" s="2" t="s">
        <v>122</v>
      </c>
      <c r="D41" s="1"/>
      <c r="E41" s="1"/>
      <c r="F41" s="1"/>
      <c r="G41" s="1"/>
      <c r="H41" s="6"/>
    </row>
    <row r="42" spans="1:8" ht="14.1" customHeight="1" x14ac:dyDescent="0.2">
      <c r="A42" s="1"/>
      <c r="B42" s="1"/>
      <c r="C42" s="2" t="s">
        <v>119</v>
      </c>
      <c r="D42" s="1"/>
      <c r="E42" s="1" t="s">
        <v>120</v>
      </c>
      <c r="F42" s="13">
        <v>0</v>
      </c>
      <c r="G42" s="14">
        <v>0</v>
      </c>
      <c r="H42" s="6"/>
    </row>
    <row r="43" spans="1:8" ht="14.1" customHeight="1" x14ac:dyDescent="0.2">
      <c r="A43" s="1"/>
      <c r="B43" s="1"/>
      <c r="C43" s="11"/>
      <c r="D43" s="1"/>
      <c r="E43" s="1"/>
      <c r="F43" s="12"/>
      <c r="G43" s="12"/>
      <c r="H43" s="6"/>
    </row>
    <row r="44" spans="1:8" ht="14.1" customHeight="1" x14ac:dyDescent="0.2">
      <c r="A44" s="1"/>
      <c r="B44" s="1"/>
      <c r="C44" s="2" t="s">
        <v>123</v>
      </c>
      <c r="D44" s="1"/>
      <c r="E44" s="1"/>
      <c r="F44" s="1"/>
      <c r="G44" s="1"/>
      <c r="H44" s="6"/>
    </row>
    <row r="45" spans="1:8" ht="14.1" customHeight="1" x14ac:dyDescent="0.2">
      <c r="A45" s="1"/>
      <c r="B45" s="1"/>
      <c r="C45" s="2" t="s">
        <v>119</v>
      </c>
      <c r="D45" s="1"/>
      <c r="E45" s="1" t="s">
        <v>120</v>
      </c>
      <c r="F45" s="9">
        <v>0</v>
      </c>
      <c r="G45" s="10">
        <v>0</v>
      </c>
      <c r="H45" s="6"/>
    </row>
    <row r="46" spans="1:8" ht="14.1" customHeight="1" x14ac:dyDescent="0.2">
      <c r="A46" s="1"/>
      <c r="B46" s="1"/>
      <c r="C46" s="11"/>
      <c r="D46" s="1"/>
      <c r="E46" s="1"/>
      <c r="F46" s="12"/>
      <c r="G46" s="12"/>
      <c r="H46" s="6"/>
    </row>
    <row r="47" spans="1:8" ht="14.1" customHeight="1" x14ac:dyDescent="0.2">
      <c r="A47" s="1"/>
      <c r="B47" s="1"/>
      <c r="C47" s="2" t="s">
        <v>124</v>
      </c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119</v>
      </c>
      <c r="D48" s="1"/>
      <c r="E48" s="1" t="s">
        <v>120</v>
      </c>
      <c r="F48" s="13">
        <v>0</v>
      </c>
      <c r="G48" s="14">
        <v>0</v>
      </c>
      <c r="H48" s="6"/>
    </row>
    <row r="49" spans="1:8" ht="14.1" customHeight="1" x14ac:dyDescent="0.2">
      <c r="A49" s="1"/>
      <c r="B49" s="1"/>
      <c r="C49" s="11"/>
      <c r="D49" s="1"/>
      <c r="E49" s="1"/>
      <c r="F49" s="12"/>
      <c r="G49" s="12"/>
      <c r="H49" s="6"/>
    </row>
    <row r="50" spans="1:8" ht="14.1" customHeight="1" x14ac:dyDescent="0.2">
      <c r="A50" s="1"/>
      <c r="B50" s="1"/>
      <c r="C50" s="2" t="s">
        <v>125</v>
      </c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119</v>
      </c>
      <c r="D51" s="1"/>
      <c r="E51" s="1" t="s">
        <v>120</v>
      </c>
      <c r="F51" s="13">
        <v>0</v>
      </c>
      <c r="G51" s="14">
        <v>0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8" customHeight="1" x14ac:dyDescent="0.2">
      <c r="A53" s="1"/>
      <c r="B53" s="1"/>
      <c r="C53" s="2" t="s">
        <v>126</v>
      </c>
      <c r="D53" s="1"/>
      <c r="E53" s="1"/>
      <c r="F53" s="9">
        <v>60328.374635</v>
      </c>
      <c r="G53" s="10">
        <v>0.90197920300000001</v>
      </c>
      <c r="H53" s="6"/>
    </row>
    <row r="54" spans="1:8" ht="14.1" customHeight="1" x14ac:dyDescent="0.2">
      <c r="A54" s="1"/>
      <c r="B54" s="1"/>
      <c r="C54" s="11"/>
      <c r="D54" s="1"/>
      <c r="E54" s="1"/>
      <c r="F54" s="12"/>
      <c r="G54" s="12"/>
      <c r="H54" s="6"/>
    </row>
    <row r="55" spans="1:8" ht="14.1" customHeight="1" x14ac:dyDescent="0.2">
      <c r="A55" s="1"/>
      <c r="B55" s="1"/>
      <c r="C55" s="2" t="s">
        <v>127</v>
      </c>
      <c r="D55" s="1"/>
      <c r="E55" s="1"/>
      <c r="F55" s="12"/>
      <c r="G55" s="12"/>
      <c r="H55" s="6"/>
    </row>
    <row r="56" spans="1:8" ht="24" customHeight="1" x14ac:dyDescent="0.2">
      <c r="A56" s="1"/>
      <c r="B56" s="1"/>
      <c r="C56" s="2" t="s">
        <v>10</v>
      </c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119</v>
      </c>
      <c r="D57" s="1"/>
      <c r="E57" s="1" t="s">
        <v>120</v>
      </c>
      <c r="F57" s="13">
        <v>0</v>
      </c>
      <c r="G57" s="14">
        <v>0</v>
      </c>
      <c r="H57" s="6"/>
    </row>
    <row r="58" spans="1:8" ht="14.1" customHeight="1" x14ac:dyDescent="0.2">
      <c r="A58" s="1"/>
      <c r="B58" s="1"/>
      <c r="C58" s="11"/>
      <c r="D58" s="1"/>
      <c r="E58" s="1"/>
      <c r="F58" s="12"/>
      <c r="G58" s="12"/>
      <c r="H58" s="6"/>
    </row>
    <row r="59" spans="1:8" ht="14.1" customHeight="1" x14ac:dyDescent="0.2">
      <c r="A59" s="1"/>
      <c r="B59" s="1"/>
      <c r="C59" s="2" t="s">
        <v>128</v>
      </c>
      <c r="D59" s="1"/>
      <c r="E59" s="1"/>
      <c r="F59" s="1"/>
      <c r="G59" s="1"/>
      <c r="H59" s="6"/>
    </row>
    <row r="60" spans="1:8" ht="14.1" customHeight="1" x14ac:dyDescent="0.2">
      <c r="A60" s="1"/>
      <c r="B60" s="1"/>
      <c r="C60" s="2" t="s">
        <v>119</v>
      </c>
      <c r="D60" s="1"/>
      <c r="E60" s="1" t="s">
        <v>120</v>
      </c>
      <c r="F60" s="13">
        <v>0</v>
      </c>
      <c r="G60" s="14">
        <v>0</v>
      </c>
      <c r="H60" s="6"/>
    </row>
    <row r="61" spans="1:8" ht="14.1" customHeight="1" x14ac:dyDescent="0.2">
      <c r="A61" s="1"/>
      <c r="B61" s="1"/>
      <c r="C61" s="11"/>
      <c r="D61" s="1"/>
      <c r="E61" s="1"/>
      <c r="F61" s="12"/>
      <c r="G61" s="12"/>
      <c r="H61" s="6"/>
    </row>
    <row r="62" spans="1:8" ht="14.1" customHeight="1" x14ac:dyDescent="0.2">
      <c r="A62" s="1"/>
      <c r="B62" s="1"/>
      <c r="C62" s="2" t="s">
        <v>129</v>
      </c>
      <c r="D62" s="1"/>
      <c r="E62" s="1"/>
      <c r="F62" s="1"/>
      <c r="G62" s="1"/>
      <c r="H62" s="6"/>
    </row>
    <row r="63" spans="1:8" ht="14.1" customHeight="1" x14ac:dyDescent="0.2">
      <c r="A63" s="1"/>
      <c r="B63" s="1"/>
      <c r="C63" s="2" t="s">
        <v>119</v>
      </c>
      <c r="D63" s="1"/>
      <c r="E63" s="1" t="s">
        <v>120</v>
      </c>
      <c r="F63" s="13">
        <v>0</v>
      </c>
      <c r="G63" s="14">
        <v>0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130</v>
      </c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119</v>
      </c>
      <c r="D66" s="1"/>
      <c r="E66" s="1" t="s">
        <v>120</v>
      </c>
      <c r="F66" s="13">
        <v>0</v>
      </c>
      <c r="G66" s="14">
        <v>0</v>
      </c>
      <c r="H66" s="6"/>
    </row>
    <row r="67" spans="1:8" ht="14.1" customHeight="1" x14ac:dyDescent="0.2">
      <c r="A67" s="1"/>
      <c r="B67" s="1"/>
      <c r="C67" s="11"/>
      <c r="D67" s="1"/>
      <c r="E67" s="1"/>
      <c r="F67" s="12"/>
      <c r="G67" s="12"/>
      <c r="H67" s="6"/>
    </row>
    <row r="68" spans="1:8" ht="14.1" customHeight="1" x14ac:dyDescent="0.2">
      <c r="A68" s="1"/>
      <c r="B68" s="1"/>
      <c r="C68" s="2" t="s">
        <v>131</v>
      </c>
      <c r="D68" s="1"/>
      <c r="E68" s="1"/>
      <c r="F68" s="9">
        <v>0</v>
      </c>
      <c r="G68" s="10">
        <v>0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4.1" customHeight="1" x14ac:dyDescent="0.2">
      <c r="A70" s="1"/>
      <c r="B70" s="1"/>
      <c r="C70" s="2" t="s">
        <v>132</v>
      </c>
      <c r="D70" s="1"/>
      <c r="E70" s="1"/>
      <c r="F70" s="12"/>
      <c r="G70" s="12"/>
      <c r="H70" s="6"/>
    </row>
    <row r="71" spans="1:8" ht="14.1" customHeight="1" x14ac:dyDescent="0.2">
      <c r="A71" s="1"/>
      <c r="B71" s="1"/>
      <c r="C71" s="2" t="s">
        <v>133</v>
      </c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119</v>
      </c>
      <c r="D72" s="1"/>
      <c r="E72" s="1" t="s">
        <v>120</v>
      </c>
      <c r="F72" s="13">
        <v>0</v>
      </c>
      <c r="G72" s="14">
        <v>0</v>
      </c>
      <c r="H72" s="6"/>
    </row>
    <row r="73" spans="1:8" ht="14.1" customHeight="1" x14ac:dyDescent="0.2">
      <c r="A73" s="1"/>
      <c r="B73" s="1"/>
      <c r="C73" s="11"/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134</v>
      </c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119</v>
      </c>
      <c r="D75" s="1"/>
      <c r="E75" s="1" t="s">
        <v>120</v>
      </c>
      <c r="F75" s="13">
        <v>0</v>
      </c>
      <c r="G75" s="14">
        <v>0</v>
      </c>
      <c r="H75" s="6"/>
    </row>
    <row r="76" spans="1:8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8" ht="14.1" customHeight="1" x14ac:dyDescent="0.2">
      <c r="A77" s="1"/>
      <c r="B77" s="1"/>
      <c r="C77" s="2" t="s">
        <v>135</v>
      </c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119</v>
      </c>
      <c r="D78" s="1"/>
      <c r="E78" s="1" t="s">
        <v>120</v>
      </c>
      <c r="F78" s="13">
        <v>0</v>
      </c>
      <c r="G78" s="14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136</v>
      </c>
      <c r="D80" s="1"/>
      <c r="E80" s="1"/>
      <c r="F80" s="12"/>
      <c r="G80" s="12"/>
      <c r="H80" s="6"/>
    </row>
    <row r="81" spans="1:8" ht="17.100000000000001" customHeight="1" x14ac:dyDescent="0.2">
      <c r="A81" s="3">
        <v>1</v>
      </c>
      <c r="B81" s="4"/>
      <c r="C81" s="4" t="s">
        <v>137</v>
      </c>
      <c r="D81" s="4"/>
      <c r="E81" s="8"/>
      <c r="F81" s="6">
        <v>6546.9280007999996</v>
      </c>
      <c r="G81" s="7">
        <v>9.7884170000000006E-2</v>
      </c>
      <c r="H81" s="6">
        <v>4.1713246754849944</v>
      </c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9">
        <v>6546.9280007999996</v>
      </c>
      <c r="G82" s="10">
        <v>9.7884170000000006E-2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138</v>
      </c>
      <c r="D84" s="1"/>
      <c r="E84" s="1"/>
      <c r="F84" s="9">
        <v>6546.9280007999996</v>
      </c>
      <c r="G84" s="10">
        <v>9.7884170000000006E-2</v>
      </c>
      <c r="H84" s="6"/>
    </row>
    <row r="85" spans="1:8" ht="14.1" customHeight="1" x14ac:dyDescent="0.2">
      <c r="A85" s="1"/>
      <c r="B85" s="1"/>
      <c r="C85" s="12"/>
      <c r="D85" s="1"/>
      <c r="E85" s="1"/>
      <c r="F85" s="1"/>
      <c r="G85" s="1"/>
      <c r="H85" s="6"/>
    </row>
    <row r="86" spans="1:8" ht="14.1" customHeight="1" x14ac:dyDescent="0.2">
      <c r="A86" s="1"/>
      <c r="B86" s="1"/>
      <c r="C86" s="2" t="s">
        <v>139</v>
      </c>
      <c r="D86" s="1"/>
      <c r="E86" s="1"/>
      <c r="F86" s="1"/>
      <c r="G86" s="1"/>
      <c r="H86" s="6"/>
    </row>
    <row r="87" spans="1:8" ht="14.1" customHeight="1" x14ac:dyDescent="0.2">
      <c r="A87" s="1"/>
      <c r="B87" s="1"/>
      <c r="C87" s="2" t="s">
        <v>140</v>
      </c>
      <c r="D87" s="1"/>
      <c r="E87" s="1"/>
      <c r="F87" s="1"/>
      <c r="G87" s="1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141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142</v>
      </c>
      <c r="D91" s="1"/>
      <c r="E91" s="1"/>
      <c r="F91" s="1"/>
      <c r="G91" s="1"/>
      <c r="H91" s="6"/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24" customHeight="1" x14ac:dyDescent="0.2">
      <c r="A95" s="1"/>
      <c r="B95" s="1"/>
      <c r="C95" s="2" t="s">
        <v>143</v>
      </c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4"/>
      <c r="C98" s="4"/>
      <c r="D98" s="2"/>
      <c r="E98" s="1"/>
      <c r="F98" s="4"/>
      <c r="G98" s="8"/>
      <c r="H98" s="6"/>
    </row>
    <row r="99" spans="1:8" ht="18" customHeight="1" x14ac:dyDescent="0.2">
      <c r="A99" s="8"/>
      <c r="B99" s="4"/>
      <c r="C99" s="4" t="s">
        <v>144</v>
      </c>
      <c r="D99" s="4"/>
      <c r="E99" s="8"/>
      <c r="F99" s="6">
        <v>9.1383946100000006</v>
      </c>
      <c r="G99" s="7">
        <v>1.3663E-4</v>
      </c>
      <c r="H99" s="6"/>
    </row>
    <row r="100" spans="1:8" ht="14.1" customHeight="1" x14ac:dyDescent="0.2">
      <c r="A100" s="11"/>
      <c r="B100" s="11"/>
      <c r="C100" s="2" t="s">
        <v>145</v>
      </c>
      <c r="D100" s="15"/>
      <c r="E100" s="15"/>
      <c r="F100" s="9">
        <v>66884.441030410002</v>
      </c>
      <c r="G100" s="10">
        <v>1.000000003</v>
      </c>
      <c r="H100" s="6"/>
    </row>
    <row r="101" spans="1:8" ht="14.1" customHeight="1" x14ac:dyDescent="0.2">
      <c r="A101" s="18"/>
      <c r="B101" s="18"/>
      <c r="C101" s="18"/>
      <c r="D101" s="20"/>
      <c r="E101" s="20"/>
      <c r="F101" s="20"/>
      <c r="G101" s="20"/>
    </row>
    <row r="102" spans="1:8" ht="14.1" customHeight="1" x14ac:dyDescent="0.2">
      <c r="A102" s="18"/>
      <c r="B102" s="265" t="s">
        <v>147</v>
      </c>
      <c r="C102" s="266"/>
      <c r="D102" s="12" t="s">
        <v>120</v>
      </c>
      <c r="E102" s="21"/>
      <c r="F102" s="20"/>
      <c r="G102" s="20"/>
    </row>
    <row r="103" spans="1:8" ht="29.1" customHeight="1" x14ac:dyDescent="0.2">
      <c r="A103" s="18"/>
      <c r="B103" s="272" t="s">
        <v>148</v>
      </c>
      <c r="C103" s="273"/>
      <c r="D103" s="2" t="s">
        <v>149</v>
      </c>
      <c r="E103" s="21"/>
      <c r="F103" s="20"/>
      <c r="G103" s="20"/>
    </row>
    <row r="104" spans="1:8" ht="17.100000000000001" customHeight="1" x14ac:dyDescent="0.2">
      <c r="A104" s="18"/>
      <c r="B104" s="272" t="s">
        <v>150</v>
      </c>
      <c r="C104" s="273"/>
      <c r="D104" s="2" t="s">
        <v>149</v>
      </c>
      <c r="E104" s="21"/>
      <c r="F104" s="20"/>
      <c r="G104" s="20"/>
    </row>
    <row r="105" spans="1:8" ht="17.100000000000001" customHeight="1" x14ac:dyDescent="0.2">
      <c r="A105" s="18"/>
      <c r="B105" s="272" t="s">
        <v>151</v>
      </c>
      <c r="C105" s="273"/>
      <c r="D105" s="12" t="s">
        <v>120</v>
      </c>
      <c r="E105" s="21"/>
      <c r="F105" s="20"/>
      <c r="G105" s="20"/>
    </row>
    <row r="106" spans="1:8" ht="24" customHeight="1" x14ac:dyDescent="0.2">
      <c r="A106" s="22"/>
      <c r="B106" s="23" t="s">
        <v>120</v>
      </c>
      <c r="C106" s="23" t="s">
        <v>152</v>
      </c>
      <c r="D106" s="23" t="s">
        <v>153</v>
      </c>
      <c r="E106" s="22"/>
      <c r="F106" s="22"/>
      <c r="G106" s="22"/>
    </row>
    <row r="107" spans="1:8" ht="18" customHeight="1" x14ac:dyDescent="0.2">
      <c r="A107" s="22"/>
      <c r="B107" s="23" t="s">
        <v>154</v>
      </c>
      <c r="C107" s="23" t="s">
        <v>155</v>
      </c>
      <c r="D107" s="23" t="s">
        <v>156</v>
      </c>
      <c r="E107" s="22"/>
      <c r="F107" s="22"/>
      <c r="G107" s="22"/>
    </row>
    <row r="108" spans="1:8" ht="17.100000000000001" customHeight="1" x14ac:dyDescent="0.2">
      <c r="A108" s="22"/>
      <c r="B108" s="4" t="s">
        <v>157</v>
      </c>
      <c r="C108" s="24">
        <v>113.6024</v>
      </c>
      <c r="D108" s="24">
        <v>108.28060000000001</v>
      </c>
      <c r="E108" s="22"/>
      <c r="F108" s="19"/>
      <c r="G108" s="25"/>
    </row>
    <row r="109" spans="1:8" ht="29.1" customHeight="1" x14ac:dyDescent="0.2">
      <c r="A109" s="22"/>
      <c r="B109" s="4" t="s">
        <v>1123</v>
      </c>
      <c r="C109" s="24">
        <v>35.959800000000001</v>
      </c>
      <c r="D109" s="24">
        <v>34.274000000000001</v>
      </c>
      <c r="E109" s="22"/>
      <c r="F109" s="19"/>
      <c r="G109" s="25"/>
    </row>
    <row r="110" spans="1:8" ht="17.100000000000001" customHeight="1" x14ac:dyDescent="0.2">
      <c r="A110" s="22"/>
      <c r="B110" s="4" t="s">
        <v>158</v>
      </c>
      <c r="C110" s="24">
        <v>106.07810000000001</v>
      </c>
      <c r="D110" s="24">
        <v>101.00530000000001</v>
      </c>
      <c r="E110" s="22"/>
      <c r="F110" s="19"/>
      <c r="G110" s="25"/>
    </row>
    <row r="111" spans="1:8" ht="29.1" customHeight="1" x14ac:dyDescent="0.2">
      <c r="A111" s="22"/>
      <c r="B111" s="4" t="s">
        <v>1124</v>
      </c>
      <c r="C111" s="24">
        <v>34.195500000000003</v>
      </c>
      <c r="D111" s="24">
        <v>32.560299999999998</v>
      </c>
      <c r="E111" s="22"/>
      <c r="F111" s="19"/>
      <c r="G111" s="25"/>
    </row>
    <row r="112" spans="1:8" ht="14.1" customHeight="1" x14ac:dyDescent="0.2">
      <c r="A112" s="22"/>
      <c r="B112" s="22"/>
      <c r="C112" s="22"/>
      <c r="D112" s="22"/>
      <c r="E112" s="22"/>
      <c r="F112" s="22"/>
      <c r="G112" s="22"/>
    </row>
    <row r="113" spans="1:15" ht="17.100000000000001" customHeight="1" x14ac:dyDescent="0.2">
      <c r="A113" s="22"/>
      <c r="B113" s="272" t="s">
        <v>1122</v>
      </c>
      <c r="C113" s="273"/>
      <c r="D113" s="2" t="s">
        <v>149</v>
      </c>
      <c r="E113" s="22"/>
      <c r="F113" s="22"/>
      <c r="G113" s="22"/>
    </row>
    <row r="114" spans="1:15" ht="14.1" customHeight="1" x14ac:dyDescent="0.2">
      <c r="A114" s="22"/>
      <c r="B114" s="19"/>
      <c r="C114" s="19"/>
      <c r="D114" s="22"/>
      <c r="E114" s="22"/>
      <c r="F114" s="22"/>
      <c r="G114" s="22"/>
    </row>
    <row r="115" spans="1:15" ht="29.1" customHeight="1" x14ac:dyDescent="0.2">
      <c r="A115" s="22"/>
      <c r="B115" s="272" t="s">
        <v>160</v>
      </c>
      <c r="C115" s="273"/>
      <c r="D115" s="2" t="s">
        <v>149</v>
      </c>
      <c r="E115" s="22"/>
      <c r="F115" s="22"/>
      <c r="G115" s="22"/>
    </row>
    <row r="116" spans="1:15" ht="29.1" customHeight="1" x14ac:dyDescent="0.2">
      <c r="A116" s="22"/>
      <c r="B116" s="272" t="s">
        <v>161</v>
      </c>
      <c r="C116" s="273"/>
      <c r="D116" s="2" t="s">
        <v>149</v>
      </c>
      <c r="E116" s="22"/>
      <c r="F116" s="22"/>
      <c r="G116" s="22"/>
    </row>
    <row r="117" spans="1:15" ht="17.100000000000001" customHeight="1" x14ac:dyDescent="0.2">
      <c r="A117" s="22"/>
      <c r="B117" s="272" t="s">
        <v>162</v>
      </c>
      <c r="C117" s="273"/>
      <c r="D117" s="27">
        <v>0.4193417117702794</v>
      </c>
      <c r="E117" s="22"/>
      <c r="F117" s="19"/>
      <c r="G117" s="25"/>
    </row>
    <row r="118" spans="1:15" ht="17.100000000000001" customHeight="1" x14ac:dyDescent="0.2">
      <c r="A118" s="22"/>
      <c r="B118" s="272" t="s">
        <v>163</v>
      </c>
      <c r="C118" s="273"/>
      <c r="D118" s="2" t="s">
        <v>149</v>
      </c>
      <c r="E118" s="22"/>
      <c r="F118" s="22"/>
      <c r="G118" s="22"/>
    </row>
    <row r="121" spans="1:15" x14ac:dyDescent="0.2">
      <c r="J121" s="170"/>
      <c r="K121" s="170"/>
      <c r="L121" s="170"/>
      <c r="M121" s="170"/>
      <c r="N121" s="170"/>
      <c r="O121" s="170"/>
    </row>
  </sheetData>
  <mergeCells count="13">
    <mergeCell ref="B117:C117"/>
    <mergeCell ref="B118:C118"/>
    <mergeCell ref="B103:C103"/>
    <mergeCell ref="B104:C104"/>
    <mergeCell ref="B105:C105"/>
    <mergeCell ref="B113:C113"/>
    <mergeCell ref="B115:C115"/>
    <mergeCell ref="B116:C116"/>
    <mergeCell ref="J2:N2"/>
    <mergeCell ref="B102:C102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O176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1137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993969</v>
      </c>
      <c r="F7" s="6">
        <v>7483.0956164999998</v>
      </c>
      <c r="G7" s="7">
        <v>4.3398738999999999E-2</v>
      </c>
      <c r="H7" s="6"/>
    </row>
    <row r="8" spans="1:14" ht="17.100000000000001" customHeight="1" x14ac:dyDescent="0.2">
      <c r="A8" s="3">
        <v>2</v>
      </c>
      <c r="B8" s="4" t="s">
        <v>14</v>
      </c>
      <c r="C8" s="4" t="s">
        <v>15</v>
      </c>
      <c r="D8" s="4" t="s">
        <v>16</v>
      </c>
      <c r="E8" s="5">
        <v>252782</v>
      </c>
      <c r="F8" s="6">
        <v>6654.865323</v>
      </c>
      <c r="G8" s="7">
        <v>3.8595359000000003E-2</v>
      </c>
      <c r="H8" s="6"/>
    </row>
    <row r="9" spans="1:14" ht="17.100000000000001" customHeight="1" x14ac:dyDescent="0.2">
      <c r="A9" s="3">
        <v>3</v>
      </c>
      <c r="B9" s="4" t="s">
        <v>50</v>
      </c>
      <c r="C9" s="4" t="s">
        <v>51</v>
      </c>
      <c r="D9" s="4" t="s">
        <v>19</v>
      </c>
      <c r="E9" s="5">
        <v>1253000</v>
      </c>
      <c r="F9" s="6">
        <v>5865.2929999999997</v>
      </c>
      <c r="G9" s="7">
        <v>3.4016179000000001E-2</v>
      </c>
      <c r="H9" s="6"/>
    </row>
    <row r="10" spans="1:14" ht="53.1" customHeight="1" x14ac:dyDescent="0.2">
      <c r="A10" s="3">
        <v>4</v>
      </c>
      <c r="B10" s="4" t="s">
        <v>73</v>
      </c>
      <c r="C10" s="4" t="s">
        <v>74</v>
      </c>
      <c r="D10" s="4" t="s">
        <v>75</v>
      </c>
      <c r="E10" s="5">
        <v>3870000</v>
      </c>
      <c r="F10" s="6">
        <v>5321.25</v>
      </c>
      <c r="G10" s="7">
        <v>3.0860964000000001E-2</v>
      </c>
      <c r="H10" s="6"/>
    </row>
    <row r="11" spans="1:14" ht="17.100000000000001" customHeight="1" x14ac:dyDescent="0.2">
      <c r="A11" s="3">
        <v>5</v>
      </c>
      <c r="B11" s="4" t="s">
        <v>319</v>
      </c>
      <c r="C11" s="4" t="s">
        <v>320</v>
      </c>
      <c r="D11" s="4" t="s">
        <v>19</v>
      </c>
      <c r="E11" s="5">
        <v>741897</v>
      </c>
      <c r="F11" s="6">
        <v>5083.4782439999999</v>
      </c>
      <c r="G11" s="7">
        <v>2.948199E-2</v>
      </c>
      <c r="H11" s="6"/>
    </row>
    <row r="12" spans="1:14" ht="17.100000000000001" customHeight="1" x14ac:dyDescent="0.2">
      <c r="A12" s="3">
        <v>6</v>
      </c>
      <c r="B12" s="4" t="s">
        <v>406</v>
      </c>
      <c r="C12" s="4" t="s">
        <v>407</v>
      </c>
      <c r="D12" s="4" t="s">
        <v>994</v>
      </c>
      <c r="E12" s="5">
        <v>333000</v>
      </c>
      <c r="F12" s="6">
        <v>5006.9880000000003</v>
      </c>
      <c r="G12" s="7">
        <v>2.9038379E-2</v>
      </c>
      <c r="H12" s="6"/>
    </row>
    <row r="13" spans="1:14" ht="17.100000000000001" customHeight="1" x14ac:dyDescent="0.2">
      <c r="A13" s="3">
        <v>7</v>
      </c>
      <c r="B13" s="4" t="s">
        <v>26</v>
      </c>
      <c r="C13" s="4" t="s">
        <v>27</v>
      </c>
      <c r="D13" s="4" t="s">
        <v>28</v>
      </c>
      <c r="E13" s="5">
        <v>185969</v>
      </c>
      <c r="F13" s="6">
        <v>4540.9910419999997</v>
      </c>
      <c r="G13" s="7">
        <v>2.6335797000000001E-2</v>
      </c>
      <c r="H13" s="6"/>
      <c r="J13" s="169" t="s">
        <v>1156</v>
      </c>
    </row>
    <row r="14" spans="1:14" ht="29.1" customHeight="1" x14ac:dyDescent="0.2">
      <c r="A14" s="3">
        <v>8</v>
      </c>
      <c r="B14" s="4" t="s">
        <v>408</v>
      </c>
      <c r="C14" s="4" t="s">
        <v>409</v>
      </c>
      <c r="D14" s="4" t="s">
        <v>85</v>
      </c>
      <c r="E14" s="5">
        <v>175000</v>
      </c>
      <c r="F14" s="6">
        <v>4036.8125</v>
      </c>
      <c r="G14" s="7">
        <v>2.3411778000000001E-2</v>
      </c>
      <c r="H14" s="6"/>
    </row>
    <row r="15" spans="1:14" ht="17.100000000000001" customHeight="1" x14ac:dyDescent="0.2">
      <c r="A15" s="3">
        <v>9</v>
      </c>
      <c r="B15" s="4" t="s">
        <v>443</v>
      </c>
      <c r="C15" s="4" t="s">
        <v>444</v>
      </c>
      <c r="D15" s="4" t="s">
        <v>19</v>
      </c>
      <c r="E15" s="5">
        <v>1899000</v>
      </c>
      <c r="F15" s="6">
        <v>3892.95</v>
      </c>
      <c r="G15" s="7">
        <v>2.2577436999999999E-2</v>
      </c>
      <c r="H15" s="6"/>
    </row>
    <row r="16" spans="1:14" ht="17.100000000000001" customHeight="1" x14ac:dyDescent="0.2">
      <c r="A16" s="3">
        <v>10</v>
      </c>
      <c r="B16" s="4" t="s">
        <v>312</v>
      </c>
      <c r="C16" s="4" t="s">
        <v>313</v>
      </c>
      <c r="D16" s="4" t="s">
        <v>254</v>
      </c>
      <c r="E16" s="5">
        <v>8442</v>
      </c>
      <c r="F16" s="6">
        <v>3815.2817009999999</v>
      </c>
      <c r="G16" s="7">
        <v>2.2126995E-2</v>
      </c>
      <c r="H16" s="6"/>
    </row>
    <row r="17" spans="1:10" ht="17.100000000000001" customHeight="1" x14ac:dyDescent="0.2">
      <c r="A17" s="3">
        <v>11</v>
      </c>
      <c r="B17" s="4" t="s">
        <v>374</v>
      </c>
      <c r="C17" s="4" t="s">
        <v>375</v>
      </c>
      <c r="D17" s="4" t="s">
        <v>19</v>
      </c>
      <c r="E17" s="5">
        <v>258000</v>
      </c>
      <c r="F17" s="6">
        <v>3583.491</v>
      </c>
      <c r="G17" s="7">
        <v>2.0782708E-2</v>
      </c>
      <c r="H17" s="6"/>
    </row>
    <row r="18" spans="1:10" ht="29.1" customHeight="1" x14ac:dyDescent="0.2">
      <c r="A18" s="3">
        <v>12</v>
      </c>
      <c r="B18" s="4" t="s">
        <v>310</v>
      </c>
      <c r="C18" s="4" t="s">
        <v>311</v>
      </c>
      <c r="D18" s="4" t="s">
        <v>219</v>
      </c>
      <c r="E18" s="5">
        <v>141162</v>
      </c>
      <c r="F18" s="6">
        <v>3478.3022609999998</v>
      </c>
      <c r="G18" s="7">
        <v>2.0172658999999999E-2</v>
      </c>
      <c r="H18" s="6"/>
    </row>
    <row r="19" spans="1:10" ht="17.100000000000001" customHeight="1" x14ac:dyDescent="0.2">
      <c r="A19" s="3">
        <v>13</v>
      </c>
      <c r="B19" s="4" t="s">
        <v>170</v>
      </c>
      <c r="C19" s="4" t="s">
        <v>171</v>
      </c>
      <c r="D19" s="4" t="s">
        <v>28</v>
      </c>
      <c r="E19" s="5">
        <v>275348</v>
      </c>
      <c r="F19" s="6">
        <v>3404.127324</v>
      </c>
      <c r="G19" s="7">
        <v>1.9742475999999998E-2</v>
      </c>
      <c r="H19" s="6"/>
    </row>
    <row r="20" spans="1:10" ht="17.100000000000001" customHeight="1" x14ac:dyDescent="0.2">
      <c r="A20" s="3">
        <v>14</v>
      </c>
      <c r="B20" s="4" t="s">
        <v>20</v>
      </c>
      <c r="C20" s="4" t="s">
        <v>21</v>
      </c>
      <c r="D20" s="4" t="s">
        <v>22</v>
      </c>
      <c r="E20" s="5">
        <v>477015</v>
      </c>
      <c r="F20" s="6">
        <v>3340.0590299999999</v>
      </c>
      <c r="G20" s="7">
        <v>1.9370907E-2</v>
      </c>
      <c r="H20" s="6"/>
    </row>
    <row r="21" spans="1:10" ht="17.100000000000001" customHeight="1" x14ac:dyDescent="0.2">
      <c r="A21" s="3">
        <v>15</v>
      </c>
      <c r="B21" s="4" t="s">
        <v>410</v>
      </c>
      <c r="C21" s="4" t="s">
        <v>411</v>
      </c>
      <c r="D21" s="4" t="s">
        <v>994</v>
      </c>
      <c r="E21" s="5">
        <v>92000</v>
      </c>
      <c r="F21" s="6">
        <v>3095.2020000000002</v>
      </c>
      <c r="G21" s="7">
        <v>1.7950842000000002E-2</v>
      </c>
      <c r="H21" s="6"/>
    </row>
    <row r="22" spans="1:10" ht="17.100000000000001" customHeight="1" x14ac:dyDescent="0.2">
      <c r="A22" s="3">
        <v>16</v>
      </c>
      <c r="B22" s="4" t="s">
        <v>172</v>
      </c>
      <c r="C22" s="4" t="s">
        <v>173</v>
      </c>
      <c r="D22" s="4" t="s">
        <v>994</v>
      </c>
      <c r="E22" s="5">
        <v>566505</v>
      </c>
      <c r="F22" s="6">
        <v>3004.176015</v>
      </c>
      <c r="G22" s="7">
        <v>1.742293E-2</v>
      </c>
      <c r="H22" s="6"/>
    </row>
    <row r="23" spans="1:10" ht="17.100000000000001" customHeight="1" x14ac:dyDescent="0.2">
      <c r="A23" s="3">
        <v>17</v>
      </c>
      <c r="B23" s="4" t="s">
        <v>321</v>
      </c>
      <c r="C23" s="4" t="s">
        <v>322</v>
      </c>
      <c r="D23" s="4" t="s">
        <v>323</v>
      </c>
      <c r="E23" s="5">
        <v>377000</v>
      </c>
      <c r="F23" s="6">
        <v>2996.0189999999998</v>
      </c>
      <c r="G23" s="7">
        <v>1.7375623E-2</v>
      </c>
      <c r="H23" s="6"/>
    </row>
    <row r="24" spans="1:10" ht="17.100000000000001" customHeight="1" x14ac:dyDescent="0.2">
      <c r="A24" s="3">
        <v>18</v>
      </c>
      <c r="B24" s="4" t="s">
        <v>113</v>
      </c>
      <c r="C24" s="4" t="s">
        <v>114</v>
      </c>
      <c r="D24" s="4" t="s">
        <v>92</v>
      </c>
      <c r="E24" s="5">
        <v>367403</v>
      </c>
      <c r="F24" s="6">
        <v>2960.3496725</v>
      </c>
      <c r="G24" s="7">
        <v>1.7168756E-2</v>
      </c>
      <c r="H24" s="6"/>
      <c r="J24" s="169" t="s">
        <v>1157</v>
      </c>
    </row>
    <row r="25" spans="1:10" ht="17.100000000000001" customHeight="1" x14ac:dyDescent="0.2">
      <c r="A25" s="3">
        <v>19</v>
      </c>
      <c r="B25" s="4" t="s">
        <v>461</v>
      </c>
      <c r="C25" s="4" t="s">
        <v>462</v>
      </c>
      <c r="D25" s="4" t="s">
        <v>396</v>
      </c>
      <c r="E25" s="5">
        <v>37000</v>
      </c>
      <c r="F25" s="6">
        <v>2947.5495000000001</v>
      </c>
      <c r="G25" s="7">
        <v>1.7094521000000001E-2</v>
      </c>
      <c r="H25" s="6"/>
    </row>
    <row r="26" spans="1:10" ht="29.1" customHeight="1" x14ac:dyDescent="0.2">
      <c r="A26" s="3">
        <v>20</v>
      </c>
      <c r="B26" s="4" t="s">
        <v>546</v>
      </c>
      <c r="C26" s="4" t="s">
        <v>547</v>
      </c>
      <c r="D26" s="4" t="s">
        <v>198</v>
      </c>
      <c r="E26" s="5">
        <v>577571</v>
      </c>
      <c r="F26" s="6">
        <v>2887.5662145000001</v>
      </c>
      <c r="G26" s="7">
        <v>1.6746642999999999E-2</v>
      </c>
      <c r="H26" s="6"/>
    </row>
    <row r="27" spans="1:10" ht="17.100000000000001" customHeight="1" x14ac:dyDescent="0.2">
      <c r="A27" s="3">
        <v>21</v>
      </c>
      <c r="B27" s="4" t="s">
        <v>453</v>
      </c>
      <c r="C27" s="4" t="s">
        <v>454</v>
      </c>
      <c r="D27" s="4" t="s">
        <v>396</v>
      </c>
      <c r="E27" s="5">
        <v>639435</v>
      </c>
      <c r="F27" s="6">
        <v>2836.2139425</v>
      </c>
      <c r="G27" s="7">
        <v>1.6448821999999998E-2</v>
      </c>
      <c r="H27" s="6"/>
    </row>
    <row r="28" spans="1:10" ht="17.100000000000001" customHeight="1" x14ac:dyDescent="0.2">
      <c r="A28" s="3">
        <v>22</v>
      </c>
      <c r="B28" s="4" t="s">
        <v>90</v>
      </c>
      <c r="C28" s="4" t="s">
        <v>91</v>
      </c>
      <c r="D28" s="4" t="s">
        <v>92</v>
      </c>
      <c r="E28" s="5">
        <v>604958</v>
      </c>
      <c r="F28" s="6">
        <v>2810.937347</v>
      </c>
      <c r="G28" s="7">
        <v>1.6302229000000001E-2</v>
      </c>
      <c r="H28" s="6"/>
    </row>
    <row r="29" spans="1:10" ht="53.1" customHeight="1" x14ac:dyDescent="0.2">
      <c r="A29" s="3">
        <v>23</v>
      </c>
      <c r="B29" s="4" t="s">
        <v>86</v>
      </c>
      <c r="C29" s="4" t="s">
        <v>87</v>
      </c>
      <c r="D29" s="4" t="s">
        <v>75</v>
      </c>
      <c r="E29" s="5">
        <v>196629</v>
      </c>
      <c r="F29" s="6">
        <v>2785.5447285</v>
      </c>
      <c r="G29" s="7">
        <v>1.6154963000000001E-2</v>
      </c>
      <c r="H29" s="6"/>
    </row>
    <row r="30" spans="1:10" ht="17.100000000000001" customHeight="1" x14ac:dyDescent="0.2">
      <c r="A30" s="3">
        <v>24</v>
      </c>
      <c r="B30" s="4" t="s">
        <v>324</v>
      </c>
      <c r="C30" s="4" t="s">
        <v>325</v>
      </c>
      <c r="D30" s="4" t="s">
        <v>19</v>
      </c>
      <c r="E30" s="5">
        <v>2761290</v>
      </c>
      <c r="F30" s="6">
        <v>2768.193225</v>
      </c>
      <c r="G30" s="7">
        <v>1.6054331000000002E-2</v>
      </c>
      <c r="H30" s="6"/>
    </row>
    <row r="31" spans="1:10" ht="29.1" customHeight="1" x14ac:dyDescent="0.2">
      <c r="A31" s="3">
        <v>25</v>
      </c>
      <c r="B31" s="4" t="s">
        <v>192</v>
      </c>
      <c r="C31" s="4" t="s">
        <v>193</v>
      </c>
      <c r="D31" s="4" t="s">
        <v>80</v>
      </c>
      <c r="E31" s="5">
        <v>690091</v>
      </c>
      <c r="F31" s="6">
        <v>2494.3339194999999</v>
      </c>
      <c r="G31" s="7">
        <v>1.4466065E-2</v>
      </c>
      <c r="H31" s="6"/>
    </row>
    <row r="32" spans="1:10" ht="29.1" customHeight="1" x14ac:dyDescent="0.2">
      <c r="A32" s="3">
        <v>26</v>
      </c>
      <c r="B32" s="4" t="s">
        <v>350</v>
      </c>
      <c r="C32" s="4" t="s">
        <v>351</v>
      </c>
      <c r="D32" s="4" t="s">
        <v>198</v>
      </c>
      <c r="E32" s="5">
        <v>86450</v>
      </c>
      <c r="F32" s="6">
        <v>2473.291275</v>
      </c>
      <c r="G32" s="7">
        <v>1.4344027000000001E-2</v>
      </c>
      <c r="H32" s="6"/>
    </row>
    <row r="33" spans="1:8" ht="17.100000000000001" customHeight="1" x14ac:dyDescent="0.2">
      <c r="A33" s="3">
        <v>27</v>
      </c>
      <c r="B33" s="4" t="s">
        <v>541</v>
      </c>
      <c r="C33" s="4" t="s">
        <v>542</v>
      </c>
      <c r="D33" s="4" t="s">
        <v>994</v>
      </c>
      <c r="E33" s="5">
        <v>178535</v>
      </c>
      <c r="F33" s="6">
        <v>2372.0160099999998</v>
      </c>
      <c r="G33" s="7">
        <v>1.3756674E-2</v>
      </c>
      <c r="H33" s="6"/>
    </row>
    <row r="34" spans="1:8" ht="17.100000000000001" customHeight="1" x14ac:dyDescent="0.2">
      <c r="A34" s="3">
        <v>28</v>
      </c>
      <c r="B34" s="4" t="s">
        <v>380</v>
      </c>
      <c r="C34" s="4" t="s">
        <v>381</v>
      </c>
      <c r="D34" s="4" t="s">
        <v>85</v>
      </c>
      <c r="E34" s="5">
        <v>18101</v>
      </c>
      <c r="F34" s="6">
        <v>2341.18334</v>
      </c>
      <c r="G34" s="7">
        <v>1.3577857E-2</v>
      </c>
      <c r="H34" s="6"/>
    </row>
    <row r="35" spans="1:8" ht="29.1" customHeight="1" x14ac:dyDescent="0.2">
      <c r="A35" s="3">
        <v>29</v>
      </c>
      <c r="B35" s="4" t="s">
        <v>217</v>
      </c>
      <c r="C35" s="4" t="s">
        <v>218</v>
      </c>
      <c r="D35" s="4" t="s">
        <v>219</v>
      </c>
      <c r="E35" s="5">
        <v>58000</v>
      </c>
      <c r="F35" s="6">
        <v>2276.181</v>
      </c>
      <c r="G35" s="7">
        <v>1.3200872000000001E-2</v>
      </c>
      <c r="H35" s="6"/>
    </row>
    <row r="36" spans="1:8" ht="17.100000000000001" customHeight="1" x14ac:dyDescent="0.2">
      <c r="A36" s="3">
        <v>30</v>
      </c>
      <c r="B36" s="4" t="s">
        <v>447</v>
      </c>
      <c r="C36" s="4" t="s">
        <v>448</v>
      </c>
      <c r="D36" s="4" t="s">
        <v>85</v>
      </c>
      <c r="E36" s="5">
        <v>35258</v>
      </c>
      <c r="F36" s="6">
        <v>2144.4444469999999</v>
      </c>
      <c r="G36" s="7">
        <v>1.2436856E-2</v>
      </c>
      <c r="H36" s="6"/>
    </row>
    <row r="37" spans="1:8" ht="17.100000000000001" customHeight="1" x14ac:dyDescent="0.2">
      <c r="A37" s="3">
        <v>31</v>
      </c>
      <c r="B37" s="4" t="s">
        <v>531</v>
      </c>
      <c r="C37" s="4" t="s">
        <v>532</v>
      </c>
      <c r="D37" s="4" t="s">
        <v>181</v>
      </c>
      <c r="E37" s="5">
        <v>92001</v>
      </c>
      <c r="F37" s="6">
        <v>2139.6672570000001</v>
      </c>
      <c r="G37" s="7">
        <v>1.2409151E-2</v>
      </c>
      <c r="H37" s="6"/>
    </row>
    <row r="38" spans="1:8" ht="17.100000000000001" customHeight="1" x14ac:dyDescent="0.2">
      <c r="A38" s="3">
        <v>32</v>
      </c>
      <c r="B38" s="4" t="s">
        <v>441</v>
      </c>
      <c r="C38" s="4" t="s">
        <v>442</v>
      </c>
      <c r="D38" s="4" t="s">
        <v>95</v>
      </c>
      <c r="E38" s="5">
        <v>379063</v>
      </c>
      <c r="F38" s="6">
        <v>2112.8971620000002</v>
      </c>
      <c r="G38" s="7">
        <v>1.2253896E-2</v>
      </c>
      <c r="H38" s="6"/>
    </row>
    <row r="39" spans="1:8" ht="17.100000000000001" customHeight="1" x14ac:dyDescent="0.2">
      <c r="A39" s="3">
        <v>33</v>
      </c>
      <c r="B39" s="4" t="s">
        <v>392</v>
      </c>
      <c r="C39" s="4" t="s">
        <v>393</v>
      </c>
      <c r="D39" s="4" t="s">
        <v>80</v>
      </c>
      <c r="E39" s="5">
        <v>52863</v>
      </c>
      <c r="F39" s="6">
        <v>2039.8245810000001</v>
      </c>
      <c r="G39" s="7">
        <v>1.1830106E-2</v>
      </c>
      <c r="H39" s="6"/>
    </row>
    <row r="40" spans="1:8" ht="17.100000000000001" customHeight="1" x14ac:dyDescent="0.2">
      <c r="A40" s="3">
        <v>34</v>
      </c>
      <c r="B40" s="4" t="s">
        <v>455</v>
      </c>
      <c r="C40" s="4" t="s">
        <v>456</v>
      </c>
      <c r="D40" s="4" t="s">
        <v>302</v>
      </c>
      <c r="E40" s="5">
        <v>51000</v>
      </c>
      <c r="F40" s="6">
        <v>2026.1279999999999</v>
      </c>
      <c r="G40" s="7">
        <v>1.1750672E-2</v>
      </c>
      <c r="H40" s="6"/>
    </row>
    <row r="41" spans="1:8" ht="17.100000000000001" customHeight="1" x14ac:dyDescent="0.2">
      <c r="A41" s="3">
        <v>35</v>
      </c>
      <c r="B41" s="4" t="s">
        <v>390</v>
      </c>
      <c r="C41" s="4" t="s">
        <v>391</v>
      </c>
      <c r="D41" s="4" t="s">
        <v>80</v>
      </c>
      <c r="E41" s="5">
        <v>314277</v>
      </c>
      <c r="F41" s="6">
        <v>1874.3480280000001</v>
      </c>
      <c r="G41" s="7">
        <v>1.0870413000000001E-2</v>
      </c>
      <c r="H41" s="6"/>
    </row>
    <row r="42" spans="1:8" ht="17.100000000000001" customHeight="1" x14ac:dyDescent="0.2">
      <c r="A42" s="3">
        <v>36</v>
      </c>
      <c r="B42" s="4" t="s">
        <v>539</v>
      </c>
      <c r="C42" s="4" t="s">
        <v>540</v>
      </c>
      <c r="D42" s="4" t="s">
        <v>181</v>
      </c>
      <c r="E42" s="5">
        <v>47597</v>
      </c>
      <c r="F42" s="6">
        <v>1867.1827129999999</v>
      </c>
      <c r="G42" s="7">
        <v>1.0828857000000001E-2</v>
      </c>
      <c r="H42" s="6"/>
    </row>
    <row r="43" spans="1:8" ht="17.100000000000001" customHeight="1" x14ac:dyDescent="0.2">
      <c r="A43" s="3">
        <v>37</v>
      </c>
      <c r="B43" s="4" t="s">
        <v>548</v>
      </c>
      <c r="C43" s="4" t="s">
        <v>549</v>
      </c>
      <c r="D43" s="4" t="s">
        <v>80</v>
      </c>
      <c r="E43" s="5">
        <v>632189</v>
      </c>
      <c r="F43" s="6">
        <v>1769.1809165</v>
      </c>
      <c r="G43" s="7">
        <v>1.0260488999999999E-2</v>
      </c>
      <c r="H43" s="6"/>
    </row>
    <row r="44" spans="1:8" ht="29.1" customHeight="1" x14ac:dyDescent="0.2">
      <c r="A44" s="3">
        <v>38</v>
      </c>
      <c r="B44" s="4" t="s">
        <v>83</v>
      </c>
      <c r="C44" s="4" t="s">
        <v>84</v>
      </c>
      <c r="D44" s="4" t="s">
        <v>85</v>
      </c>
      <c r="E44" s="5">
        <v>260000</v>
      </c>
      <c r="F44" s="6">
        <v>1766.96</v>
      </c>
      <c r="G44" s="7">
        <v>1.0247609E-2</v>
      </c>
      <c r="H44" s="6"/>
    </row>
    <row r="45" spans="1:8" ht="17.100000000000001" customHeight="1" x14ac:dyDescent="0.2">
      <c r="A45" s="3">
        <v>39</v>
      </c>
      <c r="B45" s="4" t="s">
        <v>32</v>
      </c>
      <c r="C45" s="4" t="s">
        <v>33</v>
      </c>
      <c r="D45" s="4" t="s">
        <v>28</v>
      </c>
      <c r="E45" s="5">
        <v>100996</v>
      </c>
      <c r="F45" s="6">
        <v>1731.121938</v>
      </c>
      <c r="G45" s="7">
        <v>1.0039763E-2</v>
      </c>
      <c r="H45" s="6"/>
    </row>
    <row r="46" spans="1:8" ht="17.100000000000001" customHeight="1" x14ac:dyDescent="0.2">
      <c r="A46" s="3">
        <v>40</v>
      </c>
      <c r="B46" s="4" t="s">
        <v>537</v>
      </c>
      <c r="C46" s="4" t="s">
        <v>538</v>
      </c>
      <c r="D46" s="4" t="s">
        <v>318</v>
      </c>
      <c r="E46" s="5">
        <v>210000</v>
      </c>
      <c r="F46" s="6">
        <v>1689.24</v>
      </c>
      <c r="G46" s="7">
        <v>9.7968659999999996E-3</v>
      </c>
      <c r="H46" s="6"/>
    </row>
    <row r="47" spans="1:8" ht="17.100000000000001" customHeight="1" x14ac:dyDescent="0.2">
      <c r="A47" s="3">
        <v>41</v>
      </c>
      <c r="B47" s="4" t="s">
        <v>352</v>
      </c>
      <c r="C47" s="4" t="s">
        <v>353</v>
      </c>
      <c r="D47" s="4" t="s">
        <v>85</v>
      </c>
      <c r="E47" s="5">
        <v>265000</v>
      </c>
      <c r="F47" s="6">
        <v>1647.3724999999999</v>
      </c>
      <c r="G47" s="7">
        <v>9.5540529999999999E-3</v>
      </c>
      <c r="H47" s="6"/>
    </row>
    <row r="48" spans="1:8" ht="17.100000000000001" customHeight="1" x14ac:dyDescent="0.2">
      <c r="A48" s="3">
        <v>42</v>
      </c>
      <c r="B48" s="4" t="s">
        <v>314</v>
      </c>
      <c r="C48" s="4" t="s">
        <v>315</v>
      </c>
      <c r="D48" s="4" t="s">
        <v>19</v>
      </c>
      <c r="E48" s="5">
        <v>1800000</v>
      </c>
      <c r="F48" s="6">
        <v>1599.3</v>
      </c>
      <c r="G48" s="7">
        <v>9.2752530000000007E-3</v>
      </c>
      <c r="H48" s="6"/>
    </row>
    <row r="49" spans="1:8" ht="29.1" customHeight="1" x14ac:dyDescent="0.2">
      <c r="A49" s="3">
        <v>43</v>
      </c>
      <c r="B49" s="4" t="s">
        <v>628</v>
      </c>
      <c r="C49" s="4" t="s">
        <v>629</v>
      </c>
      <c r="D49" s="4" t="s">
        <v>219</v>
      </c>
      <c r="E49" s="5">
        <v>90000</v>
      </c>
      <c r="F49" s="6">
        <v>1573.7850000000001</v>
      </c>
      <c r="G49" s="7">
        <v>9.1272769999999996E-3</v>
      </c>
      <c r="H49" s="6"/>
    </row>
    <row r="50" spans="1:8" ht="17.100000000000001" customHeight="1" x14ac:dyDescent="0.2">
      <c r="A50" s="3">
        <v>44</v>
      </c>
      <c r="B50" s="4" t="s">
        <v>401</v>
      </c>
      <c r="C50" s="4" t="s">
        <v>402</v>
      </c>
      <c r="D50" s="4" t="s">
        <v>80</v>
      </c>
      <c r="E50" s="5">
        <v>151432</v>
      </c>
      <c r="F50" s="6">
        <v>1564.0654119999999</v>
      </c>
      <c r="G50" s="7">
        <v>9.0709069999999996E-3</v>
      </c>
      <c r="H50" s="6"/>
    </row>
    <row r="51" spans="1:8" ht="17.100000000000001" customHeight="1" x14ac:dyDescent="0.2">
      <c r="A51" s="3">
        <v>45</v>
      </c>
      <c r="B51" s="4" t="s">
        <v>556</v>
      </c>
      <c r="C51" s="4" t="s">
        <v>557</v>
      </c>
      <c r="D51" s="4" t="s">
        <v>396</v>
      </c>
      <c r="E51" s="5">
        <v>144000</v>
      </c>
      <c r="F51" s="6">
        <v>1528.7760000000001</v>
      </c>
      <c r="G51" s="7">
        <v>8.8662440000000006E-3</v>
      </c>
      <c r="H51" s="6"/>
    </row>
    <row r="52" spans="1:8" ht="17.100000000000001" customHeight="1" x14ac:dyDescent="0.2">
      <c r="A52" s="3">
        <v>46</v>
      </c>
      <c r="B52" s="4" t="s">
        <v>558</v>
      </c>
      <c r="C52" s="4" t="s">
        <v>559</v>
      </c>
      <c r="D52" s="4" t="s">
        <v>95</v>
      </c>
      <c r="E52" s="5">
        <v>483624</v>
      </c>
      <c r="F52" s="6">
        <v>1468.0406519999999</v>
      </c>
      <c r="G52" s="7">
        <v>8.5140049999999998E-3</v>
      </c>
      <c r="H52" s="6"/>
    </row>
    <row r="53" spans="1:8" ht="29.1" customHeight="1" x14ac:dyDescent="0.2">
      <c r="A53" s="3">
        <v>47</v>
      </c>
      <c r="B53" s="4" t="s">
        <v>43</v>
      </c>
      <c r="C53" s="4" t="s">
        <v>44</v>
      </c>
      <c r="D53" s="4" t="s">
        <v>25</v>
      </c>
      <c r="E53" s="5">
        <v>58907</v>
      </c>
      <c r="F53" s="6">
        <v>1403.3120074999999</v>
      </c>
      <c r="G53" s="7">
        <v>8.1386070000000008E-3</v>
      </c>
      <c r="H53" s="6"/>
    </row>
    <row r="54" spans="1:8" ht="17.100000000000001" customHeight="1" x14ac:dyDescent="0.2">
      <c r="A54" s="3">
        <v>48</v>
      </c>
      <c r="B54" s="4" t="s">
        <v>665</v>
      </c>
      <c r="C54" s="4" t="s">
        <v>666</v>
      </c>
      <c r="D54" s="4" t="s">
        <v>667</v>
      </c>
      <c r="E54" s="5">
        <v>6937</v>
      </c>
      <c r="F54" s="6">
        <v>1400.8439060000001</v>
      </c>
      <c r="G54" s="7">
        <v>8.1242929999999994E-3</v>
      </c>
      <c r="H54" s="6"/>
    </row>
    <row r="55" spans="1:8" ht="17.100000000000001" customHeight="1" x14ac:dyDescent="0.2">
      <c r="A55" s="3">
        <v>49</v>
      </c>
      <c r="B55" s="4" t="s">
        <v>281</v>
      </c>
      <c r="C55" s="4" t="s">
        <v>282</v>
      </c>
      <c r="D55" s="4" t="s">
        <v>28</v>
      </c>
      <c r="E55" s="5">
        <v>59539</v>
      </c>
      <c r="F55" s="6">
        <v>1357.5785085</v>
      </c>
      <c r="G55" s="7">
        <v>7.873372E-3</v>
      </c>
      <c r="H55" s="6"/>
    </row>
    <row r="56" spans="1:8" ht="17.100000000000001" customHeight="1" x14ac:dyDescent="0.2">
      <c r="A56" s="3">
        <v>50</v>
      </c>
      <c r="B56" s="4" t="s">
        <v>457</v>
      </c>
      <c r="C56" s="4" t="s">
        <v>458</v>
      </c>
      <c r="D56" s="4" t="s">
        <v>47</v>
      </c>
      <c r="E56" s="5">
        <v>81602</v>
      </c>
      <c r="F56" s="6">
        <v>1320.809972</v>
      </c>
      <c r="G56" s="7">
        <v>7.6601300000000002E-3</v>
      </c>
      <c r="H56" s="6"/>
    </row>
    <row r="57" spans="1:8" ht="17.100000000000001" customHeight="1" x14ac:dyDescent="0.2">
      <c r="A57" s="3">
        <v>51</v>
      </c>
      <c r="B57" s="4" t="s">
        <v>416</v>
      </c>
      <c r="C57" s="4" t="s">
        <v>417</v>
      </c>
      <c r="D57" s="4" t="s">
        <v>418</v>
      </c>
      <c r="E57" s="5">
        <v>55280</v>
      </c>
      <c r="F57" s="6">
        <v>1300.8766000000001</v>
      </c>
      <c r="G57" s="7">
        <v>7.5445249999999998E-3</v>
      </c>
      <c r="H57" s="6"/>
    </row>
    <row r="58" spans="1:8" ht="17.100000000000001" customHeight="1" x14ac:dyDescent="0.2">
      <c r="A58" s="3">
        <v>52</v>
      </c>
      <c r="B58" s="4" t="s">
        <v>386</v>
      </c>
      <c r="C58" s="4" t="s">
        <v>387</v>
      </c>
      <c r="D58" s="4" t="s">
        <v>239</v>
      </c>
      <c r="E58" s="5">
        <v>540000</v>
      </c>
      <c r="F58" s="6">
        <v>1285.47</v>
      </c>
      <c r="G58" s="7">
        <v>7.4551740000000002E-3</v>
      </c>
      <c r="H58" s="6"/>
    </row>
    <row r="59" spans="1:8" ht="17.100000000000001" customHeight="1" x14ac:dyDescent="0.2">
      <c r="A59" s="3">
        <v>53</v>
      </c>
      <c r="B59" s="4" t="s">
        <v>69</v>
      </c>
      <c r="C59" s="4" t="s">
        <v>70</v>
      </c>
      <c r="D59" s="4" t="s">
        <v>13</v>
      </c>
      <c r="E59" s="5">
        <v>522185</v>
      </c>
      <c r="F59" s="6">
        <v>1279.3532499999999</v>
      </c>
      <c r="G59" s="7">
        <v>7.4196990000000001E-3</v>
      </c>
      <c r="H59" s="6"/>
    </row>
    <row r="60" spans="1:8" ht="17.100000000000001" customHeight="1" x14ac:dyDescent="0.2">
      <c r="A60" s="3">
        <v>54</v>
      </c>
      <c r="B60" s="4" t="s">
        <v>93</v>
      </c>
      <c r="C60" s="4" t="s">
        <v>94</v>
      </c>
      <c r="D60" s="4" t="s">
        <v>95</v>
      </c>
      <c r="E60" s="5">
        <v>52890</v>
      </c>
      <c r="F60" s="6">
        <v>1216.7873400000001</v>
      </c>
      <c r="G60" s="7">
        <v>7.0568439999999996E-3</v>
      </c>
      <c r="H60" s="6"/>
    </row>
    <row r="61" spans="1:8" ht="17.100000000000001" customHeight="1" x14ac:dyDescent="0.2">
      <c r="A61" s="3">
        <v>55</v>
      </c>
      <c r="B61" s="4" t="s">
        <v>187</v>
      </c>
      <c r="C61" s="4" t="s">
        <v>188</v>
      </c>
      <c r="D61" s="4" t="s">
        <v>181</v>
      </c>
      <c r="E61" s="5">
        <v>88413</v>
      </c>
      <c r="F61" s="6">
        <v>1212.7169145</v>
      </c>
      <c r="G61" s="7">
        <v>7.0332370000000003E-3</v>
      </c>
      <c r="H61" s="6"/>
    </row>
    <row r="62" spans="1:8" ht="17.100000000000001" customHeight="1" x14ac:dyDescent="0.2">
      <c r="A62" s="3">
        <v>56</v>
      </c>
      <c r="B62" s="4" t="s">
        <v>564</v>
      </c>
      <c r="C62" s="4" t="s">
        <v>565</v>
      </c>
      <c r="D62" s="4" t="s">
        <v>13</v>
      </c>
      <c r="E62" s="5">
        <v>458712</v>
      </c>
      <c r="F62" s="6">
        <v>1192.6512</v>
      </c>
      <c r="G62" s="7">
        <v>6.9168650000000003E-3</v>
      </c>
      <c r="H62" s="6"/>
    </row>
    <row r="63" spans="1:8" ht="17.100000000000001" customHeight="1" x14ac:dyDescent="0.2">
      <c r="A63" s="3">
        <v>57</v>
      </c>
      <c r="B63" s="4" t="s">
        <v>578</v>
      </c>
      <c r="C63" s="4" t="s">
        <v>579</v>
      </c>
      <c r="D63" s="4" t="s">
        <v>80</v>
      </c>
      <c r="E63" s="5">
        <v>187368</v>
      </c>
      <c r="F63" s="6">
        <v>1086.5470319999999</v>
      </c>
      <c r="G63" s="7">
        <v>6.3015060000000001E-3</v>
      </c>
      <c r="H63" s="6"/>
    </row>
    <row r="64" spans="1:8" ht="17.100000000000001" customHeight="1" x14ac:dyDescent="0.2">
      <c r="A64" s="3">
        <v>58</v>
      </c>
      <c r="B64" s="4" t="s">
        <v>435</v>
      </c>
      <c r="C64" s="4" t="s">
        <v>436</v>
      </c>
      <c r="D64" s="4" t="s">
        <v>437</v>
      </c>
      <c r="E64" s="5">
        <v>248456</v>
      </c>
      <c r="F64" s="6">
        <v>1049.8508280000001</v>
      </c>
      <c r="G64" s="7">
        <v>6.0886839999999996E-3</v>
      </c>
      <c r="H64" s="6"/>
    </row>
    <row r="65" spans="1:8" ht="17.100000000000001" customHeight="1" x14ac:dyDescent="0.2">
      <c r="A65" s="3">
        <v>59</v>
      </c>
      <c r="B65" s="4" t="s">
        <v>367</v>
      </c>
      <c r="C65" s="4" t="s">
        <v>368</v>
      </c>
      <c r="D65" s="4" t="s">
        <v>369</v>
      </c>
      <c r="E65" s="5">
        <v>240639</v>
      </c>
      <c r="F65" s="6">
        <v>1001.9004765</v>
      </c>
      <c r="G65" s="7">
        <v>5.8105919999999998E-3</v>
      </c>
      <c r="H65" s="6"/>
    </row>
    <row r="66" spans="1:8" ht="17.100000000000001" customHeight="1" x14ac:dyDescent="0.2">
      <c r="A66" s="3">
        <v>60</v>
      </c>
      <c r="B66" s="4" t="s">
        <v>194</v>
      </c>
      <c r="C66" s="4" t="s">
        <v>195</v>
      </c>
      <c r="D66" s="4" t="s">
        <v>85</v>
      </c>
      <c r="E66" s="5">
        <v>204020</v>
      </c>
      <c r="F66" s="6">
        <v>986.84474</v>
      </c>
      <c r="G66" s="7">
        <v>5.7232749999999999E-3</v>
      </c>
      <c r="H66" s="6"/>
    </row>
    <row r="67" spans="1:8" ht="17.100000000000001" customHeight="1" x14ac:dyDescent="0.2">
      <c r="A67" s="3">
        <v>61</v>
      </c>
      <c r="B67" s="4" t="s">
        <v>552</v>
      </c>
      <c r="C67" s="4" t="s">
        <v>553</v>
      </c>
      <c r="D67" s="4" t="s">
        <v>230</v>
      </c>
      <c r="E67" s="5">
        <v>60175</v>
      </c>
      <c r="F67" s="6">
        <v>927.05605000000003</v>
      </c>
      <c r="G67" s="7">
        <v>5.3765269999999999E-3</v>
      </c>
      <c r="H67" s="6"/>
    </row>
    <row r="68" spans="1:8" ht="17.100000000000001" customHeight="1" x14ac:dyDescent="0.2">
      <c r="A68" s="3">
        <v>62</v>
      </c>
      <c r="B68" s="4" t="s">
        <v>96</v>
      </c>
      <c r="C68" s="4" t="s">
        <v>97</v>
      </c>
      <c r="D68" s="4" t="s">
        <v>80</v>
      </c>
      <c r="E68" s="5">
        <v>30850</v>
      </c>
      <c r="F68" s="6">
        <v>812.28049999999996</v>
      </c>
      <c r="G68" s="7">
        <v>4.7108779999999999E-3</v>
      </c>
      <c r="H68" s="6"/>
    </row>
    <row r="69" spans="1:8" ht="17.100000000000001" customHeight="1" x14ac:dyDescent="0.2">
      <c r="A69" s="3">
        <v>63</v>
      </c>
      <c r="B69" s="4" t="s">
        <v>584</v>
      </c>
      <c r="C69" s="4" t="s">
        <v>585</v>
      </c>
      <c r="D69" s="4" t="s">
        <v>239</v>
      </c>
      <c r="E69" s="5">
        <v>50000</v>
      </c>
      <c r="F69" s="6">
        <v>808.15</v>
      </c>
      <c r="G69" s="7">
        <v>4.686923E-3</v>
      </c>
      <c r="H69" s="6"/>
    </row>
    <row r="70" spans="1:8" ht="29.1" customHeight="1" x14ac:dyDescent="0.2">
      <c r="A70" s="3">
        <v>64</v>
      </c>
      <c r="B70" s="4" t="s">
        <v>529</v>
      </c>
      <c r="C70" s="4" t="s">
        <v>530</v>
      </c>
      <c r="D70" s="4" t="s">
        <v>198</v>
      </c>
      <c r="E70" s="5">
        <v>96183</v>
      </c>
      <c r="F70" s="6">
        <v>791.92273049999994</v>
      </c>
      <c r="G70" s="7">
        <v>4.5928119999999999E-3</v>
      </c>
      <c r="H70" s="6"/>
    </row>
    <row r="71" spans="1:8" ht="17.100000000000001" customHeight="1" x14ac:dyDescent="0.2">
      <c r="A71" s="3">
        <v>65</v>
      </c>
      <c r="B71" s="4" t="s">
        <v>388</v>
      </c>
      <c r="C71" s="4" t="s">
        <v>389</v>
      </c>
      <c r="D71" s="4" t="s">
        <v>95</v>
      </c>
      <c r="E71" s="5">
        <v>85300</v>
      </c>
      <c r="F71" s="6">
        <v>786.72190000000001</v>
      </c>
      <c r="G71" s="7">
        <v>4.5626490000000002E-3</v>
      </c>
      <c r="H71" s="6"/>
    </row>
    <row r="72" spans="1:8" ht="17.100000000000001" customHeight="1" x14ac:dyDescent="0.2">
      <c r="A72" s="3">
        <v>66</v>
      </c>
      <c r="B72" s="4" t="s">
        <v>475</v>
      </c>
      <c r="C72" s="4" t="s">
        <v>476</v>
      </c>
      <c r="D72" s="4" t="s">
        <v>323</v>
      </c>
      <c r="E72" s="5">
        <v>80190</v>
      </c>
      <c r="F72" s="6">
        <v>650.58146999999997</v>
      </c>
      <c r="G72" s="7">
        <v>3.7730929999999999E-3</v>
      </c>
      <c r="H72" s="6"/>
    </row>
    <row r="73" spans="1:8" ht="17.100000000000001" customHeight="1" x14ac:dyDescent="0.2">
      <c r="A73" s="3">
        <v>67</v>
      </c>
      <c r="B73" s="4" t="s">
        <v>174</v>
      </c>
      <c r="C73" s="4" t="s">
        <v>175</v>
      </c>
      <c r="D73" s="4" t="s">
        <v>176</v>
      </c>
      <c r="E73" s="5">
        <v>50981</v>
      </c>
      <c r="F73" s="6">
        <v>536.34561050000002</v>
      </c>
      <c r="G73" s="7">
        <v>3.1105740000000001E-3</v>
      </c>
      <c r="H73" s="6"/>
    </row>
    <row r="74" spans="1:8" ht="29.1" customHeight="1" x14ac:dyDescent="0.2">
      <c r="A74" s="3">
        <v>68</v>
      </c>
      <c r="B74" s="4" t="s">
        <v>196</v>
      </c>
      <c r="C74" s="4" t="s">
        <v>197</v>
      </c>
      <c r="D74" s="4" t="s">
        <v>198</v>
      </c>
      <c r="E74" s="5">
        <v>123845</v>
      </c>
      <c r="F74" s="6">
        <v>437.35861749999998</v>
      </c>
      <c r="G74" s="7">
        <v>2.536492E-3</v>
      </c>
      <c r="H74" s="6"/>
    </row>
    <row r="75" spans="1:8" ht="17.100000000000001" customHeight="1" x14ac:dyDescent="0.2">
      <c r="A75" s="3">
        <v>69</v>
      </c>
      <c r="B75" s="4" t="s">
        <v>78</v>
      </c>
      <c r="C75" s="4" t="s">
        <v>79</v>
      </c>
      <c r="D75" s="4" t="s">
        <v>80</v>
      </c>
      <c r="E75" s="5">
        <v>80480</v>
      </c>
      <c r="F75" s="6">
        <v>393.42648000000003</v>
      </c>
      <c r="G75" s="7">
        <v>2.2817050000000002E-3</v>
      </c>
      <c r="H75" s="6"/>
    </row>
    <row r="76" spans="1:8" ht="17.100000000000001" customHeight="1" x14ac:dyDescent="0.2">
      <c r="A76" s="3">
        <v>70</v>
      </c>
      <c r="B76" s="4" t="s">
        <v>463</v>
      </c>
      <c r="C76" s="4" t="s">
        <v>464</v>
      </c>
      <c r="D76" s="4" t="s">
        <v>80</v>
      </c>
      <c r="E76" s="5">
        <v>24173</v>
      </c>
      <c r="F76" s="6">
        <v>239.5906895</v>
      </c>
      <c r="G76" s="7">
        <v>1.3895229999999999E-3</v>
      </c>
      <c r="H76" s="6"/>
    </row>
    <row r="77" spans="1:8" ht="29.1" customHeight="1" x14ac:dyDescent="0.2">
      <c r="A77" s="3">
        <v>71</v>
      </c>
      <c r="B77" s="4" t="s">
        <v>533</v>
      </c>
      <c r="C77" s="4" t="s">
        <v>534</v>
      </c>
      <c r="D77" s="4" t="s">
        <v>219</v>
      </c>
      <c r="E77" s="5">
        <v>14497</v>
      </c>
      <c r="F77" s="6">
        <v>214.68607299999999</v>
      </c>
      <c r="G77" s="7">
        <v>1.245087E-3</v>
      </c>
      <c r="H77" s="6"/>
    </row>
    <row r="78" spans="1:8" ht="17.100000000000001" customHeight="1" x14ac:dyDescent="0.2">
      <c r="A78" s="3">
        <v>72</v>
      </c>
      <c r="B78" s="4" t="s">
        <v>543</v>
      </c>
      <c r="C78" s="4" t="s">
        <v>544</v>
      </c>
      <c r="D78" s="4" t="s">
        <v>181</v>
      </c>
      <c r="E78" s="5">
        <v>11302</v>
      </c>
      <c r="F78" s="6">
        <v>77.424351000000001</v>
      </c>
      <c r="G78" s="7">
        <v>4.4902800000000002E-4</v>
      </c>
      <c r="H78" s="6"/>
    </row>
    <row r="79" spans="1:8" ht="14.1" customHeight="1" x14ac:dyDescent="0.2">
      <c r="A79" s="1"/>
      <c r="B79" s="1"/>
      <c r="C79" s="2" t="s">
        <v>119</v>
      </c>
      <c r="D79" s="1"/>
      <c r="E79" s="1" t="s">
        <v>120</v>
      </c>
      <c r="F79" s="9">
        <f>SUM(F7:F78)</f>
        <v>160869.16408449993</v>
      </c>
      <c r="G79" s="10">
        <f>SUM(G7:G78)</f>
        <v>0.93297203299999987</v>
      </c>
      <c r="H79" s="6"/>
    </row>
    <row r="80" spans="1:8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121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122</v>
      </c>
      <c r="D84" s="1"/>
      <c r="E84" s="1"/>
      <c r="F84" s="1"/>
      <c r="G84" s="1"/>
      <c r="H84" s="6"/>
    </row>
    <row r="85" spans="1:8" ht="17.100000000000001" customHeight="1" x14ac:dyDescent="0.2">
      <c r="A85" s="3">
        <v>1</v>
      </c>
      <c r="B85" s="4" t="s">
        <v>668</v>
      </c>
      <c r="C85" s="4" t="s">
        <v>1060</v>
      </c>
      <c r="D85" s="4" t="s">
        <v>186</v>
      </c>
      <c r="E85" s="5">
        <v>511578</v>
      </c>
      <c r="F85" s="6">
        <v>32.024782799999997</v>
      </c>
      <c r="G85" s="7">
        <v>1.8573E-4</v>
      </c>
      <c r="H85" s="6"/>
    </row>
    <row r="86" spans="1:8" ht="17.100000000000001" customHeight="1" x14ac:dyDescent="0.2">
      <c r="A86" s="3">
        <v>2</v>
      </c>
      <c r="B86" s="4" t="s">
        <v>669</v>
      </c>
      <c r="C86" s="4" t="s">
        <v>1073</v>
      </c>
      <c r="D86" s="4" t="s">
        <v>181</v>
      </c>
      <c r="E86" s="5">
        <v>39500</v>
      </c>
      <c r="F86" s="6">
        <v>21.859300000000001</v>
      </c>
      <c r="G86" s="7">
        <v>1.2677500000000001E-4</v>
      </c>
      <c r="H86" s="6"/>
    </row>
    <row r="87" spans="1:8" ht="38.25" x14ac:dyDescent="0.2">
      <c r="A87" s="3">
        <v>3</v>
      </c>
      <c r="B87" s="4" t="s">
        <v>670</v>
      </c>
      <c r="C87" s="4" t="s">
        <v>1067</v>
      </c>
      <c r="D87" s="4" t="s">
        <v>269</v>
      </c>
      <c r="E87" s="5">
        <v>200000</v>
      </c>
      <c r="F87" s="6">
        <v>1.9999999999999999E-6</v>
      </c>
      <c r="G87" s="8" t="s">
        <v>118</v>
      </c>
      <c r="H87" s="6"/>
    </row>
    <row r="88" spans="1:8" ht="25.5" x14ac:dyDescent="0.2">
      <c r="A88" s="3">
        <v>4</v>
      </c>
      <c r="B88" s="4" t="s">
        <v>671</v>
      </c>
      <c r="C88" s="4" t="s">
        <v>1068</v>
      </c>
      <c r="D88" s="4" t="s">
        <v>295</v>
      </c>
      <c r="E88" s="5">
        <v>50800</v>
      </c>
      <c r="F88" s="6">
        <v>5.0800000000000005E-7</v>
      </c>
      <c r="G88" s="8" t="s">
        <v>118</v>
      </c>
      <c r="H88" s="6"/>
    </row>
    <row r="89" spans="1:8" x14ac:dyDescent="0.2">
      <c r="A89" s="3">
        <v>5</v>
      </c>
      <c r="B89" s="4" t="s">
        <v>672</v>
      </c>
      <c r="C89" s="4" t="s">
        <v>1069</v>
      </c>
      <c r="D89" s="4"/>
      <c r="E89" s="5">
        <v>200</v>
      </c>
      <c r="F89" s="6">
        <v>2.0000000000000001E-9</v>
      </c>
      <c r="G89" s="8" t="s">
        <v>118</v>
      </c>
      <c r="H89" s="6"/>
    </row>
    <row r="90" spans="1:8" x14ac:dyDescent="0.2">
      <c r="A90" s="3">
        <v>6</v>
      </c>
      <c r="B90" s="4" t="s">
        <v>673</v>
      </c>
      <c r="C90" s="4" t="s">
        <v>1070</v>
      </c>
      <c r="D90" s="4"/>
      <c r="E90" s="5">
        <v>93200</v>
      </c>
      <c r="F90" s="6">
        <v>9.3200000000000003E-7</v>
      </c>
      <c r="G90" s="8" t="s">
        <v>118</v>
      </c>
      <c r="H90" s="6"/>
    </row>
    <row r="91" spans="1:8" x14ac:dyDescent="0.2">
      <c r="A91" s="3">
        <v>7</v>
      </c>
      <c r="B91" s="4" t="s">
        <v>674</v>
      </c>
      <c r="C91" s="4" t="s">
        <v>1071</v>
      </c>
      <c r="D91" s="4" t="s">
        <v>47</v>
      </c>
      <c r="E91" s="5">
        <v>54000</v>
      </c>
      <c r="F91" s="6">
        <v>5.4000000000000002E-7</v>
      </c>
      <c r="G91" s="8" t="s">
        <v>118</v>
      </c>
      <c r="H91" s="6"/>
    </row>
    <row r="92" spans="1:8" x14ac:dyDescent="0.2">
      <c r="A92" s="3">
        <v>8</v>
      </c>
      <c r="B92" s="4" t="s">
        <v>675</v>
      </c>
      <c r="C92" s="4" t="s">
        <v>1072</v>
      </c>
      <c r="D92" s="4"/>
      <c r="E92" s="5">
        <v>176305</v>
      </c>
      <c r="F92" s="6">
        <v>1.7630000000000001E-6</v>
      </c>
      <c r="G92" s="8" t="s">
        <v>118</v>
      </c>
      <c r="H92" s="6"/>
    </row>
    <row r="93" spans="1:8" ht="14.1" customHeight="1" x14ac:dyDescent="0.2">
      <c r="A93" s="1"/>
      <c r="B93" s="1"/>
      <c r="C93" s="2" t="s">
        <v>119</v>
      </c>
      <c r="D93" s="1"/>
      <c r="E93" s="1" t="s">
        <v>120</v>
      </c>
      <c r="F93" s="13">
        <f>SUM(F85:F92)</f>
        <v>53.884088545000004</v>
      </c>
      <c r="G93" s="14">
        <f>SUM(G85:G92)</f>
        <v>3.1250500000000003E-4</v>
      </c>
      <c r="H93" s="6"/>
    </row>
    <row r="94" spans="1:8" ht="14.1" customHeight="1" x14ac:dyDescent="0.2">
      <c r="A94" s="1"/>
      <c r="B94" s="1"/>
      <c r="C94" s="11"/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123</v>
      </c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ht="14.1" customHeight="1" x14ac:dyDescent="0.2">
      <c r="A97" s="1"/>
      <c r="B97" s="1"/>
      <c r="C97" s="11"/>
      <c r="D97" s="1"/>
      <c r="E97" s="1"/>
      <c r="F97" s="12"/>
      <c r="G97" s="12"/>
      <c r="H97" s="6"/>
    </row>
    <row r="98" spans="1:8" ht="14.1" customHeight="1" x14ac:dyDescent="0.2">
      <c r="A98" s="1"/>
      <c r="B98" s="1"/>
      <c r="C98" s="2" t="s">
        <v>124</v>
      </c>
      <c r="D98" s="1"/>
      <c r="E98" s="1"/>
      <c r="F98" s="12"/>
      <c r="G98" s="12"/>
      <c r="H98" s="6"/>
    </row>
    <row r="99" spans="1:8" ht="25.5" x14ac:dyDescent="0.2">
      <c r="A99" s="107">
        <v>1</v>
      </c>
      <c r="B99" s="97" t="s">
        <v>1005</v>
      </c>
      <c r="C99" s="97" t="s">
        <v>1006</v>
      </c>
      <c r="D99" s="97" t="s">
        <v>85</v>
      </c>
      <c r="E99" s="100">
        <v>399600</v>
      </c>
      <c r="F99" s="101">
        <v>1748.0502000000001</v>
      </c>
      <c r="G99" s="102">
        <v>1.013794E-2</v>
      </c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1748.0502000000001</v>
      </c>
      <c r="G100" s="14">
        <v>1.013794E-2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125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8" customHeight="1" x14ac:dyDescent="0.2">
      <c r="A105" s="1"/>
      <c r="B105" s="1"/>
      <c r="C105" s="2" t="s">
        <v>126</v>
      </c>
      <c r="D105" s="1"/>
      <c r="E105" s="1"/>
      <c r="F105" s="9">
        <v>162671.09837304501</v>
      </c>
      <c r="G105" s="10">
        <v>0.94342247800000001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127</v>
      </c>
      <c r="D107" s="1"/>
      <c r="E107" s="1"/>
      <c r="F107" s="12"/>
      <c r="G107" s="12"/>
      <c r="H107" s="6"/>
    </row>
    <row r="108" spans="1:8" ht="24" customHeight="1" x14ac:dyDescent="0.2">
      <c r="A108" s="1"/>
      <c r="B108" s="1"/>
      <c r="C108" s="2" t="s">
        <v>10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128</v>
      </c>
      <c r="D111" s="1"/>
      <c r="E111" s="1"/>
      <c r="F111" s="1"/>
      <c r="G111" s="1"/>
      <c r="H111" s="6"/>
    </row>
    <row r="112" spans="1:8" ht="14.1" customHeight="1" x14ac:dyDescent="0.2">
      <c r="A112" s="1"/>
      <c r="B112" s="1"/>
      <c r="C112" s="2" t="s">
        <v>119</v>
      </c>
      <c r="D112" s="1"/>
      <c r="E112" s="1" t="s">
        <v>120</v>
      </c>
      <c r="F112" s="13">
        <v>0</v>
      </c>
      <c r="G112" s="14">
        <v>0</v>
      </c>
      <c r="H112" s="6"/>
    </row>
    <row r="113" spans="1:8" ht="14.1" customHeight="1" x14ac:dyDescent="0.2">
      <c r="A113" s="1"/>
      <c r="B113" s="1"/>
      <c r="C113" s="11"/>
      <c r="D113" s="1"/>
      <c r="E113" s="1"/>
      <c r="F113" s="12"/>
      <c r="G113" s="12"/>
      <c r="H113" s="6"/>
    </row>
    <row r="114" spans="1:8" ht="14.1" customHeight="1" x14ac:dyDescent="0.2">
      <c r="A114" s="1"/>
      <c r="B114" s="1"/>
      <c r="C114" s="2" t="s">
        <v>129</v>
      </c>
      <c r="D114" s="1"/>
      <c r="E114" s="1"/>
      <c r="F114" s="1"/>
      <c r="G114" s="1"/>
      <c r="H114" s="6"/>
    </row>
    <row r="115" spans="1:8" ht="14.1" customHeight="1" x14ac:dyDescent="0.2">
      <c r="A115" s="1"/>
      <c r="B115" s="1"/>
      <c r="C115" s="2" t="s">
        <v>119</v>
      </c>
      <c r="D115" s="1"/>
      <c r="E115" s="1" t="s">
        <v>120</v>
      </c>
      <c r="F115" s="13">
        <v>0</v>
      </c>
      <c r="G115" s="14">
        <v>0</v>
      </c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14.1" customHeight="1" x14ac:dyDescent="0.2">
      <c r="A117" s="1"/>
      <c r="B117" s="1"/>
      <c r="C117" s="2" t="s">
        <v>130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119</v>
      </c>
      <c r="D118" s="1"/>
      <c r="E118" s="1" t="s">
        <v>120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131</v>
      </c>
      <c r="D120" s="1"/>
      <c r="E120" s="1"/>
      <c r="F120" s="9">
        <v>0</v>
      </c>
      <c r="G120" s="10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132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133</v>
      </c>
      <c r="D123" s="1"/>
      <c r="E123" s="1"/>
      <c r="F123" s="12"/>
      <c r="G123" s="12"/>
      <c r="H123" s="6"/>
    </row>
    <row r="124" spans="1:8" ht="14.1" customHeight="1" x14ac:dyDescent="0.2">
      <c r="A124" s="1"/>
      <c r="B124" s="1"/>
      <c r="C124" s="2" t="s">
        <v>119</v>
      </c>
      <c r="D124" s="1"/>
      <c r="E124" s="1" t="s">
        <v>120</v>
      </c>
      <c r="F124" s="13">
        <v>0</v>
      </c>
      <c r="G124" s="14">
        <v>0</v>
      </c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14.1" customHeight="1" x14ac:dyDescent="0.2">
      <c r="A126" s="1"/>
      <c r="B126" s="1"/>
      <c r="C126" s="2" t="s">
        <v>134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8" ht="14.1" customHeight="1" x14ac:dyDescent="0.2">
      <c r="A129" s="1"/>
      <c r="B129" s="1"/>
      <c r="C129" s="2" t="s">
        <v>135</v>
      </c>
      <c r="D129" s="1"/>
      <c r="E129" s="1"/>
      <c r="F129" s="12"/>
      <c r="G129" s="12"/>
      <c r="H129" s="6"/>
    </row>
    <row r="130" spans="1:8" ht="14.1" customHeight="1" x14ac:dyDescent="0.2">
      <c r="A130" s="1"/>
      <c r="B130" s="1"/>
      <c r="C130" s="2" t="s">
        <v>119</v>
      </c>
      <c r="D130" s="1"/>
      <c r="E130" s="1" t="s">
        <v>120</v>
      </c>
      <c r="F130" s="13">
        <v>0</v>
      </c>
      <c r="G130" s="14">
        <v>0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136</v>
      </c>
      <c r="D132" s="1"/>
      <c r="E132" s="1"/>
      <c r="F132" s="12"/>
      <c r="G132" s="12"/>
      <c r="H132" s="6"/>
    </row>
    <row r="133" spans="1:8" ht="17.100000000000001" customHeight="1" x14ac:dyDescent="0.2">
      <c r="A133" s="3">
        <v>1</v>
      </c>
      <c r="B133" s="4"/>
      <c r="C133" s="4" t="s">
        <v>137</v>
      </c>
      <c r="D133" s="4"/>
      <c r="E133" s="8"/>
      <c r="F133" s="6">
        <v>9003.4482638000009</v>
      </c>
      <c r="G133" s="7">
        <v>5.2216130999999999E-2</v>
      </c>
      <c r="H133" s="6">
        <v>4.1713246754849944</v>
      </c>
    </row>
    <row r="134" spans="1:8" ht="14.1" customHeight="1" x14ac:dyDescent="0.2">
      <c r="A134" s="1"/>
      <c r="B134" s="1"/>
      <c r="C134" s="2" t="s">
        <v>119</v>
      </c>
      <c r="D134" s="1"/>
      <c r="E134" s="1" t="s">
        <v>120</v>
      </c>
      <c r="F134" s="9">
        <v>9003.4482638000009</v>
      </c>
      <c r="G134" s="10">
        <v>5.2216130999999999E-2</v>
      </c>
      <c r="H134" s="6"/>
    </row>
    <row r="135" spans="1:8" ht="14.1" customHeight="1" x14ac:dyDescent="0.2">
      <c r="A135" s="1"/>
      <c r="B135" s="1"/>
      <c r="C135" s="11"/>
      <c r="D135" s="1"/>
      <c r="E135" s="1"/>
      <c r="F135" s="12"/>
      <c r="G135" s="12"/>
      <c r="H135" s="6"/>
    </row>
    <row r="136" spans="1:8" ht="14.1" customHeight="1" x14ac:dyDescent="0.2">
      <c r="A136" s="1"/>
      <c r="B136" s="1"/>
      <c r="C136" s="2" t="s">
        <v>138</v>
      </c>
      <c r="D136" s="1"/>
      <c r="E136" s="1"/>
      <c r="F136" s="9">
        <v>9003.4482638000009</v>
      </c>
      <c r="G136" s="10">
        <v>5.2216130999999999E-2</v>
      </c>
      <c r="H136" s="6"/>
    </row>
    <row r="137" spans="1:8" ht="14.1" customHeight="1" x14ac:dyDescent="0.2">
      <c r="A137" s="1"/>
      <c r="B137" s="1"/>
      <c r="C137" s="12"/>
      <c r="D137" s="1"/>
      <c r="E137" s="1"/>
      <c r="F137" s="1"/>
      <c r="G137" s="1"/>
      <c r="H137" s="6"/>
    </row>
    <row r="138" spans="1:8" ht="14.1" customHeight="1" x14ac:dyDescent="0.2">
      <c r="A138" s="1"/>
      <c r="B138" s="1"/>
      <c r="C138" s="2" t="s">
        <v>139</v>
      </c>
      <c r="D138" s="1"/>
      <c r="E138" s="1"/>
      <c r="F138" s="1"/>
      <c r="G138" s="1"/>
      <c r="H138" s="6"/>
    </row>
    <row r="139" spans="1:8" ht="14.1" customHeight="1" x14ac:dyDescent="0.2">
      <c r="A139" s="1"/>
      <c r="B139" s="1"/>
      <c r="C139" s="2" t="s">
        <v>140</v>
      </c>
      <c r="D139" s="1"/>
      <c r="E139" s="1"/>
      <c r="F139" s="1"/>
      <c r="G139" s="1"/>
      <c r="H139" s="6"/>
    </row>
    <row r="140" spans="1:8" ht="14.1" customHeight="1" x14ac:dyDescent="0.2">
      <c r="A140" s="1"/>
      <c r="B140" s="1"/>
      <c r="C140" s="2" t="s">
        <v>119</v>
      </c>
      <c r="D140" s="1"/>
      <c r="E140" s="1" t="s">
        <v>120</v>
      </c>
      <c r="F140" s="13">
        <v>0</v>
      </c>
      <c r="G140" s="14">
        <v>0</v>
      </c>
      <c r="H140" s="6"/>
    </row>
    <row r="141" spans="1:8" ht="14.1" customHeight="1" x14ac:dyDescent="0.2">
      <c r="A141" s="1"/>
      <c r="B141" s="1"/>
      <c r="C141" s="11"/>
      <c r="D141" s="1"/>
      <c r="E141" s="1"/>
      <c r="F141" s="12"/>
      <c r="G141" s="12"/>
      <c r="H141" s="6"/>
    </row>
    <row r="142" spans="1:8" ht="14.1" customHeight="1" x14ac:dyDescent="0.2">
      <c r="A142" s="1"/>
      <c r="B142" s="1"/>
      <c r="C142" s="2" t="s">
        <v>141</v>
      </c>
      <c r="D142" s="1"/>
      <c r="E142" s="1"/>
      <c r="F142" s="1"/>
      <c r="G142" s="1"/>
      <c r="H142" s="6"/>
    </row>
    <row r="143" spans="1:8" ht="14.1" customHeight="1" x14ac:dyDescent="0.2">
      <c r="A143" s="1"/>
      <c r="B143" s="1"/>
      <c r="C143" s="2" t="s">
        <v>142</v>
      </c>
      <c r="D143" s="1"/>
      <c r="E143" s="1"/>
      <c r="F143" s="1"/>
      <c r="G143" s="1"/>
      <c r="H143" s="6"/>
    </row>
    <row r="144" spans="1:8" ht="14.1" customHeight="1" x14ac:dyDescent="0.2">
      <c r="A144" s="1"/>
      <c r="B144" s="1"/>
      <c r="C144" s="2" t="s">
        <v>119</v>
      </c>
      <c r="D144" s="1"/>
      <c r="E144" s="1" t="s">
        <v>120</v>
      </c>
      <c r="F144" s="13">
        <v>0</v>
      </c>
      <c r="G144" s="14">
        <v>0</v>
      </c>
      <c r="H144" s="6"/>
    </row>
    <row r="145" spans="1:15" ht="14.1" customHeight="1" x14ac:dyDescent="0.2">
      <c r="A145" s="1"/>
      <c r="B145" s="1"/>
      <c r="C145" s="11"/>
      <c r="D145" s="1"/>
      <c r="E145" s="1"/>
      <c r="F145" s="12"/>
      <c r="G145" s="12"/>
      <c r="H145" s="6"/>
    </row>
    <row r="146" spans="1:15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15" ht="24" customHeight="1" x14ac:dyDescent="0.2">
      <c r="A147" s="1"/>
      <c r="B147" s="1"/>
      <c r="C147" s="2" t="s">
        <v>143</v>
      </c>
      <c r="D147" s="1"/>
      <c r="E147" s="1"/>
      <c r="F147" s="12"/>
      <c r="G147" s="12"/>
      <c r="H147" s="6"/>
    </row>
    <row r="148" spans="1:15" ht="14.1" customHeight="1" x14ac:dyDescent="0.2">
      <c r="A148" s="1"/>
      <c r="B148" s="1"/>
      <c r="C148" s="2" t="s">
        <v>119</v>
      </c>
      <c r="D148" s="1"/>
      <c r="E148" s="1" t="s">
        <v>120</v>
      </c>
      <c r="F148" s="13">
        <v>0</v>
      </c>
      <c r="G148" s="14">
        <v>0</v>
      </c>
      <c r="H148" s="6"/>
    </row>
    <row r="149" spans="1:15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15" ht="14.1" customHeight="1" x14ac:dyDescent="0.2">
      <c r="A150" s="1"/>
      <c r="B150" s="4"/>
      <c r="C150" s="4"/>
      <c r="D150" s="2"/>
      <c r="E150" s="1"/>
      <c r="F150" s="4"/>
      <c r="G150" s="8"/>
      <c r="H150" s="6"/>
    </row>
    <row r="151" spans="1:15" ht="18" customHeight="1" x14ac:dyDescent="0.2">
      <c r="A151" s="8"/>
      <c r="B151" s="4"/>
      <c r="C151" s="4" t="s">
        <v>144</v>
      </c>
      <c r="D151" s="4"/>
      <c r="E151" s="8"/>
      <c r="F151" s="6">
        <v>752.02026871999999</v>
      </c>
      <c r="G151" s="7">
        <v>4.3613940000000002E-3</v>
      </c>
      <c r="H151" s="6"/>
    </row>
    <row r="152" spans="1:15" ht="14.1" customHeight="1" x14ac:dyDescent="0.2">
      <c r="A152" s="11"/>
      <c r="B152" s="11"/>
      <c r="C152" s="2" t="s">
        <v>145</v>
      </c>
      <c r="D152" s="15"/>
      <c r="E152" s="15"/>
      <c r="F152" s="9">
        <v>172426.56690556501</v>
      </c>
      <c r="G152" s="10">
        <v>1.000000003</v>
      </c>
      <c r="H152" s="6"/>
      <c r="J152" s="170"/>
      <c r="K152" s="170"/>
      <c r="L152" s="170"/>
      <c r="M152" s="170"/>
      <c r="N152" s="170"/>
      <c r="O152" s="170"/>
    </row>
    <row r="153" spans="1:15" ht="14.1" customHeight="1" x14ac:dyDescent="0.2">
      <c r="A153" s="16"/>
      <c r="B153" s="16"/>
      <c r="C153" s="16"/>
      <c r="D153" s="17"/>
      <c r="E153" s="17"/>
      <c r="F153" s="17"/>
      <c r="G153" s="17"/>
    </row>
    <row r="154" spans="1:15" ht="17.100000000000001" customHeight="1" x14ac:dyDescent="0.2">
      <c r="A154" s="18"/>
      <c r="B154" s="267" t="s">
        <v>146</v>
      </c>
      <c r="C154" s="267"/>
      <c r="D154" s="267"/>
      <c r="E154" s="267"/>
      <c r="F154" s="267"/>
      <c r="G154" s="20"/>
    </row>
    <row r="155" spans="1:15" ht="14.1" customHeight="1" x14ac:dyDescent="0.2">
      <c r="A155" s="18"/>
      <c r="B155" s="18"/>
      <c r="C155" s="18"/>
      <c r="D155" s="20"/>
      <c r="E155" s="20"/>
      <c r="F155" s="20"/>
      <c r="G155" s="20"/>
    </row>
    <row r="156" spans="1:15" ht="14.1" customHeight="1" x14ac:dyDescent="0.2">
      <c r="A156" s="18"/>
      <c r="B156" s="265" t="s">
        <v>147</v>
      </c>
      <c r="C156" s="266"/>
      <c r="D156" s="12" t="s">
        <v>120</v>
      </c>
      <c r="E156" s="21"/>
      <c r="F156" s="20"/>
      <c r="G156" s="20"/>
    </row>
    <row r="157" spans="1:15" ht="29.1" customHeight="1" x14ac:dyDescent="0.2">
      <c r="A157" s="18"/>
      <c r="B157" s="272" t="s">
        <v>148</v>
      </c>
      <c r="C157" s="273"/>
      <c r="D157" s="2" t="s">
        <v>1101</v>
      </c>
      <c r="E157" s="21"/>
      <c r="F157" s="20"/>
      <c r="G157" s="20"/>
    </row>
    <row r="158" spans="1:15" ht="17.100000000000001" customHeight="1" x14ac:dyDescent="0.2">
      <c r="A158" s="18"/>
      <c r="B158" s="272" t="s">
        <v>997</v>
      </c>
      <c r="C158" s="273"/>
      <c r="D158" s="111" t="s">
        <v>1074</v>
      </c>
      <c r="E158" s="21"/>
      <c r="F158" s="20"/>
      <c r="G158" s="20"/>
    </row>
    <row r="159" spans="1:15" ht="17.100000000000001" customHeight="1" x14ac:dyDescent="0.2">
      <c r="A159" s="18"/>
      <c r="B159" s="272" t="s">
        <v>151</v>
      </c>
      <c r="C159" s="273"/>
      <c r="D159" s="12" t="s">
        <v>120</v>
      </c>
      <c r="E159" s="21"/>
      <c r="F159" s="20"/>
      <c r="G159" s="20"/>
    </row>
    <row r="160" spans="1:15" ht="24" customHeight="1" x14ac:dyDescent="0.2">
      <c r="A160" s="22"/>
      <c r="B160" s="23" t="s">
        <v>120</v>
      </c>
      <c r="C160" s="23" t="s">
        <v>152</v>
      </c>
      <c r="D160" s="23" t="s">
        <v>153</v>
      </c>
      <c r="E160" s="22"/>
      <c r="F160" s="22"/>
      <c r="G160" s="22"/>
    </row>
    <row r="161" spans="1:7" ht="18" customHeight="1" x14ac:dyDescent="0.2">
      <c r="A161" s="22"/>
      <c r="B161" s="23" t="s">
        <v>154</v>
      </c>
      <c r="C161" s="23" t="s">
        <v>155</v>
      </c>
      <c r="D161" s="23" t="s">
        <v>156</v>
      </c>
      <c r="E161" s="22"/>
      <c r="F161" s="22"/>
      <c r="G161" s="22"/>
    </row>
    <row r="162" spans="1:7" ht="17.100000000000001" customHeight="1" x14ac:dyDescent="0.2">
      <c r="A162" s="22"/>
      <c r="B162" s="4" t="s">
        <v>157</v>
      </c>
      <c r="C162" s="24">
        <v>250.42339999999999</v>
      </c>
      <c r="D162" s="24">
        <v>237.24809999999999</v>
      </c>
      <c r="E162" s="22"/>
      <c r="F162" s="19"/>
      <c r="G162" s="25"/>
    </row>
    <row r="163" spans="1:7" ht="29.1" customHeight="1" x14ac:dyDescent="0.2">
      <c r="A163" s="22"/>
      <c r="B163" s="4" t="s">
        <v>1123</v>
      </c>
      <c r="C163" s="24">
        <v>66.593100000000007</v>
      </c>
      <c r="D163" s="24">
        <v>63.089199999999998</v>
      </c>
      <c r="E163" s="22"/>
      <c r="F163" s="19"/>
      <c r="G163" s="25"/>
    </row>
    <row r="164" spans="1:7" ht="17.100000000000001" customHeight="1" x14ac:dyDescent="0.2">
      <c r="A164" s="22"/>
      <c r="B164" s="4" t="s">
        <v>158</v>
      </c>
      <c r="C164" s="24">
        <v>233.1694</v>
      </c>
      <c r="D164" s="24">
        <v>220.66380000000001</v>
      </c>
      <c r="E164" s="22"/>
      <c r="F164" s="19"/>
      <c r="G164" s="25"/>
    </row>
    <row r="165" spans="1:7" ht="29.1" customHeight="1" x14ac:dyDescent="0.2">
      <c r="A165" s="22"/>
      <c r="B165" s="4" t="s">
        <v>1124</v>
      </c>
      <c r="C165" s="24">
        <v>51.189500000000002</v>
      </c>
      <c r="D165" s="24">
        <v>48.444200000000002</v>
      </c>
      <c r="E165" s="22"/>
      <c r="F165" s="19"/>
      <c r="G165" s="25"/>
    </row>
    <row r="166" spans="1:7" ht="14.1" customHeight="1" x14ac:dyDescent="0.2">
      <c r="A166" s="22"/>
      <c r="B166" s="22"/>
      <c r="C166" s="22"/>
      <c r="D166" s="22"/>
      <c r="E166" s="22"/>
      <c r="F166" s="22"/>
      <c r="G166" s="22"/>
    </row>
    <row r="167" spans="1:7" ht="17.100000000000001" customHeight="1" x14ac:dyDescent="0.2">
      <c r="A167" s="22"/>
      <c r="B167" s="272" t="s">
        <v>1122</v>
      </c>
      <c r="C167" s="273"/>
      <c r="D167" s="2" t="s">
        <v>149</v>
      </c>
      <c r="E167" s="22"/>
      <c r="F167" s="22"/>
      <c r="G167" s="22"/>
    </row>
    <row r="168" spans="1:7" ht="14.1" customHeight="1" x14ac:dyDescent="0.2">
      <c r="A168" s="22"/>
      <c r="B168" s="19"/>
      <c r="C168" s="19"/>
      <c r="D168" s="22"/>
      <c r="E168" s="22"/>
      <c r="F168" s="22"/>
      <c r="G168" s="22"/>
    </row>
    <row r="169" spans="1:7" ht="29.1" customHeight="1" x14ac:dyDescent="0.2">
      <c r="A169" s="22"/>
      <c r="B169" s="272" t="s">
        <v>160</v>
      </c>
      <c r="C169" s="273"/>
      <c r="D169" s="2" t="s">
        <v>149</v>
      </c>
      <c r="E169" s="22"/>
      <c r="F169" s="22"/>
      <c r="G169" s="22"/>
    </row>
    <row r="170" spans="1:7" ht="29.1" customHeight="1" x14ac:dyDescent="0.2">
      <c r="A170" s="22"/>
      <c r="B170" s="272" t="s">
        <v>161</v>
      </c>
      <c r="C170" s="273"/>
      <c r="D170" s="2" t="s">
        <v>149</v>
      </c>
      <c r="E170" s="22"/>
      <c r="F170" s="22"/>
      <c r="G170" s="22"/>
    </row>
    <row r="171" spans="1:7" ht="17.100000000000001" customHeight="1" x14ac:dyDescent="0.2">
      <c r="A171" s="22"/>
      <c r="B171" s="272" t="s">
        <v>162</v>
      </c>
      <c r="C171" s="273"/>
      <c r="D171" s="27">
        <v>0.67671478267095753</v>
      </c>
      <c r="E171" s="22"/>
      <c r="F171" s="19"/>
      <c r="G171" s="25"/>
    </row>
    <row r="172" spans="1:7" ht="17.100000000000001" customHeight="1" x14ac:dyDescent="0.2">
      <c r="A172" s="22"/>
      <c r="B172" s="272" t="s">
        <v>163</v>
      </c>
      <c r="C172" s="273"/>
      <c r="D172" s="2" t="s">
        <v>149</v>
      </c>
      <c r="E172" s="22"/>
      <c r="F172" s="22"/>
      <c r="G172" s="22"/>
    </row>
    <row r="174" spans="1:7" x14ac:dyDescent="0.2">
      <c r="B174" s="154" t="s">
        <v>1105</v>
      </c>
    </row>
    <row r="175" spans="1:7" ht="38.25" x14ac:dyDescent="0.2">
      <c r="B175" s="117" t="s">
        <v>1076</v>
      </c>
      <c r="C175" s="117" t="s">
        <v>1077</v>
      </c>
      <c r="D175" s="117" t="s">
        <v>1078</v>
      </c>
      <c r="E175" s="117" t="s">
        <v>1079</v>
      </c>
      <c r="F175" s="117" t="s">
        <v>1080</v>
      </c>
    </row>
    <row r="176" spans="1:7" x14ac:dyDescent="0.2">
      <c r="B176" s="149" t="s">
        <v>1102</v>
      </c>
      <c r="C176" s="150" t="s">
        <v>1099</v>
      </c>
      <c r="D176" s="151">
        <v>0</v>
      </c>
      <c r="E176" s="152">
        <v>0</v>
      </c>
      <c r="F176" s="153">
        <v>29.407129999999999</v>
      </c>
    </row>
  </sheetData>
  <mergeCells count="14">
    <mergeCell ref="B171:C171"/>
    <mergeCell ref="B172:C172"/>
    <mergeCell ref="B157:C157"/>
    <mergeCell ref="B158:C158"/>
    <mergeCell ref="B159:C159"/>
    <mergeCell ref="B167:C167"/>
    <mergeCell ref="B169:C169"/>
    <mergeCell ref="B170:C170"/>
    <mergeCell ref="J2:N2"/>
    <mergeCell ref="B156:C156"/>
    <mergeCell ref="B154:F15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19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1138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423</v>
      </c>
      <c r="C7" s="4" t="s">
        <v>424</v>
      </c>
      <c r="D7" s="4" t="s">
        <v>396</v>
      </c>
      <c r="E7" s="5">
        <v>7332</v>
      </c>
      <c r="F7" s="6">
        <v>75.838542000000004</v>
      </c>
      <c r="G7" s="7">
        <v>1.3677276E-2</v>
      </c>
      <c r="H7" s="6"/>
    </row>
    <row r="8" spans="1:14" ht="29.1" customHeight="1" x14ac:dyDescent="0.2">
      <c r="A8" s="3">
        <v>2</v>
      </c>
      <c r="B8" s="4" t="s">
        <v>168</v>
      </c>
      <c r="C8" s="4" t="s">
        <v>169</v>
      </c>
      <c r="D8" s="4" t="s">
        <v>25</v>
      </c>
      <c r="E8" s="5">
        <v>19168</v>
      </c>
      <c r="F8" s="6">
        <v>70.806591999999995</v>
      </c>
      <c r="G8" s="7">
        <v>1.2769778000000001E-2</v>
      </c>
      <c r="H8" s="6"/>
    </row>
    <row r="9" spans="1:14" ht="29.1" customHeight="1" x14ac:dyDescent="0.2">
      <c r="A9" s="3">
        <v>3</v>
      </c>
      <c r="B9" s="4" t="s">
        <v>676</v>
      </c>
      <c r="C9" s="4" t="s">
        <v>677</v>
      </c>
      <c r="D9" s="4" t="s">
        <v>678</v>
      </c>
      <c r="E9" s="5">
        <v>10503</v>
      </c>
      <c r="F9" s="6">
        <v>68.579338500000006</v>
      </c>
      <c r="G9" s="7">
        <v>1.2368099E-2</v>
      </c>
      <c r="H9" s="6"/>
    </row>
    <row r="10" spans="1:14" ht="17.100000000000001" customHeight="1" x14ac:dyDescent="0.2">
      <c r="A10" s="3">
        <v>4</v>
      </c>
      <c r="B10" s="4" t="s">
        <v>416</v>
      </c>
      <c r="C10" s="4" t="s">
        <v>417</v>
      </c>
      <c r="D10" s="4" t="s">
        <v>418</v>
      </c>
      <c r="E10" s="5">
        <v>2838</v>
      </c>
      <c r="F10" s="6">
        <v>66.785235</v>
      </c>
      <c r="G10" s="7">
        <v>1.2044536999999999E-2</v>
      </c>
      <c r="H10" s="6"/>
    </row>
    <row r="11" spans="1:14" ht="17.100000000000001" customHeight="1" x14ac:dyDescent="0.2">
      <c r="A11" s="3">
        <v>5</v>
      </c>
      <c r="B11" s="4" t="s">
        <v>613</v>
      </c>
      <c r="C11" s="4" t="s">
        <v>614</v>
      </c>
      <c r="D11" s="4" t="s">
        <v>230</v>
      </c>
      <c r="E11" s="5">
        <v>1813</v>
      </c>
      <c r="F11" s="6">
        <v>66.134613999999999</v>
      </c>
      <c r="G11" s="7">
        <v>1.1927198999999999E-2</v>
      </c>
      <c r="H11" s="6"/>
    </row>
    <row r="12" spans="1:14" ht="17.100000000000001" customHeight="1" x14ac:dyDescent="0.2">
      <c r="A12" s="3">
        <v>6</v>
      </c>
      <c r="B12" s="4" t="s">
        <v>29</v>
      </c>
      <c r="C12" s="4" t="s">
        <v>30</v>
      </c>
      <c r="D12" s="4" t="s">
        <v>31</v>
      </c>
      <c r="E12" s="5">
        <v>42124</v>
      </c>
      <c r="F12" s="6">
        <v>65.713440000000006</v>
      </c>
      <c r="G12" s="7">
        <v>1.1851242E-2</v>
      </c>
      <c r="H12" s="6"/>
    </row>
    <row r="13" spans="1:14" ht="17.100000000000001" customHeight="1" x14ac:dyDescent="0.2">
      <c r="A13" s="3">
        <v>7</v>
      </c>
      <c r="B13" s="4" t="s">
        <v>679</v>
      </c>
      <c r="C13" s="4" t="s">
        <v>680</v>
      </c>
      <c r="D13" s="4" t="s">
        <v>396</v>
      </c>
      <c r="E13" s="5">
        <v>2356</v>
      </c>
      <c r="F13" s="6">
        <v>65.514470000000003</v>
      </c>
      <c r="G13" s="7">
        <v>1.1815358E-2</v>
      </c>
      <c r="H13" s="6"/>
      <c r="J13" s="169" t="s">
        <v>1158</v>
      </c>
    </row>
    <row r="14" spans="1:14" ht="17.100000000000001" customHeight="1" x14ac:dyDescent="0.2">
      <c r="A14" s="3">
        <v>8</v>
      </c>
      <c r="B14" s="4" t="s">
        <v>592</v>
      </c>
      <c r="C14" s="4" t="s">
        <v>593</v>
      </c>
      <c r="D14" s="4" t="s">
        <v>323</v>
      </c>
      <c r="E14" s="5">
        <v>10901</v>
      </c>
      <c r="F14" s="6">
        <v>65.291539499999999</v>
      </c>
      <c r="G14" s="7">
        <v>1.1775153E-2</v>
      </c>
      <c r="H14" s="6"/>
    </row>
    <row r="15" spans="1:14" ht="17.100000000000001" customHeight="1" x14ac:dyDescent="0.2">
      <c r="A15" s="3">
        <v>9</v>
      </c>
      <c r="B15" s="4" t="s">
        <v>588</v>
      </c>
      <c r="C15" s="4" t="s">
        <v>589</v>
      </c>
      <c r="D15" s="4" t="s">
        <v>396</v>
      </c>
      <c r="E15" s="5">
        <v>2327</v>
      </c>
      <c r="F15" s="6">
        <v>64.548653000000002</v>
      </c>
      <c r="G15" s="7">
        <v>1.1641175E-2</v>
      </c>
      <c r="H15" s="6"/>
    </row>
    <row r="16" spans="1:14" ht="29.1" customHeight="1" x14ac:dyDescent="0.2">
      <c r="A16" s="3">
        <v>10</v>
      </c>
      <c r="B16" s="4" t="s">
        <v>681</v>
      </c>
      <c r="C16" s="4" t="s">
        <v>682</v>
      </c>
      <c r="D16" s="4" t="s">
        <v>683</v>
      </c>
      <c r="E16" s="5">
        <v>2949</v>
      </c>
      <c r="F16" s="6">
        <v>63.921049500000002</v>
      </c>
      <c r="G16" s="7">
        <v>1.1527989000000001E-2</v>
      </c>
      <c r="H16" s="6"/>
    </row>
    <row r="17" spans="1:8" ht="17.100000000000001" customHeight="1" x14ac:dyDescent="0.2">
      <c r="A17" s="3">
        <v>11</v>
      </c>
      <c r="B17" s="4" t="s">
        <v>684</v>
      </c>
      <c r="C17" s="4" t="s">
        <v>685</v>
      </c>
      <c r="D17" s="4" t="s">
        <v>369</v>
      </c>
      <c r="E17" s="5">
        <v>11749</v>
      </c>
      <c r="F17" s="6">
        <v>62.698538499999998</v>
      </c>
      <c r="G17" s="7">
        <v>1.1307512E-2</v>
      </c>
      <c r="H17" s="6"/>
    </row>
    <row r="18" spans="1:8" ht="17.100000000000001" customHeight="1" x14ac:dyDescent="0.2">
      <c r="A18" s="3">
        <v>12</v>
      </c>
      <c r="B18" s="4" t="s">
        <v>686</v>
      </c>
      <c r="C18" s="4" t="s">
        <v>687</v>
      </c>
      <c r="D18" s="4" t="s">
        <v>369</v>
      </c>
      <c r="E18" s="5">
        <v>8093</v>
      </c>
      <c r="F18" s="6">
        <v>62.069263499999998</v>
      </c>
      <c r="G18" s="7">
        <v>1.1194024E-2</v>
      </c>
      <c r="H18" s="6"/>
    </row>
    <row r="19" spans="1:8" ht="17.100000000000001" customHeight="1" x14ac:dyDescent="0.2">
      <c r="A19" s="3">
        <v>13</v>
      </c>
      <c r="B19" s="4" t="s">
        <v>64</v>
      </c>
      <c r="C19" s="4" t="s">
        <v>65</v>
      </c>
      <c r="D19" s="4" t="s">
        <v>31</v>
      </c>
      <c r="E19" s="5">
        <v>26595</v>
      </c>
      <c r="F19" s="6">
        <v>61.939754999999998</v>
      </c>
      <c r="G19" s="7">
        <v>1.1170668E-2</v>
      </c>
      <c r="H19" s="6"/>
    </row>
    <row r="20" spans="1:8" ht="29.1" customHeight="1" x14ac:dyDescent="0.2">
      <c r="A20" s="3">
        <v>14</v>
      </c>
      <c r="B20" s="4" t="s">
        <v>688</v>
      </c>
      <c r="C20" s="4" t="s">
        <v>689</v>
      </c>
      <c r="D20" s="4" t="s">
        <v>323</v>
      </c>
      <c r="E20" s="5">
        <v>11836</v>
      </c>
      <c r="F20" s="6">
        <v>61.736575999999999</v>
      </c>
      <c r="G20" s="7">
        <v>1.1134025000000001E-2</v>
      </c>
      <c r="H20" s="6"/>
    </row>
    <row r="21" spans="1:8" ht="17.100000000000001" customHeight="1" x14ac:dyDescent="0.2">
      <c r="A21" s="3">
        <v>15</v>
      </c>
      <c r="B21" s="4" t="s">
        <v>412</v>
      </c>
      <c r="C21" s="4" t="s">
        <v>413</v>
      </c>
      <c r="D21" s="4" t="s">
        <v>323</v>
      </c>
      <c r="E21" s="5">
        <v>5220</v>
      </c>
      <c r="F21" s="6">
        <v>61.29063</v>
      </c>
      <c r="G21" s="7">
        <v>1.10536E-2</v>
      </c>
      <c r="H21" s="6"/>
    </row>
    <row r="22" spans="1:8" ht="17.100000000000001" customHeight="1" x14ac:dyDescent="0.2">
      <c r="A22" s="3">
        <v>16</v>
      </c>
      <c r="B22" s="4" t="s">
        <v>690</v>
      </c>
      <c r="C22" s="4" t="s">
        <v>691</v>
      </c>
      <c r="D22" s="4" t="s">
        <v>19</v>
      </c>
      <c r="E22" s="5">
        <v>18721</v>
      </c>
      <c r="F22" s="6">
        <v>61.021099499999998</v>
      </c>
      <c r="G22" s="7">
        <v>1.1004991E-2</v>
      </c>
      <c r="H22" s="6"/>
    </row>
    <row r="23" spans="1:8" ht="17.100000000000001" customHeight="1" x14ac:dyDescent="0.2">
      <c r="A23" s="3">
        <v>17</v>
      </c>
      <c r="B23" s="4" t="s">
        <v>692</v>
      </c>
      <c r="C23" s="4" t="s">
        <v>693</v>
      </c>
      <c r="D23" s="4" t="s">
        <v>248</v>
      </c>
      <c r="E23" s="5">
        <v>2477</v>
      </c>
      <c r="F23" s="6">
        <v>60.2889415</v>
      </c>
      <c r="G23" s="7">
        <v>1.0872948E-2</v>
      </c>
      <c r="H23" s="6"/>
    </row>
    <row r="24" spans="1:8" ht="17.100000000000001" customHeight="1" x14ac:dyDescent="0.2">
      <c r="A24" s="3">
        <v>18</v>
      </c>
      <c r="B24" s="4" t="s">
        <v>694</v>
      </c>
      <c r="C24" s="4" t="s">
        <v>695</v>
      </c>
      <c r="D24" s="4" t="s">
        <v>369</v>
      </c>
      <c r="E24" s="5">
        <v>3696</v>
      </c>
      <c r="F24" s="6">
        <v>60.141311999999999</v>
      </c>
      <c r="G24" s="7">
        <v>1.0846323E-2</v>
      </c>
      <c r="H24" s="6"/>
    </row>
    <row r="25" spans="1:8" ht="29.1" customHeight="1" x14ac:dyDescent="0.2">
      <c r="A25" s="3">
        <v>19</v>
      </c>
      <c r="B25" s="4" t="s">
        <v>696</v>
      </c>
      <c r="C25" s="4" t="s">
        <v>697</v>
      </c>
      <c r="D25" s="4" t="s">
        <v>25</v>
      </c>
      <c r="E25" s="5">
        <v>2733</v>
      </c>
      <c r="F25" s="6">
        <v>60.082272000000003</v>
      </c>
      <c r="G25" s="7">
        <v>1.0835676000000001E-2</v>
      </c>
      <c r="H25" s="6"/>
    </row>
    <row r="26" spans="1:8" ht="17.100000000000001" customHeight="1" x14ac:dyDescent="0.2">
      <c r="A26" s="3">
        <v>20</v>
      </c>
      <c r="B26" s="4" t="s">
        <v>431</v>
      </c>
      <c r="C26" s="4" t="s">
        <v>432</v>
      </c>
      <c r="D26" s="4" t="s">
        <v>19</v>
      </c>
      <c r="E26" s="5">
        <v>3251</v>
      </c>
      <c r="F26" s="6">
        <v>60.041093500000002</v>
      </c>
      <c r="G26" s="7">
        <v>1.0828249E-2</v>
      </c>
      <c r="H26" s="6"/>
    </row>
    <row r="27" spans="1:8" ht="17.100000000000001" customHeight="1" x14ac:dyDescent="0.2">
      <c r="A27" s="3">
        <v>21</v>
      </c>
      <c r="B27" s="4" t="s">
        <v>698</v>
      </c>
      <c r="C27" s="4" t="s">
        <v>699</v>
      </c>
      <c r="D27" s="4" t="s">
        <v>80</v>
      </c>
      <c r="E27" s="5">
        <v>4979</v>
      </c>
      <c r="F27" s="6">
        <v>59.837622000000003</v>
      </c>
      <c r="G27" s="7">
        <v>1.0791554E-2</v>
      </c>
      <c r="H27" s="6"/>
    </row>
    <row r="28" spans="1:8" ht="29.1" customHeight="1" x14ac:dyDescent="0.2">
      <c r="A28" s="3">
        <v>22</v>
      </c>
      <c r="B28" s="4" t="s">
        <v>700</v>
      </c>
      <c r="C28" s="4" t="s">
        <v>701</v>
      </c>
      <c r="D28" s="4" t="s">
        <v>198</v>
      </c>
      <c r="E28" s="5">
        <v>15811</v>
      </c>
      <c r="F28" s="6">
        <v>59.820918499999998</v>
      </c>
      <c r="G28" s="7">
        <v>1.0788541E-2</v>
      </c>
      <c r="H28" s="6"/>
    </row>
    <row r="29" spans="1:8" ht="17.100000000000001" customHeight="1" x14ac:dyDescent="0.2">
      <c r="A29" s="3">
        <v>23</v>
      </c>
      <c r="B29" s="4" t="s">
        <v>17</v>
      </c>
      <c r="C29" s="4" t="s">
        <v>18</v>
      </c>
      <c r="D29" s="4" t="s">
        <v>19</v>
      </c>
      <c r="E29" s="5">
        <v>7930</v>
      </c>
      <c r="F29" s="6">
        <v>59.701005000000002</v>
      </c>
      <c r="G29" s="7">
        <v>1.0766915E-2</v>
      </c>
      <c r="H29" s="6"/>
    </row>
    <row r="30" spans="1:8" ht="17.100000000000001" customHeight="1" x14ac:dyDescent="0.2">
      <c r="A30" s="3">
        <v>24</v>
      </c>
      <c r="B30" s="4" t="s">
        <v>461</v>
      </c>
      <c r="C30" s="4" t="s">
        <v>462</v>
      </c>
      <c r="D30" s="4" t="s">
        <v>396</v>
      </c>
      <c r="E30" s="5">
        <v>749</v>
      </c>
      <c r="F30" s="6">
        <v>59.667961499999997</v>
      </c>
      <c r="G30" s="7">
        <v>1.0760956E-2</v>
      </c>
      <c r="H30" s="6"/>
    </row>
    <row r="31" spans="1:8" ht="17.100000000000001" customHeight="1" x14ac:dyDescent="0.2">
      <c r="A31" s="3">
        <v>25</v>
      </c>
      <c r="B31" s="4" t="s">
        <v>425</v>
      </c>
      <c r="C31" s="4" t="s">
        <v>426</v>
      </c>
      <c r="D31" s="4" t="s">
        <v>418</v>
      </c>
      <c r="E31" s="5">
        <v>21956</v>
      </c>
      <c r="F31" s="6">
        <v>59.423914000000003</v>
      </c>
      <c r="G31" s="7">
        <v>1.0716942E-2</v>
      </c>
      <c r="H31" s="6"/>
    </row>
    <row r="32" spans="1:8" ht="17.100000000000001" customHeight="1" x14ac:dyDescent="0.2">
      <c r="A32" s="3">
        <v>26</v>
      </c>
      <c r="B32" s="4" t="s">
        <v>702</v>
      </c>
      <c r="C32" s="4" t="s">
        <v>703</v>
      </c>
      <c r="D32" s="4" t="s">
        <v>230</v>
      </c>
      <c r="E32" s="5">
        <v>332</v>
      </c>
      <c r="F32" s="6">
        <v>58.735779999999998</v>
      </c>
      <c r="G32" s="7">
        <v>1.0592839E-2</v>
      </c>
      <c r="H32" s="6"/>
    </row>
    <row r="33" spans="1:8" ht="17.100000000000001" customHeight="1" x14ac:dyDescent="0.2">
      <c r="A33" s="3">
        <v>27</v>
      </c>
      <c r="B33" s="4" t="s">
        <v>602</v>
      </c>
      <c r="C33" s="4" t="s">
        <v>603</v>
      </c>
      <c r="D33" s="4" t="s">
        <v>396</v>
      </c>
      <c r="E33" s="5">
        <v>1519</v>
      </c>
      <c r="F33" s="6">
        <v>58.695678999999998</v>
      </c>
      <c r="G33" s="7">
        <v>1.0585607E-2</v>
      </c>
      <c r="H33" s="6"/>
    </row>
    <row r="34" spans="1:8" ht="29.1" customHeight="1" x14ac:dyDescent="0.2">
      <c r="A34" s="3">
        <v>28</v>
      </c>
      <c r="B34" s="4" t="s">
        <v>704</v>
      </c>
      <c r="C34" s="4" t="s">
        <v>705</v>
      </c>
      <c r="D34" s="4" t="s">
        <v>198</v>
      </c>
      <c r="E34" s="5">
        <v>2065</v>
      </c>
      <c r="F34" s="6">
        <v>58.493189999999998</v>
      </c>
      <c r="G34" s="7">
        <v>1.0549088999999999E-2</v>
      </c>
      <c r="H34" s="6"/>
    </row>
    <row r="35" spans="1:8" ht="17.100000000000001" customHeight="1" x14ac:dyDescent="0.2">
      <c r="A35" s="3">
        <v>29</v>
      </c>
      <c r="B35" s="4" t="s">
        <v>357</v>
      </c>
      <c r="C35" s="4" t="s">
        <v>358</v>
      </c>
      <c r="D35" s="4" t="s">
        <v>186</v>
      </c>
      <c r="E35" s="5">
        <v>10605</v>
      </c>
      <c r="F35" s="6">
        <v>58.428247499999998</v>
      </c>
      <c r="G35" s="7">
        <v>1.0537377000000001E-2</v>
      </c>
      <c r="H35" s="6"/>
    </row>
    <row r="36" spans="1:8" ht="17.100000000000001" customHeight="1" x14ac:dyDescent="0.2">
      <c r="A36" s="3">
        <v>30</v>
      </c>
      <c r="B36" s="4" t="s">
        <v>706</v>
      </c>
      <c r="C36" s="4" t="s">
        <v>707</v>
      </c>
      <c r="D36" s="4" t="s">
        <v>95</v>
      </c>
      <c r="E36" s="5">
        <v>398</v>
      </c>
      <c r="F36" s="6">
        <v>58.217052000000002</v>
      </c>
      <c r="G36" s="7">
        <v>1.0499288000000001E-2</v>
      </c>
      <c r="H36" s="6"/>
    </row>
    <row r="37" spans="1:8" ht="29.1" customHeight="1" x14ac:dyDescent="0.2">
      <c r="A37" s="3">
        <v>31</v>
      </c>
      <c r="B37" s="4" t="s">
        <v>382</v>
      </c>
      <c r="C37" s="4" t="s">
        <v>383</v>
      </c>
      <c r="D37" s="4" t="s">
        <v>233</v>
      </c>
      <c r="E37" s="5">
        <v>7584</v>
      </c>
      <c r="F37" s="6">
        <v>57.619439999999997</v>
      </c>
      <c r="G37" s="7">
        <v>1.039151E-2</v>
      </c>
      <c r="H37" s="6"/>
    </row>
    <row r="38" spans="1:8" ht="17.100000000000001" customHeight="1" x14ac:dyDescent="0.2">
      <c r="A38" s="3">
        <v>32</v>
      </c>
      <c r="B38" s="4" t="s">
        <v>453</v>
      </c>
      <c r="C38" s="4" t="s">
        <v>454</v>
      </c>
      <c r="D38" s="4" t="s">
        <v>396</v>
      </c>
      <c r="E38" s="5">
        <v>12978</v>
      </c>
      <c r="F38" s="6">
        <v>57.563918999999999</v>
      </c>
      <c r="G38" s="7">
        <v>1.0381497E-2</v>
      </c>
      <c r="H38" s="6"/>
    </row>
    <row r="39" spans="1:8" ht="29.1" customHeight="1" x14ac:dyDescent="0.2">
      <c r="A39" s="3">
        <v>33</v>
      </c>
      <c r="B39" s="4" t="s">
        <v>708</v>
      </c>
      <c r="C39" s="4" t="s">
        <v>709</v>
      </c>
      <c r="D39" s="4" t="s">
        <v>198</v>
      </c>
      <c r="E39" s="5">
        <v>1312</v>
      </c>
      <c r="F39" s="6">
        <v>57.329808</v>
      </c>
      <c r="G39" s="7">
        <v>1.0339276E-2</v>
      </c>
      <c r="H39" s="6"/>
    </row>
    <row r="40" spans="1:8" ht="17.100000000000001" customHeight="1" x14ac:dyDescent="0.2">
      <c r="A40" s="3">
        <v>34</v>
      </c>
      <c r="B40" s="4" t="s">
        <v>710</v>
      </c>
      <c r="C40" s="4" t="s">
        <v>711</v>
      </c>
      <c r="D40" s="4" t="s">
        <v>85</v>
      </c>
      <c r="E40" s="5">
        <v>1115</v>
      </c>
      <c r="F40" s="6">
        <v>57.016640000000002</v>
      </c>
      <c r="G40" s="7">
        <v>1.0282797E-2</v>
      </c>
      <c r="H40" s="6"/>
    </row>
    <row r="41" spans="1:8" ht="17.100000000000001" customHeight="1" x14ac:dyDescent="0.2">
      <c r="A41" s="3">
        <v>35</v>
      </c>
      <c r="B41" s="4" t="s">
        <v>712</v>
      </c>
      <c r="C41" s="4" t="s">
        <v>713</v>
      </c>
      <c r="D41" s="4" t="s">
        <v>714</v>
      </c>
      <c r="E41" s="5">
        <v>29528</v>
      </c>
      <c r="F41" s="6">
        <v>56.959511999999997</v>
      </c>
      <c r="G41" s="7">
        <v>1.0272494E-2</v>
      </c>
      <c r="H41" s="6"/>
    </row>
    <row r="42" spans="1:8" ht="17.100000000000001" customHeight="1" x14ac:dyDescent="0.2">
      <c r="A42" s="3">
        <v>36</v>
      </c>
      <c r="B42" s="4" t="s">
        <v>14</v>
      </c>
      <c r="C42" s="4" t="s">
        <v>15</v>
      </c>
      <c r="D42" s="4" t="s">
        <v>16</v>
      </c>
      <c r="E42" s="5">
        <v>2160</v>
      </c>
      <c r="F42" s="6">
        <v>56.86524</v>
      </c>
      <c r="G42" s="7">
        <v>1.0255492999999999E-2</v>
      </c>
      <c r="H42" s="6"/>
    </row>
    <row r="43" spans="1:8" ht="29.1" customHeight="1" x14ac:dyDescent="0.2">
      <c r="A43" s="3">
        <v>37</v>
      </c>
      <c r="B43" s="4" t="s">
        <v>408</v>
      </c>
      <c r="C43" s="4" t="s">
        <v>409</v>
      </c>
      <c r="D43" s="4" t="s">
        <v>85</v>
      </c>
      <c r="E43" s="5">
        <v>2465</v>
      </c>
      <c r="F43" s="6">
        <v>56.861387499999999</v>
      </c>
      <c r="G43" s="7">
        <v>1.0254798000000001E-2</v>
      </c>
      <c r="H43" s="6"/>
    </row>
    <row r="44" spans="1:8" ht="29.1" customHeight="1" x14ac:dyDescent="0.2">
      <c r="A44" s="3">
        <v>38</v>
      </c>
      <c r="B44" s="4" t="s">
        <v>359</v>
      </c>
      <c r="C44" s="4" t="s">
        <v>360</v>
      </c>
      <c r="D44" s="4" t="s">
        <v>356</v>
      </c>
      <c r="E44" s="5">
        <v>2046</v>
      </c>
      <c r="F44" s="6">
        <v>56.435841000000003</v>
      </c>
      <c r="G44" s="7">
        <v>1.0178052E-2</v>
      </c>
      <c r="H44" s="6"/>
    </row>
    <row r="45" spans="1:8" ht="17.100000000000001" customHeight="1" x14ac:dyDescent="0.2">
      <c r="A45" s="3">
        <v>39</v>
      </c>
      <c r="B45" s="4" t="s">
        <v>590</v>
      </c>
      <c r="C45" s="4" t="s">
        <v>591</v>
      </c>
      <c r="D45" s="4" t="s">
        <v>369</v>
      </c>
      <c r="E45" s="5">
        <v>10873</v>
      </c>
      <c r="F45" s="6">
        <v>56.430869999999999</v>
      </c>
      <c r="G45" s="7">
        <v>1.0177155E-2</v>
      </c>
      <c r="H45" s="6"/>
    </row>
    <row r="46" spans="1:8" ht="29.1" customHeight="1" x14ac:dyDescent="0.2">
      <c r="A46" s="3">
        <v>40</v>
      </c>
      <c r="B46" s="4" t="s">
        <v>55</v>
      </c>
      <c r="C46" s="4" t="s">
        <v>56</v>
      </c>
      <c r="D46" s="4" t="s">
        <v>57</v>
      </c>
      <c r="E46" s="5">
        <v>7609</v>
      </c>
      <c r="F46" s="6">
        <v>56.2951865</v>
      </c>
      <c r="G46" s="7">
        <v>1.0152685E-2</v>
      </c>
      <c r="H46" s="6"/>
    </row>
    <row r="47" spans="1:8" ht="29.1" customHeight="1" x14ac:dyDescent="0.2">
      <c r="A47" s="3">
        <v>41</v>
      </c>
      <c r="B47" s="4" t="s">
        <v>715</v>
      </c>
      <c r="C47" s="4" t="s">
        <v>716</v>
      </c>
      <c r="D47" s="4" t="s">
        <v>323</v>
      </c>
      <c r="E47" s="5">
        <v>4425</v>
      </c>
      <c r="F47" s="6">
        <v>56.013862500000002</v>
      </c>
      <c r="G47" s="7">
        <v>1.0101949000000001E-2</v>
      </c>
      <c r="H47" s="6"/>
    </row>
    <row r="48" spans="1:8" ht="29.1" customHeight="1" x14ac:dyDescent="0.2">
      <c r="A48" s="3">
        <v>42</v>
      </c>
      <c r="B48" s="4" t="s">
        <v>717</v>
      </c>
      <c r="C48" s="4" t="s">
        <v>718</v>
      </c>
      <c r="D48" s="4" t="s">
        <v>356</v>
      </c>
      <c r="E48" s="5">
        <v>7173</v>
      </c>
      <c r="F48" s="6">
        <v>55.920707999999998</v>
      </c>
      <c r="G48" s="7">
        <v>1.0085149E-2</v>
      </c>
      <c r="H48" s="6"/>
    </row>
    <row r="49" spans="1:8" ht="17.100000000000001" customHeight="1" x14ac:dyDescent="0.2">
      <c r="A49" s="3">
        <v>43</v>
      </c>
      <c r="B49" s="4" t="s">
        <v>719</v>
      </c>
      <c r="C49" s="4" t="s">
        <v>720</v>
      </c>
      <c r="D49" s="4" t="s">
        <v>31</v>
      </c>
      <c r="E49" s="5">
        <v>2939</v>
      </c>
      <c r="F49" s="6">
        <v>55.516240500000002</v>
      </c>
      <c r="G49" s="7">
        <v>1.0012204E-2</v>
      </c>
      <c r="H49" s="6"/>
    </row>
    <row r="50" spans="1:8" ht="17.100000000000001" customHeight="1" x14ac:dyDescent="0.2">
      <c r="A50" s="3">
        <v>44</v>
      </c>
      <c r="B50" s="4" t="s">
        <v>429</v>
      </c>
      <c r="C50" s="4" t="s">
        <v>430</v>
      </c>
      <c r="D50" s="4" t="s">
        <v>19</v>
      </c>
      <c r="E50" s="5">
        <v>5954</v>
      </c>
      <c r="F50" s="6">
        <v>55.422809000000001</v>
      </c>
      <c r="G50" s="7">
        <v>9.9953539999999997E-3</v>
      </c>
      <c r="H50" s="6"/>
    </row>
    <row r="51" spans="1:8" ht="17.100000000000001" customHeight="1" x14ac:dyDescent="0.2">
      <c r="A51" s="3">
        <v>45</v>
      </c>
      <c r="B51" s="4" t="s">
        <v>455</v>
      </c>
      <c r="C51" s="4" t="s">
        <v>456</v>
      </c>
      <c r="D51" s="4" t="s">
        <v>302</v>
      </c>
      <c r="E51" s="5">
        <v>1391</v>
      </c>
      <c r="F51" s="6">
        <v>55.261648000000001</v>
      </c>
      <c r="G51" s="7">
        <v>9.9662889999999997E-3</v>
      </c>
      <c r="H51" s="6"/>
    </row>
    <row r="52" spans="1:8" ht="29.1" customHeight="1" x14ac:dyDescent="0.2">
      <c r="A52" s="3">
        <v>46</v>
      </c>
      <c r="B52" s="4" t="s">
        <v>521</v>
      </c>
      <c r="C52" s="4" t="s">
        <v>522</v>
      </c>
      <c r="D52" s="4" t="s">
        <v>198</v>
      </c>
      <c r="E52" s="5">
        <v>5559</v>
      </c>
      <c r="F52" s="6">
        <v>55.198090499999999</v>
      </c>
      <c r="G52" s="7">
        <v>9.9548269999999994E-3</v>
      </c>
      <c r="H52" s="6"/>
    </row>
    <row r="53" spans="1:8" ht="17.100000000000001" customHeight="1" x14ac:dyDescent="0.2">
      <c r="A53" s="3">
        <v>47</v>
      </c>
      <c r="B53" s="4" t="s">
        <v>71</v>
      </c>
      <c r="C53" s="4" t="s">
        <v>72</v>
      </c>
      <c r="D53" s="4" t="s">
        <v>16</v>
      </c>
      <c r="E53" s="5">
        <v>46962</v>
      </c>
      <c r="F53" s="6">
        <v>54.475920000000002</v>
      </c>
      <c r="G53" s="7">
        <v>9.8245850000000003E-3</v>
      </c>
      <c r="H53" s="6"/>
    </row>
    <row r="54" spans="1:8" ht="17.100000000000001" customHeight="1" x14ac:dyDescent="0.2">
      <c r="A54" s="3">
        <v>48</v>
      </c>
      <c r="B54" s="4" t="s">
        <v>374</v>
      </c>
      <c r="C54" s="4" t="s">
        <v>375</v>
      </c>
      <c r="D54" s="4" t="s">
        <v>19</v>
      </c>
      <c r="E54" s="5">
        <v>3912</v>
      </c>
      <c r="F54" s="6">
        <v>54.335723999999999</v>
      </c>
      <c r="G54" s="7">
        <v>9.7993009999999998E-3</v>
      </c>
      <c r="H54" s="6"/>
    </row>
    <row r="55" spans="1:8" ht="29.1" customHeight="1" x14ac:dyDescent="0.2">
      <c r="A55" s="3">
        <v>49</v>
      </c>
      <c r="B55" s="4" t="s">
        <v>721</v>
      </c>
      <c r="C55" s="4" t="s">
        <v>722</v>
      </c>
      <c r="D55" s="4" t="s">
        <v>198</v>
      </c>
      <c r="E55" s="5">
        <v>16231</v>
      </c>
      <c r="F55" s="6">
        <v>54.227770999999997</v>
      </c>
      <c r="G55" s="7">
        <v>9.7798320000000005E-3</v>
      </c>
      <c r="H55" s="6"/>
    </row>
    <row r="56" spans="1:8" ht="17.100000000000001" customHeight="1" x14ac:dyDescent="0.2">
      <c r="A56" s="3">
        <v>50</v>
      </c>
      <c r="B56" s="4" t="s">
        <v>52</v>
      </c>
      <c r="C56" s="4" t="s">
        <v>53</v>
      </c>
      <c r="D56" s="4" t="s">
        <v>54</v>
      </c>
      <c r="E56" s="5">
        <v>36788</v>
      </c>
      <c r="F56" s="6">
        <v>54.151935999999999</v>
      </c>
      <c r="G56" s="7">
        <v>9.7661550000000003E-3</v>
      </c>
      <c r="H56" s="6"/>
    </row>
    <row r="57" spans="1:8" ht="17.100000000000001" customHeight="1" x14ac:dyDescent="0.2">
      <c r="A57" s="3">
        <v>51</v>
      </c>
      <c r="B57" s="4" t="s">
        <v>98</v>
      </c>
      <c r="C57" s="4" t="s">
        <v>99</v>
      </c>
      <c r="D57" s="4" t="s">
        <v>22</v>
      </c>
      <c r="E57" s="5">
        <v>26706</v>
      </c>
      <c r="F57" s="6">
        <v>53.892707999999999</v>
      </c>
      <c r="G57" s="7">
        <v>9.7194039999999992E-3</v>
      </c>
      <c r="H57" s="6"/>
    </row>
    <row r="58" spans="1:8" ht="17.100000000000001" customHeight="1" x14ac:dyDescent="0.2">
      <c r="A58" s="3">
        <v>52</v>
      </c>
      <c r="B58" s="4" t="s">
        <v>20</v>
      </c>
      <c r="C58" s="4" t="s">
        <v>21</v>
      </c>
      <c r="D58" s="4" t="s">
        <v>22</v>
      </c>
      <c r="E58" s="5">
        <v>7673</v>
      </c>
      <c r="F58" s="6">
        <v>53.726345999999999</v>
      </c>
      <c r="G58" s="7">
        <v>9.6894010000000003E-3</v>
      </c>
      <c r="H58" s="6"/>
    </row>
    <row r="59" spans="1:8" ht="29.1" customHeight="1" x14ac:dyDescent="0.2">
      <c r="A59" s="3">
        <v>53</v>
      </c>
      <c r="B59" s="4" t="s">
        <v>23</v>
      </c>
      <c r="C59" s="4" t="s">
        <v>24</v>
      </c>
      <c r="D59" s="4" t="s">
        <v>25</v>
      </c>
      <c r="E59" s="5">
        <v>879</v>
      </c>
      <c r="F59" s="6">
        <v>53.466054</v>
      </c>
      <c r="G59" s="7">
        <v>9.6424590000000008E-3</v>
      </c>
      <c r="H59" s="6"/>
    </row>
    <row r="60" spans="1:8" ht="29.1" customHeight="1" x14ac:dyDescent="0.2">
      <c r="A60" s="3">
        <v>54</v>
      </c>
      <c r="B60" s="4" t="s">
        <v>414</v>
      </c>
      <c r="C60" s="4" t="s">
        <v>415</v>
      </c>
      <c r="D60" s="4" t="s">
        <v>198</v>
      </c>
      <c r="E60" s="5">
        <v>6206</v>
      </c>
      <c r="F60" s="6">
        <v>53.408836000000001</v>
      </c>
      <c r="G60" s="7">
        <v>9.6321389999999996E-3</v>
      </c>
      <c r="H60" s="6"/>
    </row>
    <row r="61" spans="1:8" ht="17.100000000000001" customHeight="1" x14ac:dyDescent="0.2">
      <c r="A61" s="3">
        <v>55</v>
      </c>
      <c r="B61" s="4" t="s">
        <v>11</v>
      </c>
      <c r="C61" s="4" t="s">
        <v>12</v>
      </c>
      <c r="D61" s="4" t="s">
        <v>13</v>
      </c>
      <c r="E61" s="5">
        <v>3228</v>
      </c>
      <c r="F61" s="6">
        <v>53.407260000000001</v>
      </c>
      <c r="G61" s="7">
        <v>9.6318549999999999E-3</v>
      </c>
      <c r="H61" s="6"/>
    </row>
    <row r="62" spans="1:8" ht="29.1" customHeight="1" x14ac:dyDescent="0.2">
      <c r="A62" s="3">
        <v>56</v>
      </c>
      <c r="B62" s="4" t="s">
        <v>83</v>
      </c>
      <c r="C62" s="4" t="s">
        <v>84</v>
      </c>
      <c r="D62" s="4" t="s">
        <v>85</v>
      </c>
      <c r="E62" s="5">
        <v>7855</v>
      </c>
      <c r="F62" s="6">
        <v>53.382579999999997</v>
      </c>
      <c r="G62" s="7">
        <v>9.6274040000000009E-3</v>
      </c>
      <c r="H62" s="6"/>
    </row>
    <row r="63" spans="1:8" ht="17.100000000000001" customHeight="1" x14ac:dyDescent="0.2">
      <c r="A63" s="3">
        <v>57</v>
      </c>
      <c r="B63" s="4" t="s">
        <v>723</v>
      </c>
      <c r="C63" s="4" t="s">
        <v>724</v>
      </c>
      <c r="D63" s="4" t="s">
        <v>47</v>
      </c>
      <c r="E63" s="5">
        <v>2903</v>
      </c>
      <c r="F63" s="6">
        <v>53.373106499999999</v>
      </c>
      <c r="G63" s="7">
        <v>9.6256959999999996E-3</v>
      </c>
      <c r="H63" s="6"/>
    </row>
    <row r="64" spans="1:8" ht="17.100000000000001" customHeight="1" x14ac:dyDescent="0.2">
      <c r="A64" s="3">
        <v>58</v>
      </c>
      <c r="B64" s="4" t="s">
        <v>725</v>
      </c>
      <c r="C64" s="4" t="s">
        <v>726</v>
      </c>
      <c r="D64" s="4" t="s">
        <v>92</v>
      </c>
      <c r="E64" s="5">
        <v>15410</v>
      </c>
      <c r="F64" s="6">
        <v>53.249254999999998</v>
      </c>
      <c r="G64" s="7">
        <v>9.6033590000000005E-3</v>
      </c>
      <c r="H64" s="6"/>
    </row>
    <row r="65" spans="1:8" ht="29.1" customHeight="1" x14ac:dyDescent="0.2">
      <c r="A65" s="3">
        <v>59</v>
      </c>
      <c r="B65" s="4" t="s">
        <v>310</v>
      </c>
      <c r="C65" s="4" t="s">
        <v>311</v>
      </c>
      <c r="D65" s="4" t="s">
        <v>219</v>
      </c>
      <c r="E65" s="5">
        <v>2158</v>
      </c>
      <c r="F65" s="6">
        <v>53.174199000000002</v>
      </c>
      <c r="G65" s="7">
        <v>9.5898230000000008E-3</v>
      </c>
      <c r="H65" s="6"/>
    </row>
    <row r="66" spans="1:8" ht="17.100000000000001" customHeight="1" x14ac:dyDescent="0.2">
      <c r="A66" s="3">
        <v>60</v>
      </c>
      <c r="B66" s="4" t="s">
        <v>634</v>
      </c>
      <c r="C66" s="4" t="s">
        <v>635</v>
      </c>
      <c r="D66" s="4" t="s">
        <v>80</v>
      </c>
      <c r="E66" s="5">
        <v>1859</v>
      </c>
      <c r="F66" s="6">
        <v>53.1608935</v>
      </c>
      <c r="G66" s="7">
        <v>9.5874240000000006E-3</v>
      </c>
      <c r="H66" s="6"/>
    </row>
    <row r="67" spans="1:8" ht="17.100000000000001" customHeight="1" x14ac:dyDescent="0.2">
      <c r="A67" s="3">
        <v>61</v>
      </c>
      <c r="B67" s="4" t="s">
        <v>727</v>
      </c>
      <c r="C67" s="4" t="s">
        <v>728</v>
      </c>
      <c r="D67" s="4" t="s">
        <v>302</v>
      </c>
      <c r="E67" s="5">
        <v>1275</v>
      </c>
      <c r="F67" s="6">
        <v>53.0961</v>
      </c>
      <c r="G67" s="7">
        <v>9.5757380000000003E-3</v>
      </c>
      <c r="H67" s="6"/>
    </row>
    <row r="68" spans="1:8" ht="29.1" customHeight="1" x14ac:dyDescent="0.2">
      <c r="A68" s="3">
        <v>62</v>
      </c>
      <c r="B68" s="4" t="s">
        <v>465</v>
      </c>
      <c r="C68" s="4" t="s">
        <v>466</v>
      </c>
      <c r="D68" s="4" t="s">
        <v>25</v>
      </c>
      <c r="E68" s="5">
        <v>240</v>
      </c>
      <c r="F68" s="6">
        <v>53.079120000000003</v>
      </c>
      <c r="G68" s="7">
        <v>9.5726760000000004E-3</v>
      </c>
      <c r="H68" s="6"/>
    </row>
    <row r="69" spans="1:8" ht="29.1" customHeight="1" x14ac:dyDescent="0.2">
      <c r="A69" s="3">
        <v>63</v>
      </c>
      <c r="B69" s="4" t="s">
        <v>729</v>
      </c>
      <c r="C69" s="4" t="s">
        <v>730</v>
      </c>
      <c r="D69" s="4" t="s">
        <v>369</v>
      </c>
      <c r="E69" s="5">
        <v>384</v>
      </c>
      <c r="F69" s="6">
        <v>53.064768000000001</v>
      </c>
      <c r="G69" s="7">
        <v>9.5700879999999992E-3</v>
      </c>
      <c r="H69" s="6"/>
    </row>
    <row r="70" spans="1:8" ht="17.100000000000001" customHeight="1" x14ac:dyDescent="0.2">
      <c r="A70" s="3">
        <v>64</v>
      </c>
      <c r="B70" s="4" t="s">
        <v>50</v>
      </c>
      <c r="C70" s="4" t="s">
        <v>51</v>
      </c>
      <c r="D70" s="4" t="s">
        <v>19</v>
      </c>
      <c r="E70" s="5">
        <v>11322</v>
      </c>
      <c r="F70" s="6">
        <v>52.998282000000003</v>
      </c>
      <c r="G70" s="7">
        <v>9.5580969999999998E-3</v>
      </c>
      <c r="H70" s="6"/>
    </row>
    <row r="71" spans="1:8" ht="29.1" customHeight="1" x14ac:dyDescent="0.2">
      <c r="A71" s="3">
        <v>65</v>
      </c>
      <c r="B71" s="4" t="s">
        <v>731</v>
      </c>
      <c r="C71" s="4" t="s">
        <v>732</v>
      </c>
      <c r="D71" s="4" t="s">
        <v>219</v>
      </c>
      <c r="E71" s="5">
        <v>2349</v>
      </c>
      <c r="F71" s="6">
        <v>52.744446000000003</v>
      </c>
      <c r="G71" s="7">
        <v>9.5123180000000005E-3</v>
      </c>
      <c r="H71" s="6"/>
    </row>
    <row r="72" spans="1:8" ht="17.100000000000001" customHeight="1" x14ac:dyDescent="0.2">
      <c r="A72" s="3">
        <v>66</v>
      </c>
      <c r="B72" s="4" t="s">
        <v>733</v>
      </c>
      <c r="C72" s="4" t="s">
        <v>734</v>
      </c>
      <c r="D72" s="4" t="s">
        <v>302</v>
      </c>
      <c r="E72" s="5">
        <v>70632</v>
      </c>
      <c r="F72" s="6">
        <v>52.726787999999999</v>
      </c>
      <c r="G72" s="7">
        <v>9.5091340000000007E-3</v>
      </c>
      <c r="H72" s="6"/>
    </row>
    <row r="73" spans="1:8" ht="17.100000000000001" customHeight="1" x14ac:dyDescent="0.2">
      <c r="A73" s="3">
        <v>67</v>
      </c>
      <c r="B73" s="4" t="s">
        <v>467</v>
      </c>
      <c r="C73" s="4" t="s">
        <v>468</v>
      </c>
      <c r="D73" s="4" t="s">
        <v>302</v>
      </c>
      <c r="E73" s="5">
        <v>3516</v>
      </c>
      <c r="F73" s="6">
        <v>52.548378</v>
      </c>
      <c r="G73" s="7">
        <v>9.4769580000000006E-3</v>
      </c>
      <c r="H73" s="6"/>
    </row>
    <row r="74" spans="1:8" ht="17.100000000000001" customHeight="1" x14ac:dyDescent="0.2">
      <c r="A74" s="3">
        <v>68</v>
      </c>
      <c r="B74" s="4" t="s">
        <v>319</v>
      </c>
      <c r="C74" s="4" t="s">
        <v>320</v>
      </c>
      <c r="D74" s="4" t="s">
        <v>19</v>
      </c>
      <c r="E74" s="5">
        <v>7645</v>
      </c>
      <c r="F74" s="6">
        <v>52.383540000000004</v>
      </c>
      <c r="G74" s="7">
        <v>9.4472299999999992E-3</v>
      </c>
      <c r="H74" s="6"/>
    </row>
    <row r="75" spans="1:8" ht="17.100000000000001" customHeight="1" x14ac:dyDescent="0.2">
      <c r="A75" s="3">
        <v>69</v>
      </c>
      <c r="B75" s="4" t="s">
        <v>630</v>
      </c>
      <c r="C75" s="4" t="s">
        <v>631</v>
      </c>
      <c r="D75" s="4" t="s">
        <v>318</v>
      </c>
      <c r="E75" s="5">
        <v>6443</v>
      </c>
      <c r="F75" s="6">
        <v>52.149642</v>
      </c>
      <c r="G75" s="7">
        <v>9.4050469999999997E-3</v>
      </c>
      <c r="H75" s="6"/>
    </row>
    <row r="76" spans="1:8" ht="17.100000000000001" customHeight="1" x14ac:dyDescent="0.2">
      <c r="A76" s="3">
        <v>70</v>
      </c>
      <c r="B76" s="4" t="s">
        <v>735</v>
      </c>
      <c r="C76" s="4" t="s">
        <v>736</v>
      </c>
      <c r="D76" s="4" t="s">
        <v>85</v>
      </c>
      <c r="E76" s="5">
        <v>6598</v>
      </c>
      <c r="F76" s="6">
        <v>51.464399999999998</v>
      </c>
      <c r="G76" s="7">
        <v>9.2814660000000004E-3</v>
      </c>
      <c r="H76" s="6"/>
    </row>
    <row r="77" spans="1:8" ht="17.100000000000001" customHeight="1" x14ac:dyDescent="0.2">
      <c r="A77" s="3">
        <v>71</v>
      </c>
      <c r="B77" s="4" t="s">
        <v>410</v>
      </c>
      <c r="C77" s="4" t="s">
        <v>411</v>
      </c>
      <c r="D77" s="4" t="s">
        <v>994</v>
      </c>
      <c r="E77" s="5">
        <v>1514</v>
      </c>
      <c r="F77" s="6">
        <v>50.936259</v>
      </c>
      <c r="G77" s="7">
        <v>9.186217E-3</v>
      </c>
      <c r="H77" s="6"/>
    </row>
    <row r="78" spans="1:8" ht="17.100000000000001" customHeight="1" x14ac:dyDescent="0.2">
      <c r="A78" s="3">
        <v>72</v>
      </c>
      <c r="B78" s="4" t="s">
        <v>737</v>
      </c>
      <c r="C78" s="4" t="s">
        <v>738</v>
      </c>
      <c r="D78" s="4" t="s">
        <v>80</v>
      </c>
      <c r="E78" s="5">
        <v>8273</v>
      </c>
      <c r="F78" s="6">
        <v>50.870677000000001</v>
      </c>
      <c r="G78" s="7">
        <v>9.1743889999999998E-3</v>
      </c>
      <c r="H78" s="6"/>
    </row>
    <row r="79" spans="1:8" ht="17.100000000000001" customHeight="1" x14ac:dyDescent="0.2">
      <c r="A79" s="3">
        <v>73</v>
      </c>
      <c r="B79" s="4" t="s">
        <v>58</v>
      </c>
      <c r="C79" s="4" t="s">
        <v>59</v>
      </c>
      <c r="D79" s="4" t="s">
        <v>16</v>
      </c>
      <c r="E79" s="5">
        <v>15549</v>
      </c>
      <c r="F79" s="6">
        <v>50.720838000000001</v>
      </c>
      <c r="G79" s="7">
        <v>9.1473660000000005E-3</v>
      </c>
      <c r="H79" s="6"/>
    </row>
    <row r="80" spans="1:8" ht="17.100000000000001" customHeight="1" x14ac:dyDescent="0.2">
      <c r="A80" s="3">
        <v>74</v>
      </c>
      <c r="B80" s="4" t="s">
        <v>739</v>
      </c>
      <c r="C80" s="4" t="s">
        <v>740</v>
      </c>
      <c r="D80" s="4" t="s">
        <v>181</v>
      </c>
      <c r="E80" s="5">
        <v>2657</v>
      </c>
      <c r="F80" s="6">
        <v>50.397976</v>
      </c>
      <c r="G80" s="7">
        <v>9.0891389999999996E-3</v>
      </c>
      <c r="H80" s="6"/>
    </row>
    <row r="81" spans="1:8" ht="17.100000000000001" customHeight="1" x14ac:dyDescent="0.2">
      <c r="A81" s="3">
        <v>75</v>
      </c>
      <c r="B81" s="4" t="s">
        <v>324</v>
      </c>
      <c r="C81" s="4" t="s">
        <v>325</v>
      </c>
      <c r="D81" s="4" t="s">
        <v>19</v>
      </c>
      <c r="E81" s="5">
        <v>50143</v>
      </c>
      <c r="F81" s="6">
        <v>50.2683575</v>
      </c>
      <c r="G81" s="7">
        <v>9.0657629999999993E-3</v>
      </c>
      <c r="H81" s="6"/>
    </row>
    <row r="82" spans="1:8" ht="17.100000000000001" customHeight="1" x14ac:dyDescent="0.2">
      <c r="A82" s="3">
        <v>76</v>
      </c>
      <c r="B82" s="4" t="s">
        <v>419</v>
      </c>
      <c r="C82" s="4" t="s">
        <v>420</v>
      </c>
      <c r="D82" s="4" t="s">
        <v>994</v>
      </c>
      <c r="E82" s="5">
        <v>4808</v>
      </c>
      <c r="F82" s="6">
        <v>50.039259999999999</v>
      </c>
      <c r="G82" s="7">
        <v>9.0244450000000007E-3</v>
      </c>
      <c r="H82" s="6"/>
    </row>
    <row r="83" spans="1:8" ht="29.1" customHeight="1" x14ac:dyDescent="0.2">
      <c r="A83" s="3">
        <v>77</v>
      </c>
      <c r="B83" s="4" t="s">
        <v>350</v>
      </c>
      <c r="C83" s="4" t="s">
        <v>351</v>
      </c>
      <c r="D83" s="4" t="s">
        <v>198</v>
      </c>
      <c r="E83" s="5">
        <v>1743</v>
      </c>
      <c r="F83" s="6">
        <v>49.866358499999997</v>
      </c>
      <c r="G83" s="7">
        <v>8.9932629999999996E-3</v>
      </c>
      <c r="H83" s="6"/>
    </row>
    <row r="84" spans="1:8" ht="17.100000000000001" customHeight="1" x14ac:dyDescent="0.2">
      <c r="A84" s="3">
        <v>78</v>
      </c>
      <c r="B84" s="4" t="s">
        <v>741</v>
      </c>
      <c r="C84" s="4" t="s">
        <v>742</v>
      </c>
      <c r="D84" s="4" t="s">
        <v>85</v>
      </c>
      <c r="E84" s="5">
        <v>4359</v>
      </c>
      <c r="F84" s="6">
        <v>49.827728999999998</v>
      </c>
      <c r="G84" s="7">
        <v>8.9862959999999995E-3</v>
      </c>
      <c r="H84" s="6"/>
    </row>
    <row r="85" spans="1:8" ht="29.1" customHeight="1" x14ac:dyDescent="0.2">
      <c r="A85" s="3">
        <v>79</v>
      </c>
      <c r="B85" s="4" t="s">
        <v>743</v>
      </c>
      <c r="C85" s="4" t="s">
        <v>744</v>
      </c>
      <c r="D85" s="4" t="s">
        <v>25</v>
      </c>
      <c r="E85" s="5">
        <v>3478</v>
      </c>
      <c r="F85" s="6">
        <v>49.686708000000003</v>
      </c>
      <c r="G85" s="7">
        <v>8.9608640000000007E-3</v>
      </c>
      <c r="H85" s="6"/>
    </row>
    <row r="86" spans="1:8" ht="17.100000000000001" customHeight="1" x14ac:dyDescent="0.2">
      <c r="A86" s="3">
        <v>80</v>
      </c>
      <c r="B86" s="4" t="s">
        <v>473</v>
      </c>
      <c r="C86" s="4" t="s">
        <v>474</v>
      </c>
      <c r="D86" s="4" t="s">
        <v>80</v>
      </c>
      <c r="E86" s="5">
        <v>2232</v>
      </c>
      <c r="F86" s="6">
        <v>49.461120000000001</v>
      </c>
      <c r="G86" s="7">
        <v>8.9201790000000003E-3</v>
      </c>
      <c r="H86" s="6"/>
    </row>
    <row r="87" spans="1:8" ht="17.100000000000001" customHeight="1" x14ac:dyDescent="0.2">
      <c r="A87" s="3">
        <v>81</v>
      </c>
      <c r="B87" s="4" t="s">
        <v>745</v>
      </c>
      <c r="C87" s="4" t="s">
        <v>746</v>
      </c>
      <c r="D87" s="4" t="s">
        <v>19</v>
      </c>
      <c r="E87" s="5">
        <v>156926</v>
      </c>
      <c r="F87" s="6">
        <v>49.196300999999998</v>
      </c>
      <c r="G87" s="7">
        <v>8.8724200000000007E-3</v>
      </c>
      <c r="H87" s="6"/>
    </row>
    <row r="88" spans="1:8" ht="17.100000000000001" customHeight="1" x14ac:dyDescent="0.2">
      <c r="A88" s="3">
        <v>82</v>
      </c>
      <c r="B88" s="4" t="s">
        <v>447</v>
      </c>
      <c r="C88" s="4" t="s">
        <v>448</v>
      </c>
      <c r="D88" s="4" t="s">
        <v>85</v>
      </c>
      <c r="E88" s="5">
        <v>806</v>
      </c>
      <c r="F88" s="6">
        <v>49.022129</v>
      </c>
      <c r="G88" s="7">
        <v>8.8410090000000004E-3</v>
      </c>
      <c r="H88" s="6"/>
    </row>
    <row r="89" spans="1:8" ht="17.100000000000001" customHeight="1" x14ac:dyDescent="0.2">
      <c r="A89" s="3">
        <v>83</v>
      </c>
      <c r="B89" s="4" t="s">
        <v>66</v>
      </c>
      <c r="C89" s="4" t="s">
        <v>67</v>
      </c>
      <c r="D89" s="4" t="s">
        <v>68</v>
      </c>
      <c r="E89" s="5">
        <v>32115</v>
      </c>
      <c r="F89" s="6">
        <v>48.5739375</v>
      </c>
      <c r="G89" s="7">
        <v>8.7601780000000004E-3</v>
      </c>
      <c r="H89" s="6"/>
    </row>
    <row r="90" spans="1:8" ht="17.100000000000001" customHeight="1" x14ac:dyDescent="0.2">
      <c r="A90" s="3">
        <v>84</v>
      </c>
      <c r="B90" s="4" t="s">
        <v>747</v>
      </c>
      <c r="C90" s="4" t="s">
        <v>748</v>
      </c>
      <c r="D90" s="4" t="s">
        <v>85</v>
      </c>
      <c r="E90" s="5">
        <v>2557</v>
      </c>
      <c r="F90" s="6">
        <v>48.453871499999998</v>
      </c>
      <c r="G90" s="7">
        <v>8.7385250000000005E-3</v>
      </c>
      <c r="H90" s="6"/>
    </row>
    <row r="91" spans="1:8" ht="17.100000000000001" customHeight="1" x14ac:dyDescent="0.2">
      <c r="A91" s="3">
        <v>85</v>
      </c>
      <c r="B91" s="4" t="s">
        <v>332</v>
      </c>
      <c r="C91" s="4" t="s">
        <v>333</v>
      </c>
      <c r="D91" s="4" t="s">
        <v>239</v>
      </c>
      <c r="E91" s="5">
        <v>1202</v>
      </c>
      <c r="F91" s="6">
        <v>47.831186000000002</v>
      </c>
      <c r="G91" s="7">
        <v>8.6262249999999995E-3</v>
      </c>
      <c r="H91" s="6"/>
    </row>
    <row r="92" spans="1:8" ht="17.100000000000001" customHeight="1" x14ac:dyDescent="0.2">
      <c r="A92" s="3">
        <v>86</v>
      </c>
      <c r="B92" s="4" t="s">
        <v>749</v>
      </c>
      <c r="C92" s="4" t="s">
        <v>750</v>
      </c>
      <c r="D92" s="4" t="s">
        <v>31</v>
      </c>
      <c r="E92" s="5">
        <v>2298</v>
      </c>
      <c r="F92" s="6">
        <v>47.2239</v>
      </c>
      <c r="G92" s="7">
        <v>8.5167030000000005E-3</v>
      </c>
      <c r="H92" s="6"/>
    </row>
    <row r="93" spans="1:8" ht="29.1" customHeight="1" x14ac:dyDescent="0.2">
      <c r="A93" s="3">
        <v>87</v>
      </c>
      <c r="B93" s="4" t="s">
        <v>636</v>
      </c>
      <c r="C93" s="4" t="s">
        <v>637</v>
      </c>
      <c r="D93" s="4" t="s">
        <v>198</v>
      </c>
      <c r="E93" s="5">
        <v>7421</v>
      </c>
      <c r="F93" s="6">
        <v>45.906306000000001</v>
      </c>
      <c r="G93" s="7">
        <v>8.2790780000000005E-3</v>
      </c>
      <c r="H93" s="6"/>
    </row>
    <row r="94" spans="1:8" ht="29.1" customHeight="1" x14ac:dyDescent="0.2">
      <c r="A94" s="3">
        <v>88</v>
      </c>
      <c r="B94" s="4" t="s">
        <v>449</v>
      </c>
      <c r="C94" s="4" t="s">
        <v>450</v>
      </c>
      <c r="D94" s="4" t="s">
        <v>198</v>
      </c>
      <c r="E94" s="5">
        <v>1277</v>
      </c>
      <c r="F94" s="6">
        <v>45.860900999999998</v>
      </c>
      <c r="G94" s="7">
        <v>8.2708899999999995E-3</v>
      </c>
      <c r="H94" s="6"/>
    </row>
    <row r="95" spans="1:8" ht="17.100000000000001" customHeight="1" x14ac:dyDescent="0.2">
      <c r="A95" s="3">
        <v>89</v>
      </c>
      <c r="B95" s="4" t="s">
        <v>406</v>
      </c>
      <c r="C95" s="4" t="s">
        <v>407</v>
      </c>
      <c r="D95" s="4" t="s">
        <v>994</v>
      </c>
      <c r="E95" s="5">
        <v>2989</v>
      </c>
      <c r="F95" s="6">
        <v>44.942604000000003</v>
      </c>
      <c r="G95" s="7">
        <v>8.1052769999999993E-3</v>
      </c>
      <c r="H95" s="6"/>
    </row>
    <row r="96" spans="1:8" ht="17.100000000000001" customHeight="1" x14ac:dyDescent="0.2">
      <c r="A96" s="3">
        <v>90</v>
      </c>
      <c r="B96" s="4" t="s">
        <v>421</v>
      </c>
      <c r="C96" s="4" t="s">
        <v>422</v>
      </c>
      <c r="D96" s="4" t="s">
        <v>994</v>
      </c>
      <c r="E96" s="5">
        <v>9359</v>
      </c>
      <c r="F96" s="6">
        <v>44.740699499999998</v>
      </c>
      <c r="G96" s="7">
        <v>8.0688640000000002E-3</v>
      </c>
      <c r="H96" s="6"/>
    </row>
    <row r="97" spans="1:8" ht="17.100000000000001" customHeight="1" x14ac:dyDescent="0.2">
      <c r="A97" s="3">
        <v>91</v>
      </c>
      <c r="B97" s="4" t="s">
        <v>751</v>
      </c>
      <c r="C97" s="4" t="s">
        <v>752</v>
      </c>
      <c r="D97" s="4" t="s">
        <v>753</v>
      </c>
      <c r="E97" s="5">
        <v>35015</v>
      </c>
      <c r="F97" s="6">
        <v>44.153914999999998</v>
      </c>
      <c r="G97" s="7">
        <v>7.9630389999999999E-3</v>
      </c>
      <c r="H97" s="6"/>
    </row>
    <row r="98" spans="1:8" ht="17.100000000000001" customHeight="1" x14ac:dyDescent="0.2">
      <c r="A98" s="3">
        <v>92</v>
      </c>
      <c r="B98" s="4" t="s">
        <v>380</v>
      </c>
      <c r="C98" s="4" t="s">
        <v>381</v>
      </c>
      <c r="D98" s="4" t="s">
        <v>85</v>
      </c>
      <c r="E98" s="5">
        <v>341</v>
      </c>
      <c r="F98" s="6">
        <v>44.104939999999999</v>
      </c>
      <c r="G98" s="7">
        <v>7.9542069999999996E-3</v>
      </c>
      <c r="H98" s="6"/>
    </row>
    <row r="99" spans="1:8" ht="17.100000000000001" customHeight="1" x14ac:dyDescent="0.2">
      <c r="A99" s="3">
        <v>93</v>
      </c>
      <c r="B99" s="4" t="s">
        <v>433</v>
      </c>
      <c r="C99" s="4" t="s">
        <v>434</v>
      </c>
      <c r="D99" s="4" t="s">
        <v>106</v>
      </c>
      <c r="E99" s="5">
        <v>4139</v>
      </c>
      <c r="F99" s="6">
        <v>43.693353500000001</v>
      </c>
      <c r="G99" s="7">
        <v>7.8799779999999993E-3</v>
      </c>
      <c r="H99" s="6"/>
    </row>
    <row r="100" spans="1:8" ht="17.100000000000001" customHeight="1" x14ac:dyDescent="0.2">
      <c r="A100" s="3">
        <v>94</v>
      </c>
      <c r="B100" s="4" t="s">
        <v>754</v>
      </c>
      <c r="C100" s="4" t="s">
        <v>755</v>
      </c>
      <c r="D100" s="4" t="s">
        <v>756</v>
      </c>
      <c r="E100" s="5">
        <v>13552</v>
      </c>
      <c r="F100" s="6">
        <v>43.488368000000001</v>
      </c>
      <c r="G100" s="7">
        <v>7.8430099999999992E-3</v>
      </c>
      <c r="H100" s="6"/>
    </row>
    <row r="101" spans="1:8" ht="17.100000000000001" customHeight="1" x14ac:dyDescent="0.2">
      <c r="A101" s="3">
        <v>95</v>
      </c>
      <c r="B101" s="4" t="s">
        <v>427</v>
      </c>
      <c r="C101" s="4" t="s">
        <v>428</v>
      </c>
      <c r="D101" s="4" t="s">
        <v>994</v>
      </c>
      <c r="E101" s="5">
        <v>3683</v>
      </c>
      <c r="F101" s="6">
        <v>43.468607499999997</v>
      </c>
      <c r="G101" s="7">
        <v>7.8394459999999999E-3</v>
      </c>
      <c r="H101" s="6"/>
    </row>
    <row r="102" spans="1:8" ht="17.100000000000001" customHeight="1" x14ac:dyDescent="0.2">
      <c r="A102" s="3">
        <v>96</v>
      </c>
      <c r="B102" s="4" t="s">
        <v>104</v>
      </c>
      <c r="C102" s="4" t="s">
        <v>105</v>
      </c>
      <c r="D102" s="4" t="s">
        <v>106</v>
      </c>
      <c r="E102" s="5">
        <v>55700</v>
      </c>
      <c r="F102" s="6">
        <v>42.30415</v>
      </c>
      <c r="G102" s="7">
        <v>7.629439E-3</v>
      </c>
      <c r="H102" s="6"/>
    </row>
    <row r="103" spans="1:8" ht="17.100000000000001" customHeight="1" x14ac:dyDescent="0.2">
      <c r="A103" s="3">
        <v>97</v>
      </c>
      <c r="B103" s="4" t="s">
        <v>757</v>
      </c>
      <c r="C103" s="4" t="s">
        <v>758</v>
      </c>
      <c r="D103" s="4" t="s">
        <v>106</v>
      </c>
      <c r="E103" s="5">
        <v>7631</v>
      </c>
      <c r="F103" s="6">
        <v>42.065887500000002</v>
      </c>
      <c r="G103" s="7">
        <v>7.5864690000000002E-3</v>
      </c>
      <c r="H103" s="6"/>
    </row>
    <row r="104" spans="1:8" ht="17.100000000000001" customHeight="1" x14ac:dyDescent="0.2">
      <c r="A104" s="3">
        <v>98</v>
      </c>
      <c r="B104" s="4" t="s">
        <v>330</v>
      </c>
      <c r="C104" s="4" t="s">
        <v>331</v>
      </c>
      <c r="D104" s="4" t="s">
        <v>994</v>
      </c>
      <c r="E104" s="5">
        <v>1328</v>
      </c>
      <c r="F104" s="6">
        <v>40.472791999999998</v>
      </c>
      <c r="G104" s="7">
        <v>7.2991590000000004E-3</v>
      </c>
      <c r="H104" s="6"/>
    </row>
    <row r="105" spans="1:8" ht="17.100000000000001" customHeight="1" x14ac:dyDescent="0.2">
      <c r="A105" s="3">
        <v>99</v>
      </c>
      <c r="B105" s="4" t="s">
        <v>626</v>
      </c>
      <c r="C105" s="4" t="s">
        <v>627</v>
      </c>
      <c r="D105" s="4" t="s">
        <v>994</v>
      </c>
      <c r="E105" s="5">
        <v>921</v>
      </c>
      <c r="F105" s="6">
        <v>39.176577000000002</v>
      </c>
      <c r="G105" s="7">
        <v>7.0653900000000004E-3</v>
      </c>
      <c r="H105" s="6"/>
    </row>
    <row r="106" spans="1:8" ht="17.100000000000001" customHeight="1" x14ac:dyDescent="0.2">
      <c r="A106" s="3">
        <v>100</v>
      </c>
      <c r="B106" s="4" t="s">
        <v>435</v>
      </c>
      <c r="C106" s="4" t="s">
        <v>436</v>
      </c>
      <c r="D106" s="4" t="s">
        <v>437</v>
      </c>
      <c r="E106" s="5">
        <v>8848</v>
      </c>
      <c r="F106" s="6">
        <v>37.387224000000003</v>
      </c>
      <c r="G106" s="7">
        <v>6.742685E-3</v>
      </c>
      <c r="H106" s="6"/>
    </row>
    <row r="107" spans="1:8" ht="14.1" customHeight="1" x14ac:dyDescent="0.2">
      <c r="A107" s="1"/>
      <c r="B107" s="1"/>
      <c r="C107" s="2" t="s">
        <v>119</v>
      </c>
      <c r="D107" s="1"/>
      <c r="E107" s="1" t="s">
        <v>120</v>
      </c>
      <c r="F107" s="9">
        <v>5450.0065130000003</v>
      </c>
      <c r="G107" s="10">
        <v>0.98289395999999996</v>
      </c>
      <c r="H107" s="6"/>
    </row>
    <row r="108" spans="1:8" ht="14.1" customHeight="1" x14ac:dyDescent="0.2">
      <c r="A108" s="1"/>
      <c r="B108" s="1"/>
      <c r="C108" s="11"/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121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 t="s">
        <v>120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122</v>
      </c>
      <c r="D112" s="1"/>
      <c r="E112" s="1"/>
      <c r="F112" s="1"/>
      <c r="G112" s="1"/>
      <c r="H112" s="6"/>
    </row>
    <row r="113" spans="1:8" ht="17.100000000000001" customHeight="1" x14ac:dyDescent="0.2">
      <c r="A113" s="3">
        <v>1</v>
      </c>
      <c r="B113" s="4" t="s">
        <v>759</v>
      </c>
      <c r="C113" s="108" t="s">
        <v>1058</v>
      </c>
      <c r="D113" s="4"/>
      <c r="E113" s="5">
        <v>26586</v>
      </c>
      <c r="F113" s="6">
        <v>2.6600000000000003E-7</v>
      </c>
      <c r="G113" s="8" t="s">
        <v>118</v>
      </c>
      <c r="H113" s="6"/>
    </row>
    <row r="114" spans="1:8" ht="14.1" customHeight="1" x14ac:dyDescent="0.2">
      <c r="A114" s="1"/>
      <c r="B114" s="1"/>
      <c r="C114" s="2" t="s">
        <v>119</v>
      </c>
      <c r="D114" s="1"/>
      <c r="E114" s="1" t="s">
        <v>120</v>
      </c>
      <c r="F114" s="9">
        <v>2.6600000000000003E-7</v>
      </c>
      <c r="G114" s="10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2" t="s">
        <v>123</v>
      </c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8" ht="14.1" customHeight="1" x14ac:dyDescent="0.2">
      <c r="A118" s="1"/>
      <c r="B118" s="1"/>
      <c r="C118" s="11"/>
      <c r="D118" s="1"/>
      <c r="E118" s="1"/>
      <c r="F118" s="12"/>
      <c r="G118" s="12"/>
      <c r="H118" s="6"/>
    </row>
    <row r="119" spans="1:8" ht="14.1" customHeight="1" x14ac:dyDescent="0.2">
      <c r="A119" s="1"/>
      <c r="B119" s="1"/>
      <c r="C119" s="2" t="s">
        <v>124</v>
      </c>
      <c r="D119" s="1"/>
      <c r="E119" s="1"/>
      <c r="F119" s="12"/>
      <c r="G119" s="12"/>
      <c r="H119" s="6"/>
    </row>
    <row r="120" spans="1:8" ht="14.1" customHeight="1" x14ac:dyDescent="0.2">
      <c r="A120" s="1"/>
      <c r="B120" s="1"/>
      <c r="C120" s="2" t="s">
        <v>119</v>
      </c>
      <c r="D120" s="1"/>
      <c r="E120" s="1" t="s">
        <v>120</v>
      </c>
      <c r="F120" s="13">
        <v>0</v>
      </c>
      <c r="G120" s="14">
        <v>0</v>
      </c>
      <c r="H120" s="6"/>
    </row>
    <row r="121" spans="1:8" ht="14.1" customHeight="1" x14ac:dyDescent="0.2">
      <c r="A121" s="1"/>
      <c r="B121" s="1"/>
      <c r="C121" s="11"/>
      <c r="D121" s="1"/>
      <c r="E121" s="1"/>
      <c r="F121" s="12"/>
      <c r="G121" s="12"/>
      <c r="H121" s="6"/>
    </row>
    <row r="122" spans="1:8" ht="14.1" customHeight="1" x14ac:dyDescent="0.2">
      <c r="A122" s="1"/>
      <c r="B122" s="1"/>
      <c r="C122" s="2" t="s">
        <v>125</v>
      </c>
      <c r="D122" s="1"/>
      <c r="E122" s="1"/>
      <c r="F122" s="12"/>
      <c r="G122" s="12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8" customHeight="1" x14ac:dyDescent="0.2">
      <c r="A125" s="1"/>
      <c r="B125" s="1"/>
      <c r="C125" s="2" t="s">
        <v>126</v>
      </c>
      <c r="D125" s="1"/>
      <c r="E125" s="1"/>
      <c r="F125" s="9">
        <v>5450.0065132660002</v>
      </c>
      <c r="G125" s="10">
        <v>0.98289395999999996</v>
      </c>
      <c r="H125" s="6"/>
    </row>
    <row r="126" spans="1:8" ht="14.1" customHeight="1" x14ac:dyDescent="0.2">
      <c r="A126" s="1"/>
      <c r="B126" s="1"/>
      <c r="C126" s="11"/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127</v>
      </c>
      <c r="D127" s="1"/>
      <c r="E127" s="1"/>
      <c r="F127" s="12"/>
      <c r="G127" s="12"/>
      <c r="H127" s="6"/>
    </row>
    <row r="128" spans="1:8" ht="24" customHeight="1" x14ac:dyDescent="0.2">
      <c r="A128" s="1"/>
      <c r="B128" s="1"/>
      <c r="C128" s="2" t="s">
        <v>10</v>
      </c>
      <c r="D128" s="1"/>
      <c r="E128" s="1"/>
      <c r="F128" s="12"/>
      <c r="G128" s="12"/>
      <c r="H128" s="6"/>
    </row>
    <row r="129" spans="1:8" ht="29.1" customHeight="1" x14ac:dyDescent="0.2">
      <c r="A129" s="3">
        <v>1</v>
      </c>
      <c r="B129" s="4" t="s">
        <v>621</v>
      </c>
      <c r="C129" s="4" t="s">
        <v>622</v>
      </c>
      <c r="D129" s="4" t="s">
        <v>623</v>
      </c>
      <c r="E129" s="5">
        <v>828</v>
      </c>
      <c r="F129" s="6">
        <v>0.23405904</v>
      </c>
      <c r="G129" s="8" t="s">
        <v>118</v>
      </c>
      <c r="H129" s="6">
        <v>6.89</v>
      </c>
    </row>
    <row r="130" spans="1:8" ht="14.1" customHeight="1" x14ac:dyDescent="0.2">
      <c r="A130" s="1"/>
      <c r="B130" s="1"/>
      <c r="C130" s="2" t="s">
        <v>119</v>
      </c>
      <c r="D130" s="1"/>
      <c r="E130" s="1" t="s">
        <v>120</v>
      </c>
      <c r="F130" s="9">
        <v>0.23405904</v>
      </c>
      <c r="G130" s="10">
        <v>4.2212000000000002E-5</v>
      </c>
      <c r="H130" s="6"/>
    </row>
    <row r="131" spans="1:8" ht="14.1" customHeight="1" x14ac:dyDescent="0.2">
      <c r="A131" s="1"/>
      <c r="B131" s="1"/>
      <c r="C131" s="11"/>
      <c r="D131" s="1"/>
      <c r="E131" s="1"/>
      <c r="F131" s="12"/>
      <c r="G131" s="12"/>
      <c r="H131" s="6"/>
    </row>
    <row r="132" spans="1:8" ht="14.1" customHeight="1" x14ac:dyDescent="0.2">
      <c r="A132" s="1"/>
      <c r="B132" s="1"/>
      <c r="C132" s="2" t="s">
        <v>128</v>
      </c>
      <c r="D132" s="1"/>
      <c r="E132" s="1"/>
      <c r="F132" s="1"/>
      <c r="G132" s="1"/>
      <c r="H132" s="6"/>
    </row>
    <row r="133" spans="1:8" ht="14.1" customHeight="1" x14ac:dyDescent="0.2">
      <c r="A133" s="1"/>
      <c r="B133" s="1"/>
      <c r="C133" s="2" t="s">
        <v>119</v>
      </c>
      <c r="D133" s="1"/>
      <c r="E133" s="1" t="s">
        <v>120</v>
      </c>
      <c r="F133" s="13">
        <v>0</v>
      </c>
      <c r="G133" s="14">
        <v>0</v>
      </c>
      <c r="H133" s="6"/>
    </row>
    <row r="134" spans="1:8" ht="14.1" customHeight="1" x14ac:dyDescent="0.2">
      <c r="A134" s="1"/>
      <c r="B134" s="1"/>
      <c r="C134" s="11"/>
      <c r="D134" s="1"/>
      <c r="E134" s="1"/>
      <c r="F134" s="12"/>
      <c r="G134" s="12"/>
      <c r="H134" s="6"/>
    </row>
    <row r="135" spans="1:8" ht="14.1" customHeight="1" x14ac:dyDescent="0.2">
      <c r="A135" s="1"/>
      <c r="B135" s="1"/>
      <c r="C135" s="2" t="s">
        <v>129</v>
      </c>
      <c r="D135" s="1"/>
      <c r="E135" s="1"/>
      <c r="F135" s="1"/>
      <c r="G135" s="1"/>
      <c r="H135" s="6"/>
    </row>
    <row r="136" spans="1:8" ht="14.1" customHeight="1" x14ac:dyDescent="0.2">
      <c r="A136" s="1"/>
      <c r="B136" s="1"/>
      <c r="C136" s="2" t="s">
        <v>119</v>
      </c>
      <c r="D136" s="1"/>
      <c r="E136" s="1" t="s">
        <v>120</v>
      </c>
      <c r="F136" s="13">
        <v>0</v>
      </c>
      <c r="G136" s="14">
        <v>0</v>
      </c>
      <c r="H136" s="6"/>
    </row>
    <row r="137" spans="1:8" ht="14.1" customHeight="1" x14ac:dyDescent="0.2">
      <c r="A137" s="1"/>
      <c r="B137" s="1"/>
      <c r="C137" s="11"/>
      <c r="D137" s="1"/>
      <c r="E137" s="1"/>
      <c r="F137" s="12"/>
      <c r="G137" s="12"/>
      <c r="H137" s="6"/>
    </row>
    <row r="138" spans="1:8" ht="14.1" customHeight="1" x14ac:dyDescent="0.2">
      <c r="A138" s="1"/>
      <c r="B138" s="1"/>
      <c r="C138" s="2" t="s">
        <v>130</v>
      </c>
      <c r="D138" s="1"/>
      <c r="E138" s="1"/>
      <c r="F138" s="12"/>
      <c r="G138" s="12"/>
      <c r="H138" s="6"/>
    </row>
    <row r="139" spans="1:8" ht="14.1" customHeight="1" x14ac:dyDescent="0.2">
      <c r="A139" s="1"/>
      <c r="B139" s="1"/>
      <c r="C139" s="2" t="s">
        <v>119</v>
      </c>
      <c r="D139" s="1"/>
      <c r="E139" s="1" t="s">
        <v>120</v>
      </c>
      <c r="F139" s="13">
        <v>0</v>
      </c>
      <c r="G139" s="14">
        <v>0</v>
      </c>
      <c r="H139" s="6"/>
    </row>
    <row r="140" spans="1:8" ht="14.1" customHeight="1" x14ac:dyDescent="0.2">
      <c r="A140" s="1"/>
      <c r="B140" s="1"/>
      <c r="C140" s="11"/>
      <c r="D140" s="1"/>
      <c r="E140" s="1"/>
      <c r="F140" s="12"/>
      <c r="G140" s="12"/>
      <c r="H140" s="6"/>
    </row>
    <row r="141" spans="1:8" ht="14.1" customHeight="1" x14ac:dyDescent="0.2">
      <c r="A141" s="1"/>
      <c r="B141" s="1"/>
      <c r="C141" s="2" t="s">
        <v>131</v>
      </c>
      <c r="D141" s="1"/>
      <c r="E141" s="1"/>
      <c r="F141" s="9">
        <v>0.23405904</v>
      </c>
      <c r="G141" s="10">
        <v>4.2212000000000002E-5</v>
      </c>
      <c r="H141" s="6"/>
    </row>
    <row r="142" spans="1:8" ht="14.1" customHeight="1" x14ac:dyDescent="0.2">
      <c r="A142" s="1"/>
      <c r="B142" s="1"/>
      <c r="C142" s="11"/>
      <c r="D142" s="1"/>
      <c r="E142" s="1"/>
      <c r="F142" s="12"/>
      <c r="G142" s="12"/>
      <c r="H142" s="6"/>
    </row>
    <row r="143" spans="1:8" ht="14.1" customHeight="1" x14ac:dyDescent="0.2">
      <c r="A143" s="1"/>
      <c r="B143" s="1"/>
      <c r="C143" s="2" t="s">
        <v>132</v>
      </c>
      <c r="D143" s="1"/>
      <c r="E143" s="1"/>
      <c r="F143" s="12"/>
      <c r="G143" s="12"/>
      <c r="H143" s="6"/>
    </row>
    <row r="144" spans="1:8" ht="14.1" customHeight="1" x14ac:dyDescent="0.2">
      <c r="A144" s="1"/>
      <c r="B144" s="1"/>
      <c r="C144" s="2" t="s">
        <v>133</v>
      </c>
      <c r="D144" s="1"/>
      <c r="E144" s="1"/>
      <c r="F144" s="12"/>
      <c r="G144" s="12"/>
      <c r="H144" s="6"/>
    </row>
    <row r="145" spans="1:8" ht="14.1" customHeight="1" x14ac:dyDescent="0.2">
      <c r="A145" s="1"/>
      <c r="B145" s="1"/>
      <c r="C145" s="2" t="s">
        <v>119</v>
      </c>
      <c r="D145" s="1"/>
      <c r="E145" s="1" t="s">
        <v>120</v>
      </c>
      <c r="F145" s="13">
        <v>0</v>
      </c>
      <c r="G145" s="14">
        <v>0</v>
      </c>
      <c r="H145" s="6"/>
    </row>
    <row r="146" spans="1:8" ht="14.1" customHeight="1" x14ac:dyDescent="0.2">
      <c r="A146" s="1"/>
      <c r="B146" s="1"/>
      <c r="C146" s="11"/>
      <c r="D146" s="1"/>
      <c r="E146" s="1"/>
      <c r="F146" s="12"/>
      <c r="G146" s="12"/>
      <c r="H146" s="6"/>
    </row>
    <row r="147" spans="1:8" ht="14.1" customHeight="1" x14ac:dyDescent="0.2">
      <c r="A147" s="1"/>
      <c r="B147" s="1"/>
      <c r="C147" s="2" t="s">
        <v>134</v>
      </c>
      <c r="D147" s="1"/>
      <c r="E147" s="1"/>
      <c r="F147" s="12"/>
      <c r="G147" s="12"/>
      <c r="H147" s="6"/>
    </row>
    <row r="148" spans="1:8" ht="14.1" customHeight="1" x14ac:dyDescent="0.2">
      <c r="A148" s="1"/>
      <c r="B148" s="1"/>
      <c r="C148" s="2" t="s">
        <v>119</v>
      </c>
      <c r="D148" s="1"/>
      <c r="E148" s="1" t="s">
        <v>120</v>
      </c>
      <c r="F148" s="13">
        <v>0</v>
      </c>
      <c r="G148" s="14">
        <v>0</v>
      </c>
      <c r="H148" s="6"/>
    </row>
    <row r="149" spans="1:8" ht="14.1" customHeight="1" x14ac:dyDescent="0.2">
      <c r="A149" s="1"/>
      <c r="B149" s="1"/>
      <c r="C149" s="11"/>
      <c r="D149" s="1"/>
      <c r="E149" s="1"/>
      <c r="F149" s="12"/>
      <c r="G149" s="12"/>
      <c r="H149" s="6"/>
    </row>
    <row r="150" spans="1:8" ht="14.1" customHeight="1" x14ac:dyDescent="0.2">
      <c r="A150" s="1"/>
      <c r="B150" s="1"/>
      <c r="C150" s="2" t="s">
        <v>135</v>
      </c>
      <c r="D150" s="1"/>
      <c r="E150" s="1"/>
      <c r="F150" s="12"/>
      <c r="G150" s="12"/>
      <c r="H150" s="6"/>
    </row>
    <row r="151" spans="1:8" ht="14.1" customHeight="1" x14ac:dyDescent="0.2">
      <c r="A151" s="1"/>
      <c r="B151" s="1"/>
      <c r="C151" s="2" t="s">
        <v>119</v>
      </c>
      <c r="D151" s="1"/>
      <c r="E151" s="1" t="s">
        <v>120</v>
      </c>
      <c r="F151" s="13">
        <v>0</v>
      </c>
      <c r="G151" s="14">
        <v>0</v>
      </c>
      <c r="H151" s="6"/>
    </row>
    <row r="152" spans="1:8" ht="14.1" customHeight="1" x14ac:dyDescent="0.2">
      <c r="A152" s="1"/>
      <c r="B152" s="1"/>
      <c r="C152" s="11"/>
      <c r="D152" s="1"/>
      <c r="E152" s="1"/>
      <c r="F152" s="12"/>
      <c r="G152" s="12"/>
      <c r="H152" s="6"/>
    </row>
    <row r="153" spans="1:8" ht="14.1" customHeight="1" x14ac:dyDescent="0.2">
      <c r="A153" s="1"/>
      <c r="B153" s="1"/>
      <c r="C153" s="2" t="s">
        <v>136</v>
      </c>
      <c r="D153" s="1"/>
      <c r="E153" s="1"/>
      <c r="F153" s="12"/>
      <c r="G153" s="12"/>
      <c r="H153" s="6"/>
    </row>
    <row r="154" spans="1:8" ht="17.100000000000001" customHeight="1" x14ac:dyDescent="0.2">
      <c r="A154" s="3">
        <v>1</v>
      </c>
      <c r="B154" s="4"/>
      <c r="C154" s="4" t="s">
        <v>137</v>
      </c>
      <c r="D154" s="4"/>
      <c r="E154" s="8"/>
      <c r="F154" s="6">
        <v>97.626643099999995</v>
      </c>
      <c r="G154" s="7">
        <v>1.7606701999999998E-2</v>
      </c>
      <c r="H154" s="6">
        <v>4.1713246754849944</v>
      </c>
    </row>
    <row r="155" spans="1:8" ht="14.1" customHeight="1" x14ac:dyDescent="0.2">
      <c r="A155" s="1"/>
      <c r="B155" s="1"/>
      <c r="C155" s="2" t="s">
        <v>119</v>
      </c>
      <c r="D155" s="1"/>
      <c r="E155" s="1" t="s">
        <v>120</v>
      </c>
      <c r="F155" s="9">
        <v>97.626643099999995</v>
      </c>
      <c r="G155" s="10">
        <v>1.7606701999999998E-2</v>
      </c>
      <c r="H155" s="6"/>
    </row>
    <row r="156" spans="1:8" ht="14.1" customHeight="1" x14ac:dyDescent="0.2">
      <c r="A156" s="1"/>
      <c r="B156" s="1"/>
      <c r="C156" s="11"/>
      <c r="D156" s="1"/>
      <c r="E156" s="1"/>
      <c r="F156" s="12"/>
      <c r="G156" s="12"/>
      <c r="H156" s="6"/>
    </row>
    <row r="157" spans="1:8" ht="14.1" customHeight="1" x14ac:dyDescent="0.2">
      <c r="A157" s="1"/>
      <c r="B157" s="1"/>
      <c r="C157" s="2" t="s">
        <v>138</v>
      </c>
      <c r="D157" s="1"/>
      <c r="E157" s="1"/>
      <c r="F157" s="9">
        <v>97.626643099999995</v>
      </c>
      <c r="G157" s="10">
        <v>1.7606701999999998E-2</v>
      </c>
      <c r="H157" s="6"/>
    </row>
    <row r="158" spans="1:8" ht="14.1" customHeight="1" x14ac:dyDescent="0.2">
      <c r="A158" s="1"/>
      <c r="B158" s="1"/>
      <c r="C158" s="12"/>
      <c r="D158" s="1"/>
      <c r="E158" s="1"/>
      <c r="F158" s="1"/>
      <c r="G158" s="1"/>
      <c r="H158" s="6"/>
    </row>
    <row r="159" spans="1:8" ht="14.1" customHeight="1" x14ac:dyDescent="0.2">
      <c r="A159" s="1"/>
      <c r="B159" s="1"/>
      <c r="C159" s="2" t="s">
        <v>139</v>
      </c>
      <c r="D159" s="1"/>
      <c r="E159" s="1"/>
      <c r="F159" s="1"/>
      <c r="G159" s="1"/>
      <c r="H159" s="6"/>
    </row>
    <row r="160" spans="1:8" ht="14.1" customHeight="1" x14ac:dyDescent="0.2">
      <c r="A160" s="1"/>
      <c r="B160" s="1"/>
      <c r="C160" s="2" t="s">
        <v>140</v>
      </c>
      <c r="D160" s="1"/>
      <c r="E160" s="1"/>
      <c r="F160" s="1"/>
      <c r="G160" s="1"/>
      <c r="H160" s="6"/>
    </row>
    <row r="161" spans="1:15" ht="14.1" customHeight="1" x14ac:dyDescent="0.2">
      <c r="A161" s="1"/>
      <c r="B161" s="1"/>
      <c r="C161" s="2" t="s">
        <v>119</v>
      </c>
      <c r="D161" s="1"/>
      <c r="E161" s="1" t="s">
        <v>120</v>
      </c>
      <c r="F161" s="13">
        <v>0</v>
      </c>
      <c r="G161" s="14">
        <v>0</v>
      </c>
      <c r="H161" s="6"/>
    </row>
    <row r="162" spans="1:15" ht="14.1" customHeight="1" x14ac:dyDescent="0.2">
      <c r="A162" s="1"/>
      <c r="B162" s="1"/>
      <c r="C162" s="11"/>
      <c r="D162" s="1"/>
      <c r="E162" s="1"/>
      <c r="F162" s="12"/>
      <c r="G162" s="12"/>
      <c r="H162" s="6"/>
    </row>
    <row r="163" spans="1:15" ht="14.1" customHeight="1" x14ac:dyDescent="0.2">
      <c r="A163" s="1"/>
      <c r="B163" s="1"/>
      <c r="C163" s="2" t="s">
        <v>141</v>
      </c>
      <c r="D163" s="1"/>
      <c r="E163" s="1"/>
      <c r="F163" s="1"/>
      <c r="G163" s="1"/>
      <c r="H163" s="6"/>
    </row>
    <row r="164" spans="1:15" ht="14.1" customHeight="1" x14ac:dyDescent="0.2">
      <c r="A164" s="1"/>
      <c r="B164" s="1"/>
      <c r="C164" s="2" t="s">
        <v>142</v>
      </c>
      <c r="D164" s="1"/>
      <c r="E164" s="1"/>
      <c r="F164" s="1"/>
      <c r="G164" s="1"/>
      <c r="H164" s="6"/>
    </row>
    <row r="165" spans="1:15" ht="14.1" customHeight="1" x14ac:dyDescent="0.2">
      <c r="A165" s="1"/>
      <c r="B165" s="1"/>
      <c r="C165" s="2" t="s">
        <v>119</v>
      </c>
      <c r="D165" s="1"/>
      <c r="E165" s="1" t="s">
        <v>120</v>
      </c>
      <c r="F165" s="13">
        <v>0</v>
      </c>
      <c r="G165" s="14">
        <v>0</v>
      </c>
      <c r="H165" s="6"/>
    </row>
    <row r="166" spans="1:15" ht="14.1" customHeight="1" x14ac:dyDescent="0.2">
      <c r="A166" s="1"/>
      <c r="B166" s="1"/>
      <c r="C166" s="11"/>
      <c r="D166" s="1"/>
      <c r="E166" s="1"/>
      <c r="F166" s="12"/>
      <c r="G166" s="12"/>
      <c r="H166" s="6"/>
    </row>
    <row r="167" spans="1:15" ht="14.1" customHeight="1" x14ac:dyDescent="0.2">
      <c r="A167" s="1"/>
      <c r="B167" s="1"/>
      <c r="C167" s="11"/>
      <c r="D167" s="1"/>
      <c r="E167" s="1"/>
      <c r="F167" s="12"/>
      <c r="G167" s="12"/>
      <c r="H167" s="6"/>
    </row>
    <row r="168" spans="1:15" ht="24" customHeight="1" x14ac:dyDescent="0.2">
      <c r="A168" s="1"/>
      <c r="B168" s="1"/>
      <c r="C168" s="2" t="s">
        <v>143</v>
      </c>
      <c r="D168" s="1"/>
      <c r="E168" s="1"/>
      <c r="F168" s="12"/>
      <c r="G168" s="12"/>
      <c r="H168" s="6"/>
    </row>
    <row r="169" spans="1:15" ht="14.1" customHeight="1" x14ac:dyDescent="0.2">
      <c r="A169" s="1"/>
      <c r="B169" s="1"/>
      <c r="C169" s="2" t="s">
        <v>119</v>
      </c>
      <c r="D169" s="1"/>
      <c r="E169" s="1" t="s">
        <v>120</v>
      </c>
      <c r="F169" s="13">
        <v>0</v>
      </c>
      <c r="G169" s="14">
        <v>0</v>
      </c>
      <c r="H169" s="6"/>
    </row>
    <row r="170" spans="1:15" ht="14.1" customHeight="1" x14ac:dyDescent="0.2">
      <c r="A170" s="1"/>
      <c r="B170" s="1"/>
      <c r="C170" s="11"/>
      <c r="D170" s="1"/>
      <c r="E170" s="1"/>
      <c r="F170" s="12"/>
      <c r="G170" s="12"/>
      <c r="H170" s="6"/>
    </row>
    <row r="171" spans="1:15" ht="14.1" customHeight="1" x14ac:dyDescent="0.2">
      <c r="A171" s="1"/>
      <c r="B171" s="4"/>
      <c r="C171" s="4"/>
      <c r="D171" s="2"/>
      <c r="E171" s="1"/>
      <c r="F171" s="4"/>
      <c r="G171" s="8"/>
      <c r="H171" s="6"/>
    </row>
    <row r="172" spans="1:15" ht="18" customHeight="1" x14ac:dyDescent="0.2">
      <c r="A172" s="8"/>
      <c r="B172" s="4"/>
      <c r="C172" s="4" t="s">
        <v>1114</v>
      </c>
      <c r="D172" s="4"/>
      <c r="E172" s="8"/>
      <c r="F172" s="6">
        <v>-3.0101650700000002</v>
      </c>
      <c r="G172" s="7">
        <v>-5.4287499999999995E-4</v>
      </c>
      <c r="H172" s="6"/>
    </row>
    <row r="173" spans="1:15" ht="14.1" customHeight="1" x14ac:dyDescent="0.2">
      <c r="A173" s="11"/>
      <c r="B173" s="11"/>
      <c r="C173" s="2" t="s">
        <v>145</v>
      </c>
      <c r="D173" s="15"/>
      <c r="E173" s="15"/>
      <c r="F173" s="9">
        <v>5544.8570503359997</v>
      </c>
      <c r="G173" s="10">
        <v>0.99999999900000003</v>
      </c>
      <c r="H173" s="6"/>
    </row>
    <row r="174" spans="1:15" ht="14.1" customHeight="1" x14ac:dyDescent="0.2">
      <c r="A174" s="16"/>
      <c r="B174" s="16"/>
      <c r="C174" s="16"/>
      <c r="D174" s="17"/>
      <c r="E174" s="17"/>
      <c r="F174" s="17"/>
      <c r="G174" s="17"/>
    </row>
    <row r="175" spans="1:15" s="103" customFormat="1" ht="17.100000000000001" customHeight="1" x14ac:dyDescent="0.2">
      <c r="A175" s="161"/>
      <c r="B175" s="299" t="s">
        <v>942</v>
      </c>
      <c r="C175" s="299"/>
      <c r="D175" s="299"/>
      <c r="E175" s="299"/>
      <c r="F175" s="299"/>
      <c r="G175" s="162"/>
      <c r="H175"/>
      <c r="I175"/>
      <c r="J175"/>
      <c r="K175"/>
      <c r="L175"/>
      <c r="M175"/>
      <c r="N175"/>
      <c r="O175"/>
    </row>
    <row r="176" spans="1:15" ht="17.100000000000001" customHeight="1" x14ac:dyDescent="0.2">
      <c r="A176" s="18"/>
      <c r="B176" s="267" t="s">
        <v>624</v>
      </c>
      <c r="C176" s="267"/>
      <c r="D176" s="267"/>
      <c r="E176" s="267"/>
      <c r="F176" s="267"/>
      <c r="G176" s="20"/>
      <c r="J176" s="103"/>
      <c r="K176" s="103"/>
      <c r="L176" s="103"/>
      <c r="M176" s="103"/>
      <c r="N176" s="103"/>
      <c r="O176" s="103"/>
    </row>
    <row r="177" spans="1:9" ht="17.100000000000001" customHeight="1" x14ac:dyDescent="0.2">
      <c r="A177" s="18"/>
      <c r="B177" s="267" t="s">
        <v>146</v>
      </c>
      <c r="C177" s="267"/>
      <c r="D177" s="267"/>
      <c r="E177" s="267"/>
      <c r="F177" s="267"/>
      <c r="G177" s="20"/>
    </row>
    <row r="178" spans="1:9" ht="14.1" customHeight="1" x14ac:dyDescent="0.2">
      <c r="A178" s="18"/>
      <c r="B178" s="109" t="s">
        <v>1059</v>
      </c>
      <c r="C178" s="18"/>
      <c r="D178" s="20"/>
      <c r="E178" s="20"/>
      <c r="F178" s="20"/>
      <c r="G178" s="20"/>
    </row>
    <row r="179" spans="1:9" ht="14.1" customHeight="1" x14ac:dyDescent="0.2">
      <c r="A179" s="18"/>
      <c r="B179" s="18"/>
      <c r="C179" s="18"/>
      <c r="D179" s="20"/>
      <c r="E179" s="20"/>
      <c r="F179" s="20"/>
      <c r="G179" s="20"/>
      <c r="I179" s="103"/>
    </row>
    <row r="180" spans="1:9" ht="14.1" customHeight="1" x14ac:dyDescent="0.2">
      <c r="A180" s="18"/>
      <c r="B180" s="265" t="s">
        <v>147</v>
      </c>
      <c r="C180" s="266"/>
      <c r="D180" s="12" t="s">
        <v>120</v>
      </c>
      <c r="E180" s="21"/>
      <c r="F180" s="20"/>
      <c r="G180" s="20"/>
    </row>
    <row r="181" spans="1:9" ht="29.1" customHeight="1" x14ac:dyDescent="0.2">
      <c r="A181" s="18"/>
      <c r="B181" s="272" t="s">
        <v>148</v>
      </c>
      <c r="C181" s="273"/>
      <c r="D181" s="2" t="s">
        <v>149</v>
      </c>
      <c r="E181" s="21"/>
      <c r="F181" s="20"/>
      <c r="G181" s="20"/>
    </row>
    <row r="182" spans="1:9" ht="17.100000000000001" customHeight="1" x14ac:dyDescent="0.2">
      <c r="A182" s="18"/>
      <c r="B182" s="272" t="s">
        <v>150</v>
      </c>
      <c r="C182" s="273"/>
      <c r="D182" s="2" t="s">
        <v>149</v>
      </c>
      <c r="E182" s="21"/>
      <c r="F182" s="20"/>
      <c r="G182" s="20"/>
    </row>
    <row r="183" spans="1:9" ht="17.100000000000001" customHeight="1" x14ac:dyDescent="0.2">
      <c r="A183" s="18"/>
      <c r="B183" s="272" t="s">
        <v>151</v>
      </c>
      <c r="C183" s="273"/>
      <c r="D183" s="12" t="s">
        <v>120</v>
      </c>
      <c r="E183" s="21"/>
      <c r="F183" s="20"/>
      <c r="G183" s="20"/>
    </row>
    <row r="184" spans="1:9" ht="24" customHeight="1" x14ac:dyDescent="0.2">
      <c r="A184" s="22"/>
      <c r="B184" s="23" t="s">
        <v>120</v>
      </c>
      <c r="C184" s="23" t="s">
        <v>152</v>
      </c>
      <c r="D184" s="23" t="s">
        <v>153</v>
      </c>
      <c r="E184" s="22"/>
      <c r="F184" s="22"/>
      <c r="G184" s="22"/>
    </row>
    <row r="185" spans="1:9" ht="18" customHeight="1" x14ac:dyDescent="0.2">
      <c r="A185" s="22"/>
      <c r="B185" s="23" t="s">
        <v>154</v>
      </c>
      <c r="C185" s="23" t="s">
        <v>155</v>
      </c>
      <c r="D185" s="23" t="s">
        <v>156</v>
      </c>
      <c r="E185" s="22"/>
      <c r="F185" s="22"/>
      <c r="G185" s="22"/>
    </row>
    <row r="186" spans="1:9" ht="17.100000000000001" customHeight="1" x14ac:dyDescent="0.2">
      <c r="A186" s="22"/>
      <c r="B186" s="4" t="s">
        <v>157</v>
      </c>
      <c r="C186" s="24">
        <v>112.9815</v>
      </c>
      <c r="D186" s="24">
        <v>107.39319999999999</v>
      </c>
      <c r="E186" s="22"/>
      <c r="F186" s="19"/>
      <c r="G186" s="25"/>
    </row>
    <row r="187" spans="1:9" ht="17.100000000000001" customHeight="1" x14ac:dyDescent="0.2">
      <c r="A187" s="22"/>
      <c r="B187" s="4" t="s">
        <v>1120</v>
      </c>
      <c r="C187" s="24">
        <v>66.397599999999997</v>
      </c>
      <c r="D187" s="24">
        <v>63.113399999999999</v>
      </c>
      <c r="E187" s="22"/>
      <c r="F187" s="19"/>
      <c r="G187" s="25"/>
    </row>
    <row r="188" spans="1:9" ht="17.100000000000001" customHeight="1" x14ac:dyDescent="0.2">
      <c r="A188" s="22"/>
      <c r="B188" s="4" t="s">
        <v>158</v>
      </c>
      <c r="C188" s="24">
        <v>108.8914</v>
      </c>
      <c r="D188" s="24">
        <v>103.4695</v>
      </c>
      <c r="E188" s="22"/>
      <c r="F188" s="19"/>
      <c r="G188" s="25"/>
    </row>
    <row r="189" spans="1:9" ht="17.100000000000001" customHeight="1" x14ac:dyDescent="0.2">
      <c r="A189" s="22"/>
      <c r="B189" s="4" t="s">
        <v>1121</v>
      </c>
      <c r="C189" s="24">
        <v>63.997599999999998</v>
      </c>
      <c r="D189" s="24">
        <v>60.811100000000003</v>
      </c>
      <c r="E189" s="22"/>
      <c r="F189" s="19"/>
      <c r="G189" s="25"/>
    </row>
    <row r="190" spans="1:9" ht="14.1" customHeight="1" x14ac:dyDescent="0.2">
      <c r="A190" s="22"/>
      <c r="B190" s="22"/>
      <c r="C190" s="22"/>
      <c r="D190" s="22"/>
      <c r="E190" s="22"/>
      <c r="F190" s="22"/>
      <c r="G190" s="22"/>
    </row>
    <row r="191" spans="1:9" ht="17.100000000000001" customHeight="1" x14ac:dyDescent="0.2">
      <c r="A191" s="22"/>
      <c r="B191" s="272" t="s">
        <v>1122</v>
      </c>
      <c r="C191" s="273"/>
      <c r="D191" s="2" t="s">
        <v>149</v>
      </c>
      <c r="E191" s="22"/>
      <c r="F191" s="22"/>
      <c r="G191" s="22"/>
    </row>
    <row r="192" spans="1:9" ht="14.1" customHeight="1" x14ac:dyDescent="0.2">
      <c r="A192" s="22"/>
      <c r="B192" s="19"/>
      <c r="C192" s="19"/>
      <c r="D192" s="22"/>
      <c r="E192" s="22"/>
      <c r="F192" s="22"/>
      <c r="G192" s="22"/>
    </row>
    <row r="193" spans="1:15" ht="29.1" customHeight="1" x14ac:dyDescent="0.2">
      <c r="A193" s="22"/>
      <c r="B193" s="272" t="s">
        <v>160</v>
      </c>
      <c r="C193" s="273"/>
      <c r="D193" s="2" t="s">
        <v>149</v>
      </c>
      <c r="E193" s="22"/>
      <c r="F193" s="22"/>
      <c r="G193" s="22"/>
      <c r="J193" s="170"/>
      <c r="K193" s="170"/>
      <c r="L193" s="170"/>
      <c r="M193" s="170"/>
      <c r="N193" s="170"/>
      <c r="O193" s="170"/>
    </row>
    <row r="194" spans="1:15" ht="29.1" customHeight="1" x14ac:dyDescent="0.2">
      <c r="A194" s="22"/>
      <c r="B194" s="272" t="s">
        <v>161</v>
      </c>
      <c r="C194" s="273"/>
      <c r="D194" s="2" t="s">
        <v>149</v>
      </c>
      <c r="E194" s="22"/>
      <c r="F194" s="22"/>
      <c r="G194" s="22"/>
    </row>
    <row r="195" spans="1:15" ht="17.100000000000001" customHeight="1" x14ac:dyDescent="0.2">
      <c r="A195" s="22"/>
      <c r="B195" s="272" t="s">
        <v>162</v>
      </c>
      <c r="C195" s="273"/>
      <c r="D195" s="27">
        <v>0.58867857041765537</v>
      </c>
      <c r="E195" s="22"/>
      <c r="F195" s="19"/>
      <c r="G195" s="25"/>
    </row>
    <row r="196" spans="1:15" ht="17.100000000000001" customHeight="1" x14ac:dyDescent="0.2">
      <c r="A196" s="22"/>
      <c r="B196" s="272" t="s">
        <v>163</v>
      </c>
      <c r="C196" s="273"/>
      <c r="D196" s="2" t="s">
        <v>149</v>
      </c>
      <c r="E196" s="22"/>
      <c r="F196" s="22"/>
      <c r="G196" s="22"/>
    </row>
    <row r="197" spans="1:15" x14ac:dyDescent="0.2">
      <c r="J197" s="103"/>
      <c r="K197" s="103"/>
      <c r="L197" s="103"/>
      <c r="M197" s="103"/>
      <c r="N197" s="103"/>
      <c r="O197" s="103"/>
    </row>
    <row r="198" spans="1:15" x14ac:dyDescent="0.2">
      <c r="J198" s="103"/>
      <c r="K198" s="103"/>
      <c r="L198" s="103"/>
      <c r="M198" s="103"/>
      <c r="N198" s="103"/>
      <c r="O198" s="103"/>
    </row>
  </sheetData>
  <mergeCells count="16">
    <mergeCell ref="A1:H1"/>
    <mergeCell ref="A2:H2"/>
    <mergeCell ref="A3:H3"/>
    <mergeCell ref="B195:C195"/>
    <mergeCell ref="B196:C196"/>
    <mergeCell ref="B181:C181"/>
    <mergeCell ref="B182:C182"/>
    <mergeCell ref="B183:C183"/>
    <mergeCell ref="B191:C191"/>
    <mergeCell ref="B193:C193"/>
    <mergeCell ref="B194:C194"/>
    <mergeCell ref="J2:N2"/>
    <mergeCell ref="B180:C180"/>
    <mergeCell ref="B176:F176"/>
    <mergeCell ref="B177:F177"/>
    <mergeCell ref="B175:F175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O155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1139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1044215</v>
      </c>
      <c r="F7" s="6">
        <v>7861.3726274999999</v>
      </c>
      <c r="G7" s="7">
        <v>8.8041017999999999E-2</v>
      </c>
      <c r="H7" s="6"/>
    </row>
    <row r="8" spans="1:14" ht="17.100000000000001" customHeight="1" x14ac:dyDescent="0.2">
      <c r="A8" s="3">
        <v>2</v>
      </c>
      <c r="B8" s="4" t="s">
        <v>374</v>
      </c>
      <c r="C8" s="4" t="s">
        <v>375</v>
      </c>
      <c r="D8" s="4" t="s">
        <v>19</v>
      </c>
      <c r="E8" s="5">
        <v>335117</v>
      </c>
      <c r="F8" s="6">
        <v>4654.6075714999997</v>
      </c>
      <c r="G8" s="7">
        <v>5.2127842000000001E-2</v>
      </c>
      <c r="H8" s="6"/>
    </row>
    <row r="9" spans="1:14" ht="17.100000000000001" customHeight="1" x14ac:dyDescent="0.2">
      <c r="A9" s="3">
        <v>3</v>
      </c>
      <c r="B9" s="4" t="s">
        <v>406</v>
      </c>
      <c r="C9" s="4" t="s">
        <v>407</v>
      </c>
      <c r="D9" s="4" t="s">
        <v>994</v>
      </c>
      <c r="E9" s="5">
        <v>288000</v>
      </c>
      <c r="F9" s="6">
        <v>4330.3680000000004</v>
      </c>
      <c r="G9" s="7">
        <v>4.8496620999999997E-2</v>
      </c>
      <c r="H9" s="6"/>
    </row>
    <row r="10" spans="1:14" ht="17.100000000000001" customHeight="1" x14ac:dyDescent="0.2">
      <c r="A10" s="3">
        <v>4</v>
      </c>
      <c r="B10" s="4" t="s">
        <v>26</v>
      </c>
      <c r="C10" s="4" t="s">
        <v>27</v>
      </c>
      <c r="D10" s="4" t="s">
        <v>28</v>
      </c>
      <c r="E10" s="5">
        <v>167284</v>
      </c>
      <c r="F10" s="6">
        <v>4084.7407119999998</v>
      </c>
      <c r="G10" s="7">
        <v>4.5745793999999999E-2</v>
      </c>
      <c r="H10" s="6"/>
    </row>
    <row r="11" spans="1:14" ht="17.100000000000001" customHeight="1" x14ac:dyDescent="0.2">
      <c r="A11" s="3">
        <v>5</v>
      </c>
      <c r="B11" s="4" t="s">
        <v>50</v>
      </c>
      <c r="C11" s="4" t="s">
        <v>51</v>
      </c>
      <c r="D11" s="4" t="s">
        <v>19</v>
      </c>
      <c r="E11" s="5">
        <v>787020</v>
      </c>
      <c r="F11" s="6">
        <v>3684.0406200000002</v>
      </c>
      <c r="G11" s="7">
        <v>4.1258277000000003E-2</v>
      </c>
      <c r="H11" s="6"/>
    </row>
    <row r="12" spans="1:14" ht="17.100000000000001" customHeight="1" x14ac:dyDescent="0.2">
      <c r="A12" s="3">
        <v>6</v>
      </c>
      <c r="B12" s="4" t="s">
        <v>14</v>
      </c>
      <c r="C12" s="4" t="s">
        <v>15</v>
      </c>
      <c r="D12" s="4" t="s">
        <v>16</v>
      </c>
      <c r="E12" s="5">
        <v>137512</v>
      </c>
      <c r="F12" s="6">
        <v>3620.209668</v>
      </c>
      <c r="G12" s="7">
        <v>4.0543421000000003E-2</v>
      </c>
      <c r="H12" s="6"/>
    </row>
    <row r="13" spans="1:14" ht="29.1" customHeight="1" x14ac:dyDescent="0.2">
      <c r="A13" s="3">
        <v>7</v>
      </c>
      <c r="B13" s="4" t="s">
        <v>408</v>
      </c>
      <c r="C13" s="4" t="s">
        <v>409</v>
      </c>
      <c r="D13" s="4" t="s">
        <v>85</v>
      </c>
      <c r="E13" s="5">
        <v>145000</v>
      </c>
      <c r="F13" s="6">
        <v>3344.7874999999999</v>
      </c>
      <c r="G13" s="7">
        <v>3.7458916000000002E-2</v>
      </c>
      <c r="H13" s="6"/>
      <c r="J13" s="169" t="s">
        <v>1171</v>
      </c>
    </row>
    <row r="14" spans="1:14" ht="53.1" customHeight="1" x14ac:dyDescent="0.2">
      <c r="A14" s="3">
        <v>8</v>
      </c>
      <c r="B14" s="4" t="s">
        <v>73</v>
      </c>
      <c r="C14" s="4" t="s">
        <v>74</v>
      </c>
      <c r="D14" s="4" t="s">
        <v>75</v>
      </c>
      <c r="E14" s="5">
        <v>2405310</v>
      </c>
      <c r="F14" s="6">
        <v>3307.30125</v>
      </c>
      <c r="G14" s="7">
        <v>3.7039099999999998E-2</v>
      </c>
      <c r="H14" s="6"/>
    </row>
    <row r="15" spans="1:14" ht="17.100000000000001" customHeight="1" x14ac:dyDescent="0.2">
      <c r="A15" s="3">
        <v>9</v>
      </c>
      <c r="B15" s="4" t="s">
        <v>319</v>
      </c>
      <c r="C15" s="4" t="s">
        <v>320</v>
      </c>
      <c r="D15" s="4" t="s">
        <v>19</v>
      </c>
      <c r="E15" s="5">
        <v>410005</v>
      </c>
      <c r="F15" s="6">
        <v>2809.3542600000001</v>
      </c>
      <c r="G15" s="7">
        <v>3.1462496E-2</v>
      </c>
      <c r="H15" s="6"/>
    </row>
    <row r="16" spans="1:14" ht="17.100000000000001" customHeight="1" x14ac:dyDescent="0.2">
      <c r="A16" s="3">
        <v>10</v>
      </c>
      <c r="B16" s="4" t="s">
        <v>461</v>
      </c>
      <c r="C16" s="4" t="s">
        <v>462</v>
      </c>
      <c r="D16" s="4" t="s">
        <v>396</v>
      </c>
      <c r="E16" s="5">
        <v>33000</v>
      </c>
      <c r="F16" s="6">
        <v>2628.8955000000001</v>
      </c>
      <c r="G16" s="7">
        <v>2.9441504E-2</v>
      </c>
      <c r="H16" s="6"/>
    </row>
    <row r="17" spans="1:10" ht="17.100000000000001" customHeight="1" x14ac:dyDescent="0.2">
      <c r="A17" s="3">
        <v>11</v>
      </c>
      <c r="B17" s="4" t="s">
        <v>410</v>
      </c>
      <c r="C17" s="4" t="s">
        <v>411</v>
      </c>
      <c r="D17" s="4" t="s">
        <v>994</v>
      </c>
      <c r="E17" s="5">
        <v>78000</v>
      </c>
      <c r="F17" s="6">
        <v>2624.1930000000002</v>
      </c>
      <c r="G17" s="7">
        <v>2.9388839999999999E-2</v>
      </c>
      <c r="H17" s="6"/>
    </row>
    <row r="18" spans="1:10" ht="17.100000000000001" customHeight="1" x14ac:dyDescent="0.2">
      <c r="A18" s="3">
        <v>12</v>
      </c>
      <c r="B18" s="4" t="s">
        <v>357</v>
      </c>
      <c r="C18" s="4" t="s">
        <v>358</v>
      </c>
      <c r="D18" s="4" t="s">
        <v>186</v>
      </c>
      <c r="E18" s="5">
        <v>361925</v>
      </c>
      <c r="F18" s="6">
        <v>1994.0257875</v>
      </c>
      <c r="G18" s="7">
        <v>2.2331476999999999E-2</v>
      </c>
      <c r="H18" s="6"/>
    </row>
    <row r="19" spans="1:10" ht="17.100000000000001" customHeight="1" x14ac:dyDescent="0.2">
      <c r="A19" s="3">
        <v>13</v>
      </c>
      <c r="B19" s="4" t="s">
        <v>453</v>
      </c>
      <c r="C19" s="4" t="s">
        <v>454</v>
      </c>
      <c r="D19" s="4" t="s">
        <v>396</v>
      </c>
      <c r="E19" s="5">
        <v>403269</v>
      </c>
      <c r="F19" s="6">
        <v>1788.6996495000001</v>
      </c>
      <c r="G19" s="7">
        <v>2.003199E-2</v>
      </c>
      <c r="H19" s="6"/>
    </row>
    <row r="20" spans="1:10" ht="17.100000000000001" customHeight="1" x14ac:dyDescent="0.2">
      <c r="A20" s="3">
        <v>14</v>
      </c>
      <c r="B20" s="4" t="s">
        <v>438</v>
      </c>
      <c r="C20" s="4" t="s">
        <v>1057</v>
      </c>
      <c r="D20" s="4" t="s">
        <v>22</v>
      </c>
      <c r="E20" s="5">
        <v>493578</v>
      </c>
      <c r="F20" s="6">
        <v>1637.9385930000001</v>
      </c>
      <c r="G20" s="7">
        <v>1.8343588000000001E-2</v>
      </c>
      <c r="H20" s="6"/>
    </row>
    <row r="21" spans="1:10" ht="17.100000000000001" customHeight="1" x14ac:dyDescent="0.2">
      <c r="A21" s="3">
        <v>15</v>
      </c>
      <c r="B21" s="4" t="s">
        <v>416</v>
      </c>
      <c r="C21" s="4" t="s">
        <v>417</v>
      </c>
      <c r="D21" s="4" t="s">
        <v>418</v>
      </c>
      <c r="E21" s="5">
        <v>68396</v>
      </c>
      <c r="F21" s="6">
        <v>1609.5288700000001</v>
      </c>
      <c r="G21" s="7">
        <v>1.8025421999999999E-2</v>
      </c>
      <c r="H21" s="6"/>
    </row>
    <row r="22" spans="1:10" ht="29.1" customHeight="1" x14ac:dyDescent="0.2">
      <c r="A22" s="3">
        <v>16</v>
      </c>
      <c r="B22" s="4" t="s">
        <v>414</v>
      </c>
      <c r="C22" s="4" t="s">
        <v>415</v>
      </c>
      <c r="D22" s="4" t="s">
        <v>198</v>
      </c>
      <c r="E22" s="5">
        <v>185514</v>
      </c>
      <c r="F22" s="6">
        <v>1596.533484</v>
      </c>
      <c r="G22" s="7">
        <v>1.7879883999999999E-2</v>
      </c>
      <c r="H22" s="6"/>
      <c r="J22" s="169" t="s">
        <v>1170</v>
      </c>
    </row>
    <row r="23" spans="1:10" ht="17.100000000000001" customHeight="1" x14ac:dyDescent="0.2">
      <c r="A23" s="3">
        <v>17</v>
      </c>
      <c r="B23" s="4" t="s">
        <v>445</v>
      </c>
      <c r="C23" s="4" t="s">
        <v>446</v>
      </c>
      <c r="D23" s="4" t="s">
        <v>248</v>
      </c>
      <c r="E23" s="5">
        <v>60212</v>
      </c>
      <c r="F23" s="6">
        <v>1461.49577</v>
      </c>
      <c r="G23" s="7">
        <v>1.6367571000000001E-2</v>
      </c>
      <c r="H23" s="6"/>
    </row>
    <row r="24" spans="1:10" ht="29.1" customHeight="1" x14ac:dyDescent="0.2">
      <c r="A24" s="3">
        <v>18</v>
      </c>
      <c r="B24" s="4" t="s">
        <v>192</v>
      </c>
      <c r="C24" s="4" t="s">
        <v>193</v>
      </c>
      <c r="D24" s="4" t="s">
        <v>80</v>
      </c>
      <c r="E24" s="5">
        <v>394000</v>
      </c>
      <c r="F24" s="6">
        <v>1424.1130000000001</v>
      </c>
      <c r="G24" s="7">
        <v>1.5948914000000002E-2</v>
      </c>
      <c r="H24" s="6"/>
    </row>
    <row r="25" spans="1:10" ht="53.1" customHeight="1" x14ac:dyDescent="0.2">
      <c r="A25" s="3">
        <v>19</v>
      </c>
      <c r="B25" s="4" t="s">
        <v>86</v>
      </c>
      <c r="C25" s="4" t="s">
        <v>87</v>
      </c>
      <c r="D25" s="4" t="s">
        <v>75</v>
      </c>
      <c r="E25" s="5">
        <v>98510</v>
      </c>
      <c r="F25" s="6">
        <v>1395.541915</v>
      </c>
      <c r="G25" s="7">
        <v>1.5628941E-2</v>
      </c>
      <c r="H25" s="6"/>
    </row>
    <row r="26" spans="1:10" ht="17.100000000000001" customHeight="1" x14ac:dyDescent="0.2">
      <c r="A26" s="3">
        <v>20</v>
      </c>
      <c r="B26" s="4" t="s">
        <v>321</v>
      </c>
      <c r="C26" s="4" t="s">
        <v>322</v>
      </c>
      <c r="D26" s="4" t="s">
        <v>323</v>
      </c>
      <c r="E26" s="5">
        <v>175000</v>
      </c>
      <c r="F26" s="6">
        <v>1390.7249999999999</v>
      </c>
      <c r="G26" s="7">
        <v>1.5574996000000001E-2</v>
      </c>
      <c r="H26" s="6"/>
    </row>
    <row r="27" spans="1:10" ht="29.1" customHeight="1" x14ac:dyDescent="0.2">
      <c r="A27" s="3">
        <v>21</v>
      </c>
      <c r="B27" s="4" t="s">
        <v>83</v>
      </c>
      <c r="C27" s="4" t="s">
        <v>84</v>
      </c>
      <c r="D27" s="4" t="s">
        <v>85</v>
      </c>
      <c r="E27" s="5">
        <v>197572</v>
      </c>
      <c r="F27" s="6">
        <v>1342.699312</v>
      </c>
      <c r="G27" s="7">
        <v>1.5037147000000001E-2</v>
      </c>
      <c r="H27" s="6"/>
    </row>
    <row r="28" spans="1:10" ht="17.100000000000001" customHeight="1" x14ac:dyDescent="0.2">
      <c r="A28" s="3">
        <v>22</v>
      </c>
      <c r="B28" s="4" t="s">
        <v>314</v>
      </c>
      <c r="C28" s="4" t="s">
        <v>315</v>
      </c>
      <c r="D28" s="4" t="s">
        <v>19</v>
      </c>
      <c r="E28" s="5">
        <v>1460988</v>
      </c>
      <c r="F28" s="6">
        <v>1298.0878379999999</v>
      </c>
      <c r="G28" s="7">
        <v>1.4537534E-2</v>
      </c>
      <c r="H28" s="6"/>
    </row>
    <row r="29" spans="1:10" ht="17.100000000000001" customHeight="1" x14ac:dyDescent="0.2">
      <c r="A29" s="3">
        <v>23</v>
      </c>
      <c r="B29" s="4" t="s">
        <v>539</v>
      </c>
      <c r="C29" s="4" t="s">
        <v>540</v>
      </c>
      <c r="D29" s="4" t="s">
        <v>181</v>
      </c>
      <c r="E29" s="5">
        <v>30201</v>
      </c>
      <c r="F29" s="6">
        <v>1184.7550289999999</v>
      </c>
      <c r="G29" s="7">
        <v>1.3268298E-2</v>
      </c>
      <c r="H29" s="6"/>
    </row>
    <row r="30" spans="1:10" ht="17.100000000000001" customHeight="1" x14ac:dyDescent="0.2">
      <c r="A30" s="3">
        <v>24</v>
      </c>
      <c r="B30" s="4" t="s">
        <v>11</v>
      </c>
      <c r="C30" s="4" t="s">
        <v>12</v>
      </c>
      <c r="D30" s="4" t="s">
        <v>13</v>
      </c>
      <c r="E30" s="5">
        <v>70588</v>
      </c>
      <c r="F30" s="6">
        <v>1167.8784599999999</v>
      </c>
      <c r="G30" s="7">
        <v>1.3079294999999999E-2</v>
      </c>
      <c r="H30" s="6"/>
    </row>
    <row r="31" spans="1:10" ht="29.1" customHeight="1" x14ac:dyDescent="0.2">
      <c r="A31" s="3">
        <v>25</v>
      </c>
      <c r="B31" s="4" t="s">
        <v>350</v>
      </c>
      <c r="C31" s="4" t="s">
        <v>351</v>
      </c>
      <c r="D31" s="4" t="s">
        <v>198</v>
      </c>
      <c r="E31" s="5">
        <v>40650</v>
      </c>
      <c r="F31" s="6">
        <v>1162.976175</v>
      </c>
      <c r="G31" s="7">
        <v>1.3024393E-2</v>
      </c>
      <c r="H31" s="6"/>
    </row>
    <row r="32" spans="1:10" ht="29.1" customHeight="1" x14ac:dyDescent="0.2">
      <c r="A32" s="3">
        <v>26</v>
      </c>
      <c r="B32" s="4" t="s">
        <v>217</v>
      </c>
      <c r="C32" s="4" t="s">
        <v>218</v>
      </c>
      <c r="D32" s="4" t="s">
        <v>219</v>
      </c>
      <c r="E32" s="5">
        <v>28290</v>
      </c>
      <c r="F32" s="6">
        <v>1110.226905</v>
      </c>
      <c r="G32" s="7">
        <v>1.2433644000000001E-2</v>
      </c>
      <c r="H32" s="6"/>
    </row>
    <row r="33" spans="1:8" ht="17.100000000000001" customHeight="1" x14ac:dyDescent="0.2">
      <c r="A33" s="3">
        <v>27</v>
      </c>
      <c r="B33" s="4" t="s">
        <v>324</v>
      </c>
      <c r="C33" s="4" t="s">
        <v>325</v>
      </c>
      <c r="D33" s="4" t="s">
        <v>19</v>
      </c>
      <c r="E33" s="5">
        <v>1077030</v>
      </c>
      <c r="F33" s="6">
        <v>1079.722575</v>
      </c>
      <c r="G33" s="7">
        <v>1.209202E-2</v>
      </c>
      <c r="H33" s="6"/>
    </row>
    <row r="34" spans="1:8" ht="17.100000000000001" customHeight="1" x14ac:dyDescent="0.2">
      <c r="A34" s="3">
        <v>28</v>
      </c>
      <c r="B34" s="4" t="s">
        <v>443</v>
      </c>
      <c r="C34" s="4" t="s">
        <v>444</v>
      </c>
      <c r="D34" s="4" t="s">
        <v>19</v>
      </c>
      <c r="E34" s="5">
        <v>522654</v>
      </c>
      <c r="F34" s="6">
        <v>1071.4407000000001</v>
      </c>
      <c r="G34" s="7">
        <v>1.1999269999999999E-2</v>
      </c>
      <c r="H34" s="6"/>
    </row>
    <row r="35" spans="1:8" ht="17.100000000000001" customHeight="1" x14ac:dyDescent="0.2">
      <c r="A35" s="3">
        <v>29</v>
      </c>
      <c r="B35" s="4" t="s">
        <v>632</v>
      </c>
      <c r="C35" s="4" t="s">
        <v>633</v>
      </c>
      <c r="D35" s="4" t="s">
        <v>19</v>
      </c>
      <c r="E35" s="5">
        <v>624396</v>
      </c>
      <c r="F35" s="6">
        <v>1058.0390219999999</v>
      </c>
      <c r="G35" s="7">
        <v>1.1849182E-2</v>
      </c>
      <c r="H35" s="6"/>
    </row>
    <row r="36" spans="1:8" ht="17.100000000000001" customHeight="1" x14ac:dyDescent="0.2">
      <c r="A36" s="3">
        <v>30</v>
      </c>
      <c r="B36" s="4" t="s">
        <v>578</v>
      </c>
      <c r="C36" s="4" t="s">
        <v>579</v>
      </c>
      <c r="D36" s="4" t="s">
        <v>80</v>
      </c>
      <c r="E36" s="5">
        <v>180000</v>
      </c>
      <c r="F36" s="6">
        <v>1043.82</v>
      </c>
      <c r="G36" s="7">
        <v>1.1689939999999999E-2</v>
      </c>
      <c r="H36" s="6"/>
    </row>
    <row r="37" spans="1:8" ht="17.100000000000001" customHeight="1" x14ac:dyDescent="0.2">
      <c r="A37" s="3">
        <v>31</v>
      </c>
      <c r="B37" s="4" t="s">
        <v>455</v>
      </c>
      <c r="C37" s="4" t="s">
        <v>456</v>
      </c>
      <c r="D37" s="4" t="s">
        <v>302</v>
      </c>
      <c r="E37" s="5">
        <v>26000</v>
      </c>
      <c r="F37" s="6">
        <v>1032.9280000000001</v>
      </c>
      <c r="G37" s="7">
        <v>1.1567958999999999E-2</v>
      </c>
      <c r="H37" s="6"/>
    </row>
    <row r="38" spans="1:8" ht="17.100000000000001" customHeight="1" x14ac:dyDescent="0.2">
      <c r="A38" s="3">
        <v>32</v>
      </c>
      <c r="B38" s="4" t="s">
        <v>312</v>
      </c>
      <c r="C38" s="4" t="s">
        <v>313</v>
      </c>
      <c r="D38" s="4" t="s">
        <v>254</v>
      </c>
      <c r="E38" s="5">
        <v>2238</v>
      </c>
      <c r="F38" s="6">
        <v>1011.442839</v>
      </c>
      <c r="G38" s="7">
        <v>1.1327342000000001E-2</v>
      </c>
      <c r="H38" s="6"/>
    </row>
    <row r="39" spans="1:8" ht="17.100000000000001" customHeight="1" x14ac:dyDescent="0.2">
      <c r="A39" s="3">
        <v>33</v>
      </c>
      <c r="B39" s="4" t="s">
        <v>93</v>
      </c>
      <c r="C39" s="4" t="s">
        <v>94</v>
      </c>
      <c r="D39" s="4" t="s">
        <v>95</v>
      </c>
      <c r="E39" s="5">
        <v>39000</v>
      </c>
      <c r="F39" s="6">
        <v>897.23400000000004</v>
      </c>
      <c r="G39" s="7">
        <v>1.0048295E-2</v>
      </c>
      <c r="H39" s="6"/>
    </row>
    <row r="40" spans="1:8" ht="17.100000000000001" customHeight="1" x14ac:dyDescent="0.2">
      <c r="A40" s="3">
        <v>34</v>
      </c>
      <c r="B40" s="4" t="s">
        <v>552</v>
      </c>
      <c r="C40" s="4" t="s">
        <v>553</v>
      </c>
      <c r="D40" s="4" t="s">
        <v>230</v>
      </c>
      <c r="E40" s="5">
        <v>56776</v>
      </c>
      <c r="F40" s="6">
        <v>874.691056</v>
      </c>
      <c r="G40" s="7">
        <v>9.7958330000000003E-3</v>
      </c>
      <c r="H40" s="6"/>
    </row>
    <row r="41" spans="1:8" ht="29.1" customHeight="1" x14ac:dyDescent="0.2">
      <c r="A41" s="3">
        <v>35</v>
      </c>
      <c r="B41" s="4" t="s">
        <v>628</v>
      </c>
      <c r="C41" s="4" t="s">
        <v>629</v>
      </c>
      <c r="D41" s="4" t="s">
        <v>219</v>
      </c>
      <c r="E41" s="5">
        <v>50000</v>
      </c>
      <c r="F41" s="6">
        <v>874.32500000000005</v>
      </c>
      <c r="G41" s="7">
        <v>9.7917330000000004E-3</v>
      </c>
      <c r="H41" s="6"/>
    </row>
    <row r="42" spans="1:8" ht="17.100000000000001" customHeight="1" x14ac:dyDescent="0.2">
      <c r="A42" s="3">
        <v>36</v>
      </c>
      <c r="B42" s="4" t="s">
        <v>441</v>
      </c>
      <c r="C42" s="4" t="s">
        <v>442</v>
      </c>
      <c r="D42" s="4" t="s">
        <v>95</v>
      </c>
      <c r="E42" s="5">
        <v>154394</v>
      </c>
      <c r="F42" s="6">
        <v>860.59215600000005</v>
      </c>
      <c r="G42" s="7">
        <v>9.6379359999999997E-3</v>
      </c>
      <c r="H42" s="6"/>
    </row>
    <row r="43" spans="1:8" ht="17.100000000000001" customHeight="1" x14ac:dyDescent="0.2">
      <c r="A43" s="3">
        <v>37</v>
      </c>
      <c r="B43" s="4" t="s">
        <v>558</v>
      </c>
      <c r="C43" s="4" t="s">
        <v>559</v>
      </c>
      <c r="D43" s="4" t="s">
        <v>95</v>
      </c>
      <c r="E43" s="5">
        <v>278622</v>
      </c>
      <c r="F43" s="6">
        <v>845.75708099999997</v>
      </c>
      <c r="G43" s="7">
        <v>9.4717959999999993E-3</v>
      </c>
      <c r="H43" s="6"/>
    </row>
    <row r="44" spans="1:8" ht="17.100000000000001" customHeight="1" x14ac:dyDescent="0.2">
      <c r="A44" s="3">
        <v>38</v>
      </c>
      <c r="B44" s="4" t="s">
        <v>531</v>
      </c>
      <c r="C44" s="4" t="s">
        <v>532</v>
      </c>
      <c r="D44" s="4" t="s">
        <v>181</v>
      </c>
      <c r="E44" s="5">
        <v>36000</v>
      </c>
      <c r="F44" s="6">
        <v>837.25199999999995</v>
      </c>
      <c r="G44" s="7">
        <v>9.3765459999999995E-3</v>
      </c>
      <c r="H44" s="6"/>
    </row>
    <row r="45" spans="1:8" ht="29.1" customHeight="1" x14ac:dyDescent="0.2">
      <c r="A45" s="3">
        <v>39</v>
      </c>
      <c r="B45" s="4" t="s">
        <v>23</v>
      </c>
      <c r="C45" s="4" t="s">
        <v>24</v>
      </c>
      <c r="D45" s="4" t="s">
        <v>25</v>
      </c>
      <c r="E45" s="5">
        <v>13315</v>
      </c>
      <c r="F45" s="6">
        <v>809.89819</v>
      </c>
      <c r="G45" s="7">
        <v>9.0702049999999996E-3</v>
      </c>
      <c r="H45" s="6"/>
    </row>
    <row r="46" spans="1:8" ht="29.1" customHeight="1" x14ac:dyDescent="0.2">
      <c r="A46" s="3">
        <v>40</v>
      </c>
      <c r="B46" s="4" t="s">
        <v>715</v>
      </c>
      <c r="C46" s="4" t="s">
        <v>716</v>
      </c>
      <c r="D46" s="4" t="s">
        <v>323</v>
      </c>
      <c r="E46" s="5">
        <v>61375</v>
      </c>
      <c r="F46" s="6">
        <v>776.91543750000005</v>
      </c>
      <c r="G46" s="7">
        <v>8.7008250000000006E-3</v>
      </c>
      <c r="H46" s="6"/>
    </row>
    <row r="47" spans="1:8" ht="17.100000000000001" customHeight="1" x14ac:dyDescent="0.2">
      <c r="A47" s="3">
        <v>41</v>
      </c>
      <c r="B47" s="4" t="s">
        <v>412</v>
      </c>
      <c r="C47" s="4" t="s">
        <v>413</v>
      </c>
      <c r="D47" s="4" t="s">
        <v>323</v>
      </c>
      <c r="E47" s="5">
        <v>66146</v>
      </c>
      <c r="F47" s="6">
        <v>776.65325900000005</v>
      </c>
      <c r="G47" s="7">
        <v>8.6978890000000003E-3</v>
      </c>
      <c r="H47" s="6"/>
    </row>
    <row r="48" spans="1:8" ht="17.100000000000001" customHeight="1" x14ac:dyDescent="0.2">
      <c r="A48" s="3">
        <v>42</v>
      </c>
      <c r="B48" s="4" t="s">
        <v>380</v>
      </c>
      <c r="C48" s="4" t="s">
        <v>381</v>
      </c>
      <c r="D48" s="4" t="s">
        <v>85</v>
      </c>
      <c r="E48" s="5">
        <v>6000</v>
      </c>
      <c r="F48" s="6">
        <v>776.04</v>
      </c>
      <c r="G48" s="7">
        <v>8.6910210000000002E-3</v>
      </c>
      <c r="H48" s="6"/>
    </row>
    <row r="49" spans="1:8" ht="17.100000000000001" customHeight="1" x14ac:dyDescent="0.2">
      <c r="A49" s="3">
        <v>43</v>
      </c>
      <c r="B49" s="4" t="s">
        <v>388</v>
      </c>
      <c r="C49" s="4" t="s">
        <v>389</v>
      </c>
      <c r="D49" s="4" t="s">
        <v>95</v>
      </c>
      <c r="E49" s="5">
        <v>80545</v>
      </c>
      <c r="F49" s="6">
        <v>742.866535</v>
      </c>
      <c r="G49" s="7">
        <v>8.3195049999999996E-3</v>
      </c>
      <c r="H49" s="6"/>
    </row>
    <row r="50" spans="1:8" ht="17.100000000000001" customHeight="1" x14ac:dyDescent="0.2">
      <c r="A50" s="3">
        <v>44</v>
      </c>
      <c r="B50" s="4" t="s">
        <v>556</v>
      </c>
      <c r="C50" s="4" t="s">
        <v>557</v>
      </c>
      <c r="D50" s="4" t="s">
        <v>396</v>
      </c>
      <c r="E50" s="5">
        <v>68000</v>
      </c>
      <c r="F50" s="6">
        <v>721.92200000000003</v>
      </c>
      <c r="G50" s="7">
        <v>8.0849430000000007E-3</v>
      </c>
      <c r="H50" s="6"/>
    </row>
    <row r="51" spans="1:8" ht="29.1" customHeight="1" x14ac:dyDescent="0.2">
      <c r="A51" s="3">
        <v>45</v>
      </c>
      <c r="B51" s="4" t="s">
        <v>344</v>
      </c>
      <c r="C51" s="4" t="s">
        <v>345</v>
      </c>
      <c r="D51" s="4" t="s">
        <v>198</v>
      </c>
      <c r="E51" s="5">
        <v>79880</v>
      </c>
      <c r="F51" s="6">
        <v>720.99688000000003</v>
      </c>
      <c r="G51" s="7">
        <v>8.0745820000000003E-3</v>
      </c>
      <c r="H51" s="6"/>
    </row>
    <row r="52" spans="1:8" ht="17.100000000000001" customHeight="1" x14ac:dyDescent="0.2">
      <c r="A52" s="3">
        <v>46</v>
      </c>
      <c r="B52" s="4" t="s">
        <v>638</v>
      </c>
      <c r="C52" s="4" t="s">
        <v>639</v>
      </c>
      <c r="D52" s="4" t="s">
        <v>994</v>
      </c>
      <c r="E52" s="5">
        <v>17000</v>
      </c>
      <c r="F52" s="6">
        <v>664.95500000000004</v>
      </c>
      <c r="G52" s="7">
        <v>7.446958E-3</v>
      </c>
      <c r="H52" s="6"/>
    </row>
    <row r="53" spans="1:8" ht="17.100000000000001" customHeight="1" x14ac:dyDescent="0.2">
      <c r="A53" s="3">
        <v>47</v>
      </c>
      <c r="B53" s="4" t="s">
        <v>113</v>
      </c>
      <c r="C53" s="4" t="s">
        <v>114</v>
      </c>
      <c r="D53" s="4" t="s">
        <v>92</v>
      </c>
      <c r="E53" s="5">
        <v>82001</v>
      </c>
      <c r="F53" s="6">
        <v>660.72305749999998</v>
      </c>
      <c r="G53" s="7">
        <v>7.399564E-3</v>
      </c>
      <c r="H53" s="6"/>
    </row>
    <row r="54" spans="1:8" ht="29.1" customHeight="1" x14ac:dyDescent="0.2">
      <c r="A54" s="3">
        <v>48</v>
      </c>
      <c r="B54" s="4" t="s">
        <v>521</v>
      </c>
      <c r="C54" s="4" t="s">
        <v>522</v>
      </c>
      <c r="D54" s="4" t="s">
        <v>198</v>
      </c>
      <c r="E54" s="5">
        <v>63000</v>
      </c>
      <c r="F54" s="6">
        <v>625.55849999999998</v>
      </c>
      <c r="G54" s="7">
        <v>7.0057490000000004E-3</v>
      </c>
      <c r="H54" s="6"/>
    </row>
    <row r="55" spans="1:8" ht="17.100000000000001" customHeight="1" x14ac:dyDescent="0.2">
      <c r="A55" s="3">
        <v>49</v>
      </c>
      <c r="B55" s="4" t="s">
        <v>541</v>
      </c>
      <c r="C55" s="4" t="s">
        <v>542</v>
      </c>
      <c r="D55" s="4" t="s">
        <v>994</v>
      </c>
      <c r="E55" s="5">
        <v>45851</v>
      </c>
      <c r="F55" s="6">
        <v>609.17638599999998</v>
      </c>
      <c r="G55" s="7">
        <v>6.8222830000000002E-3</v>
      </c>
      <c r="H55" s="6"/>
    </row>
    <row r="56" spans="1:8" ht="29.1" customHeight="1" x14ac:dyDescent="0.2">
      <c r="A56" s="3">
        <v>50</v>
      </c>
      <c r="B56" s="4" t="s">
        <v>449</v>
      </c>
      <c r="C56" s="4" t="s">
        <v>450</v>
      </c>
      <c r="D56" s="4" t="s">
        <v>198</v>
      </c>
      <c r="E56" s="5">
        <v>14839</v>
      </c>
      <c r="F56" s="6">
        <v>532.91300699999999</v>
      </c>
      <c r="G56" s="7">
        <v>5.9681949999999999E-3</v>
      </c>
      <c r="H56" s="6"/>
    </row>
    <row r="57" spans="1:8" ht="17.100000000000001" customHeight="1" x14ac:dyDescent="0.2">
      <c r="A57" s="3">
        <v>51</v>
      </c>
      <c r="B57" s="4" t="s">
        <v>386</v>
      </c>
      <c r="C57" s="4" t="s">
        <v>387</v>
      </c>
      <c r="D57" s="4" t="s">
        <v>239</v>
      </c>
      <c r="E57" s="5">
        <v>200000</v>
      </c>
      <c r="F57" s="6">
        <v>476.1</v>
      </c>
      <c r="G57" s="7">
        <v>5.3319350000000003E-3</v>
      </c>
      <c r="H57" s="6"/>
    </row>
    <row r="58" spans="1:8" ht="17.100000000000001" customHeight="1" x14ac:dyDescent="0.2">
      <c r="A58" s="3">
        <v>52</v>
      </c>
      <c r="B58" s="4" t="s">
        <v>433</v>
      </c>
      <c r="C58" s="4" t="s">
        <v>434</v>
      </c>
      <c r="D58" s="4" t="s">
        <v>106</v>
      </c>
      <c r="E58" s="5">
        <v>42773</v>
      </c>
      <c r="F58" s="6">
        <v>451.53317449999997</v>
      </c>
      <c r="G58" s="7">
        <v>5.056807E-3</v>
      </c>
      <c r="H58" s="6"/>
    </row>
    <row r="59" spans="1:8" ht="29.1" customHeight="1" x14ac:dyDescent="0.2">
      <c r="A59" s="3">
        <v>53</v>
      </c>
      <c r="B59" s="4" t="s">
        <v>708</v>
      </c>
      <c r="C59" s="4" t="s">
        <v>709</v>
      </c>
      <c r="D59" s="4" t="s">
        <v>198</v>
      </c>
      <c r="E59" s="5">
        <v>10000</v>
      </c>
      <c r="F59" s="6">
        <v>436.96499999999997</v>
      </c>
      <c r="G59" s="7">
        <v>4.8936550000000002E-3</v>
      </c>
      <c r="H59" s="6"/>
    </row>
    <row r="60" spans="1:8" ht="17.100000000000001" customHeight="1" x14ac:dyDescent="0.2">
      <c r="A60" s="3">
        <v>54</v>
      </c>
      <c r="B60" s="4" t="s">
        <v>421</v>
      </c>
      <c r="C60" s="4" t="s">
        <v>422</v>
      </c>
      <c r="D60" s="4" t="s">
        <v>994</v>
      </c>
      <c r="E60" s="5">
        <v>91000</v>
      </c>
      <c r="F60" s="6">
        <v>435.02550000000002</v>
      </c>
      <c r="G60" s="7">
        <v>4.8719339999999996E-3</v>
      </c>
      <c r="H60" s="6"/>
    </row>
    <row r="61" spans="1:8" ht="17.100000000000001" customHeight="1" x14ac:dyDescent="0.2">
      <c r="A61" s="3">
        <v>55</v>
      </c>
      <c r="B61" s="4" t="s">
        <v>543</v>
      </c>
      <c r="C61" s="4" t="s">
        <v>544</v>
      </c>
      <c r="D61" s="4" t="s">
        <v>181</v>
      </c>
      <c r="E61" s="5">
        <v>55010</v>
      </c>
      <c r="F61" s="6">
        <v>376.84600499999999</v>
      </c>
      <c r="G61" s="7">
        <v>4.2203709999999997E-3</v>
      </c>
      <c r="H61" s="6"/>
    </row>
    <row r="62" spans="1:8" ht="17.100000000000001" customHeight="1" x14ac:dyDescent="0.2">
      <c r="A62" s="3">
        <v>56</v>
      </c>
      <c r="B62" s="4" t="s">
        <v>733</v>
      </c>
      <c r="C62" s="4" t="s">
        <v>734</v>
      </c>
      <c r="D62" s="4" t="s">
        <v>302</v>
      </c>
      <c r="E62" s="5">
        <v>370890</v>
      </c>
      <c r="F62" s="6">
        <v>276.86938500000002</v>
      </c>
      <c r="G62" s="7">
        <v>3.1007130000000002E-3</v>
      </c>
      <c r="H62" s="6"/>
    </row>
    <row r="63" spans="1:8" ht="17.100000000000001" customHeight="1" x14ac:dyDescent="0.2">
      <c r="A63" s="3">
        <v>57</v>
      </c>
      <c r="B63" s="4" t="s">
        <v>330</v>
      </c>
      <c r="C63" s="4" t="s">
        <v>331</v>
      </c>
      <c r="D63" s="4" t="s">
        <v>994</v>
      </c>
      <c r="E63" s="5">
        <v>9000</v>
      </c>
      <c r="F63" s="6">
        <v>274.2885</v>
      </c>
      <c r="G63" s="7">
        <v>3.071809E-3</v>
      </c>
      <c r="H63" s="6"/>
    </row>
    <row r="64" spans="1:8" ht="17.100000000000001" customHeight="1" x14ac:dyDescent="0.2">
      <c r="A64" s="3">
        <v>58</v>
      </c>
      <c r="B64" s="4" t="s">
        <v>586</v>
      </c>
      <c r="C64" s="4" t="s">
        <v>587</v>
      </c>
      <c r="D64" s="4" t="s">
        <v>302</v>
      </c>
      <c r="E64" s="5">
        <v>8126</v>
      </c>
      <c r="F64" s="6">
        <v>81.780063999999996</v>
      </c>
      <c r="G64" s="7">
        <v>9.1587099999999996E-4</v>
      </c>
      <c r="H64" s="6"/>
    </row>
    <row r="65" spans="1:15" ht="14.1" customHeight="1" x14ac:dyDescent="0.2">
      <c r="A65" s="1"/>
      <c r="B65" s="1"/>
      <c r="C65" s="2" t="s">
        <v>119</v>
      </c>
      <c r="D65" s="1"/>
      <c r="E65" s="1" t="s">
        <v>120</v>
      </c>
      <c r="F65" s="9">
        <v>87230.366806500009</v>
      </c>
      <c r="G65" s="10">
        <v>0.97690958899999991</v>
      </c>
      <c r="H65" s="6"/>
    </row>
    <row r="66" spans="1:15" ht="14.1" customHeight="1" x14ac:dyDescent="0.2">
      <c r="A66" s="1"/>
      <c r="B66" s="1"/>
      <c r="C66" s="11"/>
      <c r="D66" s="1"/>
      <c r="E66" s="1"/>
      <c r="F66" s="12"/>
      <c r="G66" s="12"/>
      <c r="H66" s="6"/>
    </row>
    <row r="67" spans="1:15" ht="14.1" customHeight="1" x14ac:dyDescent="0.2">
      <c r="A67" s="1"/>
      <c r="B67" s="1"/>
      <c r="C67" s="2" t="s">
        <v>121</v>
      </c>
      <c r="D67" s="1"/>
      <c r="E67" s="1"/>
      <c r="F67" s="1"/>
      <c r="G67" s="1"/>
      <c r="H67" s="6"/>
      <c r="J67" s="103"/>
      <c r="K67" s="103"/>
      <c r="L67" s="103"/>
      <c r="M67" s="103"/>
      <c r="N67" s="103"/>
      <c r="O67" s="103"/>
    </row>
    <row r="68" spans="1:15" ht="14.1" customHeight="1" x14ac:dyDescent="0.2">
      <c r="A68" s="1"/>
      <c r="B68" s="1"/>
      <c r="C68" s="2" t="s">
        <v>119</v>
      </c>
      <c r="D68" s="1"/>
      <c r="E68" s="1" t="s">
        <v>120</v>
      </c>
      <c r="F68" s="13">
        <v>0</v>
      </c>
      <c r="G68" s="14">
        <v>0</v>
      </c>
      <c r="H68" s="6"/>
    </row>
    <row r="69" spans="1:15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15" ht="14.1" customHeight="1" x14ac:dyDescent="0.2">
      <c r="A70" s="1"/>
      <c r="B70" s="1"/>
      <c r="C70" s="2" t="s">
        <v>122</v>
      </c>
      <c r="D70" s="1"/>
      <c r="E70" s="1"/>
      <c r="F70" s="1"/>
      <c r="G70" s="1"/>
      <c r="H70" s="6"/>
    </row>
    <row r="71" spans="1:15" ht="17.100000000000001" customHeight="1" x14ac:dyDescent="0.2">
      <c r="A71" s="3">
        <v>1</v>
      </c>
      <c r="B71" s="4" t="s">
        <v>668</v>
      </c>
      <c r="C71" s="4" t="s">
        <v>1060</v>
      </c>
      <c r="D71" s="4" t="s">
        <v>186</v>
      </c>
      <c r="E71" s="5">
        <v>374002</v>
      </c>
      <c r="F71" s="6">
        <v>23.412525200000001</v>
      </c>
      <c r="G71" s="7">
        <v>2.6220099999999999E-4</v>
      </c>
      <c r="H71" s="6"/>
    </row>
    <row r="72" spans="1:15" ht="17.100000000000001" customHeight="1" x14ac:dyDescent="0.2">
      <c r="A72" s="3">
        <v>2</v>
      </c>
      <c r="B72" s="4" t="s">
        <v>675</v>
      </c>
      <c r="C72" s="4" t="s">
        <v>1072</v>
      </c>
      <c r="D72" s="4"/>
      <c r="E72" s="5">
        <v>200000</v>
      </c>
      <c r="F72" s="6">
        <v>1.9999999999999999E-6</v>
      </c>
      <c r="G72" s="8" t="s">
        <v>118</v>
      </c>
      <c r="H72" s="6"/>
    </row>
    <row r="73" spans="1:15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23.4125272</v>
      </c>
      <c r="G73" s="14">
        <v>2.6220099999999999E-4</v>
      </c>
      <c r="H73" s="6"/>
    </row>
    <row r="74" spans="1:15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15" ht="14.1" customHeight="1" x14ac:dyDescent="0.2">
      <c r="A75" s="1"/>
      <c r="B75" s="1"/>
      <c r="C75" s="2" t="s">
        <v>123</v>
      </c>
      <c r="D75" s="1"/>
      <c r="E75" s="1"/>
      <c r="F75" s="1"/>
      <c r="G75" s="1"/>
      <c r="H75" s="6"/>
    </row>
    <row r="76" spans="1:15" ht="14.1" customHeight="1" x14ac:dyDescent="0.2">
      <c r="A76" s="1"/>
      <c r="B76" s="1"/>
      <c r="C76" s="2" t="s">
        <v>119</v>
      </c>
      <c r="D76" s="1"/>
      <c r="E76" s="1" t="s">
        <v>120</v>
      </c>
      <c r="F76" s="9">
        <v>0</v>
      </c>
      <c r="G76" s="10">
        <v>0</v>
      </c>
      <c r="H76" s="6"/>
    </row>
    <row r="77" spans="1:15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15" ht="14.1" customHeight="1" x14ac:dyDescent="0.2">
      <c r="A78" s="1"/>
      <c r="B78" s="1"/>
      <c r="C78" s="2" t="s">
        <v>124</v>
      </c>
      <c r="D78" s="1"/>
      <c r="E78" s="1"/>
      <c r="F78" s="12"/>
      <c r="G78" s="12"/>
      <c r="H78" s="6"/>
    </row>
    <row r="79" spans="1:15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15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125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8" customHeight="1" x14ac:dyDescent="0.2">
      <c r="A84" s="1"/>
      <c r="B84" s="1"/>
      <c r="C84" s="2" t="s">
        <v>126</v>
      </c>
      <c r="D84" s="1"/>
      <c r="E84" s="1"/>
      <c r="F84" s="9">
        <v>87253.779333700004</v>
      </c>
      <c r="G84" s="10">
        <v>0.97717178999999998</v>
      </c>
      <c r="H84" s="6"/>
    </row>
    <row r="85" spans="1:8" ht="14.1" customHeight="1" x14ac:dyDescent="0.2">
      <c r="A85" s="1"/>
      <c r="B85" s="1"/>
      <c r="C85" s="11"/>
      <c r="D85" s="1"/>
      <c r="E85" s="1"/>
      <c r="F85" s="12"/>
      <c r="G85" s="12"/>
      <c r="H85" s="6"/>
    </row>
    <row r="86" spans="1:8" ht="14.1" customHeight="1" x14ac:dyDescent="0.2">
      <c r="A86" s="1"/>
      <c r="B86" s="1"/>
      <c r="C86" s="2" t="s">
        <v>127</v>
      </c>
      <c r="D86" s="1"/>
      <c r="E86" s="1"/>
      <c r="F86" s="12"/>
      <c r="G86" s="12"/>
      <c r="H86" s="6"/>
    </row>
    <row r="87" spans="1:8" ht="24" customHeight="1" x14ac:dyDescent="0.2">
      <c r="A87" s="1"/>
      <c r="B87" s="1"/>
      <c r="C87" s="2" t="s">
        <v>10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128</v>
      </c>
      <c r="D90" s="1"/>
      <c r="E90" s="1"/>
      <c r="F90" s="1"/>
      <c r="G90" s="1"/>
      <c r="H90" s="6"/>
    </row>
    <row r="91" spans="1:8" ht="14.1" customHeight="1" x14ac:dyDescent="0.2">
      <c r="A91" s="1"/>
      <c r="B91" s="1"/>
      <c r="C91" s="2" t="s">
        <v>119</v>
      </c>
      <c r="D91" s="1"/>
      <c r="E91" s="1" t="s">
        <v>120</v>
      </c>
      <c r="F91" s="13">
        <v>0</v>
      </c>
      <c r="G91" s="14">
        <v>0</v>
      </c>
      <c r="H91" s="6"/>
    </row>
    <row r="92" spans="1:8" ht="14.1" customHeight="1" x14ac:dyDescent="0.2">
      <c r="A92" s="1"/>
      <c r="B92" s="1"/>
      <c r="C92" s="11"/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129</v>
      </c>
      <c r="D93" s="1"/>
      <c r="E93" s="1"/>
      <c r="F93" s="1"/>
      <c r="G93" s="1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130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131</v>
      </c>
      <c r="D99" s="1"/>
      <c r="E99" s="1"/>
      <c r="F99" s="9">
        <v>0</v>
      </c>
      <c r="G99" s="10">
        <v>0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132</v>
      </c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133</v>
      </c>
      <c r="D102" s="1"/>
      <c r="E102" s="1"/>
      <c r="F102" s="12"/>
      <c r="G102" s="12"/>
      <c r="H102" s="6"/>
    </row>
    <row r="103" spans="1:8" ht="14.1" customHeight="1" x14ac:dyDescent="0.2">
      <c r="A103" s="1"/>
      <c r="B103" s="1"/>
      <c r="C103" s="2" t="s">
        <v>119</v>
      </c>
      <c r="D103" s="1"/>
      <c r="E103" s="1" t="s">
        <v>120</v>
      </c>
      <c r="F103" s="13">
        <v>0</v>
      </c>
      <c r="G103" s="14">
        <v>0</v>
      </c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14.1" customHeight="1" x14ac:dyDescent="0.2">
      <c r="A105" s="1"/>
      <c r="B105" s="1"/>
      <c r="C105" s="2" t="s">
        <v>134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1"/>
      <c r="C108" s="2" t="s">
        <v>135</v>
      </c>
      <c r="D108" s="1"/>
      <c r="E108" s="1"/>
      <c r="F108" s="12"/>
      <c r="G108" s="12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2" t="s">
        <v>136</v>
      </c>
      <c r="D111" s="1"/>
      <c r="E111" s="1"/>
      <c r="F111" s="12"/>
      <c r="G111" s="12"/>
      <c r="H111" s="6"/>
    </row>
    <row r="112" spans="1:8" ht="17.100000000000001" customHeight="1" x14ac:dyDescent="0.2">
      <c r="A112" s="3">
        <v>1</v>
      </c>
      <c r="B112" s="4"/>
      <c r="C112" s="4" t="s">
        <v>137</v>
      </c>
      <c r="D112" s="4"/>
      <c r="E112" s="8"/>
      <c r="F112" s="6">
        <v>2015.5628564000001</v>
      </c>
      <c r="G112" s="7">
        <v>2.2572674000000001E-2</v>
      </c>
      <c r="H112" s="6">
        <v>4.1713246754849944</v>
      </c>
    </row>
    <row r="113" spans="1:8" ht="14.1" customHeight="1" x14ac:dyDescent="0.2">
      <c r="A113" s="1"/>
      <c r="B113" s="1"/>
      <c r="C113" s="2" t="s">
        <v>119</v>
      </c>
      <c r="D113" s="1"/>
      <c r="E113" s="1" t="s">
        <v>120</v>
      </c>
      <c r="F113" s="9">
        <v>2015.5628564000001</v>
      </c>
      <c r="G113" s="10">
        <v>2.2572674000000001E-2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4.1" customHeight="1" x14ac:dyDescent="0.2">
      <c r="A115" s="1"/>
      <c r="B115" s="1"/>
      <c r="C115" s="2" t="s">
        <v>138</v>
      </c>
      <c r="D115" s="1"/>
      <c r="E115" s="1"/>
      <c r="F115" s="9">
        <v>2015.5628564000001</v>
      </c>
      <c r="G115" s="10">
        <v>2.2572674000000001E-2</v>
      </c>
      <c r="H115" s="6"/>
    </row>
    <row r="116" spans="1:8" ht="14.1" customHeight="1" x14ac:dyDescent="0.2">
      <c r="A116" s="1"/>
      <c r="B116" s="1"/>
      <c r="C116" s="12"/>
      <c r="D116" s="1"/>
      <c r="E116" s="1"/>
      <c r="F116" s="1"/>
      <c r="G116" s="1"/>
      <c r="H116" s="6"/>
    </row>
    <row r="117" spans="1:8" ht="14.1" customHeight="1" x14ac:dyDescent="0.2">
      <c r="A117" s="1"/>
      <c r="B117" s="1"/>
      <c r="C117" s="2" t="s">
        <v>139</v>
      </c>
      <c r="D117" s="1"/>
      <c r="E117" s="1"/>
      <c r="F117" s="1"/>
      <c r="G117" s="1"/>
      <c r="H117" s="6"/>
    </row>
    <row r="118" spans="1:8" ht="14.1" customHeight="1" x14ac:dyDescent="0.2">
      <c r="A118" s="1"/>
      <c r="B118" s="1"/>
      <c r="C118" s="2" t="s">
        <v>140</v>
      </c>
      <c r="D118" s="1"/>
      <c r="E118" s="1"/>
      <c r="F118" s="1"/>
      <c r="G118" s="1"/>
      <c r="H118" s="6"/>
    </row>
    <row r="119" spans="1:8" ht="14.1" customHeight="1" x14ac:dyDescent="0.2">
      <c r="A119" s="1"/>
      <c r="B119" s="1"/>
      <c r="C119" s="2" t="s">
        <v>119</v>
      </c>
      <c r="D119" s="1"/>
      <c r="E119" s="1" t="s">
        <v>120</v>
      </c>
      <c r="F119" s="13">
        <v>0</v>
      </c>
      <c r="G119" s="14">
        <v>0</v>
      </c>
      <c r="H119" s="6"/>
    </row>
    <row r="120" spans="1:8" ht="14.1" customHeight="1" x14ac:dyDescent="0.2">
      <c r="A120" s="1"/>
      <c r="B120" s="1"/>
      <c r="C120" s="11"/>
      <c r="D120" s="1"/>
      <c r="E120" s="1"/>
      <c r="F120" s="12"/>
      <c r="G120" s="12"/>
      <c r="H120" s="6"/>
    </row>
    <row r="121" spans="1:8" ht="14.1" customHeight="1" x14ac:dyDescent="0.2">
      <c r="A121" s="1"/>
      <c r="B121" s="1"/>
      <c r="C121" s="2" t="s">
        <v>141</v>
      </c>
      <c r="D121" s="1"/>
      <c r="E121" s="1"/>
      <c r="F121" s="1"/>
      <c r="G121" s="1"/>
      <c r="H121" s="6"/>
    </row>
    <row r="122" spans="1:8" ht="14.1" customHeight="1" x14ac:dyDescent="0.2">
      <c r="A122" s="1"/>
      <c r="B122" s="1"/>
      <c r="C122" s="2" t="s">
        <v>142</v>
      </c>
      <c r="D122" s="1"/>
      <c r="E122" s="1"/>
      <c r="F122" s="1"/>
      <c r="G122" s="1"/>
      <c r="H122" s="6"/>
    </row>
    <row r="123" spans="1:8" ht="14.1" customHeight="1" x14ac:dyDescent="0.2">
      <c r="A123" s="1"/>
      <c r="B123" s="1"/>
      <c r="C123" s="2" t="s">
        <v>119</v>
      </c>
      <c r="D123" s="1"/>
      <c r="E123" s="1" t="s">
        <v>120</v>
      </c>
      <c r="F123" s="13">
        <v>0</v>
      </c>
      <c r="G123" s="14">
        <v>0</v>
      </c>
      <c r="H123" s="6"/>
    </row>
    <row r="124" spans="1:8" ht="14.1" customHeight="1" x14ac:dyDescent="0.2">
      <c r="A124" s="1"/>
      <c r="B124" s="1"/>
      <c r="C124" s="11"/>
      <c r="D124" s="1"/>
      <c r="E124" s="1"/>
      <c r="F124" s="12"/>
      <c r="G124" s="12"/>
      <c r="H124" s="6"/>
    </row>
    <row r="125" spans="1:8" ht="14.1" customHeight="1" x14ac:dyDescent="0.2">
      <c r="A125" s="1"/>
      <c r="B125" s="1"/>
      <c r="C125" s="11"/>
      <c r="D125" s="1"/>
      <c r="E125" s="1"/>
      <c r="F125" s="12"/>
      <c r="G125" s="12"/>
      <c r="H125" s="6"/>
    </row>
    <row r="126" spans="1:8" ht="24" customHeight="1" x14ac:dyDescent="0.2">
      <c r="A126" s="1"/>
      <c r="B126" s="1"/>
      <c r="C126" s="2" t="s">
        <v>143</v>
      </c>
      <c r="D126" s="1"/>
      <c r="E126" s="1"/>
      <c r="F126" s="12"/>
      <c r="G126" s="12"/>
      <c r="H126" s="6"/>
    </row>
    <row r="127" spans="1:8" ht="14.1" customHeight="1" x14ac:dyDescent="0.2">
      <c r="A127" s="1"/>
      <c r="B127" s="1"/>
      <c r="C127" s="2" t="s">
        <v>119</v>
      </c>
      <c r="D127" s="1"/>
      <c r="E127" s="1" t="s">
        <v>120</v>
      </c>
      <c r="F127" s="13">
        <v>0</v>
      </c>
      <c r="G127" s="14">
        <v>0</v>
      </c>
      <c r="H127" s="6"/>
    </row>
    <row r="128" spans="1:8" ht="14.1" customHeight="1" x14ac:dyDescent="0.2">
      <c r="A128" s="1"/>
      <c r="B128" s="1"/>
      <c r="C128" s="11"/>
      <c r="D128" s="1"/>
      <c r="E128" s="1"/>
      <c r="F128" s="12"/>
      <c r="G128" s="12"/>
      <c r="H128" s="6"/>
    </row>
    <row r="129" spans="1:15" ht="14.1" customHeight="1" x14ac:dyDescent="0.2">
      <c r="A129" s="1"/>
      <c r="B129" s="4"/>
      <c r="C129" s="4"/>
      <c r="D129" s="2"/>
      <c r="E129" s="1"/>
      <c r="F129" s="4"/>
      <c r="G129" s="8"/>
      <c r="H129" s="6"/>
    </row>
    <row r="130" spans="1:15" ht="18" customHeight="1" x14ac:dyDescent="0.2">
      <c r="A130" s="8"/>
      <c r="B130" s="4"/>
      <c r="C130" s="4" t="s">
        <v>144</v>
      </c>
      <c r="D130" s="4"/>
      <c r="E130" s="8"/>
      <c r="F130" s="6">
        <v>22.817592680000001</v>
      </c>
      <c r="G130" s="7">
        <v>2.5553899999999999E-4</v>
      </c>
      <c r="H130" s="6"/>
    </row>
    <row r="131" spans="1:15" ht="14.1" customHeight="1" x14ac:dyDescent="0.2">
      <c r="A131" s="11"/>
      <c r="B131" s="11"/>
      <c r="C131" s="2" t="s">
        <v>145</v>
      </c>
      <c r="D131" s="15"/>
      <c r="E131" s="15"/>
      <c r="F131" s="9">
        <v>89292.15978278</v>
      </c>
      <c r="G131" s="10">
        <v>1.000000003</v>
      </c>
      <c r="H131" s="6"/>
    </row>
    <row r="132" spans="1:15" ht="14.1" customHeight="1" x14ac:dyDescent="0.2">
      <c r="A132" s="18"/>
      <c r="B132" s="267" t="s">
        <v>120</v>
      </c>
      <c r="C132" s="267"/>
      <c r="D132" s="267"/>
      <c r="E132" s="267"/>
      <c r="F132" s="267"/>
      <c r="G132" s="20"/>
    </row>
    <row r="133" spans="1:15" ht="17.100000000000001" customHeight="1" x14ac:dyDescent="0.2">
      <c r="A133" s="18"/>
      <c r="B133" s="267" t="s">
        <v>146</v>
      </c>
      <c r="C133" s="267"/>
      <c r="D133" s="267"/>
      <c r="E133" s="267"/>
      <c r="F133" s="267"/>
      <c r="G133" s="20"/>
    </row>
    <row r="134" spans="1:15" ht="14.1" customHeight="1" x14ac:dyDescent="0.2">
      <c r="A134" s="18"/>
      <c r="B134" s="18"/>
      <c r="C134" s="18"/>
      <c r="D134" s="20"/>
      <c r="E134" s="20"/>
      <c r="F134" s="20"/>
      <c r="G134" s="20"/>
    </row>
    <row r="135" spans="1:15" ht="14.1" customHeight="1" x14ac:dyDescent="0.2">
      <c r="A135" s="18"/>
      <c r="B135" s="265" t="s">
        <v>147</v>
      </c>
      <c r="C135" s="266"/>
      <c r="D135" s="12" t="s">
        <v>120</v>
      </c>
      <c r="E135" s="21"/>
      <c r="F135" s="20"/>
      <c r="G135" s="20"/>
    </row>
    <row r="136" spans="1:15" ht="29.1" customHeight="1" x14ac:dyDescent="0.2">
      <c r="A136" s="18"/>
      <c r="B136" s="272" t="s">
        <v>148</v>
      </c>
      <c r="C136" s="273"/>
      <c r="D136" s="2" t="s">
        <v>1101</v>
      </c>
      <c r="E136" s="21"/>
      <c r="F136" s="20"/>
      <c r="G136" s="20"/>
    </row>
    <row r="137" spans="1:15" ht="17.100000000000001" customHeight="1" x14ac:dyDescent="0.2">
      <c r="A137" s="18"/>
      <c r="B137" s="272" t="s">
        <v>997</v>
      </c>
      <c r="C137" s="273"/>
      <c r="D137" s="111" t="s">
        <v>1075</v>
      </c>
      <c r="E137" s="21"/>
      <c r="F137" s="20"/>
      <c r="G137" s="20"/>
    </row>
    <row r="138" spans="1:15" ht="17.100000000000001" customHeight="1" x14ac:dyDescent="0.2">
      <c r="A138" s="18"/>
      <c r="B138" s="272" t="s">
        <v>151</v>
      </c>
      <c r="C138" s="273"/>
      <c r="D138" s="12" t="s">
        <v>120</v>
      </c>
      <c r="E138" s="21"/>
      <c r="F138" s="20"/>
      <c r="G138" s="20"/>
    </row>
    <row r="139" spans="1:15" ht="24" customHeight="1" x14ac:dyDescent="0.2">
      <c r="A139" s="22"/>
      <c r="B139" s="23" t="s">
        <v>120</v>
      </c>
      <c r="C139" s="23" t="s">
        <v>152</v>
      </c>
      <c r="D139" s="23" t="s">
        <v>153</v>
      </c>
      <c r="E139" s="22"/>
      <c r="F139" s="22"/>
      <c r="G139" s="22"/>
    </row>
    <row r="140" spans="1:15" ht="18" customHeight="1" x14ac:dyDescent="0.2">
      <c r="A140" s="22"/>
      <c r="B140" s="23" t="s">
        <v>154</v>
      </c>
      <c r="C140" s="23" t="s">
        <v>155</v>
      </c>
      <c r="D140" s="23" t="s">
        <v>156</v>
      </c>
      <c r="E140" s="22"/>
      <c r="F140" s="22"/>
      <c r="G140" s="22"/>
      <c r="J140" s="103"/>
      <c r="K140" s="103"/>
      <c r="L140" s="103"/>
      <c r="M140" s="103"/>
      <c r="N140" s="103"/>
      <c r="O140" s="103"/>
    </row>
    <row r="141" spans="1:15" ht="17.100000000000001" customHeight="1" x14ac:dyDescent="0.2">
      <c r="A141" s="22"/>
      <c r="B141" s="4" t="s">
        <v>157</v>
      </c>
      <c r="C141" s="24">
        <v>337.44470000000001</v>
      </c>
      <c r="D141" s="24">
        <v>327.60210000000001</v>
      </c>
      <c r="E141" s="22"/>
      <c r="F141" s="19"/>
      <c r="G141" s="25"/>
    </row>
    <row r="142" spans="1:15" ht="29.1" customHeight="1" x14ac:dyDescent="0.2">
      <c r="A142" s="22"/>
      <c r="B142" s="4" t="s">
        <v>1123</v>
      </c>
      <c r="C142" s="24">
        <v>337.34550000000002</v>
      </c>
      <c r="D142" s="24">
        <v>327.48320000000001</v>
      </c>
      <c r="E142" s="22"/>
      <c r="F142" s="19"/>
      <c r="G142" s="25"/>
    </row>
    <row r="143" spans="1:15" ht="17.100000000000001" customHeight="1" x14ac:dyDescent="0.2">
      <c r="A143" s="22"/>
      <c r="B143" s="4" t="s">
        <v>158</v>
      </c>
      <c r="C143" s="24">
        <v>321.35579999999999</v>
      </c>
      <c r="D143" s="24">
        <v>311.85770000000002</v>
      </c>
      <c r="E143" s="22"/>
      <c r="F143" s="19"/>
      <c r="G143" s="25"/>
    </row>
    <row r="144" spans="1:15" ht="29.1" customHeight="1" x14ac:dyDescent="0.2">
      <c r="A144" s="22"/>
      <c r="B144" s="4" t="s">
        <v>1124</v>
      </c>
      <c r="C144" s="24">
        <v>321.35599999999999</v>
      </c>
      <c r="D144" s="24">
        <v>311.84910000000002</v>
      </c>
      <c r="E144" s="22"/>
      <c r="F144" s="19"/>
      <c r="G144" s="25"/>
      <c r="J144" s="170"/>
      <c r="K144" s="170"/>
      <c r="L144" s="170"/>
      <c r="M144" s="170"/>
      <c r="N144" s="170"/>
      <c r="O144" s="170"/>
    </row>
    <row r="145" spans="1:7" ht="14.1" customHeight="1" x14ac:dyDescent="0.2">
      <c r="A145" s="22"/>
      <c r="B145" s="22"/>
      <c r="C145" s="22"/>
      <c r="D145" s="22"/>
      <c r="E145" s="22"/>
      <c r="F145" s="22"/>
      <c r="G145" s="22"/>
    </row>
    <row r="146" spans="1:7" ht="17.100000000000001" customHeight="1" x14ac:dyDescent="0.2">
      <c r="A146" s="22"/>
      <c r="B146" s="272" t="s">
        <v>1122</v>
      </c>
      <c r="C146" s="273"/>
      <c r="D146" s="2" t="s">
        <v>149</v>
      </c>
      <c r="E146" s="22"/>
      <c r="F146" s="22"/>
      <c r="G146" s="22"/>
    </row>
    <row r="147" spans="1:7" ht="14.1" customHeight="1" x14ac:dyDescent="0.2">
      <c r="A147" s="22"/>
      <c r="B147" s="19"/>
      <c r="C147" s="19"/>
      <c r="D147" s="22"/>
      <c r="E147" s="22"/>
      <c r="F147" s="22"/>
      <c r="G147" s="22"/>
    </row>
    <row r="148" spans="1:7" ht="29.1" customHeight="1" x14ac:dyDescent="0.2">
      <c r="A148" s="22"/>
      <c r="B148" s="272" t="s">
        <v>160</v>
      </c>
      <c r="C148" s="273"/>
      <c r="D148" s="2" t="s">
        <v>149</v>
      </c>
      <c r="E148" s="22"/>
      <c r="F148" s="22"/>
      <c r="G148" s="22"/>
    </row>
    <row r="149" spans="1:7" ht="29.1" customHeight="1" x14ac:dyDescent="0.2">
      <c r="A149" s="22"/>
      <c r="B149" s="272" t="s">
        <v>161</v>
      </c>
      <c r="C149" s="273"/>
      <c r="D149" s="2" t="s">
        <v>149</v>
      </c>
      <c r="E149" s="22"/>
      <c r="F149" s="22"/>
      <c r="G149" s="22"/>
    </row>
    <row r="150" spans="1:7" ht="17.100000000000001" customHeight="1" x14ac:dyDescent="0.2">
      <c r="A150" s="22"/>
      <c r="B150" s="272" t="s">
        <v>162</v>
      </c>
      <c r="C150" s="273"/>
      <c r="D150" s="27">
        <v>0.52395591554944854</v>
      </c>
      <c r="E150" s="22"/>
      <c r="F150" s="19"/>
      <c r="G150" s="25"/>
    </row>
    <row r="151" spans="1:7" ht="17.100000000000001" customHeight="1" x14ac:dyDescent="0.2">
      <c r="A151" s="22"/>
      <c r="B151" s="272" t="s">
        <v>163</v>
      </c>
      <c r="C151" s="273"/>
      <c r="D151" s="2" t="s">
        <v>149</v>
      </c>
      <c r="E151" s="22"/>
      <c r="F151" s="22"/>
      <c r="G151" s="22"/>
    </row>
    <row r="153" spans="1:7" x14ac:dyDescent="0.2">
      <c r="B153" s="116" t="s">
        <v>1105</v>
      </c>
      <c r="C153" s="116"/>
      <c r="D153" s="116"/>
      <c r="E153" s="146"/>
      <c r="F153" s="139"/>
    </row>
    <row r="154" spans="1:7" ht="38.25" x14ac:dyDescent="0.2">
      <c r="B154" s="148" t="s">
        <v>1076</v>
      </c>
      <c r="C154" s="148" t="s">
        <v>1077</v>
      </c>
      <c r="D154" s="148" t="s">
        <v>1078</v>
      </c>
      <c r="E154" s="148" t="s">
        <v>1079</v>
      </c>
      <c r="F154" s="148" t="s">
        <v>1080</v>
      </c>
    </row>
    <row r="155" spans="1:7" x14ac:dyDescent="0.2">
      <c r="B155" s="149" t="s">
        <v>1103</v>
      </c>
      <c r="C155" s="150" t="s">
        <v>1099</v>
      </c>
      <c r="D155" s="155">
        <v>0</v>
      </c>
      <c r="E155" s="156">
        <v>0</v>
      </c>
      <c r="F155" s="157">
        <v>0.54925000000000002</v>
      </c>
    </row>
  </sheetData>
  <mergeCells count="15">
    <mergeCell ref="B150:C150"/>
    <mergeCell ref="B151:C151"/>
    <mergeCell ref="B136:C136"/>
    <mergeCell ref="B137:C137"/>
    <mergeCell ref="B138:C138"/>
    <mergeCell ref="B146:C146"/>
    <mergeCell ref="B148:C148"/>
    <mergeCell ref="B149:C149"/>
    <mergeCell ref="J2:N2"/>
    <mergeCell ref="B135:C135"/>
    <mergeCell ref="B132:F132"/>
    <mergeCell ref="B133:F133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O129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760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416</v>
      </c>
      <c r="C7" s="4" t="s">
        <v>417</v>
      </c>
      <c r="D7" s="4" t="s">
        <v>418</v>
      </c>
      <c r="E7" s="5">
        <v>366606</v>
      </c>
      <c r="F7" s="6">
        <v>8627.1556949999995</v>
      </c>
      <c r="G7" s="7">
        <v>7.7099924E-2</v>
      </c>
      <c r="H7" s="6"/>
    </row>
    <row r="8" spans="1:14" ht="17.100000000000001" customHeight="1" x14ac:dyDescent="0.2">
      <c r="A8" s="3">
        <v>2</v>
      </c>
      <c r="B8" s="4" t="s">
        <v>461</v>
      </c>
      <c r="C8" s="4" t="s">
        <v>462</v>
      </c>
      <c r="D8" s="4" t="s">
        <v>396</v>
      </c>
      <c r="E8" s="5">
        <v>87655</v>
      </c>
      <c r="F8" s="6">
        <v>6982.9040924999999</v>
      </c>
      <c r="G8" s="7">
        <v>6.2405430999999997E-2</v>
      </c>
      <c r="H8" s="6"/>
    </row>
    <row r="9" spans="1:14" ht="17.100000000000001" customHeight="1" x14ac:dyDescent="0.2">
      <c r="A9" s="3">
        <v>3</v>
      </c>
      <c r="B9" s="4" t="s">
        <v>473</v>
      </c>
      <c r="C9" s="4" t="s">
        <v>474</v>
      </c>
      <c r="D9" s="4" t="s">
        <v>80</v>
      </c>
      <c r="E9" s="5">
        <v>306141</v>
      </c>
      <c r="F9" s="6">
        <v>6784.0845600000002</v>
      </c>
      <c r="G9" s="7">
        <v>6.0628603000000003E-2</v>
      </c>
      <c r="H9" s="6"/>
    </row>
    <row r="10" spans="1:14" ht="17.100000000000001" customHeight="1" x14ac:dyDescent="0.2">
      <c r="A10" s="3">
        <v>4</v>
      </c>
      <c r="B10" s="4" t="s">
        <v>316</v>
      </c>
      <c r="C10" s="4" t="s">
        <v>317</v>
      </c>
      <c r="D10" s="4" t="s">
        <v>318</v>
      </c>
      <c r="E10" s="5">
        <v>615418</v>
      </c>
      <c r="F10" s="6">
        <v>6501.8911699999999</v>
      </c>
      <c r="G10" s="7">
        <v>5.8106672999999998E-2</v>
      </c>
      <c r="H10" s="6"/>
    </row>
    <row r="11" spans="1:14" ht="17.100000000000001" customHeight="1" x14ac:dyDescent="0.2">
      <c r="A11" s="3">
        <v>5</v>
      </c>
      <c r="B11" s="4" t="s">
        <v>17</v>
      </c>
      <c r="C11" s="4" t="s">
        <v>18</v>
      </c>
      <c r="D11" s="4" t="s">
        <v>19</v>
      </c>
      <c r="E11" s="5">
        <v>856113</v>
      </c>
      <c r="F11" s="6">
        <v>6445.2467205000003</v>
      </c>
      <c r="G11" s="7">
        <v>5.7600447999999999E-2</v>
      </c>
      <c r="H11" s="6"/>
    </row>
    <row r="12" spans="1:14" ht="17.100000000000001" customHeight="1" x14ac:dyDescent="0.2">
      <c r="A12" s="3">
        <v>6</v>
      </c>
      <c r="B12" s="4" t="s">
        <v>374</v>
      </c>
      <c r="C12" s="4" t="s">
        <v>375</v>
      </c>
      <c r="D12" s="4" t="s">
        <v>19</v>
      </c>
      <c r="E12" s="5">
        <v>461466</v>
      </c>
      <c r="F12" s="6">
        <v>6409.5320069999998</v>
      </c>
      <c r="G12" s="7">
        <v>5.7281269000000003E-2</v>
      </c>
      <c r="H12" s="6"/>
      <c r="J12" s="169"/>
    </row>
    <row r="13" spans="1:14" ht="29.1" customHeight="1" x14ac:dyDescent="0.2">
      <c r="A13" s="3">
        <v>7</v>
      </c>
      <c r="B13" s="4" t="s">
        <v>382</v>
      </c>
      <c r="C13" s="4" t="s">
        <v>383</v>
      </c>
      <c r="D13" s="4" t="s">
        <v>233</v>
      </c>
      <c r="E13" s="5">
        <v>779645</v>
      </c>
      <c r="F13" s="6">
        <v>5923.3528875000002</v>
      </c>
      <c r="G13" s="7">
        <v>5.2936340999999998E-2</v>
      </c>
      <c r="H13" s="6"/>
      <c r="J13" s="169" t="s">
        <v>1159</v>
      </c>
    </row>
    <row r="14" spans="1:14" ht="17.100000000000001" customHeight="1" x14ac:dyDescent="0.2">
      <c r="A14" s="3">
        <v>8</v>
      </c>
      <c r="B14" s="4" t="s">
        <v>312</v>
      </c>
      <c r="C14" s="4" t="s">
        <v>313</v>
      </c>
      <c r="D14" s="4" t="s">
        <v>254</v>
      </c>
      <c r="E14" s="5">
        <v>12350</v>
      </c>
      <c r="F14" s="6">
        <v>5581.4651750000003</v>
      </c>
      <c r="G14" s="7">
        <v>4.9880928999999997E-2</v>
      </c>
      <c r="H14" s="6"/>
    </row>
    <row r="15" spans="1:14" ht="29.1" customHeight="1" x14ac:dyDescent="0.2">
      <c r="A15" s="3">
        <v>9</v>
      </c>
      <c r="B15" s="4" t="s">
        <v>192</v>
      </c>
      <c r="C15" s="4" t="s">
        <v>193</v>
      </c>
      <c r="D15" s="4" t="s">
        <v>80</v>
      </c>
      <c r="E15" s="5">
        <v>1341890</v>
      </c>
      <c r="F15" s="6">
        <v>4850.2614050000002</v>
      </c>
      <c r="G15" s="7">
        <v>4.3346243E-2</v>
      </c>
      <c r="H15" s="6"/>
    </row>
    <row r="16" spans="1:14" ht="17.100000000000001" customHeight="1" x14ac:dyDescent="0.2">
      <c r="A16" s="3">
        <v>10</v>
      </c>
      <c r="B16" s="4" t="s">
        <v>630</v>
      </c>
      <c r="C16" s="4" t="s">
        <v>631</v>
      </c>
      <c r="D16" s="4" t="s">
        <v>318</v>
      </c>
      <c r="E16" s="5">
        <v>565820</v>
      </c>
      <c r="F16" s="6">
        <v>4579.7470800000001</v>
      </c>
      <c r="G16" s="7">
        <v>4.0928685999999999E-2</v>
      </c>
      <c r="H16" s="6"/>
    </row>
    <row r="17" spans="1:8" ht="17.100000000000001" customHeight="1" x14ac:dyDescent="0.2">
      <c r="A17" s="3">
        <v>11</v>
      </c>
      <c r="B17" s="4" t="s">
        <v>425</v>
      </c>
      <c r="C17" s="4" t="s">
        <v>426</v>
      </c>
      <c r="D17" s="4" t="s">
        <v>418</v>
      </c>
      <c r="E17" s="5">
        <v>1670266</v>
      </c>
      <c r="F17" s="6">
        <v>4520.5749290000003</v>
      </c>
      <c r="G17" s="7">
        <v>4.0399872000000003E-2</v>
      </c>
      <c r="H17" s="6"/>
    </row>
    <row r="18" spans="1:8" ht="17.100000000000001" customHeight="1" x14ac:dyDescent="0.2">
      <c r="A18" s="3">
        <v>12</v>
      </c>
      <c r="B18" s="4" t="s">
        <v>634</v>
      </c>
      <c r="C18" s="4" t="s">
        <v>635</v>
      </c>
      <c r="D18" s="4" t="s">
        <v>80</v>
      </c>
      <c r="E18" s="5">
        <v>104529</v>
      </c>
      <c r="F18" s="6">
        <v>2989.1635485000002</v>
      </c>
      <c r="G18" s="7">
        <v>2.6713819999999999E-2</v>
      </c>
      <c r="H18" s="6"/>
    </row>
    <row r="19" spans="1:8" ht="17.100000000000001" customHeight="1" x14ac:dyDescent="0.2">
      <c r="A19" s="3">
        <v>13</v>
      </c>
      <c r="B19" s="4" t="s">
        <v>338</v>
      </c>
      <c r="C19" s="4" t="s">
        <v>339</v>
      </c>
      <c r="D19" s="4" t="s">
        <v>80</v>
      </c>
      <c r="E19" s="5">
        <v>292989</v>
      </c>
      <c r="F19" s="6">
        <v>2982.7745144999999</v>
      </c>
      <c r="G19" s="7">
        <v>2.6656722000000001E-2</v>
      </c>
      <c r="H19" s="6"/>
    </row>
    <row r="20" spans="1:8" ht="17.100000000000001" customHeight="1" x14ac:dyDescent="0.2">
      <c r="A20" s="3">
        <v>14</v>
      </c>
      <c r="B20" s="4" t="s">
        <v>447</v>
      </c>
      <c r="C20" s="4" t="s">
        <v>448</v>
      </c>
      <c r="D20" s="4" t="s">
        <v>85</v>
      </c>
      <c r="E20" s="5">
        <v>42500</v>
      </c>
      <c r="F20" s="6">
        <v>2584.9137500000002</v>
      </c>
      <c r="G20" s="7">
        <v>2.3101084000000001E-2</v>
      </c>
      <c r="H20" s="6"/>
    </row>
    <row r="21" spans="1:8" ht="17.100000000000001" customHeight="1" x14ac:dyDescent="0.2">
      <c r="A21" s="3">
        <v>15</v>
      </c>
      <c r="B21" s="4" t="s">
        <v>90</v>
      </c>
      <c r="C21" s="4" t="s">
        <v>91</v>
      </c>
      <c r="D21" s="4" t="s">
        <v>92</v>
      </c>
      <c r="E21" s="5">
        <v>536001</v>
      </c>
      <c r="F21" s="6">
        <v>2490.5286464999999</v>
      </c>
      <c r="G21" s="7">
        <v>2.2257575000000002E-2</v>
      </c>
      <c r="H21" s="6"/>
    </row>
    <row r="22" spans="1:8" ht="17.100000000000001" customHeight="1" x14ac:dyDescent="0.2">
      <c r="A22" s="3">
        <v>16</v>
      </c>
      <c r="B22" s="4" t="s">
        <v>215</v>
      </c>
      <c r="C22" s="4" t="s">
        <v>216</v>
      </c>
      <c r="D22" s="4" t="s">
        <v>186</v>
      </c>
      <c r="E22" s="5">
        <v>542213</v>
      </c>
      <c r="F22" s="6">
        <v>2468.1535760000002</v>
      </c>
      <c r="G22" s="7">
        <v>2.2057612000000001E-2</v>
      </c>
      <c r="H22" s="6"/>
    </row>
    <row r="23" spans="1:8" ht="17.100000000000001" customHeight="1" x14ac:dyDescent="0.2">
      <c r="A23" s="3">
        <v>17</v>
      </c>
      <c r="B23" s="4" t="s">
        <v>423</v>
      </c>
      <c r="C23" s="4" t="s">
        <v>424</v>
      </c>
      <c r="D23" s="4" t="s">
        <v>396</v>
      </c>
      <c r="E23" s="5">
        <v>211403</v>
      </c>
      <c r="F23" s="6">
        <v>2186.6469305000001</v>
      </c>
      <c r="G23" s="7">
        <v>1.9541818999999998E-2</v>
      </c>
      <c r="H23" s="6"/>
    </row>
    <row r="24" spans="1:8" ht="17.100000000000001" customHeight="1" x14ac:dyDescent="0.2">
      <c r="A24" s="3">
        <v>18</v>
      </c>
      <c r="B24" s="4" t="s">
        <v>702</v>
      </c>
      <c r="C24" s="4" t="s">
        <v>703</v>
      </c>
      <c r="D24" s="4" t="s">
        <v>230</v>
      </c>
      <c r="E24" s="5">
        <v>11926</v>
      </c>
      <c r="F24" s="6">
        <v>2109.8882899999999</v>
      </c>
      <c r="G24" s="7">
        <v>1.8855835000000001E-2</v>
      </c>
      <c r="H24" s="6"/>
    </row>
    <row r="25" spans="1:8" ht="17.100000000000001" customHeight="1" x14ac:dyDescent="0.2">
      <c r="A25" s="3">
        <v>19</v>
      </c>
      <c r="B25" s="4" t="s">
        <v>455</v>
      </c>
      <c r="C25" s="4" t="s">
        <v>456</v>
      </c>
      <c r="D25" s="4" t="s">
        <v>302</v>
      </c>
      <c r="E25" s="5">
        <v>52454</v>
      </c>
      <c r="F25" s="6">
        <v>2083.8925119999999</v>
      </c>
      <c r="G25" s="7">
        <v>1.8623514000000001E-2</v>
      </c>
      <c r="H25" s="6"/>
    </row>
    <row r="26" spans="1:8" ht="29.1" customHeight="1" x14ac:dyDescent="0.2">
      <c r="A26" s="3">
        <v>20</v>
      </c>
      <c r="B26" s="4" t="s">
        <v>23</v>
      </c>
      <c r="C26" s="4" t="s">
        <v>24</v>
      </c>
      <c r="D26" s="4" t="s">
        <v>25</v>
      </c>
      <c r="E26" s="5">
        <v>34055</v>
      </c>
      <c r="F26" s="6">
        <v>2071.4294300000001</v>
      </c>
      <c r="G26" s="7">
        <v>1.8512133E-2</v>
      </c>
      <c r="H26" s="6"/>
    </row>
    <row r="27" spans="1:8" ht="17.100000000000001" customHeight="1" x14ac:dyDescent="0.2">
      <c r="A27" s="3">
        <v>21</v>
      </c>
      <c r="B27" s="4" t="s">
        <v>686</v>
      </c>
      <c r="C27" s="4" t="s">
        <v>687</v>
      </c>
      <c r="D27" s="4" t="s">
        <v>369</v>
      </c>
      <c r="E27" s="5">
        <v>255765</v>
      </c>
      <c r="F27" s="6">
        <v>1961.5896674999999</v>
      </c>
      <c r="G27" s="7">
        <v>1.7530507000000001E-2</v>
      </c>
      <c r="H27" s="6"/>
    </row>
    <row r="28" spans="1:8" ht="17.100000000000001" customHeight="1" x14ac:dyDescent="0.2">
      <c r="A28" s="3">
        <v>22</v>
      </c>
      <c r="B28" s="4" t="s">
        <v>412</v>
      </c>
      <c r="C28" s="4" t="s">
        <v>413</v>
      </c>
      <c r="D28" s="4" t="s">
        <v>323</v>
      </c>
      <c r="E28" s="5">
        <v>145948</v>
      </c>
      <c r="F28" s="6">
        <v>1713.6484419999999</v>
      </c>
      <c r="G28" s="7">
        <v>1.5314684E-2</v>
      </c>
      <c r="H28" s="6"/>
    </row>
    <row r="29" spans="1:8" ht="17.100000000000001" customHeight="1" x14ac:dyDescent="0.2">
      <c r="A29" s="3">
        <v>23</v>
      </c>
      <c r="B29" s="4" t="s">
        <v>727</v>
      </c>
      <c r="C29" s="4" t="s">
        <v>728</v>
      </c>
      <c r="D29" s="4" t="s">
        <v>302</v>
      </c>
      <c r="E29" s="5">
        <v>40084</v>
      </c>
      <c r="F29" s="6">
        <v>1669.258096</v>
      </c>
      <c r="G29" s="7">
        <v>1.4917972999999999E-2</v>
      </c>
      <c r="H29" s="6"/>
    </row>
    <row r="30" spans="1:8" ht="17.100000000000001" customHeight="1" x14ac:dyDescent="0.2">
      <c r="A30" s="3">
        <v>24</v>
      </c>
      <c r="B30" s="4" t="s">
        <v>372</v>
      </c>
      <c r="C30" s="4" t="s">
        <v>373</v>
      </c>
      <c r="D30" s="4" t="s">
        <v>80</v>
      </c>
      <c r="E30" s="5">
        <v>2700040</v>
      </c>
      <c r="F30" s="6">
        <v>1624.0740599999999</v>
      </c>
      <c r="G30" s="7">
        <v>1.4514167999999999E-2</v>
      </c>
      <c r="H30" s="6"/>
    </row>
    <row r="31" spans="1:8" ht="17.100000000000001" customHeight="1" x14ac:dyDescent="0.2">
      <c r="A31" s="3">
        <v>25</v>
      </c>
      <c r="B31" s="4" t="s">
        <v>761</v>
      </c>
      <c r="C31" s="4" t="s">
        <v>762</v>
      </c>
      <c r="D31" s="4" t="s">
        <v>186</v>
      </c>
      <c r="E31" s="5">
        <v>902710</v>
      </c>
      <c r="F31" s="6">
        <v>1539.1205500000001</v>
      </c>
      <c r="G31" s="7">
        <v>1.3754947999999999E-2</v>
      </c>
      <c r="H31" s="6"/>
    </row>
    <row r="32" spans="1:8" ht="17.100000000000001" customHeight="1" x14ac:dyDescent="0.2">
      <c r="A32" s="3">
        <v>26</v>
      </c>
      <c r="B32" s="4" t="s">
        <v>467</v>
      </c>
      <c r="C32" s="4" t="s">
        <v>468</v>
      </c>
      <c r="D32" s="4" t="s">
        <v>302</v>
      </c>
      <c r="E32" s="5">
        <v>98493</v>
      </c>
      <c r="F32" s="6">
        <v>1472.0271315</v>
      </c>
      <c r="G32" s="7">
        <v>1.3155342E-2</v>
      </c>
      <c r="H32" s="6"/>
    </row>
    <row r="33" spans="1:8" ht="17.100000000000001" customHeight="1" x14ac:dyDescent="0.2">
      <c r="A33" s="3">
        <v>27</v>
      </c>
      <c r="B33" s="4" t="s">
        <v>613</v>
      </c>
      <c r="C33" s="4" t="s">
        <v>614</v>
      </c>
      <c r="D33" s="4" t="s">
        <v>230</v>
      </c>
      <c r="E33" s="5">
        <v>35685</v>
      </c>
      <c r="F33" s="6">
        <v>1301.7174299999999</v>
      </c>
      <c r="G33" s="7">
        <v>1.1633302999999999E-2</v>
      </c>
      <c r="H33" s="6"/>
    </row>
    <row r="34" spans="1:8" ht="17.100000000000001" customHeight="1" x14ac:dyDescent="0.2">
      <c r="A34" s="3">
        <v>28</v>
      </c>
      <c r="B34" s="4" t="s">
        <v>453</v>
      </c>
      <c r="C34" s="4" t="s">
        <v>454</v>
      </c>
      <c r="D34" s="4" t="s">
        <v>396</v>
      </c>
      <c r="E34" s="5">
        <v>218482</v>
      </c>
      <c r="F34" s="6">
        <v>969.076911</v>
      </c>
      <c r="G34" s="7">
        <v>8.6605320000000003E-3</v>
      </c>
      <c r="H34" s="6"/>
    </row>
    <row r="35" spans="1:8" ht="17.100000000000001" customHeight="1" x14ac:dyDescent="0.2">
      <c r="A35" s="3">
        <v>29</v>
      </c>
      <c r="B35" s="4" t="s">
        <v>684</v>
      </c>
      <c r="C35" s="4" t="s">
        <v>685</v>
      </c>
      <c r="D35" s="4" t="s">
        <v>369</v>
      </c>
      <c r="E35" s="5">
        <v>176426</v>
      </c>
      <c r="F35" s="6">
        <v>941.49734899999999</v>
      </c>
      <c r="G35" s="7">
        <v>8.4140559999999996E-3</v>
      </c>
      <c r="H35" s="6"/>
    </row>
    <row r="36" spans="1:8" ht="29.1" customHeight="1" x14ac:dyDescent="0.2">
      <c r="A36" s="3">
        <v>30</v>
      </c>
      <c r="B36" s="4" t="s">
        <v>729</v>
      </c>
      <c r="C36" s="4" t="s">
        <v>730</v>
      </c>
      <c r="D36" s="4" t="s">
        <v>369</v>
      </c>
      <c r="E36" s="5">
        <v>6731</v>
      </c>
      <c r="F36" s="6">
        <v>930.1535245</v>
      </c>
      <c r="G36" s="7">
        <v>8.3126780000000004E-3</v>
      </c>
      <c r="H36" s="6"/>
    </row>
    <row r="37" spans="1:8" ht="17.100000000000001" customHeight="1" x14ac:dyDescent="0.2">
      <c r="A37" s="3">
        <v>31</v>
      </c>
      <c r="B37" s="4" t="s">
        <v>531</v>
      </c>
      <c r="C37" s="4" t="s">
        <v>532</v>
      </c>
      <c r="D37" s="4" t="s">
        <v>181</v>
      </c>
      <c r="E37" s="5">
        <v>38511</v>
      </c>
      <c r="F37" s="6">
        <v>895.65032699999995</v>
      </c>
      <c r="G37" s="7">
        <v>8.0043270000000003E-3</v>
      </c>
      <c r="H37" s="6"/>
    </row>
    <row r="38" spans="1:8" ht="17.100000000000001" customHeight="1" x14ac:dyDescent="0.2">
      <c r="A38" s="3">
        <v>32</v>
      </c>
      <c r="B38" s="4" t="s">
        <v>578</v>
      </c>
      <c r="C38" s="4" t="s">
        <v>579</v>
      </c>
      <c r="D38" s="4" t="s">
        <v>80</v>
      </c>
      <c r="E38" s="5">
        <v>136912</v>
      </c>
      <c r="F38" s="6">
        <v>793.95268799999997</v>
      </c>
      <c r="G38" s="7">
        <v>7.0954659999999999E-3</v>
      </c>
      <c r="H38" s="6"/>
    </row>
    <row r="39" spans="1:8" ht="17.100000000000001" customHeight="1" x14ac:dyDescent="0.2">
      <c r="A39" s="3">
        <v>33</v>
      </c>
      <c r="B39" s="4" t="s">
        <v>228</v>
      </c>
      <c r="C39" s="4" t="s">
        <v>229</v>
      </c>
      <c r="D39" s="4" t="s">
        <v>230</v>
      </c>
      <c r="E39" s="5">
        <v>266953</v>
      </c>
      <c r="F39" s="6">
        <v>788.84611500000005</v>
      </c>
      <c r="G39" s="7">
        <v>7.0498289999999996E-3</v>
      </c>
      <c r="H39" s="6"/>
    </row>
    <row r="40" spans="1:8" ht="17.100000000000001" customHeight="1" x14ac:dyDescent="0.2">
      <c r="A40" s="3">
        <v>34</v>
      </c>
      <c r="B40" s="4" t="s">
        <v>394</v>
      </c>
      <c r="C40" s="4" t="s">
        <v>395</v>
      </c>
      <c r="D40" s="4" t="s">
        <v>396</v>
      </c>
      <c r="E40" s="5">
        <v>86728</v>
      </c>
      <c r="F40" s="6">
        <v>638.79508399999997</v>
      </c>
      <c r="G40" s="7">
        <v>5.7088399999999997E-3</v>
      </c>
      <c r="H40" s="6"/>
    </row>
    <row r="41" spans="1:8" ht="17.100000000000001" customHeight="1" x14ac:dyDescent="0.2">
      <c r="A41" s="3">
        <v>35</v>
      </c>
      <c r="B41" s="4" t="s">
        <v>679</v>
      </c>
      <c r="C41" s="4" t="s">
        <v>680</v>
      </c>
      <c r="D41" s="4" t="s">
        <v>396</v>
      </c>
      <c r="E41" s="5">
        <v>21489</v>
      </c>
      <c r="F41" s="6">
        <v>597.55536749999999</v>
      </c>
      <c r="G41" s="7">
        <v>5.3402850000000002E-3</v>
      </c>
      <c r="H41" s="6"/>
    </row>
    <row r="42" spans="1:8" ht="17.100000000000001" customHeight="1" x14ac:dyDescent="0.2">
      <c r="A42" s="3">
        <v>36</v>
      </c>
      <c r="B42" s="4" t="s">
        <v>480</v>
      </c>
      <c r="C42" s="4" t="s">
        <v>481</v>
      </c>
      <c r="D42" s="4" t="s">
        <v>80</v>
      </c>
      <c r="E42" s="5">
        <v>63086</v>
      </c>
      <c r="F42" s="6">
        <v>578.49861999999996</v>
      </c>
      <c r="G42" s="7">
        <v>5.1699770000000001E-3</v>
      </c>
      <c r="H42" s="6"/>
    </row>
    <row r="43" spans="1:8" ht="17.100000000000001" customHeight="1" x14ac:dyDescent="0.2">
      <c r="A43" s="3">
        <v>37</v>
      </c>
      <c r="B43" s="4" t="s">
        <v>763</v>
      </c>
      <c r="C43" s="4" t="s">
        <v>764</v>
      </c>
      <c r="D43" s="4" t="s">
        <v>80</v>
      </c>
      <c r="E43" s="5">
        <v>72869</v>
      </c>
      <c r="F43" s="6">
        <v>439.25433199999998</v>
      </c>
      <c r="G43" s="7">
        <v>3.9255669999999996E-3</v>
      </c>
      <c r="H43" s="6"/>
    </row>
    <row r="44" spans="1:8" ht="17.100000000000001" customHeight="1" x14ac:dyDescent="0.2">
      <c r="A44" s="3">
        <v>38</v>
      </c>
      <c r="B44" s="4" t="s">
        <v>765</v>
      </c>
      <c r="C44" s="4" t="s">
        <v>766</v>
      </c>
      <c r="D44" s="4" t="s">
        <v>203</v>
      </c>
      <c r="E44" s="5">
        <v>18759</v>
      </c>
      <c r="F44" s="6">
        <v>228.1188195</v>
      </c>
      <c r="G44" s="7">
        <v>2.0386720000000001E-3</v>
      </c>
      <c r="H44" s="6"/>
    </row>
    <row r="45" spans="1:8" ht="17.100000000000001" customHeight="1" x14ac:dyDescent="0.2">
      <c r="A45" s="3">
        <v>39</v>
      </c>
      <c r="B45" s="4" t="s">
        <v>390</v>
      </c>
      <c r="C45" s="4" t="s">
        <v>391</v>
      </c>
      <c r="D45" s="4" t="s">
        <v>80</v>
      </c>
      <c r="E45" s="5">
        <v>278</v>
      </c>
      <c r="F45" s="6">
        <v>1.6579919999999999</v>
      </c>
      <c r="G45" s="8" t="s">
        <v>118</v>
      </c>
      <c r="H45" s="6"/>
    </row>
    <row r="46" spans="1:8" ht="14.1" customHeight="1" x14ac:dyDescent="0.2">
      <c r="A46" s="1"/>
      <c r="B46" s="1"/>
      <c r="C46" s="2" t="s">
        <v>119</v>
      </c>
      <c r="D46" s="1"/>
      <c r="E46" s="1" t="s">
        <v>120</v>
      </c>
      <c r="F46" s="9">
        <v>108258.099426</v>
      </c>
      <c r="G46" s="10">
        <v>0.96749050400000003</v>
      </c>
      <c r="H46" s="6"/>
    </row>
    <row r="47" spans="1:8" ht="14.1" customHeight="1" x14ac:dyDescent="0.2">
      <c r="A47" s="1"/>
      <c r="B47" s="1"/>
      <c r="C47" s="11"/>
      <c r="D47" s="1"/>
      <c r="E47" s="1"/>
      <c r="F47" s="12"/>
      <c r="G47" s="12"/>
      <c r="H47" s="6"/>
    </row>
    <row r="48" spans="1:8" ht="14.1" customHeight="1" x14ac:dyDescent="0.2">
      <c r="A48" s="1"/>
      <c r="B48" s="1"/>
      <c r="C48" s="2" t="s">
        <v>121</v>
      </c>
      <c r="D48" s="1"/>
      <c r="E48" s="1"/>
      <c r="F48" s="1"/>
      <c r="G48" s="1"/>
      <c r="H48" s="6"/>
    </row>
    <row r="49" spans="1:8" ht="14.1" customHeight="1" x14ac:dyDescent="0.2">
      <c r="A49" s="1"/>
      <c r="B49" s="1"/>
      <c r="C49" s="2" t="s">
        <v>119</v>
      </c>
      <c r="D49" s="1"/>
      <c r="E49" s="1" t="s">
        <v>120</v>
      </c>
      <c r="F49" s="13">
        <v>0</v>
      </c>
      <c r="G49" s="14">
        <v>0</v>
      </c>
      <c r="H49" s="6"/>
    </row>
    <row r="50" spans="1:8" ht="14.1" customHeight="1" x14ac:dyDescent="0.2">
      <c r="A50" s="1"/>
      <c r="B50" s="1"/>
      <c r="C50" s="11"/>
      <c r="D50" s="1"/>
      <c r="E50" s="1"/>
      <c r="F50" s="12"/>
      <c r="G50" s="12"/>
      <c r="H50" s="6"/>
    </row>
    <row r="51" spans="1:8" ht="14.1" customHeight="1" x14ac:dyDescent="0.2">
      <c r="A51" s="1"/>
      <c r="B51" s="1"/>
      <c r="C51" s="2" t="s">
        <v>122</v>
      </c>
      <c r="D51" s="1"/>
      <c r="E51" s="1"/>
      <c r="F51" s="1"/>
      <c r="G51" s="1"/>
      <c r="H51" s="6"/>
    </row>
    <row r="52" spans="1:8" ht="14.1" customHeight="1" x14ac:dyDescent="0.2">
      <c r="A52" s="1"/>
      <c r="B52" s="1"/>
      <c r="C52" s="2" t="s">
        <v>119</v>
      </c>
      <c r="D52" s="1"/>
      <c r="E52" s="1" t="s">
        <v>120</v>
      </c>
      <c r="F52" s="13">
        <v>0</v>
      </c>
      <c r="G52" s="14">
        <v>0</v>
      </c>
      <c r="H52" s="6"/>
    </row>
    <row r="53" spans="1:8" ht="14.1" customHeight="1" x14ac:dyDescent="0.2">
      <c r="A53" s="1"/>
      <c r="B53" s="1"/>
      <c r="C53" s="11"/>
      <c r="D53" s="1"/>
      <c r="E53" s="1"/>
      <c r="F53" s="12"/>
      <c r="G53" s="12"/>
      <c r="H53" s="6"/>
    </row>
    <row r="54" spans="1:8" ht="14.1" customHeight="1" x14ac:dyDescent="0.2">
      <c r="A54" s="1"/>
      <c r="B54" s="1"/>
      <c r="C54" s="2" t="s">
        <v>123</v>
      </c>
      <c r="D54" s="1"/>
      <c r="E54" s="1"/>
      <c r="F54" s="1"/>
      <c r="G54" s="1"/>
      <c r="H54" s="6"/>
    </row>
    <row r="55" spans="1:8" ht="14.1" customHeight="1" x14ac:dyDescent="0.2">
      <c r="A55" s="1"/>
      <c r="B55" s="1"/>
      <c r="C55" s="2" t="s">
        <v>119</v>
      </c>
      <c r="D55" s="1"/>
      <c r="E55" s="1" t="s">
        <v>120</v>
      </c>
      <c r="F55" s="13">
        <v>0</v>
      </c>
      <c r="G55" s="14">
        <v>0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124</v>
      </c>
      <c r="D57" s="1"/>
      <c r="E57" s="1"/>
      <c r="F57" s="12"/>
      <c r="G57" s="12"/>
      <c r="H57" s="6"/>
    </row>
    <row r="58" spans="1:8" ht="14.1" customHeight="1" x14ac:dyDescent="0.2">
      <c r="A58" s="1"/>
      <c r="B58" s="1"/>
      <c r="C58" s="2" t="s">
        <v>119</v>
      </c>
      <c r="D58" s="1"/>
      <c r="E58" s="1" t="s">
        <v>120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125</v>
      </c>
      <c r="D60" s="1"/>
      <c r="E60" s="1"/>
      <c r="F60" s="12"/>
      <c r="G60" s="12"/>
      <c r="H60" s="6"/>
    </row>
    <row r="61" spans="1:8" ht="14.1" customHeight="1" x14ac:dyDescent="0.2">
      <c r="A61" s="1"/>
      <c r="B61" s="1"/>
      <c r="C61" s="2" t="s">
        <v>119</v>
      </c>
      <c r="D61" s="1"/>
      <c r="E61" s="1" t="s">
        <v>120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8" customHeight="1" x14ac:dyDescent="0.2">
      <c r="A63" s="1"/>
      <c r="B63" s="1"/>
      <c r="C63" s="2" t="s">
        <v>126</v>
      </c>
      <c r="D63" s="1"/>
      <c r="E63" s="1"/>
      <c r="F63" s="9">
        <v>108258.099426</v>
      </c>
      <c r="G63" s="10">
        <v>0.96749050400000003</v>
      </c>
      <c r="H63" s="6"/>
    </row>
    <row r="64" spans="1:8" ht="14.1" customHeight="1" x14ac:dyDescent="0.2">
      <c r="A64" s="1"/>
      <c r="B64" s="1"/>
      <c r="C64" s="11"/>
      <c r="D64" s="1"/>
      <c r="E64" s="1"/>
      <c r="F64" s="12"/>
      <c r="G64" s="12"/>
      <c r="H64" s="6"/>
    </row>
    <row r="65" spans="1:8" ht="14.1" customHeight="1" x14ac:dyDescent="0.2">
      <c r="A65" s="1"/>
      <c r="B65" s="1"/>
      <c r="C65" s="2" t="s">
        <v>127</v>
      </c>
      <c r="D65" s="1"/>
      <c r="E65" s="1"/>
      <c r="F65" s="12"/>
      <c r="G65" s="12"/>
      <c r="H65" s="6"/>
    </row>
    <row r="66" spans="1:8" ht="24" customHeight="1" x14ac:dyDescent="0.2">
      <c r="A66" s="1"/>
      <c r="B66" s="1"/>
      <c r="C66" s="2" t="s">
        <v>10</v>
      </c>
      <c r="D66" s="1"/>
      <c r="E66" s="1"/>
      <c r="F66" s="12"/>
      <c r="G66" s="12"/>
      <c r="H66" s="6"/>
    </row>
    <row r="67" spans="1:8" ht="14.1" customHeight="1" x14ac:dyDescent="0.2">
      <c r="A67" s="1"/>
      <c r="B67" s="1"/>
      <c r="C67" s="2" t="s">
        <v>119</v>
      </c>
      <c r="D67" s="1"/>
      <c r="E67" s="1" t="s">
        <v>120</v>
      </c>
      <c r="F67" s="13">
        <v>0</v>
      </c>
      <c r="G67" s="14">
        <v>0</v>
      </c>
      <c r="H67" s="6"/>
    </row>
    <row r="68" spans="1:8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8" ht="14.1" customHeight="1" x14ac:dyDescent="0.2">
      <c r="A69" s="1"/>
      <c r="B69" s="1"/>
      <c r="C69" s="2" t="s">
        <v>128</v>
      </c>
      <c r="D69" s="1"/>
      <c r="E69" s="1"/>
      <c r="F69" s="1"/>
      <c r="G69" s="1"/>
      <c r="H69" s="6"/>
    </row>
    <row r="70" spans="1:8" ht="14.1" customHeight="1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129</v>
      </c>
      <c r="D72" s="1"/>
      <c r="E72" s="1"/>
      <c r="F72" s="1"/>
      <c r="G72" s="1"/>
      <c r="H72" s="6"/>
    </row>
    <row r="73" spans="1:8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8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8" ht="14.1" customHeight="1" x14ac:dyDescent="0.2">
      <c r="A75" s="1"/>
      <c r="B75" s="1"/>
      <c r="C75" s="2" t="s">
        <v>130</v>
      </c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119</v>
      </c>
      <c r="D76" s="1"/>
      <c r="E76" s="1" t="s">
        <v>120</v>
      </c>
      <c r="F76" s="13">
        <v>0</v>
      </c>
      <c r="G76" s="14">
        <v>0</v>
      </c>
      <c r="H76" s="6"/>
    </row>
    <row r="77" spans="1:8" ht="14.1" customHeight="1" x14ac:dyDescent="0.2">
      <c r="A77" s="1"/>
      <c r="B77" s="1"/>
      <c r="C77" s="11"/>
      <c r="D77" s="1"/>
      <c r="E77" s="1"/>
      <c r="F77" s="12"/>
      <c r="G77" s="12"/>
      <c r="H77" s="6"/>
    </row>
    <row r="78" spans="1:8" ht="14.1" customHeight="1" x14ac:dyDescent="0.2">
      <c r="A78" s="1"/>
      <c r="B78" s="1"/>
      <c r="C78" s="2" t="s">
        <v>131</v>
      </c>
      <c r="D78" s="1"/>
      <c r="E78" s="1"/>
      <c r="F78" s="9">
        <v>0</v>
      </c>
      <c r="G78" s="10">
        <v>0</v>
      </c>
      <c r="H78" s="6"/>
    </row>
    <row r="79" spans="1:8" ht="14.1" customHeight="1" x14ac:dyDescent="0.2">
      <c r="A79" s="1"/>
      <c r="B79" s="1"/>
      <c r="C79" s="11"/>
      <c r="D79" s="1"/>
      <c r="E79" s="1"/>
      <c r="F79" s="12"/>
      <c r="G79" s="12"/>
      <c r="H79" s="6"/>
    </row>
    <row r="80" spans="1:8" ht="14.1" customHeight="1" x14ac:dyDescent="0.2">
      <c r="A80" s="1"/>
      <c r="B80" s="1"/>
      <c r="C80" s="2" t="s">
        <v>132</v>
      </c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133</v>
      </c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134</v>
      </c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119</v>
      </c>
      <c r="D85" s="1"/>
      <c r="E85" s="1" t="s">
        <v>120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135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136</v>
      </c>
      <c r="D90" s="1"/>
      <c r="E90" s="1"/>
      <c r="F90" s="12"/>
      <c r="G90" s="12"/>
      <c r="H90" s="6"/>
    </row>
    <row r="91" spans="1:8" ht="17.100000000000001" customHeight="1" x14ac:dyDescent="0.2">
      <c r="A91" s="3">
        <v>1</v>
      </c>
      <c r="B91" s="4"/>
      <c r="C91" s="4" t="s">
        <v>137</v>
      </c>
      <c r="D91" s="4"/>
      <c r="E91" s="8"/>
      <c r="F91" s="6">
        <v>2266.1986130999999</v>
      </c>
      <c r="G91" s="7">
        <v>2.0252763E-2</v>
      </c>
      <c r="H91" s="6">
        <v>4.1713246754849944</v>
      </c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9">
        <v>2266.1986130999999</v>
      </c>
      <c r="G92" s="10">
        <v>2.0252763E-2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138</v>
      </c>
      <c r="D94" s="1"/>
      <c r="E94" s="1"/>
      <c r="F94" s="9">
        <v>2266.1986130999999</v>
      </c>
      <c r="G94" s="10">
        <v>2.0252763E-2</v>
      </c>
      <c r="H94" s="6"/>
    </row>
    <row r="95" spans="1:8" ht="14.1" customHeight="1" x14ac:dyDescent="0.2">
      <c r="A95" s="1"/>
      <c r="B95" s="1"/>
      <c r="C95" s="12"/>
      <c r="D95" s="1"/>
      <c r="E95" s="1"/>
      <c r="F95" s="1"/>
      <c r="G95" s="1"/>
      <c r="H95" s="6"/>
    </row>
    <row r="96" spans="1:8" ht="14.1" customHeight="1" x14ac:dyDescent="0.2">
      <c r="A96" s="1"/>
      <c r="B96" s="1"/>
      <c r="C96" s="2" t="s">
        <v>139</v>
      </c>
      <c r="D96" s="1"/>
      <c r="E96" s="1"/>
      <c r="F96" s="1"/>
      <c r="G96" s="1"/>
      <c r="H96" s="6"/>
    </row>
    <row r="97" spans="1:8" ht="14.1" customHeight="1" x14ac:dyDescent="0.2">
      <c r="A97" s="1"/>
      <c r="B97" s="1"/>
      <c r="C97" s="2" t="s">
        <v>140</v>
      </c>
      <c r="D97" s="1"/>
      <c r="E97" s="1"/>
      <c r="F97" s="1"/>
      <c r="G97" s="1"/>
      <c r="H97" s="6"/>
    </row>
    <row r="98" spans="1:8" ht="14.1" customHeight="1" x14ac:dyDescent="0.2">
      <c r="A98" s="1"/>
      <c r="B98" s="1"/>
      <c r="C98" s="2" t="s">
        <v>119</v>
      </c>
      <c r="D98" s="1"/>
      <c r="E98" s="1" t="s">
        <v>120</v>
      </c>
      <c r="F98" s="13">
        <v>0</v>
      </c>
      <c r="G98" s="14">
        <v>0</v>
      </c>
      <c r="H98" s="6"/>
    </row>
    <row r="99" spans="1:8" ht="14.1" customHeight="1" x14ac:dyDescent="0.2">
      <c r="A99" s="1"/>
      <c r="B99" s="1"/>
      <c r="C99" s="11"/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141</v>
      </c>
      <c r="D100" s="1"/>
      <c r="E100" s="1"/>
      <c r="F100" s="1"/>
      <c r="G100" s="1"/>
      <c r="H100" s="6"/>
    </row>
    <row r="101" spans="1:8" ht="14.1" customHeight="1" x14ac:dyDescent="0.2">
      <c r="A101" s="1"/>
      <c r="B101" s="1"/>
      <c r="C101" s="2" t="s">
        <v>142</v>
      </c>
      <c r="D101" s="1"/>
      <c r="E101" s="1"/>
      <c r="F101" s="1"/>
      <c r="G101" s="1"/>
      <c r="H101" s="6"/>
    </row>
    <row r="102" spans="1:8" ht="14.1" customHeight="1" x14ac:dyDescent="0.2">
      <c r="A102" s="1"/>
      <c r="B102" s="1"/>
      <c r="C102" s="2" t="s">
        <v>119</v>
      </c>
      <c r="D102" s="1"/>
      <c r="E102" s="1" t="s">
        <v>120</v>
      </c>
      <c r="F102" s="13">
        <v>0</v>
      </c>
      <c r="G102" s="14">
        <v>0</v>
      </c>
      <c r="H102" s="6"/>
    </row>
    <row r="103" spans="1:8" ht="14.1" customHeight="1" x14ac:dyDescent="0.2">
      <c r="A103" s="1"/>
      <c r="B103" s="1"/>
      <c r="C103" s="11"/>
      <c r="D103" s="1"/>
      <c r="E103" s="1"/>
      <c r="F103" s="12"/>
      <c r="G103" s="12"/>
      <c r="H103" s="6"/>
    </row>
    <row r="104" spans="1:8" ht="14.1" customHeight="1" x14ac:dyDescent="0.2">
      <c r="A104" s="1"/>
      <c r="B104" s="1"/>
      <c r="C104" s="11"/>
      <c r="D104" s="1"/>
      <c r="E104" s="1"/>
      <c r="F104" s="12"/>
      <c r="G104" s="12"/>
      <c r="H104" s="6"/>
    </row>
    <row r="105" spans="1:8" ht="24" customHeight="1" x14ac:dyDescent="0.2">
      <c r="A105" s="1"/>
      <c r="B105" s="1"/>
      <c r="C105" s="2" t="s">
        <v>143</v>
      </c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119</v>
      </c>
      <c r="D106" s="1"/>
      <c r="E106" s="1" t="s">
        <v>120</v>
      </c>
      <c r="F106" s="13">
        <v>0</v>
      </c>
      <c r="G106" s="14">
        <v>0</v>
      </c>
      <c r="H106" s="6"/>
    </row>
    <row r="107" spans="1:8" ht="14.1" customHeight="1" x14ac:dyDescent="0.2">
      <c r="A107" s="1"/>
      <c r="B107" s="1"/>
      <c r="C107" s="11"/>
      <c r="D107" s="1"/>
      <c r="E107" s="1"/>
      <c r="F107" s="12"/>
      <c r="G107" s="12"/>
      <c r="H107" s="6"/>
    </row>
    <row r="108" spans="1:8" ht="14.1" customHeight="1" x14ac:dyDescent="0.2">
      <c r="A108" s="1"/>
      <c r="B108" s="4"/>
      <c r="C108" s="4"/>
      <c r="D108" s="2"/>
      <c r="E108" s="1"/>
      <c r="F108" s="4"/>
      <c r="G108" s="8"/>
      <c r="H108" s="6"/>
    </row>
    <row r="109" spans="1:8" ht="18" customHeight="1" x14ac:dyDescent="0.2">
      <c r="A109" s="8"/>
      <c r="B109" s="4"/>
      <c r="C109" s="4" t="s">
        <v>144</v>
      </c>
      <c r="D109" s="4"/>
      <c r="E109" s="8"/>
      <c r="F109" s="6">
        <v>1371.4768648100001</v>
      </c>
      <c r="G109" s="7">
        <v>1.2256735E-2</v>
      </c>
      <c r="H109" s="6"/>
    </row>
    <row r="110" spans="1:8" ht="14.1" customHeight="1" x14ac:dyDescent="0.2">
      <c r="A110" s="11"/>
      <c r="B110" s="11"/>
      <c r="C110" s="2" t="s">
        <v>145</v>
      </c>
      <c r="D110" s="15"/>
      <c r="E110" s="15"/>
      <c r="F110" s="9">
        <v>111895.77490391</v>
      </c>
      <c r="G110" s="10">
        <v>1.0000000019999999</v>
      </c>
      <c r="H110" s="6"/>
    </row>
    <row r="111" spans="1:8" ht="17.100000000000001" customHeight="1" x14ac:dyDescent="0.2">
      <c r="A111" s="18"/>
      <c r="B111" s="267" t="s">
        <v>146</v>
      </c>
      <c r="C111" s="267"/>
      <c r="D111" s="267"/>
      <c r="E111" s="267"/>
      <c r="F111" s="267"/>
      <c r="G111" s="20"/>
    </row>
    <row r="112" spans="1:8" ht="14.1" customHeight="1" x14ac:dyDescent="0.2">
      <c r="A112" s="18"/>
      <c r="B112" s="18"/>
      <c r="C112" s="18"/>
      <c r="D112" s="20"/>
      <c r="E112" s="20"/>
      <c r="F112" s="20"/>
      <c r="G112" s="20"/>
    </row>
    <row r="113" spans="1:15" ht="14.1" customHeight="1" x14ac:dyDescent="0.2">
      <c r="A113" s="18"/>
      <c r="B113" s="265" t="s">
        <v>147</v>
      </c>
      <c r="C113" s="266"/>
      <c r="D113" s="12" t="s">
        <v>120</v>
      </c>
      <c r="E113" s="21"/>
      <c r="F113" s="20"/>
      <c r="G113" s="20"/>
    </row>
    <row r="114" spans="1:15" ht="29.1" customHeight="1" x14ac:dyDescent="0.2">
      <c r="A114" s="18"/>
      <c r="B114" s="272" t="s">
        <v>148</v>
      </c>
      <c r="C114" s="273"/>
      <c r="D114" s="2" t="s">
        <v>149</v>
      </c>
      <c r="E114" s="21"/>
      <c r="F114" s="20"/>
      <c r="G114" s="20"/>
    </row>
    <row r="115" spans="1:15" ht="17.100000000000001" customHeight="1" x14ac:dyDescent="0.2">
      <c r="A115" s="18"/>
      <c r="B115" s="272" t="s">
        <v>150</v>
      </c>
      <c r="C115" s="273"/>
      <c r="D115" s="2" t="s">
        <v>149</v>
      </c>
      <c r="E115" s="21"/>
      <c r="F115" s="20"/>
      <c r="G115" s="20"/>
    </row>
    <row r="116" spans="1:15" ht="17.100000000000001" customHeight="1" x14ac:dyDescent="0.2">
      <c r="A116" s="18"/>
      <c r="B116" s="272" t="s">
        <v>151</v>
      </c>
      <c r="C116" s="273"/>
      <c r="D116" s="12" t="s">
        <v>120</v>
      </c>
      <c r="E116" s="21"/>
      <c r="F116" s="20"/>
      <c r="G116" s="20"/>
    </row>
    <row r="117" spans="1:15" ht="24" customHeight="1" x14ac:dyDescent="0.2">
      <c r="A117" s="22"/>
      <c r="B117" s="23" t="s">
        <v>120</v>
      </c>
      <c r="C117" s="23" t="s">
        <v>152</v>
      </c>
      <c r="D117" s="23" t="s">
        <v>153</v>
      </c>
      <c r="E117" s="22"/>
      <c r="F117" s="22"/>
      <c r="G117" s="22"/>
    </row>
    <row r="118" spans="1:15" ht="18" customHeight="1" x14ac:dyDescent="0.2">
      <c r="A118" s="22"/>
      <c r="B118" s="23" t="s">
        <v>154</v>
      </c>
      <c r="C118" s="23" t="s">
        <v>155</v>
      </c>
      <c r="D118" s="23" t="s">
        <v>156</v>
      </c>
      <c r="E118" s="22"/>
      <c r="F118" s="22"/>
      <c r="G118" s="22"/>
    </row>
    <row r="119" spans="1:15" ht="17.100000000000001" customHeight="1" x14ac:dyDescent="0.2">
      <c r="A119" s="22"/>
      <c r="B119" s="4" t="s">
        <v>157</v>
      </c>
      <c r="C119" s="24">
        <v>60.670999999999999</v>
      </c>
      <c r="D119" s="24">
        <v>59.2119</v>
      </c>
      <c r="E119" s="22"/>
      <c r="F119" s="19"/>
      <c r="G119" s="25"/>
    </row>
    <row r="120" spans="1:15" ht="17.100000000000001" customHeight="1" x14ac:dyDescent="0.2">
      <c r="A120" s="22"/>
      <c r="B120" s="4" t="s">
        <v>1120</v>
      </c>
      <c r="C120" s="24">
        <v>23.368400000000001</v>
      </c>
      <c r="D120" s="24">
        <v>22.8064</v>
      </c>
      <c r="E120" s="22"/>
      <c r="F120" s="19"/>
      <c r="G120" s="25"/>
    </row>
    <row r="121" spans="1:15" ht="17.100000000000001" customHeight="1" x14ac:dyDescent="0.2">
      <c r="A121" s="22"/>
      <c r="B121" s="4" t="s">
        <v>158</v>
      </c>
      <c r="C121" s="24">
        <v>56.927700000000002</v>
      </c>
      <c r="D121" s="24">
        <v>55.526800000000001</v>
      </c>
      <c r="E121" s="22"/>
      <c r="F121" s="19"/>
      <c r="G121" s="25"/>
    </row>
    <row r="122" spans="1:15" ht="17.100000000000001" customHeight="1" x14ac:dyDescent="0.2">
      <c r="A122" s="22"/>
      <c r="B122" s="4" t="s">
        <v>1121</v>
      </c>
      <c r="C122" s="24">
        <v>21.565200000000001</v>
      </c>
      <c r="D122" s="24">
        <v>21.034500000000001</v>
      </c>
      <c r="E122" s="22"/>
      <c r="F122" s="19"/>
      <c r="G122" s="25"/>
    </row>
    <row r="123" spans="1:15" ht="14.1" customHeight="1" x14ac:dyDescent="0.2">
      <c r="A123" s="22"/>
      <c r="B123" s="22"/>
      <c r="C123" s="22"/>
      <c r="D123" s="22"/>
      <c r="E123" s="22"/>
      <c r="F123" s="22"/>
      <c r="G123" s="22"/>
    </row>
    <row r="124" spans="1:15" ht="17.100000000000001" customHeight="1" x14ac:dyDescent="0.2">
      <c r="A124" s="22"/>
      <c r="B124" s="272" t="s">
        <v>1122</v>
      </c>
      <c r="C124" s="273"/>
      <c r="D124" s="2" t="s">
        <v>149</v>
      </c>
      <c r="E124" s="22"/>
      <c r="F124" s="22"/>
      <c r="G124" s="22"/>
    </row>
    <row r="125" spans="1:15" ht="14.1" customHeight="1" x14ac:dyDescent="0.2">
      <c r="A125" s="22"/>
      <c r="B125" s="19"/>
      <c r="C125" s="19"/>
      <c r="D125" s="22"/>
      <c r="E125" s="22"/>
      <c r="F125" s="22"/>
      <c r="G125" s="22"/>
    </row>
    <row r="126" spans="1:15" ht="29.1" customHeight="1" x14ac:dyDescent="0.2">
      <c r="A126" s="22"/>
      <c r="B126" s="272" t="s">
        <v>160</v>
      </c>
      <c r="C126" s="273"/>
      <c r="D126" s="2" t="s">
        <v>149</v>
      </c>
      <c r="E126" s="22"/>
      <c r="F126" s="22"/>
      <c r="G126" s="22"/>
      <c r="J126" s="170"/>
      <c r="K126" s="170"/>
      <c r="L126" s="170"/>
      <c r="M126" s="170"/>
      <c r="N126" s="170"/>
      <c r="O126" s="170"/>
    </row>
    <row r="127" spans="1:15" ht="29.1" customHeight="1" x14ac:dyDescent="0.2">
      <c r="A127" s="22"/>
      <c r="B127" s="272" t="s">
        <v>161</v>
      </c>
      <c r="C127" s="273"/>
      <c r="D127" s="2" t="s">
        <v>149</v>
      </c>
      <c r="E127" s="22"/>
      <c r="F127" s="22"/>
      <c r="G127" s="22"/>
    </row>
    <row r="128" spans="1:15" ht="17.100000000000001" customHeight="1" x14ac:dyDescent="0.2">
      <c r="A128" s="22"/>
      <c r="B128" s="272" t="s">
        <v>162</v>
      </c>
      <c r="C128" s="273"/>
      <c r="D128" s="27">
        <v>0.41432775186791643</v>
      </c>
      <c r="E128" s="22"/>
      <c r="F128" s="19"/>
      <c r="G128" s="25"/>
    </row>
    <row r="129" spans="1:7" ht="17.100000000000001" customHeight="1" x14ac:dyDescent="0.2">
      <c r="A129" s="22"/>
      <c r="B129" s="272" t="s">
        <v>163</v>
      </c>
      <c r="C129" s="273"/>
      <c r="D129" s="2" t="s">
        <v>149</v>
      </c>
      <c r="E129" s="22"/>
      <c r="F129" s="22"/>
      <c r="G129" s="22"/>
    </row>
  </sheetData>
  <mergeCells count="14">
    <mergeCell ref="B128:C128"/>
    <mergeCell ref="B129:C129"/>
    <mergeCell ref="B114:C114"/>
    <mergeCell ref="B115:C115"/>
    <mergeCell ref="B116:C116"/>
    <mergeCell ref="B124:C124"/>
    <mergeCell ref="B126:C126"/>
    <mergeCell ref="B127:C127"/>
    <mergeCell ref="J2:N2"/>
    <mergeCell ref="B113:C113"/>
    <mergeCell ref="B111:F111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O138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767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2608588</v>
      </c>
      <c r="F7" s="6">
        <v>19638.754757999999</v>
      </c>
      <c r="G7" s="7">
        <v>9.4702710999999995E-2</v>
      </c>
      <c r="H7" s="6"/>
    </row>
    <row r="8" spans="1:14" ht="17.100000000000001" customHeight="1" x14ac:dyDescent="0.2">
      <c r="A8" s="3">
        <v>2</v>
      </c>
      <c r="B8" s="4" t="s">
        <v>374</v>
      </c>
      <c r="C8" s="4" t="s">
        <v>375</v>
      </c>
      <c r="D8" s="4" t="s">
        <v>19</v>
      </c>
      <c r="E8" s="5">
        <v>1355732</v>
      </c>
      <c r="F8" s="6">
        <v>18830.439613999999</v>
      </c>
      <c r="G8" s="7">
        <v>9.0804824000000006E-2</v>
      </c>
      <c r="H8" s="6"/>
    </row>
    <row r="9" spans="1:14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523988</v>
      </c>
      <c r="F9" s="6">
        <v>13794.770081999999</v>
      </c>
      <c r="G9" s="7">
        <v>6.6521636999999995E-2</v>
      </c>
      <c r="H9" s="6"/>
    </row>
    <row r="10" spans="1:14" ht="17.100000000000001" customHeight="1" x14ac:dyDescent="0.2">
      <c r="A10" s="3">
        <v>4</v>
      </c>
      <c r="B10" s="4" t="s">
        <v>20</v>
      </c>
      <c r="C10" s="4" t="s">
        <v>21</v>
      </c>
      <c r="D10" s="4" t="s">
        <v>22</v>
      </c>
      <c r="E10" s="5">
        <v>1930861</v>
      </c>
      <c r="F10" s="6">
        <v>13519.888722</v>
      </c>
      <c r="G10" s="7">
        <v>6.5196093999999996E-2</v>
      </c>
      <c r="H10" s="6"/>
    </row>
    <row r="11" spans="1:14" ht="29.1" customHeight="1" x14ac:dyDescent="0.2">
      <c r="A11" s="3">
        <v>5</v>
      </c>
      <c r="B11" s="4" t="s">
        <v>408</v>
      </c>
      <c r="C11" s="4" t="s">
        <v>409</v>
      </c>
      <c r="D11" s="4" t="s">
        <v>85</v>
      </c>
      <c r="E11" s="5">
        <v>465064</v>
      </c>
      <c r="F11" s="6">
        <v>10727.86382</v>
      </c>
      <c r="G11" s="7">
        <v>5.1732291E-2</v>
      </c>
      <c r="H11" s="6"/>
    </row>
    <row r="12" spans="1:14" ht="17.100000000000001" customHeight="1" x14ac:dyDescent="0.2">
      <c r="A12" s="3">
        <v>6</v>
      </c>
      <c r="B12" s="4" t="s">
        <v>319</v>
      </c>
      <c r="C12" s="4" t="s">
        <v>320</v>
      </c>
      <c r="D12" s="4" t="s">
        <v>19</v>
      </c>
      <c r="E12" s="5">
        <v>932278</v>
      </c>
      <c r="F12" s="6">
        <v>6387.9688560000004</v>
      </c>
      <c r="G12" s="7">
        <v>3.0804293E-2</v>
      </c>
      <c r="H12" s="6"/>
    </row>
    <row r="13" spans="1:14" ht="17.100000000000001" customHeight="1" x14ac:dyDescent="0.2">
      <c r="A13" s="3">
        <v>7</v>
      </c>
      <c r="B13" s="4" t="s">
        <v>473</v>
      </c>
      <c r="C13" s="4" t="s">
        <v>474</v>
      </c>
      <c r="D13" s="4" t="s">
        <v>80</v>
      </c>
      <c r="E13" s="5">
        <v>271091</v>
      </c>
      <c r="F13" s="6">
        <v>6007.3765599999997</v>
      </c>
      <c r="G13" s="7">
        <v>2.8968988000000001E-2</v>
      </c>
      <c r="H13" s="6"/>
      <c r="J13" s="169" t="s">
        <v>1160</v>
      </c>
    </row>
    <row r="14" spans="1:14" ht="17.100000000000001" customHeight="1" x14ac:dyDescent="0.2">
      <c r="A14" s="3">
        <v>8</v>
      </c>
      <c r="B14" s="4" t="s">
        <v>370</v>
      </c>
      <c r="C14" s="4" t="s">
        <v>371</v>
      </c>
      <c r="D14" s="4" t="s">
        <v>203</v>
      </c>
      <c r="E14" s="5">
        <v>2283765</v>
      </c>
      <c r="F14" s="6">
        <v>5774.4998025000004</v>
      </c>
      <c r="G14" s="7">
        <v>2.7846000999999999E-2</v>
      </c>
      <c r="H14" s="6"/>
    </row>
    <row r="15" spans="1:14" ht="17.100000000000001" customHeight="1" x14ac:dyDescent="0.2">
      <c r="A15" s="3">
        <v>9</v>
      </c>
      <c r="B15" s="4" t="s">
        <v>330</v>
      </c>
      <c r="C15" s="4" t="s">
        <v>331</v>
      </c>
      <c r="D15" s="4" t="s">
        <v>994</v>
      </c>
      <c r="E15" s="5">
        <v>173955</v>
      </c>
      <c r="F15" s="6">
        <v>5301.5395575000002</v>
      </c>
      <c r="G15" s="7">
        <v>2.5565274999999998E-2</v>
      </c>
      <c r="H15" s="6"/>
    </row>
    <row r="16" spans="1:14" ht="17.100000000000001" customHeight="1" x14ac:dyDescent="0.2">
      <c r="A16" s="3">
        <v>10</v>
      </c>
      <c r="B16" s="4" t="s">
        <v>332</v>
      </c>
      <c r="C16" s="4" t="s">
        <v>333</v>
      </c>
      <c r="D16" s="4" t="s">
        <v>239</v>
      </c>
      <c r="E16" s="5">
        <v>132338</v>
      </c>
      <c r="F16" s="6">
        <v>5266.1260339999999</v>
      </c>
      <c r="G16" s="7">
        <v>2.5394502999999999E-2</v>
      </c>
      <c r="H16" s="6"/>
    </row>
    <row r="17" spans="1:10" ht="17.100000000000001" customHeight="1" x14ac:dyDescent="0.2">
      <c r="A17" s="3">
        <v>11</v>
      </c>
      <c r="B17" s="4" t="s">
        <v>45</v>
      </c>
      <c r="C17" s="4" t="s">
        <v>46</v>
      </c>
      <c r="D17" s="4" t="s">
        <v>47</v>
      </c>
      <c r="E17" s="5">
        <v>774290</v>
      </c>
      <c r="F17" s="6">
        <v>5036.3693050000002</v>
      </c>
      <c r="G17" s="7">
        <v>2.4286561000000002E-2</v>
      </c>
      <c r="H17" s="6"/>
    </row>
    <row r="18" spans="1:10" ht="17.100000000000001" customHeight="1" x14ac:dyDescent="0.2">
      <c r="A18" s="3">
        <v>12</v>
      </c>
      <c r="B18" s="4" t="s">
        <v>412</v>
      </c>
      <c r="C18" s="4" t="s">
        <v>413</v>
      </c>
      <c r="D18" s="4" t="s">
        <v>323</v>
      </c>
      <c r="E18" s="5">
        <v>426938</v>
      </c>
      <c r="F18" s="6">
        <v>5012.892527</v>
      </c>
      <c r="G18" s="7">
        <v>2.4173350999999999E-2</v>
      </c>
      <c r="H18" s="6"/>
    </row>
    <row r="19" spans="1:10" ht="17.100000000000001" customHeight="1" x14ac:dyDescent="0.2">
      <c r="A19" s="3">
        <v>13</v>
      </c>
      <c r="B19" s="4" t="s">
        <v>204</v>
      </c>
      <c r="C19" s="4" t="s">
        <v>205</v>
      </c>
      <c r="D19" s="4" t="s">
        <v>85</v>
      </c>
      <c r="E19" s="5">
        <v>607439</v>
      </c>
      <c r="F19" s="6">
        <v>4725.8754200000003</v>
      </c>
      <c r="G19" s="7">
        <v>2.2789286999999998E-2</v>
      </c>
      <c r="H19" s="6"/>
    </row>
    <row r="20" spans="1:10" ht="17.100000000000001" customHeight="1" x14ac:dyDescent="0.2">
      <c r="A20" s="3">
        <v>14</v>
      </c>
      <c r="B20" s="4" t="s">
        <v>431</v>
      </c>
      <c r="C20" s="4" t="s">
        <v>432</v>
      </c>
      <c r="D20" s="4" t="s">
        <v>19</v>
      </c>
      <c r="E20" s="5">
        <v>254049</v>
      </c>
      <c r="F20" s="6">
        <v>4691.9039565000003</v>
      </c>
      <c r="G20" s="7">
        <v>2.2625467999999999E-2</v>
      </c>
      <c r="H20" s="6"/>
    </row>
    <row r="21" spans="1:10" ht="17.100000000000001" customHeight="1" x14ac:dyDescent="0.2">
      <c r="A21" s="3">
        <v>15</v>
      </c>
      <c r="B21" s="4" t="s">
        <v>277</v>
      </c>
      <c r="C21" s="4" t="s">
        <v>278</v>
      </c>
      <c r="D21" s="4" t="s">
        <v>92</v>
      </c>
      <c r="E21" s="5">
        <v>400823</v>
      </c>
      <c r="F21" s="6">
        <v>4677.203587</v>
      </c>
      <c r="G21" s="7">
        <v>2.2554580000000001E-2</v>
      </c>
      <c r="H21" s="6"/>
    </row>
    <row r="22" spans="1:10" ht="17.100000000000001" customHeight="1" x14ac:dyDescent="0.2">
      <c r="A22" s="3">
        <v>16</v>
      </c>
      <c r="B22" s="4" t="s">
        <v>109</v>
      </c>
      <c r="C22" s="4" t="s">
        <v>110</v>
      </c>
      <c r="D22" s="4" t="s">
        <v>54</v>
      </c>
      <c r="E22" s="5">
        <v>1151772</v>
      </c>
      <c r="F22" s="6">
        <v>4356.0017040000002</v>
      </c>
      <c r="G22" s="7">
        <v>2.1005668000000002E-2</v>
      </c>
      <c r="H22" s="6"/>
    </row>
    <row r="23" spans="1:10" ht="17.100000000000001" customHeight="1" x14ac:dyDescent="0.2">
      <c r="A23" s="3">
        <v>17</v>
      </c>
      <c r="B23" s="4" t="s">
        <v>312</v>
      </c>
      <c r="C23" s="4" t="s">
        <v>313</v>
      </c>
      <c r="D23" s="4" t="s">
        <v>254</v>
      </c>
      <c r="E23" s="5">
        <v>8958</v>
      </c>
      <c r="F23" s="6">
        <v>4048.4829989999998</v>
      </c>
      <c r="G23" s="7">
        <v>1.9522741E-2</v>
      </c>
      <c r="H23" s="6"/>
    </row>
    <row r="24" spans="1:10" ht="29.1" customHeight="1" x14ac:dyDescent="0.2">
      <c r="A24" s="3">
        <v>18</v>
      </c>
      <c r="B24" s="4" t="s">
        <v>83</v>
      </c>
      <c r="C24" s="4" t="s">
        <v>84</v>
      </c>
      <c r="D24" s="4" t="s">
        <v>85</v>
      </c>
      <c r="E24" s="5">
        <v>519537</v>
      </c>
      <c r="F24" s="6">
        <v>3530.7734519999999</v>
      </c>
      <c r="G24" s="7">
        <v>1.7026223E-2</v>
      </c>
      <c r="H24" s="6"/>
    </row>
    <row r="25" spans="1:10" ht="17.100000000000001" customHeight="1" x14ac:dyDescent="0.2">
      <c r="A25" s="3">
        <v>19</v>
      </c>
      <c r="B25" s="4" t="s">
        <v>201</v>
      </c>
      <c r="C25" s="4" t="s">
        <v>202</v>
      </c>
      <c r="D25" s="4" t="s">
        <v>203</v>
      </c>
      <c r="E25" s="5">
        <v>670829</v>
      </c>
      <c r="F25" s="6">
        <v>3377.6240149999999</v>
      </c>
      <c r="G25" s="7">
        <v>1.6287699999999999E-2</v>
      </c>
      <c r="H25" s="6"/>
      <c r="J25" s="169" t="s">
        <v>1161</v>
      </c>
    </row>
    <row r="26" spans="1:10" ht="17.100000000000001" customHeight="1" x14ac:dyDescent="0.2">
      <c r="A26" s="3">
        <v>20</v>
      </c>
      <c r="B26" s="4" t="s">
        <v>380</v>
      </c>
      <c r="C26" s="4" t="s">
        <v>381</v>
      </c>
      <c r="D26" s="4" t="s">
        <v>85</v>
      </c>
      <c r="E26" s="5">
        <v>25000</v>
      </c>
      <c r="F26" s="6">
        <v>3233.5</v>
      </c>
      <c r="G26" s="7">
        <v>1.5592699999999999E-2</v>
      </c>
      <c r="H26" s="6"/>
    </row>
    <row r="27" spans="1:10" ht="17.100000000000001" customHeight="1" x14ac:dyDescent="0.2">
      <c r="A27" s="3">
        <v>21</v>
      </c>
      <c r="B27" s="4" t="s">
        <v>482</v>
      </c>
      <c r="C27" s="4" t="s">
        <v>483</v>
      </c>
      <c r="D27" s="4" t="s">
        <v>47</v>
      </c>
      <c r="E27" s="5">
        <v>424535</v>
      </c>
      <c r="F27" s="6">
        <v>3130.7333574999998</v>
      </c>
      <c r="G27" s="7">
        <v>1.5097134999999999E-2</v>
      </c>
      <c r="H27" s="6"/>
    </row>
    <row r="28" spans="1:10" ht="17.100000000000001" customHeight="1" x14ac:dyDescent="0.2">
      <c r="A28" s="3">
        <v>22</v>
      </c>
      <c r="B28" s="4" t="s">
        <v>187</v>
      </c>
      <c r="C28" s="4" t="s">
        <v>188</v>
      </c>
      <c r="D28" s="4" t="s">
        <v>181</v>
      </c>
      <c r="E28" s="5">
        <v>224451</v>
      </c>
      <c r="F28" s="6">
        <v>3078.6821414999999</v>
      </c>
      <c r="G28" s="7">
        <v>1.4846132E-2</v>
      </c>
      <c r="H28" s="6"/>
    </row>
    <row r="29" spans="1:10" ht="17.100000000000001" customHeight="1" x14ac:dyDescent="0.2">
      <c r="A29" s="3">
        <v>23</v>
      </c>
      <c r="B29" s="4" t="s">
        <v>179</v>
      </c>
      <c r="C29" s="4" t="s">
        <v>180</v>
      </c>
      <c r="D29" s="4" t="s">
        <v>181</v>
      </c>
      <c r="E29" s="5">
        <v>206511</v>
      </c>
      <c r="F29" s="6">
        <v>3047.0698050000001</v>
      </c>
      <c r="G29" s="7">
        <v>1.4693690000000001E-2</v>
      </c>
      <c r="H29" s="6"/>
    </row>
    <row r="30" spans="1:10" ht="17.100000000000001" customHeight="1" x14ac:dyDescent="0.2">
      <c r="A30" s="3">
        <v>24</v>
      </c>
      <c r="B30" s="4" t="s">
        <v>215</v>
      </c>
      <c r="C30" s="4" t="s">
        <v>216</v>
      </c>
      <c r="D30" s="4" t="s">
        <v>186</v>
      </c>
      <c r="E30" s="5">
        <v>667345</v>
      </c>
      <c r="F30" s="6">
        <v>3037.7544400000002</v>
      </c>
      <c r="G30" s="7">
        <v>1.4648769000000001E-2</v>
      </c>
      <c r="H30" s="6"/>
    </row>
    <row r="31" spans="1:10" ht="17.100000000000001" customHeight="1" x14ac:dyDescent="0.2">
      <c r="A31" s="3">
        <v>25</v>
      </c>
      <c r="B31" s="4" t="s">
        <v>174</v>
      </c>
      <c r="C31" s="4" t="s">
        <v>175</v>
      </c>
      <c r="D31" s="4" t="s">
        <v>176</v>
      </c>
      <c r="E31" s="5">
        <v>281609</v>
      </c>
      <c r="F31" s="6">
        <v>2962.6674844999998</v>
      </c>
      <c r="G31" s="7">
        <v>1.4286682E-2</v>
      </c>
      <c r="H31" s="6"/>
    </row>
    <row r="32" spans="1:10" ht="17.100000000000001" customHeight="1" x14ac:dyDescent="0.2">
      <c r="A32" s="3">
        <v>26</v>
      </c>
      <c r="B32" s="4" t="s">
        <v>249</v>
      </c>
      <c r="C32" s="4" t="s">
        <v>250</v>
      </c>
      <c r="D32" s="4" t="s">
        <v>994</v>
      </c>
      <c r="E32" s="5">
        <v>77599</v>
      </c>
      <c r="F32" s="6">
        <v>2917.6448009999999</v>
      </c>
      <c r="G32" s="7">
        <v>1.4069572000000001E-2</v>
      </c>
      <c r="H32" s="6"/>
    </row>
    <row r="33" spans="1:8" ht="29.1" customHeight="1" x14ac:dyDescent="0.2">
      <c r="A33" s="3">
        <v>27</v>
      </c>
      <c r="B33" s="4" t="s">
        <v>189</v>
      </c>
      <c r="C33" s="4" t="s">
        <v>190</v>
      </c>
      <c r="D33" s="4" t="s">
        <v>191</v>
      </c>
      <c r="E33" s="5">
        <v>378624</v>
      </c>
      <c r="F33" s="6">
        <v>2665.702272</v>
      </c>
      <c r="G33" s="7">
        <v>1.2854646000000001E-2</v>
      </c>
      <c r="H33" s="6"/>
    </row>
    <row r="34" spans="1:8" ht="17.100000000000001" customHeight="1" x14ac:dyDescent="0.2">
      <c r="A34" s="3">
        <v>28</v>
      </c>
      <c r="B34" s="4" t="s">
        <v>184</v>
      </c>
      <c r="C34" s="4" t="s">
        <v>185</v>
      </c>
      <c r="D34" s="4" t="s">
        <v>186</v>
      </c>
      <c r="E34" s="5">
        <v>232518</v>
      </c>
      <c r="F34" s="6">
        <v>2471.0850449999998</v>
      </c>
      <c r="G34" s="7">
        <v>1.1916154999999999E-2</v>
      </c>
      <c r="H34" s="6"/>
    </row>
    <row r="35" spans="1:8" ht="29.1" customHeight="1" x14ac:dyDescent="0.2">
      <c r="A35" s="3">
        <v>29</v>
      </c>
      <c r="B35" s="4" t="s">
        <v>715</v>
      </c>
      <c r="C35" s="4" t="s">
        <v>716</v>
      </c>
      <c r="D35" s="4" t="s">
        <v>323</v>
      </c>
      <c r="E35" s="5">
        <v>191985</v>
      </c>
      <c r="F35" s="6">
        <v>2430.2421224999998</v>
      </c>
      <c r="G35" s="7">
        <v>1.1719201E-2</v>
      </c>
      <c r="H35" s="6"/>
    </row>
    <row r="36" spans="1:8" ht="17.100000000000001" customHeight="1" x14ac:dyDescent="0.2">
      <c r="A36" s="3">
        <v>30</v>
      </c>
      <c r="B36" s="4" t="s">
        <v>447</v>
      </c>
      <c r="C36" s="4" t="s">
        <v>448</v>
      </c>
      <c r="D36" s="4" t="s">
        <v>85</v>
      </c>
      <c r="E36" s="5">
        <v>39471</v>
      </c>
      <c r="F36" s="6">
        <v>2400.6854265000002</v>
      </c>
      <c r="G36" s="7">
        <v>1.1576672E-2</v>
      </c>
      <c r="H36" s="6"/>
    </row>
    <row r="37" spans="1:8" ht="17.100000000000001" customHeight="1" x14ac:dyDescent="0.2">
      <c r="A37" s="3">
        <v>31</v>
      </c>
      <c r="B37" s="4" t="s">
        <v>768</v>
      </c>
      <c r="C37" s="4" t="s">
        <v>769</v>
      </c>
      <c r="D37" s="4" t="s">
        <v>203</v>
      </c>
      <c r="E37" s="5">
        <v>114424</v>
      </c>
      <c r="F37" s="6">
        <v>2105.4588119999999</v>
      </c>
      <c r="G37" s="7">
        <v>1.0153018999999999E-2</v>
      </c>
      <c r="H37" s="6"/>
    </row>
    <row r="38" spans="1:8" ht="17.100000000000001" customHeight="1" x14ac:dyDescent="0.2">
      <c r="A38" s="3">
        <v>32</v>
      </c>
      <c r="B38" s="4" t="s">
        <v>592</v>
      </c>
      <c r="C38" s="4" t="s">
        <v>593</v>
      </c>
      <c r="D38" s="4" t="s">
        <v>323</v>
      </c>
      <c r="E38" s="5">
        <v>340066</v>
      </c>
      <c r="F38" s="6">
        <v>2036.8253070000001</v>
      </c>
      <c r="G38" s="7">
        <v>9.8220519999999995E-3</v>
      </c>
      <c r="H38" s="6"/>
    </row>
    <row r="39" spans="1:8" ht="17.100000000000001" customHeight="1" x14ac:dyDescent="0.2">
      <c r="A39" s="3">
        <v>33</v>
      </c>
      <c r="B39" s="4" t="s">
        <v>386</v>
      </c>
      <c r="C39" s="4" t="s">
        <v>387</v>
      </c>
      <c r="D39" s="4" t="s">
        <v>239</v>
      </c>
      <c r="E39" s="5">
        <v>850626</v>
      </c>
      <c r="F39" s="6">
        <v>2024.915193</v>
      </c>
      <c r="G39" s="7">
        <v>9.7646190000000004E-3</v>
      </c>
      <c r="H39" s="6"/>
    </row>
    <row r="40" spans="1:8" ht="17.100000000000001" customHeight="1" x14ac:dyDescent="0.2">
      <c r="A40" s="3">
        <v>34</v>
      </c>
      <c r="B40" s="4" t="s">
        <v>727</v>
      </c>
      <c r="C40" s="4" t="s">
        <v>728</v>
      </c>
      <c r="D40" s="4" t="s">
        <v>302</v>
      </c>
      <c r="E40" s="5">
        <v>46747</v>
      </c>
      <c r="F40" s="6">
        <v>1946.732068</v>
      </c>
      <c r="G40" s="7">
        <v>9.3876010000000006E-3</v>
      </c>
      <c r="H40" s="6"/>
    </row>
    <row r="41" spans="1:8" ht="29.1" customHeight="1" x14ac:dyDescent="0.2">
      <c r="A41" s="3">
        <v>35</v>
      </c>
      <c r="B41" s="4" t="s">
        <v>206</v>
      </c>
      <c r="C41" s="4" t="s">
        <v>207</v>
      </c>
      <c r="D41" s="4" t="s">
        <v>191</v>
      </c>
      <c r="E41" s="5">
        <v>380798</v>
      </c>
      <c r="F41" s="6">
        <v>1787.656211</v>
      </c>
      <c r="G41" s="7">
        <v>8.6204999999999997E-3</v>
      </c>
      <c r="H41" s="6"/>
    </row>
    <row r="42" spans="1:8" ht="17.100000000000001" customHeight="1" x14ac:dyDescent="0.2">
      <c r="A42" s="3">
        <v>36</v>
      </c>
      <c r="B42" s="4" t="s">
        <v>541</v>
      </c>
      <c r="C42" s="4" t="s">
        <v>542</v>
      </c>
      <c r="D42" s="4" t="s">
        <v>994</v>
      </c>
      <c r="E42" s="5">
        <v>107408</v>
      </c>
      <c r="F42" s="6">
        <v>1427.022688</v>
      </c>
      <c r="G42" s="7">
        <v>6.88144E-3</v>
      </c>
      <c r="H42" s="6"/>
    </row>
    <row r="43" spans="1:8" ht="17.100000000000001" customHeight="1" x14ac:dyDescent="0.2">
      <c r="A43" s="3">
        <v>37</v>
      </c>
      <c r="B43" s="4" t="s">
        <v>257</v>
      </c>
      <c r="C43" s="4" t="s">
        <v>258</v>
      </c>
      <c r="D43" s="4" t="s">
        <v>186</v>
      </c>
      <c r="E43" s="5">
        <v>1460793</v>
      </c>
      <c r="F43" s="6">
        <v>1419.8907959999999</v>
      </c>
      <c r="G43" s="7">
        <v>6.847049E-3</v>
      </c>
      <c r="H43" s="6"/>
    </row>
    <row r="44" spans="1:8" ht="17.100000000000001" customHeight="1" x14ac:dyDescent="0.2">
      <c r="A44" s="3">
        <v>38</v>
      </c>
      <c r="B44" s="4" t="s">
        <v>770</v>
      </c>
      <c r="C44" s="4" t="s">
        <v>771</v>
      </c>
      <c r="D44" s="4" t="s">
        <v>186</v>
      </c>
      <c r="E44" s="5">
        <v>2164038</v>
      </c>
      <c r="F44" s="6">
        <v>1389.312396</v>
      </c>
      <c r="G44" s="7">
        <v>6.6995919999999999E-3</v>
      </c>
      <c r="H44" s="6"/>
    </row>
    <row r="45" spans="1:8" ht="17.100000000000001" customHeight="1" x14ac:dyDescent="0.2">
      <c r="A45" s="3">
        <v>39</v>
      </c>
      <c r="B45" s="4" t="s">
        <v>772</v>
      </c>
      <c r="C45" s="4" t="s">
        <v>773</v>
      </c>
      <c r="D45" s="4" t="s">
        <v>994</v>
      </c>
      <c r="E45" s="5">
        <v>139876</v>
      </c>
      <c r="F45" s="6">
        <v>1266.0176759999999</v>
      </c>
      <c r="G45" s="7">
        <v>6.1050360000000003E-3</v>
      </c>
      <c r="H45" s="6"/>
    </row>
    <row r="46" spans="1:8" ht="17.100000000000001" customHeight="1" x14ac:dyDescent="0.2">
      <c r="A46" s="3">
        <v>40</v>
      </c>
      <c r="B46" s="4" t="s">
        <v>543</v>
      </c>
      <c r="C46" s="4" t="s">
        <v>544</v>
      </c>
      <c r="D46" s="4" t="s">
        <v>181</v>
      </c>
      <c r="E46" s="5">
        <v>168338</v>
      </c>
      <c r="F46" s="6">
        <v>1153.1994689999999</v>
      </c>
      <c r="G46" s="7">
        <v>5.561E-3</v>
      </c>
      <c r="H46" s="6"/>
    </row>
    <row r="47" spans="1:8" ht="17.100000000000001" customHeight="1" x14ac:dyDescent="0.2">
      <c r="A47" s="3">
        <v>41</v>
      </c>
      <c r="B47" s="4" t="s">
        <v>494</v>
      </c>
      <c r="C47" s="4" t="s">
        <v>495</v>
      </c>
      <c r="D47" s="4" t="s">
        <v>186</v>
      </c>
      <c r="E47" s="5">
        <v>1648788</v>
      </c>
      <c r="F47" s="6">
        <v>958.77022199999999</v>
      </c>
      <c r="G47" s="7">
        <v>4.623416E-3</v>
      </c>
      <c r="H47" s="6"/>
    </row>
    <row r="48" spans="1:8" ht="17.100000000000001" customHeight="1" x14ac:dyDescent="0.2">
      <c r="A48" s="3">
        <v>42</v>
      </c>
      <c r="B48" s="4" t="s">
        <v>774</v>
      </c>
      <c r="C48" s="4" t="s">
        <v>775</v>
      </c>
      <c r="D48" s="4" t="s">
        <v>994</v>
      </c>
      <c r="E48" s="5">
        <v>117635</v>
      </c>
      <c r="F48" s="6">
        <v>341.08268249999998</v>
      </c>
      <c r="G48" s="7">
        <v>1.6447810000000001E-3</v>
      </c>
      <c r="H48" s="6"/>
    </row>
    <row r="49" spans="1:8" ht="17.100000000000001" customHeight="1" x14ac:dyDescent="0.2">
      <c r="A49" s="3">
        <v>43</v>
      </c>
      <c r="B49" s="4" t="s">
        <v>438</v>
      </c>
      <c r="C49" s="4" t="s">
        <v>1057</v>
      </c>
      <c r="D49" s="4" t="s">
        <v>22</v>
      </c>
      <c r="E49" s="5">
        <v>92315</v>
      </c>
      <c r="F49" s="6">
        <v>306.34732750000001</v>
      </c>
      <c r="G49" s="7">
        <v>1.477279E-3</v>
      </c>
      <c r="H49" s="6"/>
    </row>
    <row r="50" spans="1:8" ht="17.100000000000001" customHeight="1" x14ac:dyDescent="0.2">
      <c r="A50" s="3">
        <v>44</v>
      </c>
      <c r="B50" s="4" t="s">
        <v>584</v>
      </c>
      <c r="C50" s="4" t="s">
        <v>585</v>
      </c>
      <c r="D50" s="4" t="s">
        <v>239</v>
      </c>
      <c r="E50" s="5">
        <v>11137</v>
      </c>
      <c r="F50" s="6">
        <v>180.00733099999999</v>
      </c>
      <c r="G50" s="7">
        <v>8.6803800000000001E-4</v>
      </c>
      <c r="H50" s="6"/>
    </row>
    <row r="51" spans="1:8" ht="14.1" customHeight="1" x14ac:dyDescent="0.2">
      <c r="A51" s="1"/>
      <c r="B51" s="1"/>
      <c r="C51" s="2" t="s">
        <v>119</v>
      </c>
      <c r="D51" s="1"/>
      <c r="E51" s="1" t="s">
        <v>120</v>
      </c>
      <c r="F51" s="9">
        <v>194425.35984599998</v>
      </c>
      <c r="G51" s="10">
        <v>0.93756497200000011</v>
      </c>
      <c r="H51" s="6"/>
    </row>
    <row r="52" spans="1:8" ht="14.1" customHeight="1" x14ac:dyDescent="0.2">
      <c r="A52" s="1"/>
      <c r="B52" s="1"/>
      <c r="C52" s="11"/>
      <c r="D52" s="1"/>
      <c r="E52" s="1"/>
      <c r="F52" s="12"/>
      <c r="G52" s="12"/>
      <c r="H52" s="6"/>
    </row>
    <row r="53" spans="1:8" ht="14.1" customHeight="1" x14ac:dyDescent="0.2">
      <c r="A53" s="1"/>
      <c r="B53" s="1"/>
      <c r="C53" s="2" t="s">
        <v>121</v>
      </c>
      <c r="D53" s="1"/>
      <c r="E53" s="1"/>
      <c r="F53" s="1"/>
      <c r="G53" s="1"/>
      <c r="H53" s="6"/>
    </row>
    <row r="54" spans="1:8" ht="17.100000000000001" customHeight="1" x14ac:dyDescent="0.2">
      <c r="A54" s="3">
        <v>1</v>
      </c>
      <c r="B54" s="4" t="s">
        <v>776</v>
      </c>
      <c r="C54" s="4" t="s">
        <v>777</v>
      </c>
      <c r="D54" s="4"/>
      <c r="E54" s="5">
        <v>37829</v>
      </c>
      <c r="F54" s="6">
        <v>858.76431633000004</v>
      </c>
      <c r="G54" s="7">
        <v>4.1411640000000001E-3</v>
      </c>
      <c r="H54" s="6"/>
    </row>
    <row r="55" spans="1:8" ht="14.1" customHeight="1" x14ac:dyDescent="0.2">
      <c r="A55" s="1"/>
      <c r="B55" s="1"/>
      <c r="C55" s="2" t="s">
        <v>119</v>
      </c>
      <c r="D55" s="1"/>
      <c r="E55" s="1" t="s">
        <v>120</v>
      </c>
      <c r="F55" s="9">
        <v>858.76431633000004</v>
      </c>
      <c r="G55" s="10">
        <v>4.1411640000000001E-3</v>
      </c>
      <c r="H55" s="6"/>
    </row>
    <row r="56" spans="1:8" ht="14.1" customHeight="1" x14ac:dyDescent="0.2">
      <c r="A56" s="1"/>
      <c r="B56" s="1"/>
      <c r="C56" s="11"/>
      <c r="D56" s="1"/>
      <c r="E56" s="1"/>
      <c r="F56" s="12"/>
      <c r="G56" s="12"/>
      <c r="H56" s="6"/>
    </row>
    <row r="57" spans="1:8" ht="14.1" customHeight="1" x14ac:dyDescent="0.2">
      <c r="A57" s="1"/>
      <c r="B57" s="1"/>
      <c r="C57" s="2" t="s">
        <v>122</v>
      </c>
      <c r="D57" s="1"/>
      <c r="E57" s="1"/>
      <c r="F57" s="1"/>
      <c r="G57" s="1"/>
      <c r="H57" s="6"/>
    </row>
    <row r="58" spans="1:8" ht="14.1" customHeight="1" x14ac:dyDescent="0.2">
      <c r="A58" s="1"/>
      <c r="B58" s="1"/>
      <c r="C58" s="2" t="s">
        <v>119</v>
      </c>
      <c r="D58" s="1"/>
      <c r="E58" s="1" t="s">
        <v>120</v>
      </c>
      <c r="F58" s="13">
        <v>0</v>
      </c>
      <c r="G58" s="14">
        <v>0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123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119</v>
      </c>
      <c r="D61" s="1"/>
      <c r="E61" s="1" t="s">
        <v>120</v>
      </c>
      <c r="F61" s="9">
        <v>0</v>
      </c>
      <c r="G61" s="10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124</v>
      </c>
      <c r="D63" s="1"/>
      <c r="E63" s="1"/>
      <c r="F63" s="12"/>
      <c r="G63" s="12"/>
      <c r="H63" s="6"/>
    </row>
    <row r="64" spans="1:8" ht="14.1" customHeight="1" x14ac:dyDescent="0.2">
      <c r="A64" s="1"/>
      <c r="B64" s="1"/>
      <c r="C64" s="2" t="s">
        <v>119</v>
      </c>
      <c r="D64" s="1"/>
      <c r="E64" s="1" t="s">
        <v>120</v>
      </c>
      <c r="F64" s="13">
        <v>0</v>
      </c>
      <c r="G64" s="14">
        <v>0</v>
      </c>
      <c r="H64" s="6"/>
    </row>
    <row r="65" spans="1:8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8" ht="14.1" customHeight="1" x14ac:dyDescent="0.2">
      <c r="A66" s="1"/>
      <c r="B66" s="1"/>
      <c r="C66" s="2" t="s">
        <v>125</v>
      </c>
      <c r="D66" s="1"/>
      <c r="E66" s="1"/>
      <c r="F66" s="12"/>
      <c r="G66" s="12"/>
      <c r="H66" s="6"/>
    </row>
    <row r="67" spans="1:8" ht="17.100000000000001" customHeight="1" x14ac:dyDescent="0.2">
      <c r="A67" s="3">
        <v>1</v>
      </c>
      <c r="B67" s="4"/>
      <c r="C67" s="4" t="s">
        <v>1051</v>
      </c>
      <c r="D67" s="4" t="s">
        <v>596</v>
      </c>
      <c r="E67" s="5">
        <v>19000</v>
      </c>
      <c r="F67" s="6">
        <v>307.10649999999998</v>
      </c>
      <c r="G67" s="7">
        <v>1.48094E-3</v>
      </c>
      <c r="H67" s="6"/>
    </row>
    <row r="68" spans="1:8" ht="14.1" customHeight="1" x14ac:dyDescent="0.2">
      <c r="A68" s="1"/>
      <c r="B68" s="1"/>
      <c r="C68" s="2" t="s">
        <v>119</v>
      </c>
      <c r="D68" s="1"/>
      <c r="E68" s="1" t="s">
        <v>120</v>
      </c>
      <c r="F68" s="9">
        <v>307.10649999999998</v>
      </c>
      <c r="G68" s="10">
        <v>1.48094E-3</v>
      </c>
      <c r="H68" s="6"/>
    </row>
    <row r="69" spans="1:8" ht="14.1" customHeight="1" x14ac:dyDescent="0.2">
      <c r="A69" s="1"/>
      <c r="B69" s="1"/>
      <c r="C69" s="11"/>
      <c r="D69" s="1"/>
      <c r="E69" s="1"/>
      <c r="F69" s="12"/>
      <c r="G69" s="12"/>
      <c r="H69" s="6"/>
    </row>
    <row r="70" spans="1:8" ht="18" customHeight="1" x14ac:dyDescent="0.2">
      <c r="A70" s="1"/>
      <c r="B70" s="1"/>
      <c r="C70" s="2" t="s">
        <v>126</v>
      </c>
      <c r="D70" s="1"/>
      <c r="E70" s="1"/>
      <c r="F70" s="9">
        <v>195284.12416232997</v>
      </c>
      <c r="G70" s="10">
        <v>0.94170613600000008</v>
      </c>
      <c r="H70" s="6"/>
    </row>
    <row r="71" spans="1:8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8" ht="14.1" customHeight="1" x14ac:dyDescent="0.2">
      <c r="A72" s="1"/>
      <c r="B72" s="1"/>
      <c r="C72" s="2" t="s">
        <v>127</v>
      </c>
      <c r="D72" s="1"/>
      <c r="E72" s="1"/>
      <c r="F72" s="12"/>
      <c r="G72" s="12"/>
      <c r="H72" s="6"/>
    </row>
    <row r="73" spans="1:8" ht="24" customHeight="1" x14ac:dyDescent="0.2">
      <c r="A73" s="1"/>
      <c r="B73" s="1"/>
      <c r="C73" s="2" t="s">
        <v>10</v>
      </c>
      <c r="D73" s="1"/>
      <c r="E73" s="1"/>
      <c r="F73" s="12"/>
      <c r="G73" s="12"/>
      <c r="H73" s="6"/>
    </row>
    <row r="74" spans="1:8" ht="14.1" customHeight="1" x14ac:dyDescent="0.2">
      <c r="A74" s="1"/>
      <c r="B74" s="1"/>
      <c r="C74" s="2" t="s">
        <v>119</v>
      </c>
      <c r="D74" s="1"/>
      <c r="E74" s="1" t="s">
        <v>120</v>
      </c>
      <c r="F74" s="13">
        <v>0</v>
      </c>
      <c r="G74" s="14">
        <v>0</v>
      </c>
      <c r="H74" s="6"/>
    </row>
    <row r="75" spans="1:8" ht="14.1" customHeight="1" x14ac:dyDescent="0.2">
      <c r="A75" s="1"/>
      <c r="B75" s="1"/>
      <c r="C75" s="11"/>
      <c r="D75" s="1"/>
      <c r="E75" s="1"/>
      <c r="F75" s="12"/>
      <c r="G75" s="12"/>
      <c r="H75" s="6"/>
    </row>
    <row r="76" spans="1:8" ht="14.1" customHeight="1" x14ac:dyDescent="0.2">
      <c r="A76" s="1"/>
      <c r="B76" s="1"/>
      <c r="C76" s="2" t="s">
        <v>128</v>
      </c>
      <c r="D76" s="1"/>
      <c r="E76" s="1"/>
      <c r="F76" s="1"/>
      <c r="G76" s="1"/>
      <c r="H76" s="6"/>
    </row>
    <row r="77" spans="1:8" ht="14.1" customHeight="1" x14ac:dyDescent="0.2">
      <c r="A77" s="1"/>
      <c r="B77" s="1"/>
      <c r="C77" s="2" t="s">
        <v>119</v>
      </c>
      <c r="D77" s="1"/>
      <c r="E77" s="1" t="s">
        <v>120</v>
      </c>
      <c r="F77" s="13">
        <v>0</v>
      </c>
      <c r="G77" s="14">
        <v>0</v>
      </c>
      <c r="H77" s="6"/>
    </row>
    <row r="78" spans="1:8" ht="14.1" customHeight="1" x14ac:dyDescent="0.2">
      <c r="A78" s="1"/>
      <c r="B78" s="1"/>
      <c r="C78" s="11"/>
      <c r="D78" s="1"/>
      <c r="E78" s="1"/>
      <c r="F78" s="12"/>
      <c r="G78" s="12"/>
      <c r="H78" s="6"/>
    </row>
    <row r="79" spans="1:8" ht="14.1" customHeight="1" x14ac:dyDescent="0.2">
      <c r="A79" s="1"/>
      <c r="B79" s="1"/>
      <c r="C79" s="2" t="s">
        <v>129</v>
      </c>
      <c r="D79" s="1"/>
      <c r="E79" s="1"/>
      <c r="F79" s="1"/>
      <c r="G79" s="1"/>
      <c r="H79" s="6"/>
    </row>
    <row r="80" spans="1:8" ht="14.1" customHeight="1" x14ac:dyDescent="0.2">
      <c r="A80" s="1"/>
      <c r="B80" s="1"/>
      <c r="C80" s="2" t="s">
        <v>119</v>
      </c>
      <c r="D80" s="1"/>
      <c r="E80" s="1" t="s">
        <v>120</v>
      </c>
      <c r="F80" s="13">
        <v>0</v>
      </c>
      <c r="G80" s="14">
        <v>0</v>
      </c>
      <c r="H80" s="6"/>
    </row>
    <row r="81" spans="1:8" ht="14.1" customHeight="1" x14ac:dyDescent="0.2">
      <c r="A81" s="1"/>
      <c r="B81" s="1"/>
      <c r="C81" s="11"/>
      <c r="D81" s="1"/>
      <c r="E81" s="1"/>
      <c r="F81" s="12"/>
      <c r="G81" s="12"/>
      <c r="H81" s="6"/>
    </row>
    <row r="82" spans="1:8" ht="14.1" customHeight="1" x14ac:dyDescent="0.2">
      <c r="A82" s="1"/>
      <c r="B82" s="1"/>
      <c r="C82" s="2" t="s">
        <v>130</v>
      </c>
      <c r="D82" s="1"/>
      <c r="E82" s="1"/>
      <c r="F82" s="12"/>
      <c r="G82" s="12"/>
      <c r="H82" s="6"/>
    </row>
    <row r="83" spans="1:8" ht="14.1" customHeight="1" x14ac:dyDescent="0.2">
      <c r="A83" s="1"/>
      <c r="B83" s="1"/>
      <c r="C83" s="2" t="s">
        <v>119</v>
      </c>
      <c r="D83" s="1"/>
      <c r="E83" s="1" t="s">
        <v>120</v>
      </c>
      <c r="F83" s="13">
        <v>0</v>
      </c>
      <c r="G83" s="14">
        <v>0</v>
      </c>
      <c r="H83" s="6"/>
    </row>
    <row r="84" spans="1:8" ht="14.1" customHeight="1" x14ac:dyDescent="0.2">
      <c r="A84" s="1"/>
      <c r="B84" s="1"/>
      <c r="C84" s="11"/>
      <c r="D84" s="1"/>
      <c r="E84" s="1"/>
      <c r="F84" s="12"/>
      <c r="G84" s="12"/>
      <c r="H84" s="6"/>
    </row>
    <row r="85" spans="1:8" ht="14.1" customHeight="1" x14ac:dyDescent="0.2">
      <c r="A85" s="1"/>
      <c r="B85" s="1"/>
      <c r="C85" s="2" t="s">
        <v>131</v>
      </c>
      <c r="D85" s="1"/>
      <c r="E85" s="1"/>
      <c r="F85" s="9">
        <v>0</v>
      </c>
      <c r="G85" s="10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132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133</v>
      </c>
      <c r="D88" s="1"/>
      <c r="E88" s="1"/>
      <c r="F88" s="12"/>
      <c r="G88" s="12"/>
      <c r="H88" s="6"/>
    </row>
    <row r="89" spans="1:8" ht="14.1" customHeight="1" x14ac:dyDescent="0.2">
      <c r="A89" s="1"/>
      <c r="B89" s="1"/>
      <c r="C89" s="2" t="s">
        <v>119</v>
      </c>
      <c r="D89" s="1"/>
      <c r="E89" s="1" t="s">
        <v>120</v>
      </c>
      <c r="F89" s="13">
        <v>0</v>
      </c>
      <c r="G89" s="14">
        <v>0</v>
      </c>
      <c r="H89" s="6"/>
    </row>
    <row r="90" spans="1:8" ht="14.1" customHeight="1" x14ac:dyDescent="0.2">
      <c r="A90" s="1"/>
      <c r="B90" s="1"/>
      <c r="C90" s="11"/>
      <c r="D90" s="1"/>
      <c r="E90" s="1"/>
      <c r="F90" s="12"/>
      <c r="G90" s="12"/>
      <c r="H90" s="6"/>
    </row>
    <row r="91" spans="1:8" ht="14.1" customHeight="1" x14ac:dyDescent="0.2">
      <c r="A91" s="1"/>
      <c r="B91" s="1"/>
      <c r="C91" s="2" t="s">
        <v>134</v>
      </c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119</v>
      </c>
      <c r="D92" s="1"/>
      <c r="E92" s="1" t="s">
        <v>120</v>
      </c>
      <c r="F92" s="13">
        <v>0</v>
      </c>
      <c r="G92" s="14">
        <v>0</v>
      </c>
      <c r="H92" s="6"/>
    </row>
    <row r="93" spans="1:8" ht="14.1" customHeight="1" x14ac:dyDescent="0.2">
      <c r="A93" s="1"/>
      <c r="B93" s="1"/>
      <c r="C93" s="11"/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135</v>
      </c>
      <c r="D94" s="1"/>
      <c r="E94" s="1"/>
      <c r="F94" s="12"/>
      <c r="G94" s="12"/>
      <c r="H94" s="6"/>
    </row>
    <row r="95" spans="1:8" ht="14.1" customHeight="1" x14ac:dyDescent="0.2">
      <c r="A95" s="1"/>
      <c r="B95" s="1"/>
      <c r="C95" s="2" t="s">
        <v>119</v>
      </c>
      <c r="D95" s="1"/>
      <c r="E95" s="1" t="s">
        <v>120</v>
      </c>
      <c r="F95" s="13">
        <v>0</v>
      </c>
      <c r="G95" s="14">
        <v>0</v>
      </c>
      <c r="H95" s="6"/>
    </row>
    <row r="96" spans="1:8" ht="14.1" customHeight="1" x14ac:dyDescent="0.2">
      <c r="A96" s="1"/>
      <c r="B96" s="1"/>
      <c r="C96" s="11"/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136</v>
      </c>
      <c r="D97" s="1"/>
      <c r="E97" s="1"/>
      <c r="F97" s="12"/>
      <c r="G97" s="12"/>
      <c r="H97" s="6"/>
    </row>
    <row r="98" spans="1:8" ht="17.100000000000001" customHeight="1" x14ac:dyDescent="0.2">
      <c r="A98" s="3">
        <v>1</v>
      </c>
      <c r="B98" s="4"/>
      <c r="C98" s="4" t="s">
        <v>137</v>
      </c>
      <c r="D98" s="4"/>
      <c r="E98" s="8"/>
      <c r="F98" s="6">
        <v>10669.2132956</v>
      </c>
      <c r="G98" s="7">
        <v>5.1449465E-2</v>
      </c>
      <c r="H98" s="6">
        <v>4.1713246754849944</v>
      </c>
    </row>
    <row r="99" spans="1:8" ht="14.1" customHeight="1" x14ac:dyDescent="0.2">
      <c r="A99" s="1"/>
      <c r="B99" s="1"/>
      <c r="C99" s="2" t="s">
        <v>119</v>
      </c>
      <c r="D99" s="1"/>
      <c r="E99" s="1" t="s">
        <v>120</v>
      </c>
      <c r="F99" s="9">
        <v>10669.2132956</v>
      </c>
      <c r="G99" s="10">
        <v>5.1449465E-2</v>
      </c>
      <c r="H99" s="6"/>
    </row>
    <row r="100" spans="1:8" ht="14.1" customHeight="1" x14ac:dyDescent="0.2">
      <c r="A100" s="1"/>
      <c r="B100" s="1"/>
      <c r="C100" s="11"/>
      <c r="D100" s="1"/>
      <c r="E100" s="1"/>
      <c r="F100" s="12"/>
      <c r="G100" s="12"/>
      <c r="H100" s="6"/>
    </row>
    <row r="101" spans="1:8" ht="14.1" customHeight="1" x14ac:dyDescent="0.2">
      <c r="A101" s="1"/>
      <c r="B101" s="1"/>
      <c r="C101" s="2" t="s">
        <v>138</v>
      </c>
      <c r="D101" s="1"/>
      <c r="E101" s="1"/>
      <c r="F101" s="9">
        <v>10669.2132956</v>
      </c>
      <c r="G101" s="10">
        <v>5.1449465E-2</v>
      </c>
      <c r="H101" s="6"/>
    </row>
    <row r="102" spans="1:8" ht="14.1" customHeight="1" x14ac:dyDescent="0.2">
      <c r="A102" s="1"/>
      <c r="B102" s="1"/>
      <c r="C102" s="12"/>
      <c r="D102" s="1"/>
      <c r="E102" s="1"/>
      <c r="F102" s="1"/>
      <c r="G102" s="1"/>
      <c r="H102" s="6"/>
    </row>
    <row r="103" spans="1:8" ht="14.1" customHeight="1" x14ac:dyDescent="0.2">
      <c r="A103" s="1"/>
      <c r="B103" s="1"/>
      <c r="C103" s="2" t="s">
        <v>139</v>
      </c>
      <c r="D103" s="1"/>
      <c r="E103" s="1"/>
      <c r="F103" s="1"/>
      <c r="G103" s="1"/>
      <c r="H103" s="6"/>
    </row>
    <row r="104" spans="1:8" ht="14.1" customHeight="1" x14ac:dyDescent="0.2">
      <c r="A104" s="1"/>
      <c r="B104" s="1"/>
      <c r="C104" s="2" t="s">
        <v>140</v>
      </c>
      <c r="D104" s="1"/>
      <c r="E104" s="1"/>
      <c r="F104" s="1"/>
      <c r="G104" s="1"/>
      <c r="H104" s="6"/>
    </row>
    <row r="105" spans="1:8" ht="14.1" customHeight="1" x14ac:dyDescent="0.2">
      <c r="A105" s="1"/>
      <c r="B105" s="1"/>
      <c r="C105" s="2" t="s">
        <v>119</v>
      </c>
      <c r="D105" s="1"/>
      <c r="E105" s="1" t="s">
        <v>120</v>
      </c>
      <c r="F105" s="13">
        <v>0</v>
      </c>
      <c r="G105" s="14">
        <v>0</v>
      </c>
      <c r="H105" s="6"/>
    </row>
    <row r="106" spans="1:8" ht="14.1" customHeight="1" x14ac:dyDescent="0.2">
      <c r="A106" s="1"/>
      <c r="B106" s="1"/>
      <c r="C106" s="11"/>
      <c r="D106" s="1"/>
      <c r="E106" s="1"/>
      <c r="F106" s="12"/>
      <c r="G106" s="12"/>
      <c r="H106" s="6"/>
    </row>
    <row r="107" spans="1:8" ht="14.1" customHeight="1" x14ac:dyDescent="0.2">
      <c r="A107" s="1"/>
      <c r="B107" s="1"/>
      <c r="C107" s="2" t="s">
        <v>141</v>
      </c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142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ht="14.1" customHeight="1" x14ac:dyDescent="0.2">
      <c r="A110" s="1"/>
      <c r="B110" s="1"/>
      <c r="C110" s="11"/>
      <c r="D110" s="1"/>
      <c r="E110" s="1"/>
      <c r="F110" s="12"/>
      <c r="G110" s="12"/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24" customHeight="1" x14ac:dyDescent="0.2">
      <c r="A112" s="1"/>
      <c r="B112" s="1"/>
      <c r="C112" s="2" t="s">
        <v>143</v>
      </c>
      <c r="D112" s="1"/>
      <c r="E112" s="1"/>
      <c r="F112" s="12"/>
      <c r="G112" s="12"/>
      <c r="H112" s="6"/>
    </row>
    <row r="113" spans="1:8" ht="14.1" customHeight="1" x14ac:dyDescent="0.2">
      <c r="A113" s="1"/>
      <c r="B113" s="1"/>
      <c r="C113" s="2" t="s">
        <v>119</v>
      </c>
      <c r="D113" s="1"/>
      <c r="E113" s="1" t="s">
        <v>120</v>
      </c>
      <c r="F113" s="13">
        <v>0</v>
      </c>
      <c r="G113" s="14">
        <v>0</v>
      </c>
      <c r="H113" s="6"/>
    </row>
    <row r="114" spans="1:8" ht="14.1" customHeight="1" x14ac:dyDescent="0.2">
      <c r="A114" s="1"/>
      <c r="B114" s="1"/>
      <c r="C114" s="11"/>
      <c r="D114" s="1"/>
      <c r="E114" s="1"/>
      <c r="F114" s="12"/>
      <c r="G114" s="12"/>
      <c r="H114" s="6"/>
    </row>
    <row r="115" spans="1:8" ht="18" customHeight="1" x14ac:dyDescent="0.2">
      <c r="A115" s="8"/>
      <c r="B115" s="4"/>
      <c r="C115" s="4" t="s">
        <v>600</v>
      </c>
      <c r="D115" s="4"/>
      <c r="E115" s="8"/>
      <c r="F115" s="115">
        <v>1765.0970050000001</v>
      </c>
      <c r="G115" s="7">
        <v>8.5117143495594041E-3</v>
      </c>
      <c r="H115" s="6"/>
    </row>
    <row r="116" spans="1:8" ht="18" customHeight="1" x14ac:dyDescent="0.2">
      <c r="A116" s="8"/>
      <c r="B116" s="4"/>
      <c r="C116" s="4" t="s">
        <v>144</v>
      </c>
      <c r="D116" s="4"/>
      <c r="E116" s="8"/>
      <c r="F116" s="115">
        <v>-345.75576261998498</v>
      </c>
      <c r="G116" s="7">
        <v>-1.6673158913072777E-3</v>
      </c>
      <c r="H116" s="6"/>
    </row>
    <row r="117" spans="1:8" ht="14.1" customHeight="1" x14ac:dyDescent="0.2">
      <c r="A117" s="11"/>
      <c r="B117" s="11"/>
      <c r="C117" s="2" t="s">
        <v>145</v>
      </c>
      <c r="D117" s="15"/>
      <c r="E117" s="15"/>
      <c r="F117" s="113">
        <f>+F116+F115+F101+F70</f>
        <v>207372.67870030997</v>
      </c>
      <c r="G117" s="10">
        <v>1</v>
      </c>
      <c r="H117" s="6"/>
    </row>
    <row r="118" spans="1:8" ht="14.1" customHeight="1" x14ac:dyDescent="0.2">
      <c r="A118" s="18"/>
      <c r="B118" s="18"/>
      <c r="C118" s="18"/>
      <c r="D118" s="20"/>
      <c r="E118" s="20"/>
      <c r="F118" s="20"/>
      <c r="G118" s="20"/>
    </row>
    <row r="119" spans="1:8" ht="14.1" customHeight="1" x14ac:dyDescent="0.2">
      <c r="A119" s="18"/>
      <c r="B119" s="265" t="s">
        <v>147</v>
      </c>
      <c r="C119" s="266"/>
      <c r="D119" s="12" t="s">
        <v>120</v>
      </c>
      <c r="E119" s="21"/>
      <c r="F119" s="20"/>
      <c r="G119" s="20"/>
    </row>
    <row r="120" spans="1:8" ht="29.1" customHeight="1" x14ac:dyDescent="0.2">
      <c r="A120" s="18"/>
      <c r="B120" s="272" t="s">
        <v>148</v>
      </c>
      <c r="C120" s="273"/>
      <c r="D120" s="2" t="s">
        <v>149</v>
      </c>
      <c r="E120" s="21"/>
      <c r="F120" s="20"/>
      <c r="G120" s="20"/>
    </row>
    <row r="121" spans="1:8" ht="17.100000000000001" customHeight="1" x14ac:dyDescent="0.2">
      <c r="A121" s="18"/>
      <c r="B121" s="272" t="s">
        <v>150</v>
      </c>
      <c r="C121" s="273"/>
      <c r="D121" s="2" t="s">
        <v>149</v>
      </c>
      <c r="E121" s="21"/>
      <c r="F121" s="20"/>
      <c r="G121" s="20"/>
    </row>
    <row r="122" spans="1:8" ht="17.100000000000001" customHeight="1" x14ac:dyDescent="0.2">
      <c r="A122" s="18"/>
      <c r="B122" s="272" t="s">
        <v>151</v>
      </c>
      <c r="C122" s="273"/>
      <c r="D122" s="12" t="s">
        <v>120</v>
      </c>
      <c r="E122" s="21"/>
      <c r="F122" s="20"/>
      <c r="G122" s="20"/>
    </row>
    <row r="123" spans="1:8" ht="24" customHeight="1" x14ac:dyDescent="0.2">
      <c r="A123" s="22"/>
      <c r="B123" s="23" t="s">
        <v>120</v>
      </c>
      <c r="C123" s="23" t="s">
        <v>152</v>
      </c>
      <c r="D123" s="23" t="s">
        <v>153</v>
      </c>
      <c r="E123" s="22"/>
      <c r="F123" s="22"/>
      <c r="G123" s="22"/>
    </row>
    <row r="124" spans="1:8" ht="18" customHeight="1" x14ac:dyDescent="0.2">
      <c r="A124" s="22"/>
      <c r="B124" s="23" t="s">
        <v>154</v>
      </c>
      <c r="C124" s="23" t="s">
        <v>155</v>
      </c>
      <c r="D124" s="23" t="s">
        <v>156</v>
      </c>
      <c r="E124" s="22"/>
      <c r="F124" s="22"/>
      <c r="G124" s="22"/>
    </row>
    <row r="125" spans="1:8" ht="17.100000000000001" customHeight="1" x14ac:dyDescent="0.2">
      <c r="A125" s="22"/>
      <c r="B125" s="4" t="s">
        <v>157</v>
      </c>
      <c r="C125" s="24">
        <v>21.216699999999999</v>
      </c>
      <c r="D125" s="24">
        <v>20.627500000000001</v>
      </c>
      <c r="E125" s="22"/>
      <c r="F125" s="19"/>
      <c r="G125" s="25"/>
    </row>
    <row r="126" spans="1:8" ht="17.100000000000001" customHeight="1" x14ac:dyDescent="0.2">
      <c r="A126" s="22"/>
      <c r="B126" s="4" t="s">
        <v>1120</v>
      </c>
      <c r="C126" s="24">
        <v>18.082000000000001</v>
      </c>
      <c r="D126" s="24">
        <v>17.579699999999999</v>
      </c>
      <c r="E126" s="22"/>
      <c r="F126" s="19"/>
      <c r="G126" s="25"/>
    </row>
    <row r="127" spans="1:8" ht="17.100000000000001" customHeight="1" x14ac:dyDescent="0.2">
      <c r="A127" s="22"/>
      <c r="B127" s="4" t="s">
        <v>158</v>
      </c>
      <c r="C127" s="24">
        <v>20.380299999999998</v>
      </c>
      <c r="D127" s="24">
        <v>19.789400000000001</v>
      </c>
      <c r="E127" s="22"/>
      <c r="F127" s="19"/>
      <c r="G127" s="25"/>
    </row>
    <row r="128" spans="1:8" ht="17.100000000000001" customHeight="1" x14ac:dyDescent="0.2">
      <c r="A128" s="22"/>
      <c r="B128" s="4" t="s">
        <v>1121</v>
      </c>
      <c r="C128" s="24">
        <v>17.353200000000001</v>
      </c>
      <c r="D128" s="24">
        <v>16.850000000000001</v>
      </c>
      <c r="E128" s="22"/>
      <c r="F128" s="19"/>
      <c r="G128" s="25"/>
    </row>
    <row r="129" spans="1:15" ht="14.1" customHeight="1" x14ac:dyDescent="0.2">
      <c r="A129" s="22"/>
      <c r="B129" s="22"/>
      <c r="C129" s="22"/>
      <c r="D129" s="22"/>
      <c r="E129" s="22"/>
      <c r="F129" s="22"/>
      <c r="G129" s="22"/>
    </row>
    <row r="130" spans="1:15" ht="17.100000000000001" customHeight="1" x14ac:dyDescent="0.2">
      <c r="A130" s="22"/>
      <c r="B130" s="272" t="s">
        <v>1122</v>
      </c>
      <c r="C130" s="273"/>
      <c r="D130" s="2" t="s">
        <v>149</v>
      </c>
      <c r="E130" s="22"/>
      <c r="F130" s="22"/>
      <c r="G130" s="22"/>
    </row>
    <row r="131" spans="1:15" ht="14.1" customHeight="1" x14ac:dyDescent="0.2">
      <c r="A131" s="22"/>
      <c r="B131" s="19"/>
      <c r="C131" s="19"/>
      <c r="D131" s="22"/>
      <c r="E131" s="22"/>
      <c r="F131" s="22"/>
      <c r="G131" s="22"/>
    </row>
    <row r="132" spans="1:15" ht="29.1" customHeight="1" x14ac:dyDescent="0.2">
      <c r="A132" s="22"/>
      <c r="B132" s="272" t="s">
        <v>160</v>
      </c>
      <c r="C132" s="273"/>
      <c r="D132" s="2" t="s">
        <v>1106</v>
      </c>
      <c r="E132" s="22"/>
      <c r="F132" s="22"/>
      <c r="G132" s="22"/>
    </row>
    <row r="133" spans="1:15" ht="29.1" customHeight="1" x14ac:dyDescent="0.2">
      <c r="A133" s="22"/>
      <c r="B133" s="272" t="s">
        <v>161</v>
      </c>
      <c r="C133" s="273"/>
      <c r="D133" s="2" t="s">
        <v>1107</v>
      </c>
      <c r="E133" s="22"/>
      <c r="F133" s="22"/>
      <c r="G133" s="22"/>
    </row>
    <row r="134" spans="1:15" ht="17.100000000000001" customHeight="1" x14ac:dyDescent="0.2">
      <c r="A134" s="22"/>
      <c r="B134" s="272" t="s">
        <v>162</v>
      </c>
      <c r="C134" s="273"/>
      <c r="D134" s="27">
        <v>0.47056191366209266</v>
      </c>
      <c r="E134" s="22"/>
      <c r="F134" s="19"/>
      <c r="G134" s="25"/>
    </row>
    <row r="135" spans="1:15" ht="17.100000000000001" customHeight="1" x14ac:dyDescent="0.2">
      <c r="A135" s="22"/>
      <c r="B135" s="272" t="s">
        <v>163</v>
      </c>
      <c r="C135" s="273"/>
      <c r="D135" s="2" t="s">
        <v>149</v>
      </c>
      <c r="E135" s="22"/>
      <c r="F135" s="22"/>
      <c r="G135" s="22"/>
    </row>
    <row r="138" spans="1:15" x14ac:dyDescent="0.2">
      <c r="J138" s="170"/>
      <c r="K138" s="170"/>
      <c r="L138" s="170"/>
      <c r="M138" s="170"/>
      <c r="N138" s="170"/>
      <c r="O138" s="170"/>
    </row>
  </sheetData>
  <mergeCells count="13">
    <mergeCell ref="B134:C134"/>
    <mergeCell ref="B135:C135"/>
    <mergeCell ref="B120:C120"/>
    <mergeCell ref="B121:C121"/>
    <mergeCell ref="B122:C122"/>
    <mergeCell ref="B130:C130"/>
    <mergeCell ref="B132:C132"/>
    <mergeCell ref="B133:C133"/>
    <mergeCell ref="J2:N2"/>
    <mergeCell ref="B119:C119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O143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778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ht="17.100000000000001" customHeight="1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2082000</v>
      </c>
      <c r="F7" s="6">
        <v>15674.337</v>
      </c>
      <c r="G7" s="7">
        <v>8.8155325000000007E-2</v>
      </c>
      <c r="H7" s="6"/>
    </row>
    <row r="8" spans="1:14" ht="17.100000000000001" customHeight="1" x14ac:dyDescent="0.2">
      <c r="A8" s="3">
        <v>2</v>
      </c>
      <c r="B8" s="4" t="s">
        <v>374</v>
      </c>
      <c r="C8" s="4" t="s">
        <v>375</v>
      </c>
      <c r="D8" s="4" t="s">
        <v>19</v>
      </c>
      <c r="E8" s="5">
        <v>796000</v>
      </c>
      <c r="F8" s="6">
        <v>11056.041999999999</v>
      </c>
      <c r="G8" s="7">
        <v>6.2181193000000003E-2</v>
      </c>
      <c r="H8" s="6"/>
    </row>
    <row r="9" spans="1:14" ht="17.100000000000001" customHeight="1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365000</v>
      </c>
      <c r="F9" s="6">
        <v>9609.1725000000006</v>
      </c>
      <c r="G9" s="7">
        <v>5.4043736000000002E-2</v>
      </c>
      <c r="H9" s="6"/>
    </row>
    <row r="10" spans="1:14" ht="17.100000000000001" customHeight="1" x14ac:dyDescent="0.2">
      <c r="A10" s="3">
        <v>4</v>
      </c>
      <c r="B10" s="4" t="s">
        <v>406</v>
      </c>
      <c r="C10" s="4" t="s">
        <v>407</v>
      </c>
      <c r="D10" s="4" t="s">
        <v>994</v>
      </c>
      <c r="E10" s="5">
        <v>592000</v>
      </c>
      <c r="F10" s="6">
        <v>8901.3119999999999</v>
      </c>
      <c r="G10" s="7">
        <v>5.0062598999999999E-2</v>
      </c>
      <c r="H10" s="6"/>
    </row>
    <row r="11" spans="1:14" ht="17.100000000000001" customHeight="1" x14ac:dyDescent="0.2">
      <c r="A11" s="3">
        <v>5</v>
      </c>
      <c r="B11" s="4" t="s">
        <v>50</v>
      </c>
      <c r="C11" s="4" t="s">
        <v>51</v>
      </c>
      <c r="D11" s="4" t="s">
        <v>19</v>
      </c>
      <c r="E11" s="5">
        <v>1715000</v>
      </c>
      <c r="F11" s="6">
        <v>8027.915</v>
      </c>
      <c r="G11" s="7">
        <v>4.5150455999999999E-2</v>
      </c>
      <c r="H11" s="6"/>
    </row>
    <row r="12" spans="1:14" ht="17.100000000000001" customHeight="1" x14ac:dyDescent="0.2">
      <c r="A12" s="3">
        <v>6</v>
      </c>
      <c r="B12" s="4" t="s">
        <v>319</v>
      </c>
      <c r="C12" s="4" t="s">
        <v>320</v>
      </c>
      <c r="D12" s="4" t="s">
        <v>19</v>
      </c>
      <c r="E12" s="5">
        <v>1170000</v>
      </c>
      <c r="F12" s="6">
        <v>8016.84</v>
      </c>
      <c r="G12" s="7">
        <v>4.5088167999999998E-2</v>
      </c>
      <c r="H12" s="6"/>
    </row>
    <row r="13" spans="1:14" ht="29.1" customHeight="1" x14ac:dyDescent="0.2">
      <c r="A13" s="3">
        <v>7</v>
      </c>
      <c r="B13" s="4" t="s">
        <v>408</v>
      </c>
      <c r="C13" s="4" t="s">
        <v>409</v>
      </c>
      <c r="D13" s="4" t="s">
        <v>85</v>
      </c>
      <c r="E13" s="5">
        <v>272000</v>
      </c>
      <c r="F13" s="6">
        <v>6274.36</v>
      </c>
      <c r="G13" s="7">
        <v>3.5288143000000001E-2</v>
      </c>
      <c r="H13" s="6"/>
      <c r="J13" s="169" t="s">
        <v>1171</v>
      </c>
    </row>
    <row r="14" spans="1:14" ht="53.1" customHeight="1" x14ac:dyDescent="0.2">
      <c r="A14" s="3">
        <v>8</v>
      </c>
      <c r="B14" s="4" t="s">
        <v>73</v>
      </c>
      <c r="C14" s="4" t="s">
        <v>74</v>
      </c>
      <c r="D14" s="4" t="s">
        <v>75</v>
      </c>
      <c r="E14" s="5">
        <v>4089762</v>
      </c>
      <c r="F14" s="6">
        <v>5623.4227499999997</v>
      </c>
      <c r="G14" s="7">
        <v>3.1627152999999998E-2</v>
      </c>
      <c r="H14" s="6"/>
    </row>
    <row r="15" spans="1:14" ht="17.100000000000001" customHeight="1" x14ac:dyDescent="0.2">
      <c r="A15" s="3">
        <v>9</v>
      </c>
      <c r="B15" s="4" t="s">
        <v>26</v>
      </c>
      <c r="C15" s="4" t="s">
        <v>27</v>
      </c>
      <c r="D15" s="4" t="s">
        <v>28</v>
      </c>
      <c r="E15" s="5">
        <v>229000</v>
      </c>
      <c r="F15" s="6">
        <v>5591.7219999999998</v>
      </c>
      <c r="G15" s="7">
        <v>3.1448863000000001E-2</v>
      </c>
      <c r="H15" s="6"/>
    </row>
    <row r="16" spans="1:14" ht="17.100000000000001" customHeight="1" x14ac:dyDescent="0.2">
      <c r="A16" s="3">
        <v>10</v>
      </c>
      <c r="B16" s="4" t="s">
        <v>410</v>
      </c>
      <c r="C16" s="4" t="s">
        <v>411</v>
      </c>
      <c r="D16" s="4" t="s">
        <v>994</v>
      </c>
      <c r="E16" s="5">
        <v>165000</v>
      </c>
      <c r="F16" s="6">
        <v>5551.1774999999998</v>
      </c>
      <c r="G16" s="7">
        <v>3.1220833E-2</v>
      </c>
      <c r="H16" s="6"/>
    </row>
    <row r="17" spans="1:10" ht="17.100000000000001" customHeight="1" x14ac:dyDescent="0.2">
      <c r="A17" s="3">
        <v>11</v>
      </c>
      <c r="B17" s="4" t="s">
        <v>32</v>
      </c>
      <c r="C17" s="4" t="s">
        <v>33</v>
      </c>
      <c r="D17" s="4" t="s">
        <v>28</v>
      </c>
      <c r="E17" s="5">
        <v>310000</v>
      </c>
      <c r="F17" s="6">
        <v>5313.5550000000003</v>
      </c>
      <c r="G17" s="7">
        <v>2.9884401000000001E-2</v>
      </c>
      <c r="H17" s="6"/>
    </row>
    <row r="18" spans="1:10" ht="17.100000000000001" customHeight="1" x14ac:dyDescent="0.2">
      <c r="A18" s="3">
        <v>12</v>
      </c>
      <c r="B18" s="4" t="s">
        <v>11</v>
      </c>
      <c r="C18" s="4" t="s">
        <v>12</v>
      </c>
      <c r="D18" s="4" t="s">
        <v>13</v>
      </c>
      <c r="E18" s="5">
        <v>262761</v>
      </c>
      <c r="F18" s="6">
        <v>4347.3807450000004</v>
      </c>
      <c r="G18" s="7">
        <v>2.4450461E-2</v>
      </c>
      <c r="H18" s="6"/>
    </row>
    <row r="19" spans="1:10" ht="17.100000000000001" customHeight="1" x14ac:dyDescent="0.2">
      <c r="A19" s="3">
        <v>13</v>
      </c>
      <c r="B19" s="4" t="s">
        <v>20</v>
      </c>
      <c r="C19" s="4" t="s">
        <v>21</v>
      </c>
      <c r="D19" s="4" t="s">
        <v>22</v>
      </c>
      <c r="E19" s="5">
        <v>603513</v>
      </c>
      <c r="F19" s="6">
        <v>4225.7980260000004</v>
      </c>
      <c r="G19" s="7">
        <v>2.3766657E-2</v>
      </c>
      <c r="H19" s="6"/>
    </row>
    <row r="20" spans="1:10" ht="17.100000000000001" customHeight="1" x14ac:dyDescent="0.2">
      <c r="A20" s="3">
        <v>14</v>
      </c>
      <c r="B20" s="4" t="s">
        <v>357</v>
      </c>
      <c r="C20" s="4" t="s">
        <v>358</v>
      </c>
      <c r="D20" s="4" t="s">
        <v>186</v>
      </c>
      <c r="E20" s="5">
        <v>715000</v>
      </c>
      <c r="F20" s="6">
        <v>3939.2925</v>
      </c>
      <c r="G20" s="7">
        <v>2.2155298E-2</v>
      </c>
      <c r="H20" s="6"/>
    </row>
    <row r="21" spans="1:10" ht="17.100000000000001" customHeight="1" x14ac:dyDescent="0.2">
      <c r="A21" s="3">
        <v>15</v>
      </c>
      <c r="B21" s="4" t="s">
        <v>461</v>
      </c>
      <c r="C21" s="4" t="s">
        <v>462</v>
      </c>
      <c r="D21" s="4" t="s">
        <v>396</v>
      </c>
      <c r="E21" s="5">
        <v>44000</v>
      </c>
      <c r="F21" s="6">
        <v>3505.194</v>
      </c>
      <c r="G21" s="7">
        <v>1.9713848999999999E-2</v>
      </c>
      <c r="H21" s="6"/>
    </row>
    <row r="22" spans="1:10" ht="29.1" customHeight="1" x14ac:dyDescent="0.2">
      <c r="A22" s="3">
        <v>16</v>
      </c>
      <c r="B22" s="4" t="s">
        <v>414</v>
      </c>
      <c r="C22" s="4" t="s">
        <v>415</v>
      </c>
      <c r="D22" s="4" t="s">
        <v>198</v>
      </c>
      <c r="E22" s="5">
        <v>397908</v>
      </c>
      <c r="F22" s="6">
        <v>3424.396248</v>
      </c>
      <c r="G22" s="7">
        <v>1.9259427999999999E-2</v>
      </c>
      <c r="H22" s="6"/>
    </row>
    <row r="23" spans="1:10" ht="29.1" customHeight="1" x14ac:dyDescent="0.2">
      <c r="A23" s="3">
        <v>17</v>
      </c>
      <c r="B23" s="4" t="s">
        <v>217</v>
      </c>
      <c r="C23" s="4" t="s">
        <v>218</v>
      </c>
      <c r="D23" s="4" t="s">
        <v>219</v>
      </c>
      <c r="E23" s="5">
        <v>87000</v>
      </c>
      <c r="F23" s="6">
        <v>3414.2714999999998</v>
      </c>
      <c r="G23" s="7">
        <v>1.9202484999999998E-2</v>
      </c>
      <c r="H23" s="6"/>
      <c r="J23" s="169" t="s">
        <v>1162</v>
      </c>
    </row>
    <row r="24" spans="1:10" ht="17.100000000000001" customHeight="1" x14ac:dyDescent="0.2">
      <c r="A24" s="3">
        <v>18</v>
      </c>
      <c r="B24" s="4" t="s">
        <v>321</v>
      </c>
      <c r="C24" s="4" t="s">
        <v>322</v>
      </c>
      <c r="D24" s="4" t="s">
        <v>323</v>
      </c>
      <c r="E24" s="5">
        <v>371000</v>
      </c>
      <c r="F24" s="6">
        <v>2948.337</v>
      </c>
      <c r="G24" s="7">
        <v>1.6581984000000001E-2</v>
      </c>
      <c r="H24" s="6"/>
    </row>
    <row r="25" spans="1:10" ht="17.100000000000001" customHeight="1" x14ac:dyDescent="0.2">
      <c r="A25" s="3">
        <v>19</v>
      </c>
      <c r="B25" s="4" t="s">
        <v>416</v>
      </c>
      <c r="C25" s="4" t="s">
        <v>417</v>
      </c>
      <c r="D25" s="4" t="s">
        <v>418</v>
      </c>
      <c r="E25" s="5">
        <v>124000</v>
      </c>
      <c r="F25" s="6">
        <v>2918.03</v>
      </c>
      <c r="G25" s="7">
        <v>1.6411532E-2</v>
      </c>
      <c r="H25" s="6"/>
    </row>
    <row r="26" spans="1:10" ht="29.1" customHeight="1" x14ac:dyDescent="0.2">
      <c r="A26" s="3">
        <v>20</v>
      </c>
      <c r="B26" s="4" t="s">
        <v>192</v>
      </c>
      <c r="C26" s="4" t="s">
        <v>193</v>
      </c>
      <c r="D26" s="4" t="s">
        <v>80</v>
      </c>
      <c r="E26" s="5">
        <v>800000</v>
      </c>
      <c r="F26" s="6">
        <v>2891.6</v>
      </c>
      <c r="G26" s="7">
        <v>1.6262885000000001E-2</v>
      </c>
      <c r="H26" s="6"/>
    </row>
    <row r="27" spans="1:10" ht="17.100000000000001" customHeight="1" x14ac:dyDescent="0.2">
      <c r="A27" s="3">
        <v>21</v>
      </c>
      <c r="B27" s="4" t="s">
        <v>316</v>
      </c>
      <c r="C27" s="4" t="s">
        <v>317</v>
      </c>
      <c r="D27" s="4" t="s">
        <v>318</v>
      </c>
      <c r="E27" s="5">
        <v>265000</v>
      </c>
      <c r="F27" s="6">
        <v>2799.7249999999999</v>
      </c>
      <c r="G27" s="7">
        <v>1.5746163000000001E-2</v>
      </c>
      <c r="H27" s="6"/>
    </row>
    <row r="28" spans="1:10" ht="17.100000000000001" customHeight="1" x14ac:dyDescent="0.2">
      <c r="A28" s="3">
        <v>22</v>
      </c>
      <c r="B28" s="4" t="s">
        <v>380</v>
      </c>
      <c r="C28" s="4" t="s">
        <v>381</v>
      </c>
      <c r="D28" s="4" t="s">
        <v>85</v>
      </c>
      <c r="E28" s="5">
        <v>21000</v>
      </c>
      <c r="F28" s="6">
        <v>2716.14</v>
      </c>
      <c r="G28" s="7">
        <v>1.5276066E-2</v>
      </c>
      <c r="H28" s="6"/>
    </row>
    <row r="29" spans="1:10" ht="17.100000000000001" customHeight="1" x14ac:dyDescent="0.2">
      <c r="A29" s="3">
        <v>23</v>
      </c>
      <c r="B29" s="4" t="s">
        <v>441</v>
      </c>
      <c r="C29" s="4" t="s">
        <v>442</v>
      </c>
      <c r="D29" s="4" t="s">
        <v>95</v>
      </c>
      <c r="E29" s="5">
        <v>484905</v>
      </c>
      <c r="F29" s="6">
        <v>2702.8604700000001</v>
      </c>
      <c r="G29" s="7">
        <v>1.5201378999999999E-2</v>
      </c>
      <c r="H29" s="6"/>
    </row>
    <row r="30" spans="1:10" ht="29.1" customHeight="1" x14ac:dyDescent="0.2">
      <c r="A30" s="3">
        <v>24</v>
      </c>
      <c r="B30" s="4" t="s">
        <v>83</v>
      </c>
      <c r="C30" s="4" t="s">
        <v>84</v>
      </c>
      <c r="D30" s="4" t="s">
        <v>85</v>
      </c>
      <c r="E30" s="5">
        <v>392000</v>
      </c>
      <c r="F30" s="6">
        <v>2664.0320000000002</v>
      </c>
      <c r="G30" s="7">
        <v>1.4983000999999999E-2</v>
      </c>
      <c r="H30" s="6"/>
    </row>
    <row r="31" spans="1:10" ht="29.1" customHeight="1" x14ac:dyDescent="0.2">
      <c r="A31" s="3">
        <v>25</v>
      </c>
      <c r="B31" s="4" t="s">
        <v>350</v>
      </c>
      <c r="C31" s="4" t="s">
        <v>351</v>
      </c>
      <c r="D31" s="4" t="s">
        <v>198</v>
      </c>
      <c r="E31" s="5">
        <v>88928</v>
      </c>
      <c r="F31" s="6">
        <v>2544.1856160000002</v>
      </c>
      <c r="G31" s="7">
        <v>1.4308962999999999E-2</v>
      </c>
      <c r="H31" s="6"/>
    </row>
    <row r="32" spans="1:10" ht="17.100000000000001" customHeight="1" x14ac:dyDescent="0.2">
      <c r="A32" s="3">
        <v>26</v>
      </c>
      <c r="B32" s="4" t="s">
        <v>539</v>
      </c>
      <c r="C32" s="4" t="s">
        <v>540</v>
      </c>
      <c r="D32" s="4" t="s">
        <v>181</v>
      </c>
      <c r="E32" s="5">
        <v>63944</v>
      </c>
      <c r="F32" s="6">
        <v>2508.4591759999998</v>
      </c>
      <c r="G32" s="7">
        <v>1.4108031E-2</v>
      </c>
      <c r="H32" s="6"/>
    </row>
    <row r="33" spans="1:8" ht="17.100000000000001" customHeight="1" x14ac:dyDescent="0.2">
      <c r="A33" s="3">
        <v>27</v>
      </c>
      <c r="B33" s="4" t="s">
        <v>445</v>
      </c>
      <c r="C33" s="4" t="s">
        <v>446</v>
      </c>
      <c r="D33" s="4" t="s">
        <v>248</v>
      </c>
      <c r="E33" s="5">
        <v>100000</v>
      </c>
      <c r="F33" s="6">
        <v>2427.25</v>
      </c>
      <c r="G33" s="7">
        <v>1.3651296E-2</v>
      </c>
      <c r="H33" s="6"/>
    </row>
    <row r="34" spans="1:8" ht="17.100000000000001" customHeight="1" x14ac:dyDescent="0.2">
      <c r="A34" s="3">
        <v>28</v>
      </c>
      <c r="B34" s="4" t="s">
        <v>453</v>
      </c>
      <c r="C34" s="4" t="s">
        <v>454</v>
      </c>
      <c r="D34" s="4" t="s">
        <v>396</v>
      </c>
      <c r="E34" s="5">
        <v>533583</v>
      </c>
      <c r="F34" s="6">
        <v>2366.7073965</v>
      </c>
      <c r="G34" s="7">
        <v>1.3310793E-2</v>
      </c>
      <c r="H34" s="6"/>
    </row>
    <row r="35" spans="1:8" ht="29.1" customHeight="1" x14ac:dyDescent="0.2">
      <c r="A35" s="3">
        <v>29</v>
      </c>
      <c r="B35" s="4" t="s">
        <v>23</v>
      </c>
      <c r="C35" s="4" t="s">
        <v>24</v>
      </c>
      <c r="D35" s="4" t="s">
        <v>25</v>
      </c>
      <c r="E35" s="5">
        <v>38000</v>
      </c>
      <c r="F35" s="6">
        <v>2311.3879999999999</v>
      </c>
      <c r="G35" s="7">
        <v>1.2999666999999999E-2</v>
      </c>
      <c r="H35" s="6"/>
    </row>
    <row r="36" spans="1:8" ht="17.100000000000001" customHeight="1" x14ac:dyDescent="0.2">
      <c r="A36" s="3">
        <v>30</v>
      </c>
      <c r="B36" s="4" t="s">
        <v>412</v>
      </c>
      <c r="C36" s="4" t="s">
        <v>413</v>
      </c>
      <c r="D36" s="4" t="s">
        <v>323</v>
      </c>
      <c r="E36" s="5">
        <v>191374</v>
      </c>
      <c r="F36" s="6">
        <v>2247.0178209999999</v>
      </c>
      <c r="G36" s="7">
        <v>1.2637637E-2</v>
      </c>
      <c r="H36" s="6"/>
    </row>
    <row r="37" spans="1:8" ht="17.100000000000001" customHeight="1" x14ac:dyDescent="0.2">
      <c r="A37" s="3">
        <v>31</v>
      </c>
      <c r="B37" s="4" t="s">
        <v>312</v>
      </c>
      <c r="C37" s="4" t="s">
        <v>313</v>
      </c>
      <c r="D37" s="4" t="s">
        <v>254</v>
      </c>
      <c r="E37" s="5">
        <v>4715</v>
      </c>
      <c r="F37" s="6">
        <v>2130.8994575000002</v>
      </c>
      <c r="G37" s="7">
        <v>1.1984567E-2</v>
      </c>
      <c r="H37" s="6"/>
    </row>
    <row r="38" spans="1:8" ht="17.100000000000001" customHeight="1" x14ac:dyDescent="0.2">
      <c r="A38" s="3">
        <v>32</v>
      </c>
      <c r="B38" s="4" t="s">
        <v>455</v>
      </c>
      <c r="C38" s="4" t="s">
        <v>456</v>
      </c>
      <c r="D38" s="4" t="s">
        <v>302</v>
      </c>
      <c r="E38" s="5">
        <v>52000</v>
      </c>
      <c r="F38" s="6">
        <v>2065.8560000000002</v>
      </c>
      <c r="G38" s="7">
        <v>1.1618750000000001E-2</v>
      </c>
      <c r="H38" s="6"/>
    </row>
    <row r="39" spans="1:8" ht="17.100000000000001" customHeight="1" x14ac:dyDescent="0.2">
      <c r="A39" s="3">
        <v>33</v>
      </c>
      <c r="B39" s="4" t="s">
        <v>443</v>
      </c>
      <c r="C39" s="4" t="s">
        <v>444</v>
      </c>
      <c r="D39" s="4" t="s">
        <v>19</v>
      </c>
      <c r="E39" s="5">
        <v>925292</v>
      </c>
      <c r="F39" s="6">
        <v>1896.8486</v>
      </c>
      <c r="G39" s="7">
        <v>1.0668222E-2</v>
      </c>
      <c r="H39" s="6"/>
    </row>
    <row r="40" spans="1:8" ht="17.100000000000001" customHeight="1" x14ac:dyDescent="0.2">
      <c r="A40" s="3">
        <v>34</v>
      </c>
      <c r="B40" s="4" t="s">
        <v>93</v>
      </c>
      <c r="C40" s="4" t="s">
        <v>94</v>
      </c>
      <c r="D40" s="4" t="s">
        <v>95</v>
      </c>
      <c r="E40" s="5">
        <v>79000</v>
      </c>
      <c r="F40" s="6">
        <v>1817.4739999999999</v>
      </c>
      <c r="G40" s="7">
        <v>1.0221805E-2</v>
      </c>
      <c r="H40" s="6"/>
    </row>
    <row r="41" spans="1:8" ht="17.100000000000001" customHeight="1" x14ac:dyDescent="0.2">
      <c r="A41" s="3">
        <v>35</v>
      </c>
      <c r="B41" s="4" t="s">
        <v>552</v>
      </c>
      <c r="C41" s="4" t="s">
        <v>553</v>
      </c>
      <c r="D41" s="4" t="s">
        <v>230</v>
      </c>
      <c r="E41" s="5">
        <v>115680</v>
      </c>
      <c r="F41" s="6">
        <v>1782.16608</v>
      </c>
      <c r="G41" s="7">
        <v>1.0023226999999999E-2</v>
      </c>
      <c r="H41" s="6"/>
    </row>
    <row r="42" spans="1:8" ht="53.1" customHeight="1" x14ac:dyDescent="0.2">
      <c r="A42" s="3">
        <v>36</v>
      </c>
      <c r="B42" s="4" t="s">
        <v>86</v>
      </c>
      <c r="C42" s="4" t="s">
        <v>87</v>
      </c>
      <c r="D42" s="4" t="s">
        <v>75</v>
      </c>
      <c r="E42" s="5">
        <v>125775</v>
      </c>
      <c r="F42" s="6">
        <v>1781.7915375</v>
      </c>
      <c r="G42" s="7">
        <v>1.002112E-2</v>
      </c>
      <c r="H42" s="6"/>
    </row>
    <row r="43" spans="1:8" ht="29.1" customHeight="1" x14ac:dyDescent="0.2">
      <c r="A43" s="3">
        <v>37</v>
      </c>
      <c r="B43" s="4" t="s">
        <v>628</v>
      </c>
      <c r="C43" s="4" t="s">
        <v>629</v>
      </c>
      <c r="D43" s="4" t="s">
        <v>219</v>
      </c>
      <c r="E43" s="5">
        <v>100000</v>
      </c>
      <c r="F43" s="6">
        <v>1748.65</v>
      </c>
      <c r="G43" s="7">
        <v>9.8347260000000002E-3</v>
      </c>
      <c r="H43" s="6"/>
    </row>
    <row r="44" spans="1:8" ht="17.100000000000001" customHeight="1" x14ac:dyDescent="0.2">
      <c r="A44" s="3">
        <v>38</v>
      </c>
      <c r="B44" s="4" t="s">
        <v>531</v>
      </c>
      <c r="C44" s="4" t="s">
        <v>532</v>
      </c>
      <c r="D44" s="4" t="s">
        <v>181</v>
      </c>
      <c r="E44" s="5">
        <v>75000</v>
      </c>
      <c r="F44" s="6">
        <v>1744.2750000000001</v>
      </c>
      <c r="G44" s="7">
        <v>9.8101200000000003E-3</v>
      </c>
      <c r="H44" s="6"/>
    </row>
    <row r="45" spans="1:8" ht="29.1" customHeight="1" x14ac:dyDescent="0.2">
      <c r="A45" s="3">
        <v>39</v>
      </c>
      <c r="B45" s="4" t="s">
        <v>715</v>
      </c>
      <c r="C45" s="4" t="s">
        <v>716</v>
      </c>
      <c r="D45" s="4" t="s">
        <v>323</v>
      </c>
      <c r="E45" s="5">
        <v>130000</v>
      </c>
      <c r="F45" s="6">
        <v>1645.605</v>
      </c>
      <c r="G45" s="7">
        <v>9.2551820000000007E-3</v>
      </c>
      <c r="H45" s="6"/>
    </row>
    <row r="46" spans="1:8" ht="17.100000000000001" customHeight="1" x14ac:dyDescent="0.2">
      <c r="A46" s="3">
        <v>40</v>
      </c>
      <c r="B46" s="4" t="s">
        <v>314</v>
      </c>
      <c r="C46" s="4" t="s">
        <v>315</v>
      </c>
      <c r="D46" s="4" t="s">
        <v>19</v>
      </c>
      <c r="E46" s="5">
        <v>1809981</v>
      </c>
      <c r="F46" s="6">
        <v>1608.1681185</v>
      </c>
      <c r="G46" s="7">
        <v>9.0446299999999997E-3</v>
      </c>
      <c r="H46" s="6"/>
    </row>
    <row r="47" spans="1:8" ht="17.100000000000001" customHeight="1" x14ac:dyDescent="0.2">
      <c r="A47" s="3">
        <v>41</v>
      </c>
      <c r="B47" s="4" t="s">
        <v>638</v>
      </c>
      <c r="C47" s="4" t="s">
        <v>639</v>
      </c>
      <c r="D47" s="4" t="s">
        <v>994</v>
      </c>
      <c r="E47" s="5">
        <v>36000</v>
      </c>
      <c r="F47" s="6">
        <v>1408.14</v>
      </c>
      <c r="G47" s="7">
        <v>7.9196360000000007E-3</v>
      </c>
      <c r="H47" s="6"/>
    </row>
    <row r="48" spans="1:8" ht="17.100000000000001" customHeight="1" x14ac:dyDescent="0.2">
      <c r="A48" s="3">
        <v>42</v>
      </c>
      <c r="B48" s="4" t="s">
        <v>113</v>
      </c>
      <c r="C48" s="4" t="s">
        <v>114</v>
      </c>
      <c r="D48" s="4" t="s">
        <v>92</v>
      </c>
      <c r="E48" s="5">
        <v>173919</v>
      </c>
      <c r="F48" s="6">
        <v>1401.3523425000001</v>
      </c>
      <c r="G48" s="7">
        <v>7.8814609999999993E-3</v>
      </c>
      <c r="H48" s="6"/>
    </row>
    <row r="49" spans="1:8" ht="29.1" customHeight="1" x14ac:dyDescent="0.2">
      <c r="A49" s="3">
        <v>43</v>
      </c>
      <c r="B49" s="4" t="s">
        <v>521</v>
      </c>
      <c r="C49" s="4" t="s">
        <v>522</v>
      </c>
      <c r="D49" s="4" t="s">
        <v>198</v>
      </c>
      <c r="E49" s="5">
        <v>130000</v>
      </c>
      <c r="F49" s="6">
        <v>1290.835</v>
      </c>
      <c r="G49" s="7">
        <v>7.2598910000000001E-3</v>
      </c>
      <c r="H49" s="6"/>
    </row>
    <row r="50" spans="1:8" ht="17.100000000000001" customHeight="1" x14ac:dyDescent="0.2">
      <c r="A50" s="3">
        <v>44</v>
      </c>
      <c r="B50" s="4" t="s">
        <v>541</v>
      </c>
      <c r="C50" s="4" t="s">
        <v>542</v>
      </c>
      <c r="D50" s="4" t="s">
        <v>994</v>
      </c>
      <c r="E50" s="5">
        <v>96636</v>
      </c>
      <c r="F50" s="6">
        <v>1283.905896</v>
      </c>
      <c r="G50" s="7">
        <v>7.2209209999999999E-3</v>
      </c>
      <c r="H50" s="6"/>
    </row>
    <row r="51" spans="1:8" ht="17.100000000000001" customHeight="1" x14ac:dyDescent="0.2">
      <c r="A51" s="3">
        <v>45</v>
      </c>
      <c r="B51" s="4" t="s">
        <v>324</v>
      </c>
      <c r="C51" s="4" t="s">
        <v>325</v>
      </c>
      <c r="D51" s="4" t="s">
        <v>19</v>
      </c>
      <c r="E51" s="5">
        <v>1000000</v>
      </c>
      <c r="F51" s="6">
        <v>1002.5</v>
      </c>
      <c r="G51" s="7">
        <v>5.6382430000000002E-3</v>
      </c>
      <c r="H51" s="6"/>
    </row>
    <row r="52" spans="1:8" ht="29.1" customHeight="1" x14ac:dyDescent="0.2">
      <c r="A52" s="3">
        <v>46</v>
      </c>
      <c r="B52" s="4" t="s">
        <v>708</v>
      </c>
      <c r="C52" s="4" t="s">
        <v>709</v>
      </c>
      <c r="D52" s="4" t="s">
        <v>198</v>
      </c>
      <c r="E52" s="5">
        <v>21000</v>
      </c>
      <c r="F52" s="6">
        <v>917.62649999999996</v>
      </c>
      <c r="G52" s="7">
        <v>5.160899E-3</v>
      </c>
      <c r="H52" s="6"/>
    </row>
    <row r="53" spans="1:8" ht="17.100000000000001" customHeight="1" x14ac:dyDescent="0.2">
      <c r="A53" s="3">
        <v>47</v>
      </c>
      <c r="B53" s="4" t="s">
        <v>421</v>
      </c>
      <c r="C53" s="4" t="s">
        <v>422</v>
      </c>
      <c r="D53" s="4" t="s">
        <v>994</v>
      </c>
      <c r="E53" s="5">
        <v>188000</v>
      </c>
      <c r="F53" s="6">
        <v>898.73400000000004</v>
      </c>
      <c r="G53" s="7">
        <v>5.0546439999999996E-3</v>
      </c>
      <c r="H53" s="6"/>
    </row>
    <row r="54" spans="1:8" ht="17.100000000000001" customHeight="1" x14ac:dyDescent="0.2">
      <c r="A54" s="3">
        <v>48</v>
      </c>
      <c r="B54" s="4" t="s">
        <v>346</v>
      </c>
      <c r="C54" s="4" t="s">
        <v>347</v>
      </c>
      <c r="D54" s="4" t="s">
        <v>106</v>
      </c>
      <c r="E54" s="5">
        <v>194000</v>
      </c>
      <c r="F54" s="6">
        <v>733.029</v>
      </c>
      <c r="G54" s="7">
        <v>4.1226889999999997E-3</v>
      </c>
      <c r="H54" s="6"/>
    </row>
    <row r="55" spans="1:8" ht="17.100000000000001" customHeight="1" x14ac:dyDescent="0.2">
      <c r="A55" s="3">
        <v>49</v>
      </c>
      <c r="B55" s="4" t="s">
        <v>543</v>
      </c>
      <c r="C55" s="4" t="s">
        <v>544</v>
      </c>
      <c r="D55" s="4" t="s">
        <v>181</v>
      </c>
      <c r="E55" s="5">
        <v>101941</v>
      </c>
      <c r="F55" s="6">
        <v>698.34682050000004</v>
      </c>
      <c r="G55" s="7">
        <v>3.9276299999999997E-3</v>
      </c>
      <c r="H55" s="6"/>
    </row>
    <row r="56" spans="1:8" ht="17.100000000000001" customHeight="1" x14ac:dyDescent="0.2">
      <c r="A56" s="3">
        <v>50</v>
      </c>
      <c r="B56" s="4" t="s">
        <v>386</v>
      </c>
      <c r="C56" s="4" t="s">
        <v>387</v>
      </c>
      <c r="D56" s="4" t="s">
        <v>239</v>
      </c>
      <c r="E56" s="5">
        <v>150000</v>
      </c>
      <c r="F56" s="6">
        <v>357.07499999999999</v>
      </c>
      <c r="G56" s="7">
        <v>2.008255E-3</v>
      </c>
      <c r="H56" s="6"/>
    </row>
    <row r="57" spans="1:8" ht="17.100000000000001" customHeight="1" x14ac:dyDescent="0.2">
      <c r="A57" s="3">
        <v>51</v>
      </c>
      <c r="B57" s="4" t="s">
        <v>586</v>
      </c>
      <c r="C57" s="4" t="s">
        <v>587</v>
      </c>
      <c r="D57" s="4" t="s">
        <v>302</v>
      </c>
      <c r="E57" s="5">
        <v>18112</v>
      </c>
      <c r="F57" s="6">
        <v>182.279168</v>
      </c>
      <c r="G57" s="7">
        <v>1.0251710000000001E-3</v>
      </c>
      <c r="H57" s="6"/>
    </row>
    <row r="58" spans="1:8" ht="14.1" customHeight="1" x14ac:dyDescent="0.2">
      <c r="A58" s="1"/>
      <c r="B58" s="1"/>
      <c r="C58" s="2" t="s">
        <v>119</v>
      </c>
      <c r="D58" s="1"/>
      <c r="E58" s="1" t="s">
        <v>120</v>
      </c>
      <c r="F58" s="9">
        <v>174937.47876900001</v>
      </c>
      <c r="G58" s="10">
        <v>0.98388023400000002</v>
      </c>
      <c r="H58" s="6"/>
    </row>
    <row r="59" spans="1:8" ht="14.1" customHeight="1" x14ac:dyDescent="0.2">
      <c r="A59" s="1"/>
      <c r="B59" s="1"/>
      <c r="C59" s="11"/>
      <c r="D59" s="1"/>
      <c r="E59" s="1"/>
      <c r="F59" s="12"/>
      <c r="G59" s="12"/>
      <c r="H59" s="6"/>
    </row>
    <row r="60" spans="1:8" ht="14.1" customHeight="1" x14ac:dyDescent="0.2">
      <c r="A60" s="1"/>
      <c r="B60" s="1"/>
      <c r="C60" s="2" t="s">
        <v>121</v>
      </c>
      <c r="D60" s="1"/>
      <c r="E60" s="1"/>
      <c r="F60" s="1"/>
      <c r="G60" s="1"/>
      <c r="H60" s="6"/>
    </row>
    <row r="61" spans="1:8" ht="14.1" customHeight="1" x14ac:dyDescent="0.2">
      <c r="A61" s="1"/>
      <c r="B61" s="1"/>
      <c r="C61" s="2" t="s">
        <v>119</v>
      </c>
      <c r="D61" s="1"/>
      <c r="E61" s="1" t="s">
        <v>120</v>
      </c>
      <c r="F61" s="13">
        <v>0</v>
      </c>
      <c r="G61" s="14">
        <v>0</v>
      </c>
      <c r="H61" s="6"/>
    </row>
    <row r="62" spans="1:8" ht="14.1" customHeight="1" x14ac:dyDescent="0.2">
      <c r="A62" s="1"/>
      <c r="B62" s="1"/>
      <c r="C62" s="11"/>
      <c r="D62" s="1"/>
      <c r="E62" s="1"/>
      <c r="F62" s="12"/>
      <c r="G62" s="12"/>
      <c r="H62" s="6"/>
    </row>
    <row r="63" spans="1:8" ht="14.1" customHeight="1" x14ac:dyDescent="0.2">
      <c r="A63" s="1"/>
      <c r="B63" s="1"/>
      <c r="C63" s="2" t="s">
        <v>122</v>
      </c>
      <c r="D63" s="1"/>
      <c r="E63" s="1"/>
      <c r="F63" s="1"/>
      <c r="G63" s="1"/>
      <c r="H63" s="6"/>
    </row>
    <row r="64" spans="1:8" ht="14.1" customHeight="1" x14ac:dyDescent="0.2">
      <c r="A64" s="1"/>
      <c r="B64" s="1"/>
      <c r="C64" s="2" t="s">
        <v>119</v>
      </c>
      <c r="D64" s="1"/>
      <c r="E64" s="1" t="s">
        <v>120</v>
      </c>
      <c r="F64" s="13">
        <v>0</v>
      </c>
      <c r="G64" s="14">
        <v>0</v>
      </c>
      <c r="H64" s="6"/>
    </row>
    <row r="65" spans="1:15" ht="14.1" customHeight="1" x14ac:dyDescent="0.2">
      <c r="A65" s="1"/>
      <c r="B65" s="1"/>
      <c r="C65" s="11"/>
      <c r="D65" s="1"/>
      <c r="E65" s="1"/>
      <c r="F65" s="12"/>
      <c r="G65" s="12"/>
      <c r="H65" s="6"/>
    </row>
    <row r="66" spans="1:15" ht="14.1" customHeight="1" x14ac:dyDescent="0.2">
      <c r="A66" s="1"/>
      <c r="B66" s="1"/>
      <c r="C66" s="2" t="s">
        <v>123</v>
      </c>
      <c r="D66" s="1"/>
      <c r="E66" s="1"/>
      <c r="F66" s="1"/>
      <c r="G66" s="1"/>
      <c r="H66" s="6"/>
    </row>
    <row r="67" spans="1:15" ht="14.1" customHeight="1" x14ac:dyDescent="0.2">
      <c r="A67" s="1"/>
      <c r="B67" s="1"/>
      <c r="C67" s="2" t="s">
        <v>119</v>
      </c>
      <c r="D67" s="1"/>
      <c r="E67" s="1" t="s">
        <v>120</v>
      </c>
      <c r="F67" s="13">
        <v>0</v>
      </c>
      <c r="G67" s="14">
        <v>0</v>
      </c>
      <c r="H67" s="6"/>
    </row>
    <row r="68" spans="1:15" ht="14.1" customHeight="1" x14ac:dyDescent="0.2">
      <c r="A68" s="1"/>
      <c r="B68" s="1"/>
      <c r="C68" s="11"/>
      <c r="D68" s="1"/>
      <c r="E68" s="1"/>
      <c r="F68" s="12"/>
      <c r="G68" s="12"/>
      <c r="H68" s="6"/>
    </row>
    <row r="69" spans="1:15" ht="14.1" customHeight="1" x14ac:dyDescent="0.2">
      <c r="A69" s="1"/>
      <c r="B69" s="1"/>
      <c r="C69" s="2" t="s">
        <v>124</v>
      </c>
      <c r="D69" s="1"/>
      <c r="E69" s="1"/>
      <c r="F69" s="12"/>
      <c r="G69" s="12"/>
      <c r="H69" s="6"/>
      <c r="J69" s="103"/>
      <c r="K69" s="103"/>
      <c r="L69" s="103"/>
      <c r="M69" s="103"/>
      <c r="N69" s="103"/>
      <c r="O69" s="103"/>
    </row>
    <row r="70" spans="1:15" ht="14.1" customHeight="1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15" ht="14.1" customHeight="1" x14ac:dyDescent="0.2">
      <c r="A71" s="1"/>
      <c r="B71" s="1"/>
      <c r="C71" s="11"/>
      <c r="D71" s="1"/>
      <c r="E71" s="1"/>
      <c r="F71" s="12"/>
      <c r="G71" s="12"/>
      <c r="H71" s="6"/>
    </row>
    <row r="72" spans="1:15" ht="14.1" customHeight="1" x14ac:dyDescent="0.2">
      <c r="A72" s="1"/>
      <c r="B72" s="1"/>
      <c r="C72" s="2" t="s">
        <v>125</v>
      </c>
      <c r="D72" s="1"/>
      <c r="E72" s="1"/>
      <c r="F72" s="12"/>
      <c r="G72" s="12"/>
      <c r="H72" s="6"/>
    </row>
    <row r="73" spans="1:15" ht="14.1" customHeight="1" x14ac:dyDescent="0.2">
      <c r="A73" s="1"/>
      <c r="B73" s="1"/>
      <c r="C73" s="2" t="s">
        <v>119</v>
      </c>
      <c r="D73" s="1"/>
      <c r="E73" s="1" t="s">
        <v>120</v>
      </c>
      <c r="F73" s="13">
        <v>0</v>
      </c>
      <c r="G73" s="14">
        <v>0</v>
      </c>
      <c r="H73" s="6"/>
    </row>
    <row r="74" spans="1:15" ht="14.1" customHeight="1" x14ac:dyDescent="0.2">
      <c r="A74" s="1"/>
      <c r="B74" s="1"/>
      <c r="C74" s="11"/>
      <c r="D74" s="1"/>
      <c r="E74" s="1"/>
      <c r="F74" s="12"/>
      <c r="G74" s="12"/>
      <c r="H74" s="6"/>
    </row>
    <row r="75" spans="1:15" ht="18" customHeight="1" x14ac:dyDescent="0.2">
      <c r="A75" s="1"/>
      <c r="B75" s="1"/>
      <c r="C75" s="2" t="s">
        <v>126</v>
      </c>
      <c r="D75" s="1"/>
      <c r="E75" s="1"/>
      <c r="F75" s="9">
        <v>174937.47876900001</v>
      </c>
      <c r="G75" s="10">
        <v>0.98388023400000002</v>
      </c>
      <c r="H75" s="6"/>
    </row>
    <row r="76" spans="1:15" ht="14.1" customHeight="1" x14ac:dyDescent="0.2">
      <c r="A76" s="1"/>
      <c r="B76" s="1"/>
      <c r="C76" s="11"/>
      <c r="D76" s="1"/>
      <c r="E76" s="1"/>
      <c r="F76" s="12"/>
      <c r="G76" s="12"/>
      <c r="H76" s="6"/>
    </row>
    <row r="77" spans="1:15" ht="14.1" customHeight="1" x14ac:dyDescent="0.2">
      <c r="A77" s="1"/>
      <c r="B77" s="1"/>
      <c r="C77" s="2" t="s">
        <v>127</v>
      </c>
      <c r="D77" s="1"/>
      <c r="E77" s="1"/>
      <c r="F77" s="12"/>
      <c r="G77" s="12"/>
      <c r="H77" s="6"/>
    </row>
    <row r="78" spans="1:15" ht="24" customHeight="1" x14ac:dyDescent="0.2">
      <c r="A78" s="1"/>
      <c r="B78" s="1"/>
      <c r="C78" s="2" t="s">
        <v>10</v>
      </c>
      <c r="D78" s="1"/>
      <c r="E78" s="1"/>
      <c r="F78" s="12"/>
      <c r="G78" s="12"/>
      <c r="H78" s="6"/>
    </row>
    <row r="79" spans="1:15" ht="14.1" customHeight="1" x14ac:dyDescent="0.2">
      <c r="A79" s="1"/>
      <c r="B79" s="1"/>
      <c r="C79" s="2" t="s">
        <v>119</v>
      </c>
      <c r="D79" s="1"/>
      <c r="E79" s="1" t="s">
        <v>120</v>
      </c>
      <c r="F79" s="13">
        <v>0</v>
      </c>
      <c r="G79" s="14">
        <v>0</v>
      </c>
      <c r="H79" s="6"/>
    </row>
    <row r="80" spans="1:15" ht="14.1" customHeight="1" x14ac:dyDescent="0.2">
      <c r="A80" s="1"/>
      <c r="B80" s="1"/>
      <c r="C80" s="11"/>
      <c r="D80" s="1"/>
      <c r="E80" s="1"/>
      <c r="F80" s="12"/>
      <c r="G80" s="12"/>
      <c r="H80" s="6"/>
    </row>
    <row r="81" spans="1:8" ht="14.1" customHeight="1" x14ac:dyDescent="0.2">
      <c r="A81" s="1"/>
      <c r="B81" s="1"/>
      <c r="C81" s="2" t="s">
        <v>128</v>
      </c>
      <c r="D81" s="1"/>
      <c r="E81" s="1"/>
      <c r="F81" s="1"/>
      <c r="G81" s="1"/>
      <c r="H81" s="6"/>
    </row>
    <row r="82" spans="1:8" ht="14.1" customHeight="1" x14ac:dyDescent="0.2">
      <c r="A82" s="1"/>
      <c r="B82" s="1"/>
      <c r="C82" s="2" t="s">
        <v>119</v>
      </c>
      <c r="D82" s="1"/>
      <c r="E82" s="1" t="s">
        <v>120</v>
      </c>
      <c r="F82" s="13">
        <v>0</v>
      </c>
      <c r="G82" s="14">
        <v>0</v>
      </c>
      <c r="H82" s="6"/>
    </row>
    <row r="83" spans="1:8" ht="14.1" customHeight="1" x14ac:dyDescent="0.2">
      <c r="A83" s="1"/>
      <c r="B83" s="1"/>
      <c r="C83" s="11"/>
      <c r="D83" s="1"/>
      <c r="E83" s="1"/>
      <c r="F83" s="12"/>
      <c r="G83" s="12"/>
      <c r="H83" s="6"/>
    </row>
    <row r="84" spans="1:8" ht="14.1" customHeight="1" x14ac:dyDescent="0.2">
      <c r="A84" s="1"/>
      <c r="B84" s="1"/>
      <c r="C84" s="2" t="s">
        <v>129</v>
      </c>
      <c r="D84" s="1"/>
      <c r="E84" s="1"/>
      <c r="F84" s="1"/>
      <c r="G84" s="1"/>
      <c r="H84" s="6"/>
    </row>
    <row r="85" spans="1:8" ht="14.1" customHeight="1" x14ac:dyDescent="0.2">
      <c r="A85" s="1"/>
      <c r="B85" s="1"/>
      <c r="C85" s="2" t="s">
        <v>119</v>
      </c>
      <c r="D85" s="1"/>
      <c r="E85" s="1" t="s">
        <v>120</v>
      </c>
      <c r="F85" s="13">
        <v>0</v>
      </c>
      <c r="G85" s="14">
        <v>0</v>
      </c>
      <c r="H85" s="6"/>
    </row>
    <row r="86" spans="1:8" ht="14.1" customHeight="1" x14ac:dyDescent="0.2">
      <c r="A86" s="1"/>
      <c r="B86" s="1"/>
      <c r="C86" s="11"/>
      <c r="D86" s="1"/>
      <c r="E86" s="1"/>
      <c r="F86" s="12"/>
      <c r="G86" s="12"/>
      <c r="H86" s="6"/>
    </row>
    <row r="87" spans="1:8" ht="14.1" customHeight="1" x14ac:dyDescent="0.2">
      <c r="A87" s="1"/>
      <c r="B87" s="1"/>
      <c r="C87" s="2" t="s">
        <v>130</v>
      </c>
      <c r="D87" s="1"/>
      <c r="E87" s="1"/>
      <c r="F87" s="12"/>
      <c r="G87" s="12"/>
      <c r="H87" s="6"/>
    </row>
    <row r="88" spans="1:8" ht="14.1" customHeight="1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ht="14.1" customHeight="1" x14ac:dyDescent="0.2">
      <c r="A89" s="1"/>
      <c r="B89" s="1"/>
      <c r="C89" s="11"/>
      <c r="D89" s="1"/>
      <c r="E89" s="1"/>
      <c r="F89" s="12"/>
      <c r="G89" s="12"/>
      <c r="H89" s="6"/>
    </row>
    <row r="90" spans="1:8" ht="14.1" customHeight="1" x14ac:dyDescent="0.2">
      <c r="A90" s="1"/>
      <c r="B90" s="1"/>
      <c r="C90" s="2" t="s">
        <v>131</v>
      </c>
      <c r="D90" s="1"/>
      <c r="E90" s="1"/>
      <c r="F90" s="9">
        <v>0</v>
      </c>
      <c r="G90" s="10">
        <v>0</v>
      </c>
      <c r="H90" s="6"/>
    </row>
    <row r="91" spans="1:8" ht="14.1" customHeight="1" x14ac:dyDescent="0.2">
      <c r="A91" s="1"/>
      <c r="B91" s="1"/>
      <c r="C91" s="11"/>
      <c r="D91" s="1"/>
      <c r="E91" s="1"/>
      <c r="F91" s="12"/>
      <c r="G91" s="12"/>
      <c r="H91" s="6"/>
    </row>
    <row r="92" spans="1:8" ht="14.1" customHeight="1" x14ac:dyDescent="0.2">
      <c r="A92" s="1"/>
      <c r="B92" s="1"/>
      <c r="C92" s="2" t="s">
        <v>132</v>
      </c>
      <c r="D92" s="1"/>
      <c r="E92" s="1"/>
      <c r="F92" s="12"/>
      <c r="G92" s="12"/>
      <c r="H92" s="6"/>
    </row>
    <row r="93" spans="1:8" ht="14.1" customHeight="1" x14ac:dyDescent="0.2">
      <c r="A93" s="1"/>
      <c r="B93" s="1"/>
      <c r="C93" s="2" t="s">
        <v>133</v>
      </c>
      <c r="D93" s="1"/>
      <c r="E93" s="1"/>
      <c r="F93" s="12"/>
      <c r="G93" s="12"/>
      <c r="H93" s="6"/>
    </row>
    <row r="94" spans="1:8" ht="14.1" customHeight="1" x14ac:dyDescent="0.2">
      <c r="A94" s="1"/>
      <c r="B94" s="1"/>
      <c r="C94" s="2" t="s">
        <v>119</v>
      </c>
      <c r="D94" s="1"/>
      <c r="E94" s="1" t="s">
        <v>120</v>
      </c>
      <c r="F94" s="13">
        <v>0</v>
      </c>
      <c r="G94" s="14">
        <v>0</v>
      </c>
      <c r="H94" s="6"/>
    </row>
    <row r="95" spans="1:8" ht="14.1" customHeight="1" x14ac:dyDescent="0.2">
      <c r="A95" s="1"/>
      <c r="B95" s="1"/>
      <c r="C95" s="11"/>
      <c r="D95" s="1"/>
      <c r="E95" s="1"/>
      <c r="F95" s="12"/>
      <c r="G95" s="12"/>
      <c r="H95" s="6"/>
    </row>
    <row r="96" spans="1:8" ht="14.1" customHeight="1" x14ac:dyDescent="0.2">
      <c r="A96" s="1"/>
      <c r="B96" s="1"/>
      <c r="C96" s="2" t="s">
        <v>134</v>
      </c>
      <c r="D96" s="1"/>
      <c r="E96" s="1"/>
      <c r="F96" s="12"/>
      <c r="G96" s="12"/>
      <c r="H96" s="6"/>
    </row>
    <row r="97" spans="1:8" ht="14.1" customHeight="1" x14ac:dyDescent="0.2">
      <c r="A97" s="1"/>
      <c r="B97" s="1"/>
      <c r="C97" s="2" t="s">
        <v>119</v>
      </c>
      <c r="D97" s="1"/>
      <c r="E97" s="1" t="s">
        <v>120</v>
      </c>
      <c r="F97" s="13">
        <v>0</v>
      </c>
      <c r="G97" s="14">
        <v>0</v>
      </c>
      <c r="H97" s="6"/>
    </row>
    <row r="98" spans="1:8" ht="14.1" customHeight="1" x14ac:dyDescent="0.2">
      <c r="A98" s="1"/>
      <c r="B98" s="1"/>
      <c r="C98" s="11"/>
      <c r="D98" s="1"/>
      <c r="E98" s="1"/>
      <c r="F98" s="12"/>
      <c r="G98" s="12"/>
      <c r="H98" s="6"/>
    </row>
    <row r="99" spans="1:8" ht="14.1" customHeight="1" x14ac:dyDescent="0.2">
      <c r="A99" s="1"/>
      <c r="B99" s="1"/>
      <c r="C99" s="2" t="s">
        <v>135</v>
      </c>
      <c r="D99" s="1"/>
      <c r="E99" s="1"/>
      <c r="F99" s="12"/>
      <c r="G99" s="12"/>
      <c r="H99" s="6"/>
    </row>
    <row r="100" spans="1:8" ht="14.1" customHeight="1" x14ac:dyDescent="0.2">
      <c r="A100" s="1"/>
      <c r="B100" s="1"/>
      <c r="C100" s="2" t="s">
        <v>119</v>
      </c>
      <c r="D100" s="1"/>
      <c r="E100" s="1" t="s">
        <v>120</v>
      </c>
      <c r="F100" s="13">
        <v>0</v>
      </c>
      <c r="G100" s="14">
        <v>0</v>
      </c>
      <c r="H100" s="6"/>
    </row>
    <row r="101" spans="1:8" ht="14.1" customHeight="1" x14ac:dyDescent="0.2">
      <c r="A101" s="1"/>
      <c r="B101" s="1"/>
      <c r="C101" s="11"/>
      <c r="D101" s="1"/>
      <c r="E101" s="1"/>
      <c r="F101" s="12"/>
      <c r="G101" s="12"/>
      <c r="H101" s="6"/>
    </row>
    <row r="102" spans="1:8" ht="14.1" customHeight="1" x14ac:dyDescent="0.2">
      <c r="A102" s="1"/>
      <c r="B102" s="1"/>
      <c r="C102" s="2" t="s">
        <v>136</v>
      </c>
      <c r="D102" s="1"/>
      <c r="E102" s="1"/>
      <c r="F102" s="12"/>
      <c r="G102" s="12"/>
      <c r="H102" s="6"/>
    </row>
    <row r="103" spans="1:8" ht="17.100000000000001" customHeight="1" x14ac:dyDescent="0.2">
      <c r="A103" s="3">
        <v>1</v>
      </c>
      <c r="B103" s="4"/>
      <c r="C103" s="4" t="s">
        <v>137</v>
      </c>
      <c r="D103" s="4"/>
      <c r="E103" s="8"/>
      <c r="F103" s="6">
        <v>1892.0210752</v>
      </c>
      <c r="G103" s="7">
        <v>1.0641071E-2</v>
      </c>
      <c r="H103" s="6">
        <v>4.1713246754849944</v>
      </c>
    </row>
    <row r="104" spans="1:8" ht="14.1" customHeight="1" x14ac:dyDescent="0.2">
      <c r="A104" s="1"/>
      <c r="B104" s="1"/>
      <c r="C104" s="2" t="s">
        <v>119</v>
      </c>
      <c r="D104" s="1"/>
      <c r="E104" s="1" t="s">
        <v>120</v>
      </c>
      <c r="F104" s="9">
        <v>1892.0210752</v>
      </c>
      <c r="G104" s="10">
        <v>1.0641071E-2</v>
      </c>
      <c r="H104" s="6"/>
    </row>
    <row r="105" spans="1:8" ht="14.1" customHeight="1" x14ac:dyDescent="0.2">
      <c r="A105" s="1"/>
      <c r="B105" s="1"/>
      <c r="C105" s="11"/>
      <c r="D105" s="1"/>
      <c r="E105" s="1"/>
      <c r="F105" s="12"/>
      <c r="G105" s="12"/>
      <c r="H105" s="6"/>
    </row>
    <row r="106" spans="1:8" ht="14.1" customHeight="1" x14ac:dyDescent="0.2">
      <c r="A106" s="1"/>
      <c r="B106" s="1"/>
      <c r="C106" s="2" t="s">
        <v>138</v>
      </c>
      <c r="D106" s="1"/>
      <c r="E106" s="1"/>
      <c r="F106" s="9">
        <v>1892.0210752</v>
      </c>
      <c r="G106" s="10">
        <v>1.0641071E-2</v>
      </c>
      <c r="H106" s="6"/>
    </row>
    <row r="107" spans="1:8" ht="14.1" customHeight="1" x14ac:dyDescent="0.2">
      <c r="A107" s="1"/>
      <c r="B107" s="1"/>
      <c r="C107" s="12"/>
      <c r="D107" s="1"/>
      <c r="E107" s="1"/>
      <c r="F107" s="1"/>
      <c r="G107" s="1"/>
      <c r="H107" s="6"/>
    </row>
    <row r="108" spans="1:8" ht="14.1" customHeight="1" x14ac:dyDescent="0.2">
      <c r="A108" s="1"/>
      <c r="B108" s="1"/>
      <c r="C108" s="2" t="s">
        <v>139</v>
      </c>
      <c r="D108" s="1"/>
      <c r="E108" s="1"/>
      <c r="F108" s="1"/>
      <c r="G108" s="1"/>
      <c r="H108" s="6"/>
    </row>
    <row r="109" spans="1:8" ht="14.1" customHeight="1" x14ac:dyDescent="0.2">
      <c r="A109" s="1"/>
      <c r="B109" s="1"/>
      <c r="C109" s="2" t="s">
        <v>140</v>
      </c>
      <c r="D109" s="1"/>
      <c r="E109" s="1"/>
      <c r="F109" s="1"/>
      <c r="G109" s="1"/>
      <c r="H109" s="6"/>
    </row>
    <row r="110" spans="1:8" ht="14.1" customHeight="1" x14ac:dyDescent="0.2">
      <c r="A110" s="1"/>
      <c r="B110" s="1"/>
      <c r="C110" s="2" t="s">
        <v>119</v>
      </c>
      <c r="D110" s="1"/>
      <c r="E110" s="1" t="s">
        <v>120</v>
      </c>
      <c r="F110" s="13">
        <v>0</v>
      </c>
      <c r="G110" s="14">
        <v>0</v>
      </c>
      <c r="H110" s="6"/>
    </row>
    <row r="111" spans="1:8" ht="14.1" customHeight="1" x14ac:dyDescent="0.2">
      <c r="A111" s="1"/>
      <c r="B111" s="1"/>
      <c r="C111" s="11"/>
      <c r="D111" s="1"/>
      <c r="E111" s="1"/>
      <c r="F111" s="12"/>
      <c r="G111" s="12"/>
      <c r="H111" s="6"/>
    </row>
    <row r="112" spans="1:8" ht="14.1" customHeight="1" x14ac:dyDescent="0.2">
      <c r="A112" s="1"/>
      <c r="B112" s="1"/>
      <c r="C112" s="2" t="s">
        <v>141</v>
      </c>
      <c r="D112" s="1"/>
      <c r="E112" s="1"/>
      <c r="F112" s="1"/>
      <c r="G112" s="1"/>
      <c r="H112" s="6"/>
    </row>
    <row r="113" spans="1:8" ht="14.1" customHeight="1" x14ac:dyDescent="0.2">
      <c r="A113" s="1"/>
      <c r="B113" s="1"/>
      <c r="C113" s="2" t="s">
        <v>142</v>
      </c>
      <c r="D113" s="1"/>
      <c r="E113" s="1"/>
      <c r="F113" s="1"/>
      <c r="G113" s="1"/>
      <c r="H113" s="6"/>
    </row>
    <row r="114" spans="1:8" ht="14.1" customHeight="1" x14ac:dyDescent="0.2">
      <c r="A114" s="1"/>
      <c r="B114" s="1"/>
      <c r="C114" s="2" t="s">
        <v>119</v>
      </c>
      <c r="D114" s="1"/>
      <c r="E114" s="1" t="s">
        <v>120</v>
      </c>
      <c r="F114" s="13">
        <v>0</v>
      </c>
      <c r="G114" s="14">
        <v>0</v>
      </c>
      <c r="H114" s="6"/>
    </row>
    <row r="115" spans="1:8" ht="14.1" customHeight="1" x14ac:dyDescent="0.2">
      <c r="A115" s="1"/>
      <c r="B115" s="1"/>
      <c r="C115" s="11"/>
      <c r="D115" s="1"/>
      <c r="E115" s="1"/>
      <c r="F115" s="12"/>
      <c r="G115" s="12"/>
      <c r="H115" s="6"/>
    </row>
    <row r="116" spans="1:8" ht="14.1" customHeight="1" x14ac:dyDescent="0.2">
      <c r="A116" s="1"/>
      <c r="B116" s="1"/>
      <c r="C116" s="11"/>
      <c r="D116" s="1"/>
      <c r="E116" s="1"/>
      <c r="F116" s="12"/>
      <c r="G116" s="12"/>
      <c r="H116" s="6"/>
    </row>
    <row r="117" spans="1:8" ht="24" customHeight="1" x14ac:dyDescent="0.2">
      <c r="A117" s="1"/>
      <c r="B117" s="1"/>
      <c r="C117" s="2" t="s">
        <v>143</v>
      </c>
      <c r="D117" s="1"/>
      <c r="E117" s="1"/>
      <c r="F117" s="12"/>
      <c r="G117" s="12"/>
      <c r="H117" s="6"/>
    </row>
    <row r="118" spans="1:8" ht="14.1" customHeight="1" x14ac:dyDescent="0.2">
      <c r="A118" s="1"/>
      <c r="B118" s="1"/>
      <c r="C118" s="2" t="s">
        <v>119</v>
      </c>
      <c r="D118" s="1"/>
      <c r="E118" s="1" t="s">
        <v>120</v>
      </c>
      <c r="F118" s="13">
        <v>0</v>
      </c>
      <c r="G118" s="14">
        <v>0</v>
      </c>
      <c r="H118" s="6"/>
    </row>
    <row r="119" spans="1:8" ht="14.1" customHeight="1" x14ac:dyDescent="0.2">
      <c r="A119" s="1"/>
      <c r="B119" s="1"/>
      <c r="C119" s="11"/>
      <c r="D119" s="1"/>
      <c r="E119" s="1"/>
      <c r="F119" s="12"/>
      <c r="G119" s="12"/>
      <c r="H119" s="6"/>
    </row>
    <row r="120" spans="1:8" ht="14.1" customHeight="1" x14ac:dyDescent="0.2">
      <c r="A120" s="1"/>
      <c r="B120" s="4"/>
      <c r="C120" s="4"/>
      <c r="D120" s="2"/>
      <c r="E120" s="1"/>
      <c r="F120" s="4"/>
      <c r="G120" s="8"/>
      <c r="H120" s="6"/>
    </row>
    <row r="121" spans="1:8" ht="18" customHeight="1" x14ac:dyDescent="0.2">
      <c r="A121" s="8"/>
      <c r="B121" s="4"/>
      <c r="C121" s="4" t="s">
        <v>144</v>
      </c>
      <c r="D121" s="4"/>
      <c r="E121" s="8"/>
      <c r="F121" s="6">
        <v>974.13252838000005</v>
      </c>
      <c r="G121" s="7">
        <v>5.4786990000000001E-3</v>
      </c>
      <c r="H121" s="6"/>
    </row>
    <row r="122" spans="1:8" ht="14.1" customHeight="1" x14ac:dyDescent="0.2">
      <c r="A122" s="11"/>
      <c r="B122" s="11"/>
      <c r="C122" s="2" t="s">
        <v>145</v>
      </c>
      <c r="D122" s="15"/>
      <c r="E122" s="15"/>
      <c r="F122" s="9">
        <v>177803.63237258</v>
      </c>
      <c r="G122" s="10">
        <v>1.0000000040000001</v>
      </c>
      <c r="H122" s="6"/>
    </row>
    <row r="123" spans="1:8" ht="14.1" customHeight="1" x14ac:dyDescent="0.2">
      <c r="A123" s="18"/>
      <c r="B123" s="18"/>
      <c r="C123" s="18"/>
      <c r="D123" s="20"/>
      <c r="E123" s="20"/>
      <c r="F123" s="20"/>
      <c r="G123" s="20"/>
    </row>
    <row r="124" spans="1:8" ht="14.1" customHeight="1" x14ac:dyDescent="0.2">
      <c r="A124" s="18"/>
      <c r="B124" s="265" t="s">
        <v>147</v>
      </c>
      <c r="C124" s="266"/>
      <c r="D124" s="12" t="s">
        <v>120</v>
      </c>
      <c r="E124" s="21"/>
      <c r="F124" s="20"/>
      <c r="G124" s="20"/>
    </row>
    <row r="125" spans="1:8" ht="29.1" customHeight="1" x14ac:dyDescent="0.2">
      <c r="A125" s="18"/>
      <c r="B125" s="272" t="s">
        <v>148</v>
      </c>
      <c r="C125" s="273"/>
      <c r="D125" s="2" t="s">
        <v>149</v>
      </c>
      <c r="E125" s="21"/>
      <c r="F125" s="20"/>
      <c r="G125" s="20"/>
    </row>
    <row r="126" spans="1:8" ht="17.100000000000001" customHeight="1" x14ac:dyDescent="0.2">
      <c r="A126" s="18"/>
      <c r="B126" s="272" t="s">
        <v>150</v>
      </c>
      <c r="C126" s="273"/>
      <c r="D126" s="2" t="s">
        <v>149</v>
      </c>
      <c r="E126" s="21"/>
      <c r="F126" s="20"/>
      <c r="G126" s="20"/>
    </row>
    <row r="127" spans="1:8" ht="17.100000000000001" customHeight="1" x14ac:dyDescent="0.2">
      <c r="A127" s="18"/>
      <c r="B127" s="272" t="s">
        <v>151</v>
      </c>
      <c r="C127" s="273"/>
      <c r="D127" s="12" t="s">
        <v>120</v>
      </c>
      <c r="E127" s="21"/>
      <c r="F127" s="20"/>
      <c r="G127" s="20"/>
    </row>
    <row r="128" spans="1:8" ht="24" customHeight="1" x14ac:dyDescent="0.2">
      <c r="A128" s="22"/>
      <c r="B128" s="23" t="s">
        <v>120</v>
      </c>
      <c r="C128" s="23" t="s">
        <v>152</v>
      </c>
      <c r="D128" s="23" t="s">
        <v>153</v>
      </c>
      <c r="E128" s="22"/>
      <c r="F128" s="22"/>
      <c r="G128" s="22"/>
    </row>
    <row r="129" spans="1:15" ht="18" customHeight="1" x14ac:dyDescent="0.2">
      <c r="A129" s="22"/>
      <c r="B129" s="23" t="s">
        <v>154</v>
      </c>
      <c r="C129" s="23" t="s">
        <v>155</v>
      </c>
      <c r="D129" s="23" t="s">
        <v>156</v>
      </c>
      <c r="E129" s="22"/>
      <c r="F129" s="22"/>
      <c r="G129" s="22"/>
    </row>
    <row r="130" spans="1:15" ht="17.100000000000001" customHeight="1" x14ac:dyDescent="0.2">
      <c r="A130" s="22"/>
      <c r="B130" s="4" t="s">
        <v>157</v>
      </c>
      <c r="C130" s="24">
        <v>150.3818</v>
      </c>
      <c r="D130" s="24">
        <v>146.2527</v>
      </c>
      <c r="E130" s="22"/>
      <c r="F130" s="19"/>
      <c r="G130" s="25"/>
    </row>
    <row r="131" spans="1:15" ht="17.100000000000001" customHeight="1" x14ac:dyDescent="0.2">
      <c r="A131" s="22"/>
      <c r="B131" s="4" t="s">
        <v>1120</v>
      </c>
      <c r="C131" s="24">
        <v>15.808999999999999</v>
      </c>
      <c r="D131" s="24">
        <v>15.375</v>
      </c>
      <c r="E131" s="22"/>
      <c r="F131" s="19"/>
      <c r="G131" s="25"/>
    </row>
    <row r="132" spans="1:15" ht="17.100000000000001" customHeight="1" x14ac:dyDescent="0.2">
      <c r="A132" s="22"/>
      <c r="B132" s="4" t="s">
        <v>158</v>
      </c>
      <c r="C132" s="24">
        <v>144.5797</v>
      </c>
      <c r="D132" s="24">
        <v>140.52459999999999</v>
      </c>
      <c r="E132" s="22"/>
      <c r="F132" s="19"/>
      <c r="G132" s="25"/>
    </row>
    <row r="133" spans="1:15" ht="17.100000000000001" customHeight="1" x14ac:dyDescent="0.2">
      <c r="A133" s="22"/>
      <c r="B133" s="4" t="s">
        <v>1121</v>
      </c>
      <c r="C133" s="24">
        <v>13.2514</v>
      </c>
      <c r="D133" s="24">
        <v>12.8797</v>
      </c>
      <c r="E133" s="22"/>
      <c r="F133" s="19"/>
      <c r="G133" s="25"/>
    </row>
    <row r="134" spans="1:15" ht="14.1" customHeight="1" x14ac:dyDescent="0.2">
      <c r="A134" s="22"/>
      <c r="B134" s="22"/>
      <c r="C134" s="22"/>
      <c r="D134" s="22"/>
      <c r="E134" s="22"/>
      <c r="F134" s="22"/>
      <c r="G134" s="22"/>
    </row>
    <row r="135" spans="1:15" ht="17.100000000000001" customHeight="1" x14ac:dyDescent="0.2">
      <c r="A135" s="22"/>
      <c r="B135" s="272" t="s">
        <v>1122</v>
      </c>
      <c r="C135" s="273"/>
      <c r="D135" s="2" t="s">
        <v>149</v>
      </c>
      <c r="E135" s="22"/>
      <c r="F135" s="22"/>
      <c r="G135" s="22"/>
    </row>
    <row r="136" spans="1:15" ht="14.1" customHeight="1" x14ac:dyDescent="0.2">
      <c r="A136" s="22"/>
      <c r="B136" s="19"/>
      <c r="C136" s="19"/>
      <c r="D136" s="22"/>
      <c r="E136" s="22"/>
      <c r="F136" s="22"/>
      <c r="G136" s="22"/>
    </row>
    <row r="137" spans="1:15" ht="29.1" customHeight="1" x14ac:dyDescent="0.2">
      <c r="A137" s="22"/>
      <c r="B137" s="272" t="s">
        <v>160</v>
      </c>
      <c r="C137" s="273"/>
      <c r="D137" s="2" t="s">
        <v>149</v>
      </c>
      <c r="E137" s="22"/>
      <c r="F137" s="22"/>
      <c r="G137" s="22"/>
    </row>
    <row r="138" spans="1:15" ht="29.1" customHeight="1" x14ac:dyDescent="0.2">
      <c r="A138" s="22"/>
      <c r="B138" s="272" t="s">
        <v>161</v>
      </c>
      <c r="C138" s="273"/>
      <c r="D138" s="2" t="s">
        <v>149</v>
      </c>
      <c r="E138" s="22"/>
      <c r="F138" s="22"/>
      <c r="G138" s="22"/>
    </row>
    <row r="139" spans="1:15" ht="17.100000000000001" customHeight="1" x14ac:dyDescent="0.2">
      <c r="A139" s="22"/>
      <c r="B139" s="272" t="s">
        <v>162</v>
      </c>
      <c r="C139" s="273"/>
      <c r="D139" s="27">
        <v>0.45533600000000002</v>
      </c>
      <c r="E139" s="22"/>
      <c r="F139" s="19"/>
      <c r="G139" s="25"/>
      <c r="J139" s="103"/>
      <c r="K139" s="103"/>
      <c r="L139" s="103"/>
      <c r="M139" s="103"/>
      <c r="N139" s="103"/>
      <c r="O139" s="103"/>
    </row>
    <row r="140" spans="1:15" ht="17.100000000000001" customHeight="1" x14ac:dyDescent="0.2">
      <c r="A140" s="22"/>
      <c r="B140" s="272" t="s">
        <v>163</v>
      </c>
      <c r="C140" s="273"/>
      <c r="D140" s="2" t="s">
        <v>149</v>
      </c>
      <c r="E140" s="22"/>
      <c r="F140" s="22"/>
      <c r="G140" s="22"/>
    </row>
    <row r="143" spans="1:15" x14ac:dyDescent="0.2">
      <c r="J143" s="170"/>
      <c r="K143" s="170"/>
      <c r="L143" s="170"/>
      <c r="M143" s="170"/>
      <c r="N143" s="170"/>
      <c r="O143" s="170"/>
    </row>
  </sheetData>
  <mergeCells count="13">
    <mergeCell ref="B139:C139"/>
    <mergeCell ref="B140:C140"/>
    <mergeCell ref="B125:C125"/>
    <mergeCell ref="B126:C126"/>
    <mergeCell ref="B127:C127"/>
    <mergeCell ref="B135:C135"/>
    <mergeCell ref="B137:C137"/>
    <mergeCell ref="B138:C138"/>
    <mergeCell ref="J2:N2"/>
    <mergeCell ref="B124:C12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O150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1140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17</v>
      </c>
      <c r="C7" s="4" t="s">
        <v>18</v>
      </c>
      <c r="D7" s="4" t="s">
        <v>19</v>
      </c>
      <c r="E7" s="5">
        <v>3722916</v>
      </c>
      <c r="F7" s="6">
        <v>28027.973106000001</v>
      </c>
      <c r="G7" s="7">
        <v>9.4677740999999996E-2</v>
      </c>
      <c r="H7" s="6"/>
    </row>
    <row r="8" spans="1:14" x14ac:dyDescent="0.2">
      <c r="A8" s="3">
        <v>2</v>
      </c>
      <c r="B8" s="4" t="s">
        <v>374</v>
      </c>
      <c r="C8" s="4" t="s">
        <v>375</v>
      </c>
      <c r="D8" s="4" t="s">
        <v>19</v>
      </c>
      <c r="E8" s="5">
        <v>1729890</v>
      </c>
      <c r="F8" s="6">
        <v>24027.307154999999</v>
      </c>
      <c r="G8" s="7">
        <v>8.1163598000000003E-2</v>
      </c>
      <c r="H8" s="6"/>
    </row>
    <row r="9" spans="1:14" x14ac:dyDescent="0.2">
      <c r="A9" s="3">
        <v>3</v>
      </c>
      <c r="B9" s="4" t="s">
        <v>14</v>
      </c>
      <c r="C9" s="4" t="s">
        <v>15</v>
      </c>
      <c r="D9" s="4" t="s">
        <v>16</v>
      </c>
      <c r="E9" s="5">
        <v>872776</v>
      </c>
      <c r="F9" s="6">
        <v>22977.137363999998</v>
      </c>
      <c r="G9" s="7">
        <v>7.7616152999999993E-2</v>
      </c>
      <c r="H9" s="6"/>
    </row>
    <row r="10" spans="1:14" x14ac:dyDescent="0.2">
      <c r="A10" s="3">
        <v>4</v>
      </c>
      <c r="B10" s="4" t="s">
        <v>406</v>
      </c>
      <c r="C10" s="4" t="s">
        <v>407</v>
      </c>
      <c r="D10" s="4" t="s">
        <v>994</v>
      </c>
      <c r="E10" s="5">
        <v>1465546</v>
      </c>
      <c r="F10" s="6">
        <v>22035.949656000001</v>
      </c>
      <c r="G10" s="7">
        <v>7.4436846000000001E-2</v>
      </c>
      <c r="H10" s="6"/>
    </row>
    <row r="11" spans="1:14" ht="25.5" x14ac:dyDescent="0.2">
      <c r="A11" s="3">
        <v>5</v>
      </c>
      <c r="B11" s="4" t="s">
        <v>408</v>
      </c>
      <c r="C11" s="4" t="s">
        <v>409</v>
      </c>
      <c r="D11" s="4" t="s">
        <v>85</v>
      </c>
      <c r="E11" s="5">
        <v>712897</v>
      </c>
      <c r="F11" s="6">
        <v>16444.7515475</v>
      </c>
      <c r="G11" s="7">
        <v>5.5549928999999998E-2</v>
      </c>
      <c r="H11" s="6"/>
    </row>
    <row r="12" spans="1:14" x14ac:dyDescent="0.2">
      <c r="A12" s="3">
        <v>6</v>
      </c>
      <c r="B12" s="4" t="s">
        <v>11</v>
      </c>
      <c r="C12" s="4" t="s">
        <v>12</v>
      </c>
      <c r="D12" s="4" t="s">
        <v>13</v>
      </c>
      <c r="E12" s="5">
        <v>800306</v>
      </c>
      <c r="F12" s="6">
        <v>13241.06277</v>
      </c>
      <c r="G12" s="7">
        <v>4.4727954E-2</v>
      </c>
      <c r="H12" s="6"/>
    </row>
    <row r="13" spans="1:14" ht="25.5" x14ac:dyDescent="0.2">
      <c r="A13" s="3">
        <v>7</v>
      </c>
      <c r="B13" s="4" t="s">
        <v>414</v>
      </c>
      <c r="C13" s="4" t="s">
        <v>415</v>
      </c>
      <c r="D13" s="4" t="s">
        <v>198</v>
      </c>
      <c r="E13" s="5">
        <v>1538340</v>
      </c>
      <c r="F13" s="6">
        <v>13238.954040000001</v>
      </c>
      <c r="G13" s="7">
        <v>4.4720831000000003E-2</v>
      </c>
      <c r="H13" s="6"/>
    </row>
    <row r="14" spans="1:14" x14ac:dyDescent="0.2">
      <c r="A14" s="3">
        <v>8</v>
      </c>
      <c r="B14" s="4" t="s">
        <v>20</v>
      </c>
      <c r="C14" s="4" t="s">
        <v>21</v>
      </c>
      <c r="D14" s="4" t="s">
        <v>22</v>
      </c>
      <c r="E14" s="5">
        <v>1702666</v>
      </c>
      <c r="F14" s="6">
        <v>11922.067332000001</v>
      </c>
      <c r="G14" s="7">
        <v>4.0272423000000002E-2</v>
      </c>
      <c r="H14" s="6"/>
    </row>
    <row r="15" spans="1:14" ht="15" x14ac:dyDescent="0.2">
      <c r="A15" s="3">
        <v>9</v>
      </c>
      <c r="B15" s="4" t="s">
        <v>50</v>
      </c>
      <c r="C15" s="4" t="s">
        <v>51</v>
      </c>
      <c r="D15" s="4" t="s">
        <v>19</v>
      </c>
      <c r="E15" s="5">
        <v>2379541</v>
      </c>
      <c r="F15" s="6">
        <v>11138.631421</v>
      </c>
      <c r="G15" s="7">
        <v>3.7625998000000001E-2</v>
      </c>
      <c r="H15" s="6"/>
      <c r="J15" s="169" t="s">
        <v>1163</v>
      </c>
    </row>
    <row r="16" spans="1:14" x14ac:dyDescent="0.2">
      <c r="A16" s="3">
        <v>10</v>
      </c>
      <c r="B16" s="4" t="s">
        <v>319</v>
      </c>
      <c r="C16" s="4" t="s">
        <v>320</v>
      </c>
      <c r="D16" s="4" t="s">
        <v>19</v>
      </c>
      <c r="E16" s="5">
        <v>1494828</v>
      </c>
      <c r="F16" s="6">
        <v>10242.561455999999</v>
      </c>
      <c r="G16" s="7">
        <v>3.4599098000000002E-2</v>
      </c>
      <c r="H16" s="6"/>
    </row>
    <row r="17" spans="1:10" x14ac:dyDescent="0.2">
      <c r="A17" s="3">
        <v>11</v>
      </c>
      <c r="B17" s="4" t="s">
        <v>410</v>
      </c>
      <c r="C17" s="4" t="s">
        <v>411</v>
      </c>
      <c r="D17" s="4" t="s">
        <v>994</v>
      </c>
      <c r="E17" s="5">
        <v>280401</v>
      </c>
      <c r="F17" s="6">
        <v>9433.6710435000005</v>
      </c>
      <c r="G17" s="7">
        <v>3.1866686999999998E-2</v>
      </c>
      <c r="H17" s="6"/>
    </row>
    <row r="18" spans="1:10" x14ac:dyDescent="0.2">
      <c r="A18" s="3">
        <v>12</v>
      </c>
      <c r="B18" s="4" t="s">
        <v>316</v>
      </c>
      <c r="C18" s="4" t="s">
        <v>317</v>
      </c>
      <c r="D18" s="4" t="s">
        <v>318</v>
      </c>
      <c r="E18" s="5">
        <v>594000</v>
      </c>
      <c r="F18" s="6">
        <v>6275.61</v>
      </c>
      <c r="G18" s="7">
        <v>2.1198841999999999E-2</v>
      </c>
      <c r="H18" s="6"/>
    </row>
    <row r="19" spans="1:10" ht="25.5" x14ac:dyDescent="0.2">
      <c r="A19" s="3">
        <v>13</v>
      </c>
      <c r="B19" s="4" t="s">
        <v>521</v>
      </c>
      <c r="C19" s="4" t="s">
        <v>522</v>
      </c>
      <c r="D19" s="4" t="s">
        <v>198</v>
      </c>
      <c r="E19" s="5">
        <v>584570</v>
      </c>
      <c r="F19" s="6">
        <v>5804.4878150000004</v>
      </c>
      <c r="G19" s="7">
        <v>1.9607403999999998E-2</v>
      </c>
      <c r="H19" s="6"/>
    </row>
    <row r="20" spans="1:10" x14ac:dyDescent="0.2">
      <c r="A20" s="3">
        <v>14</v>
      </c>
      <c r="B20" s="4" t="s">
        <v>630</v>
      </c>
      <c r="C20" s="4" t="s">
        <v>631</v>
      </c>
      <c r="D20" s="4" t="s">
        <v>318</v>
      </c>
      <c r="E20" s="5">
        <v>649734</v>
      </c>
      <c r="F20" s="6">
        <v>5258.9469959999997</v>
      </c>
      <c r="G20" s="7">
        <v>1.7764582000000001E-2</v>
      </c>
      <c r="H20" s="6"/>
    </row>
    <row r="21" spans="1:10" ht="51" x14ac:dyDescent="0.2">
      <c r="A21" s="3">
        <v>15</v>
      </c>
      <c r="B21" s="4" t="s">
        <v>73</v>
      </c>
      <c r="C21" s="4" t="s">
        <v>74</v>
      </c>
      <c r="D21" s="4" t="s">
        <v>75</v>
      </c>
      <c r="E21" s="5">
        <v>3807694</v>
      </c>
      <c r="F21" s="6">
        <v>5235.5792499999998</v>
      </c>
      <c r="G21" s="7">
        <v>1.7685645999999999E-2</v>
      </c>
      <c r="H21" s="6"/>
    </row>
    <row r="22" spans="1:10" x14ac:dyDescent="0.2">
      <c r="A22" s="3">
        <v>16</v>
      </c>
      <c r="B22" s="4" t="s">
        <v>380</v>
      </c>
      <c r="C22" s="4" t="s">
        <v>381</v>
      </c>
      <c r="D22" s="4" t="s">
        <v>85</v>
      </c>
      <c r="E22" s="5">
        <v>39898</v>
      </c>
      <c r="F22" s="6">
        <v>5160.4073200000003</v>
      </c>
      <c r="G22" s="7">
        <v>1.7431716999999999E-2</v>
      </c>
      <c r="H22" s="6"/>
    </row>
    <row r="23" spans="1:10" x14ac:dyDescent="0.2">
      <c r="A23" s="3">
        <v>17</v>
      </c>
      <c r="B23" s="4" t="s">
        <v>29</v>
      </c>
      <c r="C23" s="4" t="s">
        <v>30</v>
      </c>
      <c r="D23" s="4" t="s">
        <v>31</v>
      </c>
      <c r="E23" s="5">
        <v>3277836</v>
      </c>
      <c r="F23" s="6">
        <v>5113.4241599999996</v>
      </c>
      <c r="G23" s="7">
        <v>1.7273009999999998E-2</v>
      </c>
      <c r="H23" s="6"/>
    </row>
    <row r="24" spans="1:10" x14ac:dyDescent="0.2">
      <c r="A24" s="3">
        <v>18</v>
      </c>
      <c r="B24" s="4" t="s">
        <v>412</v>
      </c>
      <c r="C24" s="4" t="s">
        <v>413</v>
      </c>
      <c r="D24" s="4" t="s">
        <v>323</v>
      </c>
      <c r="E24" s="5">
        <v>415888</v>
      </c>
      <c r="F24" s="6">
        <v>4883.1489519999996</v>
      </c>
      <c r="G24" s="7">
        <v>1.6495145999999999E-2</v>
      </c>
      <c r="H24" s="6"/>
    </row>
    <row r="25" spans="1:10" x14ac:dyDescent="0.2">
      <c r="A25" s="3">
        <v>19</v>
      </c>
      <c r="B25" s="4" t="s">
        <v>461</v>
      </c>
      <c r="C25" s="4" t="s">
        <v>462</v>
      </c>
      <c r="D25" s="4" t="s">
        <v>396</v>
      </c>
      <c r="E25" s="5">
        <v>60621</v>
      </c>
      <c r="F25" s="6">
        <v>4829.2810335000004</v>
      </c>
      <c r="G25" s="7">
        <v>1.6313181999999999E-2</v>
      </c>
      <c r="H25" s="6"/>
    </row>
    <row r="26" spans="1:10" ht="25.5" x14ac:dyDescent="0.2">
      <c r="A26" s="3">
        <v>20</v>
      </c>
      <c r="B26" s="4" t="s">
        <v>382</v>
      </c>
      <c r="C26" s="4" t="s">
        <v>383</v>
      </c>
      <c r="D26" s="4" t="s">
        <v>233</v>
      </c>
      <c r="E26" s="5">
        <v>634201</v>
      </c>
      <c r="F26" s="6">
        <v>4818.3420974999999</v>
      </c>
      <c r="G26" s="7">
        <v>1.6276229999999999E-2</v>
      </c>
      <c r="H26" s="6"/>
      <c r="J26" s="169" t="s">
        <v>1164</v>
      </c>
    </row>
    <row r="27" spans="1:10" ht="25.5" x14ac:dyDescent="0.2">
      <c r="A27" s="3">
        <v>21</v>
      </c>
      <c r="B27" s="4" t="s">
        <v>83</v>
      </c>
      <c r="C27" s="4" t="s">
        <v>84</v>
      </c>
      <c r="D27" s="4" t="s">
        <v>85</v>
      </c>
      <c r="E27" s="5">
        <v>639055</v>
      </c>
      <c r="F27" s="6">
        <v>4343.0177800000001</v>
      </c>
      <c r="G27" s="7">
        <v>1.4670597E-2</v>
      </c>
      <c r="H27" s="6"/>
    </row>
    <row r="28" spans="1:10" ht="25.5" x14ac:dyDescent="0.2">
      <c r="A28" s="3">
        <v>22</v>
      </c>
      <c r="B28" s="4" t="s">
        <v>350</v>
      </c>
      <c r="C28" s="4" t="s">
        <v>351</v>
      </c>
      <c r="D28" s="4" t="s">
        <v>198</v>
      </c>
      <c r="E28" s="5">
        <v>149613</v>
      </c>
      <c r="F28" s="6">
        <v>4280.3531235</v>
      </c>
      <c r="G28" s="7">
        <v>1.4458917999999999E-2</v>
      </c>
      <c r="H28" s="6"/>
    </row>
    <row r="29" spans="1:10" x14ac:dyDescent="0.2">
      <c r="A29" s="3">
        <v>23</v>
      </c>
      <c r="B29" s="4" t="s">
        <v>431</v>
      </c>
      <c r="C29" s="4" t="s">
        <v>432</v>
      </c>
      <c r="D29" s="4" t="s">
        <v>19</v>
      </c>
      <c r="E29" s="5">
        <v>213122</v>
      </c>
      <c r="F29" s="6">
        <v>3936.0436570000002</v>
      </c>
      <c r="G29" s="7">
        <v>1.329585E-2</v>
      </c>
      <c r="H29" s="6"/>
    </row>
    <row r="30" spans="1:10" x14ac:dyDescent="0.2">
      <c r="A30" s="3">
        <v>24</v>
      </c>
      <c r="B30" s="4" t="s">
        <v>602</v>
      </c>
      <c r="C30" s="4" t="s">
        <v>603</v>
      </c>
      <c r="D30" s="4" t="s">
        <v>396</v>
      </c>
      <c r="E30" s="5">
        <v>99000</v>
      </c>
      <c r="F30" s="6">
        <v>3825.4589999999998</v>
      </c>
      <c r="G30" s="7">
        <v>1.2922298E-2</v>
      </c>
      <c r="H30" s="6"/>
    </row>
    <row r="31" spans="1:10" x14ac:dyDescent="0.2">
      <c r="A31" s="3">
        <v>25</v>
      </c>
      <c r="B31" s="4" t="s">
        <v>429</v>
      </c>
      <c r="C31" s="4" t="s">
        <v>430</v>
      </c>
      <c r="D31" s="4" t="s">
        <v>19</v>
      </c>
      <c r="E31" s="5">
        <v>331924</v>
      </c>
      <c r="F31" s="6">
        <v>3089.7145540000001</v>
      </c>
      <c r="G31" s="7">
        <v>1.0436973E-2</v>
      </c>
      <c r="H31" s="6"/>
    </row>
    <row r="32" spans="1:10" x14ac:dyDescent="0.2">
      <c r="A32" s="3">
        <v>26</v>
      </c>
      <c r="B32" s="4" t="s">
        <v>545</v>
      </c>
      <c r="C32" s="4" t="s">
        <v>1113</v>
      </c>
      <c r="D32" s="4" t="s">
        <v>396</v>
      </c>
      <c r="E32" s="5">
        <v>1420000</v>
      </c>
      <c r="F32" s="6">
        <v>3025.31</v>
      </c>
      <c r="G32" s="7">
        <v>1.0219416E-2</v>
      </c>
      <c r="H32" s="6"/>
    </row>
    <row r="33" spans="1:8" x14ac:dyDescent="0.2">
      <c r="A33" s="3">
        <v>27</v>
      </c>
      <c r="B33" s="4" t="s">
        <v>419</v>
      </c>
      <c r="C33" s="4" t="s">
        <v>420</v>
      </c>
      <c r="D33" s="4" t="s">
        <v>994</v>
      </c>
      <c r="E33" s="5">
        <v>285965</v>
      </c>
      <c r="F33" s="6">
        <v>2976.1807374999999</v>
      </c>
      <c r="G33" s="7">
        <v>1.0053459000000001E-2</v>
      </c>
      <c r="H33" s="6"/>
    </row>
    <row r="34" spans="1:8" x14ac:dyDescent="0.2">
      <c r="A34" s="3">
        <v>28</v>
      </c>
      <c r="B34" s="4" t="s">
        <v>421</v>
      </c>
      <c r="C34" s="4" t="s">
        <v>422</v>
      </c>
      <c r="D34" s="4" t="s">
        <v>994</v>
      </c>
      <c r="E34" s="5">
        <v>571413</v>
      </c>
      <c r="F34" s="6">
        <v>2731.6398465000002</v>
      </c>
      <c r="G34" s="7">
        <v>9.2274060000000005E-3</v>
      </c>
      <c r="H34" s="6"/>
    </row>
    <row r="35" spans="1:8" ht="25.5" x14ac:dyDescent="0.2">
      <c r="A35" s="3">
        <v>29</v>
      </c>
      <c r="B35" s="4" t="s">
        <v>729</v>
      </c>
      <c r="C35" s="4" t="s">
        <v>730</v>
      </c>
      <c r="D35" s="4" t="s">
        <v>369</v>
      </c>
      <c r="E35" s="5">
        <v>16757</v>
      </c>
      <c r="F35" s="6">
        <v>2315.6414515000001</v>
      </c>
      <c r="G35" s="7">
        <v>7.8221750000000007E-3</v>
      </c>
      <c r="H35" s="6"/>
    </row>
    <row r="36" spans="1:8" x14ac:dyDescent="0.2">
      <c r="A36" s="3">
        <v>30</v>
      </c>
      <c r="B36" s="4" t="s">
        <v>435</v>
      </c>
      <c r="C36" s="4" t="s">
        <v>436</v>
      </c>
      <c r="D36" s="4" t="s">
        <v>437</v>
      </c>
      <c r="E36" s="5">
        <v>518576</v>
      </c>
      <c r="F36" s="6">
        <v>2191.2428880000002</v>
      </c>
      <c r="G36" s="7">
        <v>7.40196E-3</v>
      </c>
      <c r="H36" s="6"/>
    </row>
    <row r="37" spans="1:8" x14ac:dyDescent="0.2">
      <c r="A37" s="3">
        <v>31</v>
      </c>
      <c r="B37" s="4" t="s">
        <v>416</v>
      </c>
      <c r="C37" s="4" t="s">
        <v>417</v>
      </c>
      <c r="D37" s="4" t="s">
        <v>418</v>
      </c>
      <c r="E37" s="5">
        <v>81167</v>
      </c>
      <c r="F37" s="6">
        <v>1910.0624275</v>
      </c>
      <c r="G37" s="7">
        <v>6.4521400000000003E-3</v>
      </c>
      <c r="H37" s="6"/>
    </row>
    <row r="38" spans="1:8" ht="25.5" x14ac:dyDescent="0.2">
      <c r="A38" s="3">
        <v>32</v>
      </c>
      <c r="B38" s="4" t="s">
        <v>168</v>
      </c>
      <c r="C38" s="4" t="s">
        <v>169</v>
      </c>
      <c r="D38" s="4" t="s">
        <v>25</v>
      </c>
      <c r="E38" s="5">
        <v>511927</v>
      </c>
      <c r="F38" s="6">
        <v>1891.058338</v>
      </c>
      <c r="G38" s="7">
        <v>6.3879439999999996E-3</v>
      </c>
      <c r="H38" s="6"/>
    </row>
    <row r="39" spans="1:8" x14ac:dyDescent="0.2">
      <c r="A39" s="3">
        <v>33</v>
      </c>
      <c r="B39" s="4" t="s">
        <v>370</v>
      </c>
      <c r="C39" s="4" t="s">
        <v>371</v>
      </c>
      <c r="D39" s="4" t="s">
        <v>203</v>
      </c>
      <c r="E39" s="5">
        <v>695601</v>
      </c>
      <c r="F39" s="6">
        <v>1758.8271285000001</v>
      </c>
      <c r="G39" s="7">
        <v>5.9412709999999997E-3</v>
      </c>
      <c r="H39" s="6"/>
    </row>
    <row r="40" spans="1:8" x14ac:dyDescent="0.2">
      <c r="A40" s="3">
        <v>34</v>
      </c>
      <c r="B40" s="4" t="s">
        <v>332</v>
      </c>
      <c r="C40" s="4" t="s">
        <v>333</v>
      </c>
      <c r="D40" s="4" t="s">
        <v>239</v>
      </c>
      <c r="E40" s="5">
        <v>36866</v>
      </c>
      <c r="F40" s="6">
        <v>1467.008738</v>
      </c>
      <c r="G40" s="7">
        <v>4.9555160000000001E-3</v>
      </c>
      <c r="H40" s="6"/>
    </row>
    <row r="41" spans="1:8" ht="25.5" x14ac:dyDescent="0.2">
      <c r="A41" s="3">
        <v>35</v>
      </c>
      <c r="B41" s="4" t="s">
        <v>23</v>
      </c>
      <c r="C41" s="4" t="s">
        <v>24</v>
      </c>
      <c r="D41" s="4" t="s">
        <v>25</v>
      </c>
      <c r="E41" s="5">
        <v>24067</v>
      </c>
      <c r="F41" s="6">
        <v>1463.8993419999999</v>
      </c>
      <c r="G41" s="7">
        <v>4.9450129999999998E-3</v>
      </c>
      <c r="H41" s="6"/>
    </row>
    <row r="42" spans="1:8" ht="25.5" x14ac:dyDescent="0.2">
      <c r="A42" s="3">
        <v>36</v>
      </c>
      <c r="B42" s="4" t="s">
        <v>192</v>
      </c>
      <c r="C42" s="4" t="s">
        <v>193</v>
      </c>
      <c r="D42" s="4" t="s">
        <v>80</v>
      </c>
      <c r="E42" s="5">
        <v>366000</v>
      </c>
      <c r="F42" s="6">
        <v>1322.9069999999999</v>
      </c>
      <c r="G42" s="7">
        <v>4.4687440000000002E-3</v>
      </c>
      <c r="H42" s="6"/>
    </row>
    <row r="43" spans="1:8" ht="25.5" x14ac:dyDescent="0.2">
      <c r="A43" s="3">
        <v>37</v>
      </c>
      <c r="B43" s="4" t="s">
        <v>310</v>
      </c>
      <c r="C43" s="4" t="s">
        <v>311</v>
      </c>
      <c r="D43" s="4" t="s">
        <v>219</v>
      </c>
      <c r="E43" s="5">
        <v>45821</v>
      </c>
      <c r="F43" s="6">
        <v>1129.0523505000001</v>
      </c>
      <c r="G43" s="7">
        <v>3.8139089999999999E-3</v>
      </c>
      <c r="H43" s="6"/>
    </row>
    <row r="44" spans="1:8" x14ac:dyDescent="0.2">
      <c r="A44" s="3">
        <v>38</v>
      </c>
      <c r="B44" s="4" t="s">
        <v>475</v>
      </c>
      <c r="C44" s="4" t="s">
        <v>476</v>
      </c>
      <c r="D44" s="4" t="s">
        <v>323</v>
      </c>
      <c r="E44" s="5">
        <v>134670</v>
      </c>
      <c r="F44" s="6">
        <v>1092.57771</v>
      </c>
      <c r="G44" s="7">
        <v>3.6906980000000001E-3</v>
      </c>
      <c r="H44" s="6"/>
    </row>
    <row r="45" spans="1:8" ht="25.5" x14ac:dyDescent="0.2">
      <c r="A45" s="3">
        <v>39</v>
      </c>
      <c r="B45" s="4" t="s">
        <v>438</v>
      </c>
      <c r="C45" s="4" t="s">
        <v>1057</v>
      </c>
      <c r="D45" s="4" t="s">
        <v>22</v>
      </c>
      <c r="E45" s="5">
        <v>312079</v>
      </c>
      <c r="F45" s="6">
        <v>1035.6341614999999</v>
      </c>
      <c r="G45" s="7">
        <v>3.498344E-3</v>
      </c>
      <c r="H45" s="6"/>
    </row>
    <row r="46" spans="1:8" ht="25.5" x14ac:dyDescent="0.2">
      <c r="A46" s="3">
        <v>40</v>
      </c>
      <c r="B46" s="4" t="s">
        <v>55</v>
      </c>
      <c r="C46" s="4" t="s">
        <v>56</v>
      </c>
      <c r="D46" s="4" t="s">
        <v>57</v>
      </c>
      <c r="E46" s="5">
        <v>139388</v>
      </c>
      <c r="F46" s="6">
        <v>1031.2621180000001</v>
      </c>
      <c r="G46" s="7">
        <v>3.4835759999999999E-3</v>
      </c>
      <c r="H46" s="6"/>
    </row>
    <row r="47" spans="1:8" ht="25.5" x14ac:dyDescent="0.2">
      <c r="A47" s="3">
        <v>41</v>
      </c>
      <c r="B47" s="4" t="s">
        <v>715</v>
      </c>
      <c r="C47" s="4" t="s">
        <v>716</v>
      </c>
      <c r="D47" s="4" t="s">
        <v>323</v>
      </c>
      <c r="E47" s="5">
        <v>79207</v>
      </c>
      <c r="F47" s="6">
        <v>1002.6418095</v>
      </c>
      <c r="G47" s="7">
        <v>3.3868969999999998E-3</v>
      </c>
      <c r="H47" s="6"/>
    </row>
    <row r="48" spans="1:8" x14ac:dyDescent="0.2">
      <c r="A48" s="3">
        <v>42</v>
      </c>
      <c r="B48" s="4" t="s">
        <v>447</v>
      </c>
      <c r="C48" s="4" t="s">
        <v>448</v>
      </c>
      <c r="D48" s="4" t="s">
        <v>85</v>
      </c>
      <c r="E48" s="5">
        <v>13542</v>
      </c>
      <c r="F48" s="6">
        <v>823.64475300000004</v>
      </c>
      <c r="G48" s="7">
        <v>2.78225E-3</v>
      </c>
      <c r="H48" s="6"/>
    </row>
    <row r="49" spans="1:8" x14ac:dyDescent="0.2">
      <c r="A49" s="3">
        <v>43</v>
      </c>
      <c r="B49" s="4" t="s">
        <v>443</v>
      </c>
      <c r="C49" s="4" t="s">
        <v>444</v>
      </c>
      <c r="D49" s="4" t="s">
        <v>19</v>
      </c>
      <c r="E49" s="5">
        <v>400000</v>
      </c>
      <c r="F49" s="6">
        <v>820</v>
      </c>
      <c r="G49" s="7">
        <v>2.769938E-3</v>
      </c>
      <c r="H49" s="6"/>
    </row>
    <row r="50" spans="1:8" x14ac:dyDescent="0.2">
      <c r="A50" s="3">
        <v>44</v>
      </c>
      <c r="B50" s="4" t="s">
        <v>686</v>
      </c>
      <c r="C50" s="4" t="s">
        <v>687</v>
      </c>
      <c r="D50" s="4" t="s">
        <v>369</v>
      </c>
      <c r="E50" s="5">
        <v>103365</v>
      </c>
      <c r="F50" s="6">
        <v>792.75786749999997</v>
      </c>
      <c r="G50" s="7">
        <v>2.6779149999999999E-3</v>
      </c>
      <c r="H50" s="6"/>
    </row>
    <row r="51" spans="1:8" x14ac:dyDescent="0.2">
      <c r="A51" s="3">
        <v>45</v>
      </c>
      <c r="B51" s="4" t="s">
        <v>473</v>
      </c>
      <c r="C51" s="4" t="s">
        <v>474</v>
      </c>
      <c r="D51" s="4" t="s">
        <v>80</v>
      </c>
      <c r="E51" s="5">
        <v>35309</v>
      </c>
      <c r="F51" s="6">
        <v>782.44744000000003</v>
      </c>
      <c r="G51" s="7">
        <v>2.6430859999999998E-3</v>
      </c>
      <c r="H51" s="6"/>
    </row>
    <row r="52" spans="1:8" x14ac:dyDescent="0.2">
      <c r="A52" s="3">
        <v>46</v>
      </c>
      <c r="B52" s="4" t="s">
        <v>384</v>
      </c>
      <c r="C52" s="4" t="s">
        <v>385</v>
      </c>
      <c r="D52" s="4" t="s">
        <v>28</v>
      </c>
      <c r="E52" s="5">
        <v>38585</v>
      </c>
      <c r="F52" s="6">
        <v>667.50120749999996</v>
      </c>
      <c r="G52" s="7">
        <v>2.2548009999999999E-3</v>
      </c>
      <c r="H52" s="6"/>
    </row>
    <row r="53" spans="1:8" ht="25.5" x14ac:dyDescent="0.2">
      <c r="A53" s="3">
        <v>47</v>
      </c>
      <c r="B53" s="4" t="s">
        <v>449</v>
      </c>
      <c r="C53" s="4" t="s">
        <v>450</v>
      </c>
      <c r="D53" s="4" t="s">
        <v>198</v>
      </c>
      <c r="E53" s="5">
        <v>13721</v>
      </c>
      <c r="F53" s="6">
        <v>492.76227299999999</v>
      </c>
      <c r="G53" s="7">
        <v>1.6645379999999999E-3</v>
      </c>
      <c r="H53" s="6"/>
    </row>
    <row r="54" spans="1:8" x14ac:dyDescent="0.2">
      <c r="A54" s="3">
        <v>48</v>
      </c>
      <c r="B54" s="4" t="s">
        <v>453</v>
      </c>
      <c r="C54" s="4" t="s">
        <v>454</v>
      </c>
      <c r="D54" s="4" t="s">
        <v>396</v>
      </c>
      <c r="E54" s="5">
        <v>58791</v>
      </c>
      <c r="F54" s="6">
        <v>260.76748049999998</v>
      </c>
      <c r="G54" s="7">
        <v>8.8086600000000001E-4</v>
      </c>
      <c r="H54" s="6"/>
    </row>
    <row r="55" spans="1:8" x14ac:dyDescent="0.2">
      <c r="A55" s="1"/>
      <c r="B55" s="1"/>
      <c r="C55" s="2" t="s">
        <v>119</v>
      </c>
      <c r="D55" s="1"/>
      <c r="E55" s="1" t="s">
        <v>120</v>
      </c>
      <c r="F55" s="9">
        <v>282568.70969799999</v>
      </c>
      <c r="G55" s="10">
        <v>0.95450951500000025</v>
      </c>
      <c r="H55" s="6"/>
    </row>
    <row r="56" spans="1:8" x14ac:dyDescent="0.2">
      <c r="A56" s="1"/>
      <c r="B56" s="1"/>
      <c r="C56" s="11"/>
      <c r="D56" s="1"/>
      <c r="E56" s="1"/>
      <c r="F56" s="12"/>
      <c r="G56" s="12"/>
      <c r="H56" s="6"/>
    </row>
    <row r="57" spans="1:8" x14ac:dyDescent="0.2">
      <c r="A57" s="1"/>
      <c r="B57" s="1"/>
      <c r="C57" s="2" t="s">
        <v>121</v>
      </c>
      <c r="D57" s="1"/>
      <c r="E57" s="1"/>
      <c r="F57" s="1"/>
      <c r="G57" s="1"/>
      <c r="H57" s="6"/>
    </row>
    <row r="58" spans="1:8" x14ac:dyDescent="0.2">
      <c r="A58" s="1"/>
      <c r="B58" s="1"/>
      <c r="C58" s="2" t="s">
        <v>119</v>
      </c>
      <c r="D58" s="1"/>
      <c r="E58" s="1" t="s">
        <v>120</v>
      </c>
      <c r="F58" s="13">
        <v>0</v>
      </c>
      <c r="G58" s="14">
        <v>0</v>
      </c>
      <c r="H58" s="6"/>
    </row>
    <row r="59" spans="1:8" x14ac:dyDescent="0.2">
      <c r="A59" s="1"/>
      <c r="B59" s="1"/>
      <c r="C59" s="11"/>
      <c r="D59" s="1"/>
      <c r="E59" s="1"/>
      <c r="F59" s="12"/>
      <c r="G59" s="12"/>
      <c r="H59" s="6"/>
    </row>
    <row r="60" spans="1:8" x14ac:dyDescent="0.2">
      <c r="A60" s="1"/>
      <c r="B60" s="1"/>
      <c r="C60" s="2" t="s">
        <v>122</v>
      </c>
      <c r="D60" s="1"/>
      <c r="E60" s="1"/>
      <c r="F60" s="1"/>
      <c r="G60" s="1"/>
      <c r="H60" s="6"/>
    </row>
    <row r="61" spans="1:8" x14ac:dyDescent="0.2">
      <c r="A61" s="1"/>
      <c r="B61" s="1"/>
      <c r="C61" s="2" t="s">
        <v>119</v>
      </c>
      <c r="D61" s="1"/>
      <c r="E61" s="1" t="s">
        <v>120</v>
      </c>
      <c r="F61" s="13">
        <v>0</v>
      </c>
      <c r="G61" s="14">
        <v>0</v>
      </c>
      <c r="H61" s="6"/>
    </row>
    <row r="62" spans="1:8" x14ac:dyDescent="0.2">
      <c r="A62" s="1"/>
      <c r="B62" s="1"/>
      <c r="C62" s="11"/>
      <c r="D62" s="1"/>
      <c r="E62" s="1"/>
      <c r="F62" s="12"/>
      <c r="G62" s="12"/>
      <c r="H62" s="6"/>
    </row>
    <row r="63" spans="1:8" x14ac:dyDescent="0.2">
      <c r="A63" s="1"/>
      <c r="B63" s="1"/>
      <c r="C63" s="2" t="s">
        <v>123</v>
      </c>
      <c r="D63" s="1"/>
      <c r="E63" s="1"/>
      <c r="F63" s="1"/>
      <c r="G63" s="1"/>
      <c r="H63" s="6"/>
    </row>
    <row r="64" spans="1:8" x14ac:dyDescent="0.2">
      <c r="A64" s="1"/>
      <c r="B64" s="1"/>
      <c r="C64" s="2" t="s">
        <v>119</v>
      </c>
      <c r="D64" s="1"/>
      <c r="E64" s="1" t="s">
        <v>120</v>
      </c>
      <c r="F64" s="9">
        <v>0</v>
      </c>
      <c r="G64" s="10">
        <v>0</v>
      </c>
      <c r="H64" s="6"/>
    </row>
    <row r="65" spans="1:8" x14ac:dyDescent="0.2">
      <c r="A65" s="1"/>
      <c r="B65" s="1"/>
      <c r="C65" s="11"/>
      <c r="D65" s="1"/>
      <c r="E65" s="1"/>
      <c r="F65" s="12"/>
      <c r="G65" s="12"/>
      <c r="H65" s="6"/>
    </row>
    <row r="66" spans="1:8" x14ac:dyDescent="0.2">
      <c r="A66" s="1"/>
      <c r="B66" s="1"/>
      <c r="C66" s="2" t="s">
        <v>124</v>
      </c>
      <c r="D66" s="1"/>
      <c r="E66" s="1"/>
      <c r="F66" s="12"/>
      <c r="G66" s="12"/>
      <c r="H66" s="6"/>
    </row>
    <row r="67" spans="1:8" ht="25.5" x14ac:dyDescent="0.2">
      <c r="A67" s="107">
        <v>1</v>
      </c>
      <c r="B67" s="97" t="s">
        <v>1005</v>
      </c>
      <c r="C67" s="97" t="s">
        <v>1006</v>
      </c>
      <c r="D67" s="97" t="s">
        <v>85</v>
      </c>
      <c r="E67" s="100">
        <v>90000</v>
      </c>
      <c r="F67" s="101">
        <v>393.70500000000004</v>
      </c>
      <c r="G67" s="102">
        <v>1.3299200000000001E-3</v>
      </c>
      <c r="H67" s="6"/>
    </row>
    <row r="68" spans="1:8" x14ac:dyDescent="0.2">
      <c r="A68" s="1"/>
      <c r="B68" s="1"/>
      <c r="C68" s="2" t="s">
        <v>119</v>
      </c>
      <c r="D68" s="1"/>
      <c r="E68" s="1" t="s">
        <v>120</v>
      </c>
      <c r="F68" s="13">
        <v>393.70500000000004</v>
      </c>
      <c r="G68" s="14">
        <v>1.3299200000000001E-3</v>
      </c>
      <c r="H68" s="6"/>
    </row>
    <row r="69" spans="1:8" x14ac:dyDescent="0.2">
      <c r="A69" s="1"/>
      <c r="B69" s="1"/>
      <c r="C69" s="11"/>
      <c r="D69" s="1"/>
      <c r="E69" s="1"/>
      <c r="F69" s="12"/>
      <c r="G69" s="12"/>
      <c r="H69" s="6"/>
    </row>
    <row r="70" spans="1:8" x14ac:dyDescent="0.2">
      <c r="A70" s="1"/>
      <c r="B70" s="1"/>
      <c r="C70" s="2" t="s">
        <v>125</v>
      </c>
      <c r="D70" s="1"/>
      <c r="E70" s="1"/>
      <c r="F70" s="12"/>
      <c r="G70" s="12"/>
      <c r="H70" s="6"/>
    </row>
    <row r="71" spans="1:8" x14ac:dyDescent="0.2">
      <c r="A71" s="1"/>
      <c r="B71" s="1"/>
      <c r="C71" s="2" t="s">
        <v>119</v>
      </c>
      <c r="D71" s="1"/>
      <c r="E71" s="1" t="s">
        <v>120</v>
      </c>
      <c r="F71" s="13">
        <v>0</v>
      </c>
      <c r="G71" s="14">
        <v>0</v>
      </c>
      <c r="H71" s="6"/>
    </row>
    <row r="72" spans="1:8" x14ac:dyDescent="0.2">
      <c r="A72" s="1"/>
      <c r="B72" s="1"/>
      <c r="C72" s="11"/>
      <c r="D72" s="1"/>
      <c r="E72" s="1"/>
      <c r="F72" s="12"/>
      <c r="G72" s="12"/>
      <c r="H72" s="6"/>
    </row>
    <row r="73" spans="1:8" x14ac:dyDescent="0.2">
      <c r="A73" s="1"/>
      <c r="B73" s="1"/>
      <c r="C73" s="2" t="s">
        <v>126</v>
      </c>
      <c r="D73" s="1"/>
      <c r="E73" s="1"/>
      <c r="F73" s="9">
        <v>282962.41469800001</v>
      </c>
      <c r="G73" s="10">
        <v>0.95583943500000024</v>
      </c>
      <c r="H73" s="6"/>
    </row>
    <row r="74" spans="1:8" x14ac:dyDescent="0.2">
      <c r="A74" s="1"/>
      <c r="B74" s="1"/>
      <c r="C74" s="11"/>
      <c r="D74" s="1"/>
      <c r="E74" s="1"/>
      <c r="F74" s="12"/>
      <c r="G74" s="12"/>
      <c r="H74" s="6"/>
    </row>
    <row r="75" spans="1:8" x14ac:dyDescent="0.2">
      <c r="A75" s="1"/>
      <c r="B75" s="1"/>
      <c r="C75" s="2" t="s">
        <v>127</v>
      </c>
      <c r="D75" s="1"/>
      <c r="E75" s="1"/>
      <c r="F75" s="12"/>
      <c r="G75" s="12"/>
      <c r="H75" s="6"/>
    </row>
    <row r="76" spans="1:8" ht="25.5" x14ac:dyDescent="0.2">
      <c r="A76" s="1"/>
      <c r="B76" s="1"/>
      <c r="C76" s="2" t="s">
        <v>10</v>
      </c>
      <c r="D76" s="1"/>
      <c r="E76" s="1"/>
      <c r="F76" s="12"/>
      <c r="G76" s="12"/>
      <c r="H76" s="6"/>
    </row>
    <row r="77" spans="1:8" ht="25.5" x14ac:dyDescent="0.2">
      <c r="A77" s="3">
        <v>1</v>
      </c>
      <c r="B77" s="4" t="s">
        <v>621</v>
      </c>
      <c r="C77" s="4" t="s">
        <v>622</v>
      </c>
      <c r="D77" s="4" t="s">
        <v>623</v>
      </c>
      <c r="E77" s="5">
        <v>28980</v>
      </c>
      <c r="F77" s="6">
        <v>8.1920663999999999</v>
      </c>
      <c r="G77" s="8" t="s">
        <v>118</v>
      </c>
      <c r="H77" s="6">
        <v>6.89</v>
      </c>
    </row>
    <row r="78" spans="1:8" x14ac:dyDescent="0.2">
      <c r="A78" s="1"/>
      <c r="B78" s="1"/>
      <c r="C78" s="2" t="s">
        <v>119</v>
      </c>
      <c r="D78" s="1"/>
      <c r="E78" s="1" t="s">
        <v>120</v>
      </c>
      <c r="F78" s="9">
        <v>8.1920663999999999</v>
      </c>
      <c r="G78" s="10">
        <v>2.7673000000000001E-5</v>
      </c>
      <c r="H78" s="6"/>
    </row>
    <row r="79" spans="1:8" x14ac:dyDescent="0.2">
      <c r="A79" s="1"/>
      <c r="B79" s="1"/>
      <c r="C79" s="11"/>
      <c r="D79" s="1"/>
      <c r="E79" s="1"/>
      <c r="F79" s="12"/>
      <c r="G79" s="12"/>
      <c r="H79" s="6"/>
    </row>
    <row r="80" spans="1:8" x14ac:dyDescent="0.2">
      <c r="A80" s="1"/>
      <c r="B80" s="1"/>
      <c r="C80" s="2" t="s">
        <v>128</v>
      </c>
      <c r="D80" s="1"/>
      <c r="E80" s="1"/>
      <c r="F80" s="1"/>
      <c r="G80" s="1"/>
      <c r="H80" s="6"/>
    </row>
    <row r="81" spans="1:8" x14ac:dyDescent="0.2">
      <c r="A81" s="1"/>
      <c r="B81" s="1"/>
      <c r="C81" s="2" t="s">
        <v>119</v>
      </c>
      <c r="D81" s="1"/>
      <c r="E81" s="1" t="s">
        <v>120</v>
      </c>
      <c r="F81" s="13">
        <v>0</v>
      </c>
      <c r="G81" s="14">
        <v>0</v>
      </c>
      <c r="H81" s="6"/>
    </row>
    <row r="82" spans="1:8" x14ac:dyDescent="0.2">
      <c r="A82" s="1"/>
      <c r="B82" s="1"/>
      <c r="C82" s="11"/>
      <c r="D82" s="1"/>
      <c r="E82" s="1"/>
      <c r="F82" s="12"/>
      <c r="G82" s="12"/>
      <c r="H82" s="6"/>
    </row>
    <row r="83" spans="1:8" x14ac:dyDescent="0.2">
      <c r="A83" s="1"/>
      <c r="B83" s="1"/>
      <c r="C83" s="2" t="s">
        <v>129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2" t="s">
        <v>130</v>
      </c>
      <c r="D86" s="1"/>
      <c r="E86" s="1"/>
      <c r="F86" s="12"/>
      <c r="G86" s="12"/>
      <c r="H86" s="6"/>
    </row>
    <row r="87" spans="1:8" x14ac:dyDescent="0.2">
      <c r="A87" s="1"/>
      <c r="B87" s="1"/>
      <c r="C87" s="2" t="s">
        <v>119</v>
      </c>
      <c r="D87" s="1"/>
      <c r="E87" s="1" t="s">
        <v>120</v>
      </c>
      <c r="F87" s="13">
        <v>0</v>
      </c>
      <c r="G87" s="14">
        <v>0</v>
      </c>
      <c r="H87" s="6"/>
    </row>
    <row r="88" spans="1:8" x14ac:dyDescent="0.2">
      <c r="A88" s="1"/>
      <c r="B88" s="1"/>
      <c r="C88" s="11"/>
      <c r="D88" s="1"/>
      <c r="E88" s="1"/>
      <c r="F88" s="12"/>
      <c r="G88" s="12"/>
      <c r="H88" s="6"/>
    </row>
    <row r="89" spans="1:8" x14ac:dyDescent="0.2">
      <c r="A89" s="1"/>
      <c r="B89" s="1"/>
      <c r="C89" s="2" t="s">
        <v>131</v>
      </c>
      <c r="D89" s="1"/>
      <c r="E89" s="1"/>
      <c r="F89" s="9">
        <v>8.1920663999999999</v>
      </c>
      <c r="G89" s="10">
        <v>2.7673000000000001E-5</v>
      </c>
      <c r="H89" s="6"/>
    </row>
    <row r="90" spans="1:8" x14ac:dyDescent="0.2">
      <c r="A90" s="1"/>
      <c r="B90" s="1"/>
      <c r="C90" s="11"/>
      <c r="D90" s="1"/>
      <c r="E90" s="1"/>
      <c r="F90" s="12"/>
      <c r="G90" s="12"/>
      <c r="H90" s="6"/>
    </row>
    <row r="91" spans="1:8" x14ac:dyDescent="0.2">
      <c r="A91" s="1"/>
      <c r="B91" s="1"/>
      <c r="C91" s="2" t="s">
        <v>132</v>
      </c>
      <c r="D91" s="1"/>
      <c r="E91" s="1"/>
      <c r="F91" s="12"/>
      <c r="G91" s="12"/>
      <c r="H91" s="6"/>
    </row>
    <row r="92" spans="1:8" x14ac:dyDescent="0.2">
      <c r="A92" s="1"/>
      <c r="B92" s="1"/>
      <c r="C92" s="2" t="s">
        <v>133</v>
      </c>
      <c r="D92" s="1"/>
      <c r="E92" s="1"/>
      <c r="F92" s="12"/>
      <c r="G92" s="12"/>
      <c r="H92" s="6"/>
    </row>
    <row r="93" spans="1:8" x14ac:dyDescent="0.2">
      <c r="A93" s="1"/>
      <c r="B93" s="1"/>
      <c r="C93" s="2" t="s">
        <v>119</v>
      </c>
      <c r="D93" s="1"/>
      <c r="E93" s="1" t="s">
        <v>120</v>
      </c>
      <c r="F93" s="13">
        <v>0</v>
      </c>
      <c r="G93" s="14">
        <v>0</v>
      </c>
      <c r="H93" s="6"/>
    </row>
    <row r="94" spans="1:8" x14ac:dyDescent="0.2">
      <c r="A94" s="1"/>
      <c r="B94" s="1"/>
      <c r="C94" s="11"/>
      <c r="D94" s="1"/>
      <c r="E94" s="1"/>
      <c r="F94" s="12"/>
      <c r="G94" s="12"/>
      <c r="H94" s="6"/>
    </row>
    <row r="95" spans="1:8" x14ac:dyDescent="0.2">
      <c r="A95" s="1"/>
      <c r="B95" s="1"/>
      <c r="C95" s="2" t="s">
        <v>134</v>
      </c>
      <c r="D95" s="1"/>
      <c r="E95" s="1"/>
      <c r="F95" s="12"/>
      <c r="G95" s="12"/>
      <c r="H95" s="6"/>
    </row>
    <row r="96" spans="1:8" x14ac:dyDescent="0.2">
      <c r="A96" s="1"/>
      <c r="B96" s="1"/>
      <c r="C96" s="2" t="s">
        <v>119</v>
      </c>
      <c r="D96" s="1"/>
      <c r="E96" s="1" t="s">
        <v>120</v>
      </c>
      <c r="F96" s="13">
        <v>0</v>
      </c>
      <c r="G96" s="14">
        <v>0</v>
      </c>
      <c r="H96" s="6"/>
    </row>
    <row r="97" spans="1:8" x14ac:dyDescent="0.2">
      <c r="A97" s="1"/>
      <c r="B97" s="1"/>
      <c r="C97" s="11"/>
      <c r="D97" s="1"/>
      <c r="E97" s="1"/>
      <c r="F97" s="12"/>
      <c r="G97" s="12"/>
      <c r="H97" s="6"/>
    </row>
    <row r="98" spans="1:8" x14ac:dyDescent="0.2">
      <c r="A98" s="1"/>
      <c r="B98" s="1"/>
      <c r="C98" s="2" t="s">
        <v>135</v>
      </c>
      <c r="D98" s="1"/>
      <c r="E98" s="1"/>
      <c r="F98" s="12"/>
      <c r="G98" s="12"/>
      <c r="H98" s="6"/>
    </row>
    <row r="99" spans="1:8" x14ac:dyDescent="0.2">
      <c r="A99" s="1"/>
      <c r="B99" s="1"/>
      <c r="C99" s="2" t="s">
        <v>119</v>
      </c>
      <c r="D99" s="1"/>
      <c r="E99" s="1" t="s">
        <v>120</v>
      </c>
      <c r="F99" s="13">
        <v>0</v>
      </c>
      <c r="G99" s="14">
        <v>0</v>
      </c>
      <c r="H99" s="6"/>
    </row>
    <row r="100" spans="1:8" x14ac:dyDescent="0.2">
      <c r="A100" s="1"/>
      <c r="B100" s="1"/>
      <c r="C100" s="11"/>
      <c r="D100" s="1"/>
      <c r="E100" s="1"/>
      <c r="F100" s="12"/>
      <c r="G100" s="12"/>
      <c r="H100" s="6"/>
    </row>
    <row r="101" spans="1:8" x14ac:dyDescent="0.2">
      <c r="A101" s="1"/>
      <c r="B101" s="1"/>
      <c r="C101" s="2" t="s">
        <v>136</v>
      </c>
      <c r="D101" s="1"/>
      <c r="E101" s="1"/>
      <c r="F101" s="12"/>
      <c r="G101" s="12"/>
      <c r="H101" s="6"/>
    </row>
    <row r="102" spans="1:8" x14ac:dyDescent="0.2">
      <c r="A102" s="3">
        <v>1</v>
      </c>
      <c r="B102" s="4"/>
      <c r="C102" s="4" t="s">
        <v>137</v>
      </c>
      <c r="D102" s="4"/>
      <c r="E102" s="8"/>
      <c r="F102" s="6">
        <v>8365.6007585000007</v>
      </c>
      <c r="G102" s="7">
        <v>2.8258775E-2</v>
      </c>
      <c r="H102" s="6">
        <v>4.1713246754849944</v>
      </c>
    </row>
    <row r="103" spans="1:8" x14ac:dyDescent="0.2">
      <c r="A103" s="1"/>
      <c r="B103" s="1"/>
      <c r="C103" s="2" t="s">
        <v>119</v>
      </c>
      <c r="D103" s="1"/>
      <c r="E103" s="1" t="s">
        <v>120</v>
      </c>
      <c r="F103" s="9">
        <v>8365.6007585000007</v>
      </c>
      <c r="G103" s="10">
        <v>2.8258775E-2</v>
      </c>
      <c r="H103" s="6"/>
    </row>
    <row r="104" spans="1:8" x14ac:dyDescent="0.2">
      <c r="A104" s="1"/>
      <c r="B104" s="1"/>
      <c r="C104" s="11"/>
      <c r="D104" s="1"/>
      <c r="E104" s="1"/>
      <c r="F104" s="12"/>
      <c r="G104" s="12"/>
      <c r="H104" s="6"/>
    </row>
    <row r="105" spans="1:8" x14ac:dyDescent="0.2">
      <c r="A105" s="1"/>
      <c r="B105" s="1"/>
      <c r="C105" s="2" t="s">
        <v>138</v>
      </c>
      <c r="D105" s="1"/>
      <c r="E105" s="1"/>
      <c r="F105" s="9">
        <v>8365.6007585000007</v>
      </c>
      <c r="G105" s="10">
        <v>2.8258775E-2</v>
      </c>
      <c r="H105" s="6"/>
    </row>
    <row r="106" spans="1:8" x14ac:dyDescent="0.2">
      <c r="A106" s="1"/>
      <c r="B106" s="1"/>
      <c r="C106" s="12"/>
      <c r="D106" s="1"/>
      <c r="E106" s="1"/>
      <c r="F106" s="1"/>
      <c r="G106" s="1"/>
      <c r="H106" s="6"/>
    </row>
    <row r="107" spans="1:8" x14ac:dyDescent="0.2">
      <c r="A107" s="1"/>
      <c r="B107" s="1"/>
      <c r="C107" s="2" t="s">
        <v>139</v>
      </c>
      <c r="D107" s="1"/>
      <c r="E107" s="1"/>
      <c r="F107" s="1"/>
      <c r="G107" s="1"/>
      <c r="H107" s="6"/>
    </row>
    <row r="108" spans="1:8" x14ac:dyDescent="0.2">
      <c r="A108" s="1"/>
      <c r="B108" s="1"/>
      <c r="C108" s="2" t="s">
        <v>140</v>
      </c>
      <c r="D108" s="1"/>
      <c r="E108" s="1"/>
      <c r="F108" s="1"/>
      <c r="G108" s="1"/>
      <c r="H108" s="6"/>
    </row>
    <row r="109" spans="1:8" x14ac:dyDescent="0.2">
      <c r="A109" s="1"/>
      <c r="B109" s="1"/>
      <c r="C109" s="2" t="s">
        <v>119</v>
      </c>
      <c r="D109" s="1"/>
      <c r="E109" s="1" t="s">
        <v>120</v>
      </c>
      <c r="F109" s="13">
        <v>0</v>
      </c>
      <c r="G109" s="14">
        <v>0</v>
      </c>
      <c r="H109" s="6"/>
    </row>
    <row r="110" spans="1:8" x14ac:dyDescent="0.2">
      <c r="A110" s="1"/>
      <c r="B110" s="1"/>
      <c r="C110" s="11"/>
      <c r="D110" s="1"/>
      <c r="E110" s="1"/>
      <c r="F110" s="12"/>
      <c r="G110" s="12"/>
      <c r="H110" s="6"/>
    </row>
    <row r="111" spans="1:8" x14ac:dyDescent="0.2">
      <c r="A111" s="1"/>
      <c r="B111" s="1"/>
      <c r="C111" s="2" t="s">
        <v>141</v>
      </c>
      <c r="D111" s="1"/>
      <c r="E111" s="1"/>
      <c r="F111" s="1"/>
      <c r="G111" s="1"/>
      <c r="H111" s="6"/>
    </row>
    <row r="112" spans="1:8" x14ac:dyDescent="0.2">
      <c r="A112" s="1"/>
      <c r="B112" s="1"/>
      <c r="C112" s="2" t="s">
        <v>142</v>
      </c>
      <c r="D112" s="1"/>
      <c r="E112" s="1"/>
      <c r="F112" s="1"/>
      <c r="G112" s="1"/>
      <c r="H112" s="6"/>
    </row>
    <row r="113" spans="1:15" x14ac:dyDescent="0.2">
      <c r="A113" s="1"/>
      <c r="B113" s="1"/>
      <c r="C113" s="2" t="s">
        <v>119</v>
      </c>
      <c r="D113" s="1"/>
      <c r="E113" s="1" t="s">
        <v>120</v>
      </c>
      <c r="F113" s="13">
        <v>0</v>
      </c>
      <c r="G113" s="14">
        <v>0</v>
      </c>
      <c r="H113" s="6"/>
    </row>
    <row r="114" spans="1:15" x14ac:dyDescent="0.2">
      <c r="A114" s="1"/>
      <c r="B114" s="1"/>
      <c r="C114" s="11"/>
      <c r="D114" s="1"/>
      <c r="E114" s="1"/>
      <c r="F114" s="12"/>
      <c r="G114" s="12"/>
      <c r="H114" s="6"/>
    </row>
    <row r="115" spans="1:15" x14ac:dyDescent="0.2">
      <c r="A115" s="1"/>
      <c r="B115" s="1"/>
      <c r="C115" s="11"/>
      <c r="D115" s="1"/>
      <c r="E115" s="1"/>
      <c r="F115" s="12"/>
      <c r="G115" s="12"/>
      <c r="H115" s="6"/>
    </row>
    <row r="116" spans="1:15" ht="25.5" x14ac:dyDescent="0.2">
      <c r="A116" s="1"/>
      <c r="B116" s="1"/>
      <c r="C116" s="2" t="s">
        <v>143</v>
      </c>
      <c r="D116" s="1"/>
      <c r="E116" s="1"/>
      <c r="F116" s="12"/>
      <c r="G116" s="12"/>
      <c r="H116" s="6"/>
    </row>
    <row r="117" spans="1:15" x14ac:dyDescent="0.2">
      <c r="A117" s="1"/>
      <c r="B117" s="1"/>
      <c r="C117" s="2" t="s">
        <v>119</v>
      </c>
      <c r="D117" s="1"/>
      <c r="E117" s="1" t="s">
        <v>120</v>
      </c>
      <c r="F117" s="13">
        <v>0</v>
      </c>
      <c r="G117" s="14">
        <v>0</v>
      </c>
      <c r="H117" s="6"/>
    </row>
    <row r="118" spans="1:15" x14ac:dyDescent="0.2">
      <c r="A118" s="1"/>
      <c r="B118" s="1"/>
      <c r="C118" s="11"/>
      <c r="D118" s="1"/>
      <c r="E118" s="1"/>
      <c r="F118" s="12"/>
      <c r="G118" s="12"/>
      <c r="H118" s="6"/>
    </row>
    <row r="119" spans="1:15" x14ac:dyDescent="0.2">
      <c r="A119" s="1"/>
      <c r="B119" s="4"/>
      <c r="C119" s="4"/>
      <c r="D119" s="2"/>
      <c r="E119" s="1"/>
      <c r="F119" s="4"/>
      <c r="G119" s="8"/>
      <c r="H119" s="6"/>
    </row>
    <row r="120" spans="1:15" x14ac:dyDescent="0.2">
      <c r="A120" s="8"/>
      <c r="B120" s="4"/>
      <c r="C120" s="4" t="s">
        <v>1114</v>
      </c>
      <c r="D120" s="4"/>
      <c r="E120" s="8"/>
      <c r="F120" s="6">
        <v>4699.3015036799998</v>
      </c>
      <c r="G120" s="7">
        <v>1.5874114000000002E-2</v>
      </c>
      <c r="H120" s="6"/>
    </row>
    <row r="121" spans="1:15" x14ac:dyDescent="0.2">
      <c r="A121" s="11"/>
      <c r="B121" s="11"/>
      <c r="C121" s="2" t="s">
        <v>145</v>
      </c>
      <c r="D121" s="15"/>
      <c r="E121" s="15"/>
      <c r="F121" s="9">
        <v>296035.50902658002</v>
      </c>
      <c r="G121" s="10">
        <v>0.99997232400000025</v>
      </c>
      <c r="H121" s="6"/>
    </row>
    <row r="122" spans="1:15" ht="14.1" customHeight="1" x14ac:dyDescent="0.2">
      <c r="A122" s="16"/>
      <c r="B122" s="16"/>
      <c r="C122" s="16"/>
      <c r="D122" s="17"/>
      <c r="E122" s="17"/>
      <c r="F122" s="17"/>
      <c r="G122" s="17"/>
    </row>
    <row r="123" spans="1:15" s="103" customFormat="1" ht="17.100000000000001" customHeight="1" x14ac:dyDescent="0.2">
      <c r="A123" s="161"/>
      <c r="B123" s="299" t="s">
        <v>942</v>
      </c>
      <c r="C123" s="299"/>
      <c r="D123" s="299"/>
      <c r="E123" s="299"/>
      <c r="F123" s="299"/>
      <c r="G123" s="162"/>
      <c r="H123"/>
      <c r="I123"/>
      <c r="J123"/>
      <c r="K123"/>
      <c r="L123"/>
      <c r="M123"/>
      <c r="N123"/>
      <c r="O123"/>
    </row>
    <row r="124" spans="1:15" ht="17.100000000000001" customHeight="1" x14ac:dyDescent="0.2">
      <c r="A124" s="18"/>
      <c r="B124" s="267" t="s">
        <v>624</v>
      </c>
      <c r="C124" s="267"/>
      <c r="D124" s="267"/>
      <c r="E124" s="267"/>
      <c r="F124" s="267"/>
      <c r="G124" s="20"/>
    </row>
    <row r="125" spans="1:15" ht="17.100000000000001" customHeight="1" x14ac:dyDescent="0.2">
      <c r="A125" s="18"/>
      <c r="B125" s="267" t="s">
        <v>146</v>
      </c>
      <c r="C125" s="267"/>
      <c r="D125" s="267"/>
      <c r="E125" s="267"/>
      <c r="F125" s="267"/>
      <c r="G125" s="20"/>
    </row>
    <row r="126" spans="1:15" ht="14.1" customHeight="1" x14ac:dyDescent="0.2">
      <c r="A126" s="18"/>
      <c r="B126" s="18"/>
      <c r="C126" s="18"/>
      <c r="D126" s="20"/>
      <c r="E126" s="20"/>
      <c r="F126" s="20"/>
      <c r="G126" s="20"/>
    </row>
    <row r="127" spans="1:15" ht="14.1" customHeight="1" x14ac:dyDescent="0.2">
      <c r="A127" s="18"/>
      <c r="B127" s="265" t="s">
        <v>147</v>
      </c>
      <c r="C127" s="266"/>
      <c r="D127" s="12" t="s">
        <v>120</v>
      </c>
      <c r="E127" s="21"/>
      <c r="F127" s="20"/>
      <c r="G127" s="20"/>
      <c r="I127" s="103"/>
    </row>
    <row r="128" spans="1:15" ht="29.1" customHeight="1" x14ac:dyDescent="0.2">
      <c r="A128" s="18"/>
      <c r="B128" s="272" t="s">
        <v>148</v>
      </c>
      <c r="C128" s="273"/>
      <c r="D128" s="2" t="s">
        <v>149</v>
      </c>
      <c r="E128" s="21"/>
      <c r="F128" s="20"/>
      <c r="G128" s="20"/>
    </row>
    <row r="129" spans="1:15" ht="17.100000000000001" customHeight="1" x14ac:dyDescent="0.2">
      <c r="A129" s="18"/>
      <c r="B129" s="272" t="s">
        <v>150</v>
      </c>
      <c r="C129" s="273"/>
      <c r="D129" s="2" t="s">
        <v>149</v>
      </c>
      <c r="E129" s="21"/>
      <c r="F129" s="20"/>
      <c r="G129" s="20"/>
    </row>
    <row r="130" spans="1:15" ht="17.100000000000001" customHeight="1" x14ac:dyDescent="0.2">
      <c r="A130" s="18"/>
      <c r="B130" s="272" t="s">
        <v>151</v>
      </c>
      <c r="C130" s="273"/>
      <c r="D130" s="12" t="s">
        <v>120</v>
      </c>
      <c r="E130" s="21"/>
      <c r="F130" s="20"/>
      <c r="G130" s="20"/>
    </row>
    <row r="131" spans="1:15" ht="24" customHeight="1" x14ac:dyDescent="0.2">
      <c r="A131" s="22"/>
      <c r="B131" s="23" t="s">
        <v>120</v>
      </c>
      <c r="C131" s="23" t="s">
        <v>152</v>
      </c>
      <c r="D131" s="23" t="s">
        <v>153</v>
      </c>
      <c r="E131" s="22"/>
      <c r="F131" s="22"/>
      <c r="G131" s="22"/>
    </row>
    <row r="132" spans="1:15" ht="18" customHeight="1" x14ac:dyDescent="0.2">
      <c r="A132" s="22"/>
      <c r="B132" s="23" t="s">
        <v>154</v>
      </c>
      <c r="C132" s="23" t="s">
        <v>155</v>
      </c>
      <c r="D132" s="23" t="s">
        <v>156</v>
      </c>
      <c r="E132" s="22"/>
      <c r="F132" s="22"/>
      <c r="G132" s="22"/>
    </row>
    <row r="133" spans="1:15" ht="17.100000000000001" customHeight="1" x14ac:dyDescent="0.2">
      <c r="A133" s="22"/>
      <c r="B133" s="4" t="s">
        <v>157</v>
      </c>
      <c r="C133" s="24">
        <v>14.7531</v>
      </c>
      <c r="D133" s="24">
        <v>14.381600000000001</v>
      </c>
      <c r="E133" s="22"/>
      <c r="F133" s="19"/>
      <c r="G133" s="25"/>
    </row>
    <row r="134" spans="1:15" ht="17.100000000000001" customHeight="1" x14ac:dyDescent="0.2">
      <c r="A134" s="22"/>
      <c r="B134" s="4" t="s">
        <v>1120</v>
      </c>
      <c r="C134" s="24">
        <v>13.7447</v>
      </c>
      <c r="D134" s="24">
        <v>13.398400000000001</v>
      </c>
      <c r="E134" s="22"/>
      <c r="F134" s="19"/>
      <c r="G134" s="25"/>
    </row>
    <row r="135" spans="1:15" ht="17.100000000000001" customHeight="1" x14ac:dyDescent="0.2">
      <c r="A135" s="22"/>
      <c r="B135" s="4" t="s">
        <v>158</v>
      </c>
      <c r="C135" s="24">
        <v>14.3345</v>
      </c>
      <c r="D135" s="24">
        <v>13.957100000000001</v>
      </c>
      <c r="E135" s="22"/>
      <c r="F135" s="19"/>
      <c r="G135" s="25"/>
    </row>
    <row r="136" spans="1:15" ht="17.100000000000001" customHeight="1" x14ac:dyDescent="0.2">
      <c r="A136" s="22"/>
      <c r="B136" s="4" t="s">
        <v>1121</v>
      </c>
      <c r="C136" s="24">
        <v>13.3559</v>
      </c>
      <c r="D136" s="24">
        <v>13.004300000000001</v>
      </c>
      <c r="E136" s="22"/>
      <c r="F136" s="19"/>
      <c r="G136" s="25"/>
    </row>
    <row r="137" spans="1:15" ht="14.1" customHeight="1" x14ac:dyDescent="0.2">
      <c r="A137" s="22"/>
      <c r="B137" s="22"/>
      <c r="C137" s="22"/>
      <c r="D137" s="22"/>
      <c r="E137" s="22"/>
      <c r="F137" s="22"/>
      <c r="G137" s="22"/>
      <c r="J137" s="170"/>
      <c r="K137" s="170"/>
      <c r="L137" s="170"/>
      <c r="M137" s="170"/>
      <c r="N137" s="170"/>
      <c r="O137" s="170"/>
    </row>
    <row r="138" spans="1:15" ht="17.100000000000001" customHeight="1" x14ac:dyDescent="0.2">
      <c r="A138" s="22"/>
      <c r="B138" s="272" t="s">
        <v>1122</v>
      </c>
      <c r="C138" s="273"/>
      <c r="D138" s="2" t="s">
        <v>149</v>
      </c>
      <c r="E138" s="22"/>
      <c r="F138" s="22"/>
      <c r="G138" s="22"/>
    </row>
    <row r="139" spans="1:15" ht="14.1" customHeight="1" x14ac:dyDescent="0.2">
      <c r="A139" s="22"/>
      <c r="B139" s="19"/>
      <c r="C139" s="19"/>
      <c r="D139" s="22"/>
      <c r="E139" s="22"/>
      <c r="F139" s="22"/>
      <c r="G139" s="22"/>
    </row>
    <row r="140" spans="1:15" ht="29.1" customHeight="1" x14ac:dyDescent="0.2">
      <c r="A140" s="22"/>
      <c r="B140" s="272" t="s">
        <v>160</v>
      </c>
      <c r="C140" s="273"/>
      <c r="D140" s="2" t="s">
        <v>149</v>
      </c>
      <c r="E140" s="22"/>
      <c r="F140" s="22"/>
      <c r="G140" s="22"/>
    </row>
    <row r="141" spans="1:15" ht="29.1" customHeight="1" x14ac:dyDescent="0.2">
      <c r="A141" s="22"/>
      <c r="B141" s="272" t="s">
        <v>161</v>
      </c>
      <c r="C141" s="273"/>
      <c r="D141" s="2" t="s">
        <v>149</v>
      </c>
      <c r="E141" s="22"/>
      <c r="F141" s="22"/>
      <c r="G141" s="22"/>
    </row>
    <row r="142" spans="1:15" s="103" customFormat="1" ht="17.100000000000001" hidden="1" customHeight="1" x14ac:dyDescent="0.2">
      <c r="A142" s="158"/>
      <c r="B142" s="300" t="s">
        <v>1109</v>
      </c>
      <c r="C142" s="301"/>
      <c r="D142" s="159">
        <v>0</v>
      </c>
      <c r="E142" s="160"/>
      <c r="F142" s="158"/>
      <c r="G142" s="158"/>
      <c r="I142"/>
      <c r="J142"/>
      <c r="K142"/>
      <c r="L142"/>
      <c r="M142"/>
      <c r="N142"/>
      <c r="O142"/>
    </row>
    <row r="143" spans="1:15" s="103" customFormat="1" ht="17.100000000000001" hidden="1" customHeight="1" x14ac:dyDescent="0.2">
      <c r="A143" s="158"/>
      <c r="B143" s="300" t="s">
        <v>1110</v>
      </c>
      <c r="C143" s="301"/>
      <c r="D143" s="159">
        <v>0</v>
      </c>
      <c r="E143" s="160"/>
      <c r="F143" s="158"/>
      <c r="G143" s="158"/>
      <c r="I143"/>
      <c r="J143"/>
      <c r="K143"/>
      <c r="L143"/>
      <c r="M143"/>
      <c r="N143"/>
      <c r="O143"/>
    </row>
    <row r="144" spans="1:15" ht="17.100000000000001" customHeight="1" x14ac:dyDescent="0.2">
      <c r="A144" s="22"/>
      <c r="B144" s="272" t="s">
        <v>162</v>
      </c>
      <c r="C144" s="273"/>
      <c r="D144" s="27">
        <v>0.62687845995071512</v>
      </c>
      <c r="E144" s="22"/>
      <c r="F144" s="19"/>
      <c r="G144" s="25"/>
    </row>
    <row r="145" spans="1:9" ht="17.100000000000001" customHeight="1" x14ac:dyDescent="0.2">
      <c r="A145" s="22"/>
      <c r="B145" s="272" t="s">
        <v>163</v>
      </c>
      <c r="C145" s="273"/>
      <c r="D145" s="2" t="s">
        <v>149</v>
      </c>
      <c r="E145" s="22"/>
      <c r="F145" s="22"/>
      <c r="G145" s="22"/>
    </row>
    <row r="149" spans="1:9" x14ac:dyDescent="0.2">
      <c r="I149" s="103"/>
    </row>
    <row r="150" spans="1:9" x14ac:dyDescent="0.2">
      <c r="I150" s="103"/>
    </row>
  </sheetData>
  <mergeCells count="18">
    <mergeCell ref="A1:H1"/>
    <mergeCell ref="A2:H2"/>
    <mergeCell ref="A3:H3"/>
    <mergeCell ref="B144:C144"/>
    <mergeCell ref="B145:C145"/>
    <mergeCell ref="B128:C128"/>
    <mergeCell ref="B129:C129"/>
    <mergeCell ref="B130:C130"/>
    <mergeCell ref="B138:C138"/>
    <mergeCell ref="B140:C140"/>
    <mergeCell ref="B141:C141"/>
    <mergeCell ref="B142:C142"/>
    <mergeCell ref="B143:C143"/>
    <mergeCell ref="J2:N2"/>
    <mergeCell ref="B127:C127"/>
    <mergeCell ref="B124:F124"/>
    <mergeCell ref="B125:F125"/>
    <mergeCell ref="B123:F12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O117"/>
  <sheetViews>
    <sheetView showGridLines="0" workbookViewId="0">
      <selection sqref="A1:H1"/>
    </sheetView>
  </sheetViews>
  <sheetFormatPr defaultRowHeight="12.75" x14ac:dyDescent="0.2"/>
  <cols>
    <col min="1" max="1" width="6.85546875" customWidth="1"/>
    <col min="2" max="2" width="20.5703125" customWidth="1"/>
    <col min="3" max="3" width="34.28515625" customWidth="1"/>
    <col min="4" max="4" width="17.85546875" customWidth="1"/>
    <col min="5" max="6" width="19.140625" customWidth="1"/>
    <col min="7" max="7" width="16.42578125" customWidth="1"/>
  </cols>
  <sheetData>
    <row r="1" spans="1:14" ht="18" customHeight="1" x14ac:dyDescent="0.2">
      <c r="A1" s="268" t="s">
        <v>0</v>
      </c>
      <c r="B1" s="268"/>
      <c r="C1" s="268"/>
      <c r="D1" s="268"/>
      <c r="E1" s="268"/>
      <c r="F1" s="268"/>
      <c r="G1" s="268"/>
      <c r="H1" s="268"/>
    </row>
    <row r="2" spans="1:14" ht="17.100000000000001" customHeight="1" x14ac:dyDescent="0.2">
      <c r="A2" s="269" t="s">
        <v>780</v>
      </c>
      <c r="B2" s="270"/>
      <c r="C2" s="270"/>
      <c r="D2" s="270"/>
      <c r="E2" s="270"/>
      <c r="F2" s="270"/>
      <c r="G2" s="270"/>
      <c r="H2" s="271"/>
      <c r="J2" s="264" t="s">
        <v>1142</v>
      </c>
      <c r="K2" s="264"/>
      <c r="L2" s="264"/>
      <c r="M2" s="264"/>
      <c r="N2" s="264"/>
    </row>
    <row r="3" spans="1:14" ht="21" customHeight="1" x14ac:dyDescent="0.2">
      <c r="A3" s="268" t="s">
        <v>1130</v>
      </c>
      <c r="B3" s="268"/>
      <c r="C3" s="268"/>
      <c r="D3" s="268"/>
      <c r="E3" s="268"/>
      <c r="F3" s="268"/>
      <c r="G3" s="268"/>
      <c r="H3" s="268"/>
    </row>
    <row r="4" spans="1:14" s="166" customFormat="1" ht="30" x14ac:dyDescent="0.2">
      <c r="A4" s="165" t="s">
        <v>2</v>
      </c>
      <c r="B4" s="165" t="s">
        <v>3</v>
      </c>
      <c r="C4" s="165" t="s">
        <v>4</v>
      </c>
      <c r="D4" s="165" t="s">
        <v>5</v>
      </c>
      <c r="E4" s="165" t="s">
        <v>6</v>
      </c>
      <c r="F4" s="165" t="s">
        <v>7</v>
      </c>
      <c r="G4" s="165" t="s">
        <v>8</v>
      </c>
      <c r="H4" s="163" t="s">
        <v>844</v>
      </c>
    </row>
    <row r="5" spans="1:14" ht="14.1" customHeight="1" x14ac:dyDescent="0.2">
      <c r="A5" s="1"/>
      <c r="B5" s="1"/>
      <c r="C5" s="2" t="s">
        <v>9</v>
      </c>
      <c r="D5" s="1"/>
      <c r="E5" s="1"/>
      <c r="F5" s="1"/>
      <c r="G5" s="1"/>
      <c r="H5" s="6"/>
    </row>
    <row r="6" spans="1:14" ht="24" customHeight="1" x14ac:dyDescent="0.2">
      <c r="A6" s="1"/>
      <c r="B6" s="1"/>
      <c r="C6" s="2" t="s">
        <v>10</v>
      </c>
      <c r="D6" s="1"/>
      <c r="E6" s="1"/>
      <c r="F6" s="1"/>
      <c r="G6" s="1"/>
      <c r="H6" s="6"/>
    </row>
    <row r="7" spans="1:14" x14ac:dyDescent="0.2">
      <c r="A7" s="3">
        <v>1</v>
      </c>
      <c r="B7" s="4" t="s">
        <v>374</v>
      </c>
      <c r="C7" s="4" t="s">
        <v>375</v>
      </c>
      <c r="D7" s="4" t="s">
        <v>19</v>
      </c>
      <c r="E7" s="5">
        <v>687121</v>
      </c>
      <c r="F7" s="6">
        <v>9543.7671295</v>
      </c>
      <c r="G7" s="7">
        <v>0.18602589</v>
      </c>
      <c r="H7" s="6"/>
    </row>
    <row r="8" spans="1:14" x14ac:dyDescent="0.2">
      <c r="A8" s="3">
        <v>2</v>
      </c>
      <c r="B8" s="4" t="s">
        <v>17</v>
      </c>
      <c r="C8" s="4" t="s">
        <v>18</v>
      </c>
      <c r="D8" s="4" t="s">
        <v>19</v>
      </c>
      <c r="E8" s="5">
        <v>1264216</v>
      </c>
      <c r="F8" s="6">
        <v>9517.6501559999997</v>
      </c>
      <c r="G8" s="7">
        <v>0.185516822</v>
      </c>
      <c r="H8" s="6"/>
    </row>
    <row r="9" spans="1:14" x14ac:dyDescent="0.2">
      <c r="A9" s="3">
        <v>3</v>
      </c>
      <c r="B9" s="4" t="s">
        <v>50</v>
      </c>
      <c r="C9" s="4" t="s">
        <v>51</v>
      </c>
      <c r="D9" s="4" t="s">
        <v>19</v>
      </c>
      <c r="E9" s="5">
        <v>1015396</v>
      </c>
      <c r="F9" s="6">
        <v>4753.0686759999999</v>
      </c>
      <c r="G9" s="7">
        <v>9.2646207999999994E-2</v>
      </c>
      <c r="H9" s="6"/>
    </row>
    <row r="10" spans="1:14" x14ac:dyDescent="0.2">
      <c r="A10" s="3">
        <v>4</v>
      </c>
      <c r="B10" s="4" t="s">
        <v>319</v>
      </c>
      <c r="C10" s="4" t="s">
        <v>320</v>
      </c>
      <c r="D10" s="4" t="s">
        <v>19</v>
      </c>
      <c r="E10" s="5">
        <v>611153</v>
      </c>
      <c r="F10" s="6">
        <v>4187.6203560000004</v>
      </c>
      <c r="G10" s="7">
        <v>8.1624560999999998E-2</v>
      </c>
      <c r="H10" s="6"/>
    </row>
    <row r="11" spans="1:14" ht="25.5" x14ac:dyDescent="0.2">
      <c r="A11" s="3">
        <v>5</v>
      </c>
      <c r="B11" s="4" t="s">
        <v>408</v>
      </c>
      <c r="C11" s="4" t="s">
        <v>409</v>
      </c>
      <c r="D11" s="4" t="s">
        <v>85</v>
      </c>
      <c r="E11" s="5">
        <v>158410</v>
      </c>
      <c r="F11" s="6">
        <v>3654.1226750000001</v>
      </c>
      <c r="G11" s="7">
        <v>7.1225693000000007E-2</v>
      </c>
      <c r="H11" s="6"/>
    </row>
    <row r="12" spans="1:14" x14ac:dyDescent="0.2">
      <c r="A12" s="3">
        <v>6</v>
      </c>
      <c r="B12" s="4" t="s">
        <v>447</v>
      </c>
      <c r="C12" s="4" t="s">
        <v>448</v>
      </c>
      <c r="D12" s="4" t="s">
        <v>85</v>
      </c>
      <c r="E12" s="5">
        <v>35505</v>
      </c>
      <c r="F12" s="6">
        <v>2159.4673575000002</v>
      </c>
      <c r="G12" s="7">
        <v>4.2092062E-2</v>
      </c>
      <c r="H12" s="6"/>
    </row>
    <row r="13" spans="1:14" x14ac:dyDescent="0.2">
      <c r="A13" s="3">
        <v>7</v>
      </c>
      <c r="B13" s="4" t="s">
        <v>429</v>
      </c>
      <c r="C13" s="4" t="s">
        <v>430</v>
      </c>
      <c r="D13" s="4" t="s">
        <v>19</v>
      </c>
      <c r="E13" s="5">
        <v>176451</v>
      </c>
      <c r="F13" s="6">
        <v>1642.4941335000001</v>
      </c>
      <c r="G13" s="7">
        <v>3.2015285999999997E-2</v>
      </c>
      <c r="H13" s="6"/>
    </row>
    <row r="14" spans="1:14" x14ac:dyDescent="0.2">
      <c r="A14" s="3">
        <v>8</v>
      </c>
      <c r="B14" s="4" t="s">
        <v>324</v>
      </c>
      <c r="C14" s="4" t="s">
        <v>325</v>
      </c>
      <c r="D14" s="4" t="s">
        <v>19</v>
      </c>
      <c r="E14" s="5">
        <v>1482958</v>
      </c>
      <c r="F14" s="6">
        <v>1486.665395</v>
      </c>
      <c r="G14" s="7">
        <v>2.8977892000000002E-2</v>
      </c>
      <c r="H14" s="6"/>
    </row>
    <row r="15" spans="1:14" ht="25.5" x14ac:dyDescent="0.2">
      <c r="A15" s="3">
        <v>9</v>
      </c>
      <c r="B15" s="4" t="s">
        <v>83</v>
      </c>
      <c r="C15" s="4" t="s">
        <v>84</v>
      </c>
      <c r="D15" s="4" t="s">
        <v>85</v>
      </c>
      <c r="E15" s="5">
        <v>212440</v>
      </c>
      <c r="F15" s="6">
        <v>1443.74224</v>
      </c>
      <c r="G15" s="7">
        <v>2.8141238999999998E-2</v>
      </c>
      <c r="H15" s="6"/>
      <c r="J15" s="169" t="s">
        <v>1165</v>
      </c>
    </row>
    <row r="16" spans="1:14" x14ac:dyDescent="0.2">
      <c r="A16" s="3">
        <v>10</v>
      </c>
      <c r="B16" s="4" t="s">
        <v>380</v>
      </c>
      <c r="C16" s="4" t="s">
        <v>381</v>
      </c>
      <c r="D16" s="4" t="s">
        <v>85</v>
      </c>
      <c r="E16" s="5">
        <v>10365</v>
      </c>
      <c r="F16" s="6">
        <v>1340.6090999999999</v>
      </c>
      <c r="G16" s="7">
        <v>2.6130981000000001E-2</v>
      </c>
      <c r="H16" s="6"/>
    </row>
    <row r="17" spans="1:8" x14ac:dyDescent="0.2">
      <c r="A17" s="3">
        <v>11</v>
      </c>
      <c r="B17" s="4" t="s">
        <v>431</v>
      </c>
      <c r="C17" s="4" t="s">
        <v>432</v>
      </c>
      <c r="D17" s="4" t="s">
        <v>19</v>
      </c>
      <c r="E17" s="5">
        <v>66913</v>
      </c>
      <c r="F17" s="6">
        <v>1235.7827405</v>
      </c>
      <c r="G17" s="7">
        <v>2.4087719E-2</v>
      </c>
      <c r="H17" s="6"/>
    </row>
    <row r="18" spans="1:8" x14ac:dyDescent="0.2">
      <c r="A18" s="3">
        <v>12</v>
      </c>
      <c r="B18" s="4" t="s">
        <v>179</v>
      </c>
      <c r="C18" s="4" t="s">
        <v>180</v>
      </c>
      <c r="D18" s="4" t="s">
        <v>181</v>
      </c>
      <c r="E18" s="5">
        <v>80558</v>
      </c>
      <c r="F18" s="6">
        <v>1188.63329</v>
      </c>
      <c r="G18" s="7">
        <v>2.3168688E-2</v>
      </c>
      <c r="H18" s="6"/>
    </row>
    <row r="19" spans="1:8" x14ac:dyDescent="0.2">
      <c r="A19" s="3">
        <v>13</v>
      </c>
      <c r="B19" s="4" t="s">
        <v>592</v>
      </c>
      <c r="C19" s="4" t="s">
        <v>593</v>
      </c>
      <c r="D19" s="4" t="s">
        <v>323</v>
      </c>
      <c r="E19" s="5">
        <v>187384</v>
      </c>
      <c r="F19" s="6">
        <v>1122.336468</v>
      </c>
      <c r="G19" s="7">
        <v>2.1876439000000001E-2</v>
      </c>
      <c r="H19" s="6"/>
    </row>
    <row r="20" spans="1:8" x14ac:dyDescent="0.2">
      <c r="A20" s="3">
        <v>14</v>
      </c>
      <c r="B20" s="4" t="s">
        <v>443</v>
      </c>
      <c r="C20" s="4" t="s">
        <v>444</v>
      </c>
      <c r="D20" s="4" t="s">
        <v>19</v>
      </c>
      <c r="E20" s="5">
        <v>512544</v>
      </c>
      <c r="F20" s="6">
        <v>1050.7152000000001</v>
      </c>
      <c r="G20" s="7">
        <v>2.0480406999999999E-2</v>
      </c>
      <c r="H20" s="6"/>
    </row>
    <row r="21" spans="1:8" x14ac:dyDescent="0.2">
      <c r="A21" s="3">
        <v>15</v>
      </c>
      <c r="B21" s="4" t="s">
        <v>204</v>
      </c>
      <c r="C21" s="4" t="s">
        <v>205</v>
      </c>
      <c r="D21" s="4" t="s">
        <v>85</v>
      </c>
      <c r="E21" s="5">
        <v>130895</v>
      </c>
      <c r="F21" s="6">
        <v>1018.3631</v>
      </c>
      <c r="G21" s="7">
        <v>1.9849803999999999E-2</v>
      </c>
      <c r="H21" s="6"/>
    </row>
    <row r="22" spans="1:8" x14ac:dyDescent="0.2">
      <c r="A22" s="3">
        <v>16</v>
      </c>
      <c r="B22" s="4" t="s">
        <v>342</v>
      </c>
      <c r="C22" s="4" t="s">
        <v>343</v>
      </c>
      <c r="D22" s="4" t="s">
        <v>85</v>
      </c>
      <c r="E22" s="5">
        <v>84541</v>
      </c>
      <c r="F22" s="6">
        <v>994.37124200000005</v>
      </c>
      <c r="G22" s="7">
        <v>1.9382157000000001E-2</v>
      </c>
      <c r="H22" s="6"/>
    </row>
    <row r="23" spans="1:8" x14ac:dyDescent="0.2">
      <c r="A23" s="3">
        <v>17</v>
      </c>
      <c r="B23" s="4" t="s">
        <v>303</v>
      </c>
      <c r="C23" s="4" t="s">
        <v>304</v>
      </c>
      <c r="D23" s="4" t="s">
        <v>19</v>
      </c>
      <c r="E23" s="5">
        <v>511983</v>
      </c>
      <c r="F23" s="6">
        <v>967.39187849999996</v>
      </c>
      <c r="G23" s="7">
        <v>1.8856279E-2</v>
      </c>
      <c r="H23" s="6"/>
    </row>
    <row r="24" spans="1:8" x14ac:dyDescent="0.2">
      <c r="A24" s="3">
        <v>18</v>
      </c>
      <c r="B24" s="4" t="s">
        <v>187</v>
      </c>
      <c r="C24" s="4" t="s">
        <v>188</v>
      </c>
      <c r="D24" s="4" t="s">
        <v>181</v>
      </c>
      <c r="E24" s="5">
        <v>56202</v>
      </c>
      <c r="F24" s="6">
        <v>770.89473299999997</v>
      </c>
      <c r="G24" s="7">
        <v>1.5026182000000001E-2</v>
      </c>
      <c r="H24" s="6"/>
    </row>
    <row r="25" spans="1:8" x14ac:dyDescent="0.2">
      <c r="A25" s="3">
        <v>19</v>
      </c>
      <c r="B25" s="4" t="s">
        <v>412</v>
      </c>
      <c r="C25" s="4" t="s">
        <v>413</v>
      </c>
      <c r="D25" s="4" t="s">
        <v>323</v>
      </c>
      <c r="E25" s="5">
        <v>54246</v>
      </c>
      <c r="F25" s="6">
        <v>636.92940899999996</v>
      </c>
      <c r="G25" s="7">
        <v>1.2414947000000001E-2</v>
      </c>
      <c r="H25" s="6"/>
    </row>
    <row r="26" spans="1:8" x14ac:dyDescent="0.2">
      <c r="A26" s="3">
        <v>20</v>
      </c>
      <c r="B26" s="4" t="s">
        <v>690</v>
      </c>
      <c r="C26" s="4" t="s">
        <v>691</v>
      </c>
      <c r="D26" s="4" t="s">
        <v>19</v>
      </c>
      <c r="E26" s="5">
        <v>155429</v>
      </c>
      <c r="F26" s="6">
        <v>506.62082550000002</v>
      </c>
      <c r="G26" s="7">
        <v>9.8749879999999995E-3</v>
      </c>
      <c r="H26" s="6"/>
    </row>
    <row r="27" spans="1:8" ht="25.5" x14ac:dyDescent="0.2">
      <c r="A27" s="3">
        <v>21</v>
      </c>
      <c r="B27" s="4" t="s">
        <v>715</v>
      </c>
      <c r="C27" s="4" t="s">
        <v>716</v>
      </c>
      <c r="D27" s="4" t="s">
        <v>323</v>
      </c>
      <c r="E27" s="5">
        <v>19277</v>
      </c>
      <c r="F27" s="6">
        <v>244.01790449999999</v>
      </c>
      <c r="G27" s="7">
        <v>4.7563659999999997E-3</v>
      </c>
      <c r="H27" s="6"/>
    </row>
    <row r="28" spans="1:8" x14ac:dyDescent="0.2">
      <c r="A28" s="1"/>
      <c r="B28" s="1"/>
      <c r="C28" s="2" t="s">
        <v>119</v>
      </c>
      <c r="D28" s="1"/>
      <c r="E28" s="1" t="s">
        <v>120</v>
      </c>
      <c r="F28" s="9">
        <v>49465.264009500002</v>
      </c>
      <c r="G28" s="10">
        <v>0.96417061000000004</v>
      </c>
      <c r="H28" s="6"/>
    </row>
    <row r="29" spans="1:8" x14ac:dyDescent="0.2">
      <c r="A29" s="1"/>
      <c r="B29" s="1"/>
      <c r="C29" s="11"/>
      <c r="D29" s="1"/>
      <c r="E29" s="1"/>
      <c r="F29" s="12"/>
      <c r="G29" s="12"/>
      <c r="H29" s="6"/>
    </row>
    <row r="30" spans="1:8" x14ac:dyDescent="0.2">
      <c r="A30" s="1"/>
      <c r="B30" s="1"/>
      <c r="C30" s="2" t="s">
        <v>121</v>
      </c>
      <c r="D30" s="1"/>
      <c r="E30" s="1"/>
      <c r="F30" s="1"/>
      <c r="G30" s="1"/>
      <c r="H30" s="6"/>
    </row>
    <row r="31" spans="1:8" x14ac:dyDescent="0.2">
      <c r="A31" s="1"/>
      <c r="B31" s="1"/>
      <c r="C31" s="2" t="s">
        <v>119</v>
      </c>
      <c r="D31" s="1"/>
      <c r="E31" s="1" t="s">
        <v>120</v>
      </c>
      <c r="F31" s="13">
        <v>0</v>
      </c>
      <c r="G31" s="14">
        <v>0</v>
      </c>
      <c r="H31" s="6"/>
    </row>
    <row r="32" spans="1:8" x14ac:dyDescent="0.2">
      <c r="A32" s="1"/>
      <c r="B32" s="1"/>
      <c r="C32" s="11"/>
      <c r="D32" s="1"/>
      <c r="E32" s="1"/>
      <c r="F32" s="12"/>
      <c r="G32" s="12"/>
      <c r="H32" s="6"/>
    </row>
    <row r="33" spans="1:8" x14ac:dyDescent="0.2">
      <c r="A33" s="1"/>
      <c r="B33" s="1"/>
      <c r="C33" s="2" t="s">
        <v>122</v>
      </c>
      <c r="D33" s="1"/>
      <c r="E33" s="1"/>
      <c r="F33" s="1"/>
      <c r="G33" s="1"/>
      <c r="H33" s="6"/>
    </row>
    <row r="34" spans="1:8" x14ac:dyDescent="0.2">
      <c r="A34" s="1"/>
      <c r="B34" s="1"/>
      <c r="C34" s="2" t="s">
        <v>119</v>
      </c>
      <c r="D34" s="1"/>
      <c r="E34" s="1" t="s">
        <v>120</v>
      </c>
      <c r="F34" s="13">
        <v>0</v>
      </c>
      <c r="G34" s="14">
        <v>0</v>
      </c>
      <c r="H34" s="6"/>
    </row>
    <row r="35" spans="1:8" x14ac:dyDescent="0.2">
      <c r="A35" s="1"/>
      <c r="B35" s="1"/>
      <c r="C35" s="11"/>
      <c r="D35" s="1"/>
      <c r="E35" s="1"/>
      <c r="F35" s="12"/>
      <c r="G35" s="12"/>
      <c r="H35" s="6"/>
    </row>
    <row r="36" spans="1:8" x14ac:dyDescent="0.2">
      <c r="A36" s="1"/>
      <c r="B36" s="1"/>
      <c r="C36" s="2" t="s">
        <v>123</v>
      </c>
      <c r="D36" s="1"/>
      <c r="E36" s="1"/>
      <c r="F36" s="1"/>
      <c r="G36" s="1"/>
      <c r="H36" s="6"/>
    </row>
    <row r="37" spans="1:8" x14ac:dyDescent="0.2">
      <c r="A37" s="1"/>
      <c r="B37" s="1"/>
      <c r="C37" s="2" t="s">
        <v>119</v>
      </c>
      <c r="D37" s="1"/>
      <c r="E37" s="1" t="s">
        <v>120</v>
      </c>
      <c r="F37" s="13">
        <v>0</v>
      </c>
      <c r="G37" s="14">
        <v>0</v>
      </c>
      <c r="H37" s="6"/>
    </row>
    <row r="38" spans="1:8" x14ac:dyDescent="0.2">
      <c r="A38" s="1"/>
      <c r="B38" s="1"/>
      <c r="C38" s="11"/>
      <c r="D38" s="1"/>
      <c r="E38" s="1"/>
      <c r="F38" s="12"/>
      <c r="G38" s="12"/>
      <c r="H38" s="6"/>
    </row>
    <row r="39" spans="1:8" x14ac:dyDescent="0.2">
      <c r="A39" s="1"/>
      <c r="B39" s="1"/>
      <c r="C39" s="2" t="s">
        <v>124</v>
      </c>
      <c r="D39" s="1"/>
      <c r="E39" s="1"/>
      <c r="F39" s="12"/>
      <c r="G39" s="12"/>
      <c r="H39" s="6"/>
    </row>
    <row r="40" spans="1:8" x14ac:dyDescent="0.2">
      <c r="A40" s="1"/>
      <c r="B40" s="1"/>
      <c r="C40" s="2" t="s">
        <v>119</v>
      </c>
      <c r="D40" s="1"/>
      <c r="E40" s="1" t="s">
        <v>120</v>
      </c>
      <c r="F40" s="13">
        <v>0</v>
      </c>
      <c r="G40" s="14">
        <v>0</v>
      </c>
      <c r="H40" s="6"/>
    </row>
    <row r="41" spans="1:8" x14ac:dyDescent="0.2">
      <c r="A41" s="1"/>
      <c r="B41" s="1"/>
      <c r="C41" s="11"/>
      <c r="D41" s="1"/>
      <c r="E41" s="1"/>
      <c r="F41" s="12"/>
      <c r="G41" s="12"/>
      <c r="H41" s="6"/>
    </row>
    <row r="42" spans="1:8" x14ac:dyDescent="0.2">
      <c r="A42" s="1"/>
      <c r="B42" s="1"/>
      <c r="C42" s="2" t="s">
        <v>125</v>
      </c>
      <c r="D42" s="1"/>
      <c r="E42" s="1"/>
      <c r="F42" s="12"/>
      <c r="G42" s="12"/>
      <c r="H42" s="6"/>
    </row>
    <row r="43" spans="1:8" x14ac:dyDescent="0.2">
      <c r="A43" s="1"/>
      <c r="B43" s="1"/>
      <c r="C43" s="2" t="s">
        <v>119</v>
      </c>
      <c r="D43" s="1"/>
      <c r="E43" s="1" t="s">
        <v>120</v>
      </c>
      <c r="F43" s="13">
        <v>0</v>
      </c>
      <c r="G43" s="14">
        <v>0</v>
      </c>
      <c r="H43" s="6"/>
    </row>
    <row r="44" spans="1:8" x14ac:dyDescent="0.2">
      <c r="A44" s="1"/>
      <c r="B44" s="1"/>
      <c r="C44" s="11"/>
      <c r="D44" s="1"/>
      <c r="E44" s="1"/>
      <c r="F44" s="12"/>
      <c r="G44" s="12"/>
      <c r="H44" s="6"/>
    </row>
    <row r="45" spans="1:8" x14ac:dyDescent="0.2">
      <c r="A45" s="1"/>
      <c r="B45" s="1"/>
      <c r="C45" s="2" t="s">
        <v>126</v>
      </c>
      <c r="D45" s="1"/>
      <c r="E45" s="1"/>
      <c r="F45" s="9">
        <v>49465.264009500002</v>
      </c>
      <c r="G45" s="10">
        <v>0.96417061000000004</v>
      </c>
      <c r="H45" s="6"/>
    </row>
    <row r="46" spans="1:8" x14ac:dyDescent="0.2">
      <c r="A46" s="1"/>
      <c r="B46" s="1"/>
      <c r="C46" s="11"/>
      <c r="D46" s="1"/>
      <c r="E46" s="1"/>
      <c r="F46" s="12"/>
      <c r="G46" s="12"/>
      <c r="H46" s="6"/>
    </row>
    <row r="47" spans="1:8" x14ac:dyDescent="0.2">
      <c r="A47" s="1"/>
      <c r="B47" s="1"/>
      <c r="C47" s="2" t="s">
        <v>127</v>
      </c>
      <c r="D47" s="1"/>
      <c r="E47" s="1"/>
      <c r="F47" s="12"/>
      <c r="G47" s="12"/>
      <c r="H47" s="6"/>
    </row>
    <row r="48" spans="1:8" ht="25.5" x14ac:dyDescent="0.2">
      <c r="A48" s="1"/>
      <c r="B48" s="1"/>
      <c r="C48" s="2" t="s">
        <v>10</v>
      </c>
      <c r="D48" s="1"/>
      <c r="E48" s="1"/>
      <c r="F48" s="12"/>
      <c r="G48" s="12"/>
      <c r="H48" s="6"/>
    </row>
    <row r="49" spans="1:8" x14ac:dyDescent="0.2">
      <c r="A49" s="1"/>
      <c r="B49" s="1"/>
      <c r="C49" s="2" t="s">
        <v>119</v>
      </c>
      <c r="D49" s="1"/>
      <c r="E49" s="1" t="s">
        <v>120</v>
      </c>
      <c r="F49" s="13">
        <v>0</v>
      </c>
      <c r="G49" s="14">
        <v>0</v>
      </c>
      <c r="H49" s="6"/>
    </row>
    <row r="50" spans="1:8" x14ac:dyDescent="0.2">
      <c r="A50" s="1"/>
      <c r="B50" s="1"/>
      <c r="C50" s="11"/>
      <c r="D50" s="1"/>
      <c r="E50" s="1"/>
      <c r="F50" s="12"/>
      <c r="G50" s="12"/>
      <c r="H50" s="6"/>
    </row>
    <row r="51" spans="1:8" x14ac:dyDescent="0.2">
      <c r="A51" s="1"/>
      <c r="B51" s="1"/>
      <c r="C51" s="2" t="s">
        <v>128</v>
      </c>
      <c r="D51" s="1"/>
      <c r="E51" s="1"/>
      <c r="F51" s="1"/>
      <c r="G51" s="1"/>
      <c r="H51" s="6"/>
    </row>
    <row r="52" spans="1:8" x14ac:dyDescent="0.2">
      <c r="A52" s="1"/>
      <c r="B52" s="1"/>
      <c r="C52" s="2" t="s">
        <v>119</v>
      </c>
      <c r="D52" s="1"/>
      <c r="E52" s="1" t="s">
        <v>120</v>
      </c>
      <c r="F52" s="13">
        <v>0</v>
      </c>
      <c r="G52" s="14">
        <v>0</v>
      </c>
      <c r="H52" s="6"/>
    </row>
    <row r="53" spans="1:8" x14ac:dyDescent="0.2">
      <c r="A53" s="1"/>
      <c r="B53" s="1"/>
      <c r="C53" s="11"/>
      <c r="D53" s="1"/>
      <c r="E53" s="1"/>
      <c r="F53" s="12"/>
      <c r="G53" s="12"/>
      <c r="H53" s="6"/>
    </row>
    <row r="54" spans="1:8" x14ac:dyDescent="0.2">
      <c r="A54" s="1"/>
      <c r="B54" s="1"/>
      <c r="C54" s="2" t="s">
        <v>129</v>
      </c>
      <c r="D54" s="1"/>
      <c r="E54" s="1"/>
      <c r="F54" s="1"/>
      <c r="G54" s="1"/>
      <c r="H54" s="6"/>
    </row>
    <row r="55" spans="1:8" x14ac:dyDescent="0.2">
      <c r="A55" s="1"/>
      <c r="B55" s="1"/>
      <c r="C55" s="2" t="s">
        <v>119</v>
      </c>
      <c r="D55" s="1"/>
      <c r="E55" s="1" t="s">
        <v>120</v>
      </c>
      <c r="F55" s="13">
        <v>0</v>
      </c>
      <c r="G55" s="14">
        <v>0</v>
      </c>
      <c r="H55" s="6"/>
    </row>
    <row r="56" spans="1:8" x14ac:dyDescent="0.2">
      <c r="A56" s="1"/>
      <c r="B56" s="1"/>
      <c r="C56" s="11"/>
      <c r="D56" s="1"/>
      <c r="E56" s="1"/>
      <c r="F56" s="12"/>
      <c r="G56" s="12"/>
      <c r="H56" s="6"/>
    </row>
    <row r="57" spans="1:8" x14ac:dyDescent="0.2">
      <c r="A57" s="1"/>
      <c r="B57" s="1"/>
      <c r="C57" s="2" t="s">
        <v>130</v>
      </c>
      <c r="D57" s="1"/>
      <c r="E57" s="1"/>
      <c r="F57" s="12"/>
      <c r="G57" s="12"/>
      <c r="H57" s="6"/>
    </row>
    <row r="58" spans="1:8" x14ac:dyDescent="0.2">
      <c r="A58" s="1"/>
      <c r="B58" s="1"/>
      <c r="C58" s="2" t="s">
        <v>119</v>
      </c>
      <c r="D58" s="1"/>
      <c r="E58" s="1" t="s">
        <v>120</v>
      </c>
      <c r="F58" s="13">
        <v>0</v>
      </c>
      <c r="G58" s="14">
        <v>0</v>
      </c>
      <c r="H58" s="6"/>
    </row>
    <row r="59" spans="1:8" x14ac:dyDescent="0.2">
      <c r="A59" s="1"/>
      <c r="B59" s="1"/>
      <c r="C59" s="11"/>
      <c r="D59" s="1"/>
      <c r="E59" s="1"/>
      <c r="F59" s="12"/>
      <c r="G59" s="12"/>
      <c r="H59" s="6"/>
    </row>
    <row r="60" spans="1:8" x14ac:dyDescent="0.2">
      <c r="A60" s="1"/>
      <c r="B60" s="1"/>
      <c r="C60" s="2" t="s">
        <v>131</v>
      </c>
      <c r="D60" s="1"/>
      <c r="E60" s="1"/>
      <c r="F60" s="9">
        <v>0</v>
      </c>
      <c r="G60" s="10">
        <v>0</v>
      </c>
      <c r="H60" s="6"/>
    </row>
    <row r="61" spans="1:8" x14ac:dyDescent="0.2">
      <c r="A61" s="1"/>
      <c r="B61" s="1"/>
      <c r="C61" s="11"/>
      <c r="D61" s="1"/>
      <c r="E61" s="1"/>
      <c r="F61" s="12"/>
      <c r="G61" s="12"/>
      <c r="H61" s="6"/>
    </row>
    <row r="62" spans="1:8" x14ac:dyDescent="0.2">
      <c r="A62" s="1"/>
      <c r="B62" s="1"/>
      <c r="C62" s="2" t="s">
        <v>132</v>
      </c>
      <c r="D62" s="1"/>
      <c r="E62" s="1"/>
      <c r="F62" s="12"/>
      <c r="G62" s="12"/>
      <c r="H62" s="6"/>
    </row>
    <row r="63" spans="1:8" x14ac:dyDescent="0.2">
      <c r="A63" s="1"/>
      <c r="B63" s="1"/>
      <c r="C63" s="2" t="s">
        <v>133</v>
      </c>
      <c r="D63" s="1"/>
      <c r="E63" s="1"/>
      <c r="F63" s="12"/>
      <c r="G63" s="12"/>
      <c r="H63" s="6"/>
    </row>
    <row r="64" spans="1:8" x14ac:dyDescent="0.2">
      <c r="A64" s="1"/>
      <c r="B64" s="1"/>
      <c r="C64" s="2" t="s">
        <v>119</v>
      </c>
      <c r="D64" s="1"/>
      <c r="E64" s="1" t="s">
        <v>120</v>
      </c>
      <c r="F64" s="13">
        <v>0</v>
      </c>
      <c r="G64" s="14">
        <v>0</v>
      </c>
      <c r="H64" s="6"/>
    </row>
    <row r="65" spans="1:8" x14ac:dyDescent="0.2">
      <c r="A65" s="1"/>
      <c r="B65" s="1"/>
      <c r="C65" s="11"/>
      <c r="D65" s="1"/>
      <c r="E65" s="1"/>
      <c r="F65" s="12"/>
      <c r="G65" s="12"/>
      <c r="H65" s="6"/>
    </row>
    <row r="66" spans="1:8" x14ac:dyDescent="0.2">
      <c r="A66" s="1"/>
      <c r="B66" s="1"/>
      <c r="C66" s="2" t="s">
        <v>134</v>
      </c>
      <c r="D66" s="1"/>
      <c r="E66" s="1"/>
      <c r="F66" s="12"/>
      <c r="G66" s="12"/>
      <c r="H66" s="6"/>
    </row>
    <row r="67" spans="1:8" x14ac:dyDescent="0.2">
      <c r="A67" s="1"/>
      <c r="B67" s="1"/>
      <c r="C67" s="2" t="s">
        <v>119</v>
      </c>
      <c r="D67" s="1"/>
      <c r="E67" s="1" t="s">
        <v>120</v>
      </c>
      <c r="F67" s="13">
        <v>0</v>
      </c>
      <c r="G67" s="14">
        <v>0</v>
      </c>
      <c r="H67" s="6"/>
    </row>
    <row r="68" spans="1:8" x14ac:dyDescent="0.2">
      <c r="A68" s="1"/>
      <c r="B68" s="1"/>
      <c r="C68" s="11"/>
      <c r="D68" s="1"/>
      <c r="E68" s="1"/>
      <c r="F68" s="12"/>
      <c r="G68" s="12"/>
      <c r="H68" s="6"/>
    </row>
    <row r="69" spans="1:8" x14ac:dyDescent="0.2">
      <c r="A69" s="1"/>
      <c r="B69" s="1"/>
      <c r="C69" s="2" t="s">
        <v>135</v>
      </c>
      <c r="D69" s="1"/>
      <c r="E69" s="1"/>
      <c r="F69" s="12"/>
      <c r="G69" s="12"/>
      <c r="H69" s="6"/>
    </row>
    <row r="70" spans="1:8" x14ac:dyDescent="0.2">
      <c r="A70" s="1"/>
      <c r="B70" s="1"/>
      <c r="C70" s="2" t="s">
        <v>119</v>
      </c>
      <c r="D70" s="1"/>
      <c r="E70" s="1" t="s">
        <v>120</v>
      </c>
      <c r="F70" s="13">
        <v>0</v>
      </c>
      <c r="G70" s="14">
        <v>0</v>
      </c>
      <c r="H70" s="6"/>
    </row>
    <row r="71" spans="1:8" x14ac:dyDescent="0.2">
      <c r="A71" s="1"/>
      <c r="B71" s="1"/>
      <c r="C71" s="11"/>
      <c r="D71" s="1"/>
      <c r="E71" s="1"/>
      <c r="F71" s="12"/>
      <c r="G71" s="12"/>
      <c r="H71" s="6"/>
    </row>
    <row r="72" spans="1:8" x14ac:dyDescent="0.2">
      <c r="A72" s="1"/>
      <c r="B72" s="1"/>
      <c r="C72" s="2" t="s">
        <v>136</v>
      </c>
      <c r="D72" s="1"/>
      <c r="E72" s="1"/>
      <c r="F72" s="12"/>
      <c r="G72" s="12"/>
      <c r="H72" s="6"/>
    </row>
    <row r="73" spans="1:8" x14ac:dyDescent="0.2">
      <c r="A73" s="3">
        <v>1</v>
      </c>
      <c r="B73" s="4"/>
      <c r="C73" s="4" t="s">
        <v>137</v>
      </c>
      <c r="D73" s="4"/>
      <c r="E73" s="8"/>
      <c r="F73" s="6">
        <v>138.49737239999999</v>
      </c>
      <c r="G73" s="7">
        <v>2.6995729999999998E-3</v>
      </c>
      <c r="H73" s="6">
        <v>4.1713246754849944</v>
      </c>
    </row>
    <row r="74" spans="1:8" x14ac:dyDescent="0.2">
      <c r="A74" s="1"/>
      <c r="B74" s="1"/>
      <c r="C74" s="2" t="s">
        <v>119</v>
      </c>
      <c r="D74" s="1"/>
      <c r="E74" s="1" t="s">
        <v>120</v>
      </c>
      <c r="F74" s="9">
        <v>138.49737239999999</v>
      </c>
      <c r="G74" s="10">
        <v>2.6995729999999998E-3</v>
      </c>
      <c r="H74" s="6"/>
    </row>
    <row r="75" spans="1:8" x14ac:dyDescent="0.2">
      <c r="A75" s="1"/>
      <c r="B75" s="1"/>
      <c r="C75" s="11"/>
      <c r="D75" s="1"/>
      <c r="E75" s="1"/>
      <c r="F75" s="12"/>
      <c r="G75" s="12"/>
      <c r="H75" s="6"/>
    </row>
    <row r="76" spans="1:8" x14ac:dyDescent="0.2">
      <c r="A76" s="1"/>
      <c r="B76" s="1"/>
      <c r="C76" s="2" t="s">
        <v>138</v>
      </c>
      <c r="D76" s="1"/>
      <c r="E76" s="1"/>
      <c r="F76" s="9">
        <v>138.49737239999999</v>
      </c>
      <c r="G76" s="10">
        <v>2.6995729999999998E-3</v>
      </c>
      <c r="H76" s="6"/>
    </row>
    <row r="77" spans="1:8" x14ac:dyDescent="0.2">
      <c r="A77" s="1"/>
      <c r="B77" s="1"/>
      <c r="C77" s="12"/>
      <c r="D77" s="1"/>
      <c r="E77" s="1"/>
      <c r="F77" s="1"/>
      <c r="G77" s="1"/>
      <c r="H77" s="6"/>
    </row>
    <row r="78" spans="1:8" x14ac:dyDescent="0.2">
      <c r="A78" s="1"/>
      <c r="B78" s="1"/>
      <c r="C78" s="2" t="s">
        <v>139</v>
      </c>
      <c r="D78" s="1"/>
      <c r="E78" s="1"/>
      <c r="F78" s="1"/>
      <c r="G78" s="1"/>
      <c r="H78" s="6"/>
    </row>
    <row r="79" spans="1:8" x14ac:dyDescent="0.2">
      <c r="A79" s="1"/>
      <c r="B79" s="1"/>
      <c r="C79" s="2" t="s">
        <v>140</v>
      </c>
      <c r="D79" s="1"/>
      <c r="E79" s="1"/>
      <c r="F79" s="1"/>
      <c r="G79" s="1"/>
      <c r="H79" s="6"/>
    </row>
    <row r="80" spans="1:8" x14ac:dyDescent="0.2">
      <c r="A80" s="1"/>
      <c r="B80" s="1"/>
      <c r="C80" s="2" t="s">
        <v>119</v>
      </c>
      <c r="D80" s="1"/>
      <c r="E80" s="1" t="s">
        <v>120</v>
      </c>
      <c r="F80" s="13">
        <v>0</v>
      </c>
      <c r="G80" s="14">
        <v>0</v>
      </c>
      <c r="H80" s="6"/>
    </row>
    <row r="81" spans="1:8" x14ac:dyDescent="0.2">
      <c r="A81" s="1"/>
      <c r="B81" s="1"/>
      <c r="C81" s="11"/>
      <c r="D81" s="1"/>
      <c r="E81" s="1"/>
      <c r="F81" s="12"/>
      <c r="G81" s="12"/>
      <c r="H81" s="6"/>
    </row>
    <row r="82" spans="1:8" x14ac:dyDescent="0.2">
      <c r="A82" s="1"/>
      <c r="B82" s="1"/>
      <c r="C82" s="2" t="s">
        <v>141</v>
      </c>
      <c r="D82" s="1"/>
      <c r="E82" s="1"/>
      <c r="F82" s="1"/>
      <c r="G82" s="1"/>
      <c r="H82" s="6"/>
    </row>
    <row r="83" spans="1:8" x14ac:dyDescent="0.2">
      <c r="A83" s="1"/>
      <c r="B83" s="1"/>
      <c r="C83" s="2" t="s">
        <v>142</v>
      </c>
      <c r="D83" s="1"/>
      <c r="E83" s="1"/>
      <c r="F83" s="1"/>
      <c r="G83" s="1"/>
      <c r="H83" s="6"/>
    </row>
    <row r="84" spans="1:8" x14ac:dyDescent="0.2">
      <c r="A84" s="1"/>
      <c r="B84" s="1"/>
      <c r="C84" s="2" t="s">
        <v>119</v>
      </c>
      <c r="D84" s="1"/>
      <c r="E84" s="1" t="s">
        <v>120</v>
      </c>
      <c r="F84" s="13">
        <v>0</v>
      </c>
      <c r="G84" s="14">
        <v>0</v>
      </c>
      <c r="H84" s="6"/>
    </row>
    <row r="85" spans="1:8" x14ac:dyDescent="0.2">
      <c r="A85" s="1"/>
      <c r="B85" s="1"/>
      <c r="C85" s="11"/>
      <c r="D85" s="1"/>
      <c r="E85" s="1"/>
      <c r="F85" s="12"/>
      <c r="G85" s="12"/>
      <c r="H85" s="6"/>
    </row>
    <row r="86" spans="1:8" x14ac:dyDescent="0.2">
      <c r="A86" s="1"/>
      <c r="B86" s="1"/>
      <c r="C86" s="11"/>
      <c r="D86" s="1"/>
      <c r="E86" s="1"/>
      <c r="F86" s="12"/>
      <c r="G86" s="12"/>
      <c r="H86" s="6"/>
    </row>
    <row r="87" spans="1:8" ht="25.5" x14ac:dyDescent="0.2">
      <c r="A87" s="1"/>
      <c r="B87" s="1"/>
      <c r="C87" s="2" t="s">
        <v>143</v>
      </c>
      <c r="D87" s="1"/>
      <c r="E87" s="1"/>
      <c r="F87" s="12"/>
      <c r="G87" s="12"/>
      <c r="H87" s="6"/>
    </row>
    <row r="88" spans="1:8" x14ac:dyDescent="0.2">
      <c r="A88" s="1"/>
      <c r="B88" s="1"/>
      <c r="C88" s="2" t="s">
        <v>119</v>
      </c>
      <c r="D88" s="1"/>
      <c r="E88" s="1" t="s">
        <v>120</v>
      </c>
      <c r="F88" s="13">
        <v>0</v>
      </c>
      <c r="G88" s="14">
        <v>0</v>
      </c>
      <c r="H88" s="6"/>
    </row>
    <row r="89" spans="1:8" x14ac:dyDescent="0.2">
      <c r="A89" s="1"/>
      <c r="B89" s="1"/>
      <c r="C89" s="11"/>
      <c r="D89" s="1"/>
      <c r="E89" s="1"/>
      <c r="F89" s="12"/>
      <c r="G89" s="12"/>
      <c r="H89" s="6"/>
    </row>
    <row r="90" spans="1:8" x14ac:dyDescent="0.2">
      <c r="A90" s="1"/>
      <c r="B90" s="4"/>
      <c r="C90" s="4"/>
      <c r="D90" s="2"/>
      <c r="E90" s="1"/>
      <c r="F90" s="4"/>
      <c r="G90" s="8"/>
      <c r="H90" s="6"/>
    </row>
    <row r="91" spans="1:8" x14ac:dyDescent="0.2">
      <c r="A91" s="8"/>
      <c r="B91" s="4"/>
      <c r="C91" s="4" t="s">
        <v>144</v>
      </c>
      <c r="D91" s="4"/>
      <c r="E91" s="8"/>
      <c r="F91" s="6">
        <v>1699.67335753</v>
      </c>
      <c r="G91" s="7">
        <v>3.3129815999999999E-2</v>
      </c>
      <c r="H91" s="6"/>
    </row>
    <row r="92" spans="1:8" x14ac:dyDescent="0.2">
      <c r="A92" s="11"/>
      <c r="B92" s="11"/>
      <c r="C92" s="2" t="s">
        <v>145</v>
      </c>
      <c r="D92" s="15"/>
      <c r="E92" s="15"/>
      <c r="F92" s="9">
        <v>51303.434739429998</v>
      </c>
      <c r="G92" s="10">
        <v>0.99999999900000003</v>
      </c>
      <c r="H92" s="6"/>
    </row>
    <row r="93" spans="1:8" ht="14.1" customHeight="1" x14ac:dyDescent="0.2">
      <c r="A93" s="18"/>
      <c r="B93" s="18"/>
      <c r="C93" s="18"/>
      <c r="D93" s="20"/>
      <c r="E93" s="20"/>
      <c r="F93" s="20"/>
      <c r="G93" s="20"/>
    </row>
    <row r="94" spans="1:8" ht="14.1" customHeight="1" x14ac:dyDescent="0.2">
      <c r="A94" s="18"/>
      <c r="B94" s="265" t="s">
        <v>147</v>
      </c>
      <c r="C94" s="266"/>
      <c r="D94" s="12" t="s">
        <v>120</v>
      </c>
      <c r="E94" s="21"/>
      <c r="F94" s="20"/>
      <c r="G94" s="20"/>
    </row>
    <row r="95" spans="1:8" ht="29.1" customHeight="1" x14ac:dyDescent="0.2">
      <c r="A95" s="18"/>
      <c r="B95" s="272" t="s">
        <v>148</v>
      </c>
      <c r="C95" s="273"/>
      <c r="D95" s="2" t="s">
        <v>149</v>
      </c>
      <c r="E95" s="21"/>
      <c r="F95" s="20"/>
      <c r="G95" s="20"/>
    </row>
    <row r="96" spans="1:8" ht="17.100000000000001" customHeight="1" x14ac:dyDescent="0.2">
      <c r="A96" s="18"/>
      <c r="B96" s="272" t="s">
        <v>150</v>
      </c>
      <c r="C96" s="273"/>
      <c r="D96" s="2" t="s">
        <v>149</v>
      </c>
      <c r="E96" s="21"/>
      <c r="F96" s="20"/>
      <c r="G96" s="20"/>
    </row>
    <row r="97" spans="1:7" ht="17.100000000000001" customHeight="1" x14ac:dyDescent="0.2">
      <c r="A97" s="18"/>
      <c r="B97" s="272" t="s">
        <v>151</v>
      </c>
      <c r="C97" s="273"/>
      <c r="D97" s="12" t="s">
        <v>120</v>
      </c>
      <c r="E97" s="21"/>
      <c r="F97" s="20"/>
      <c r="G97" s="20"/>
    </row>
    <row r="98" spans="1:7" ht="24" customHeight="1" x14ac:dyDescent="0.2">
      <c r="A98" s="22"/>
      <c r="B98" s="23" t="s">
        <v>120</v>
      </c>
      <c r="C98" s="23" t="s">
        <v>152</v>
      </c>
      <c r="D98" s="23" t="s">
        <v>153</v>
      </c>
      <c r="E98" s="22"/>
      <c r="F98" s="22"/>
      <c r="G98" s="22"/>
    </row>
    <row r="99" spans="1:7" ht="18" customHeight="1" x14ac:dyDescent="0.2">
      <c r="A99" s="22"/>
      <c r="B99" s="23" t="s">
        <v>154</v>
      </c>
      <c r="C99" s="23" t="s">
        <v>155</v>
      </c>
      <c r="D99" s="23" t="s">
        <v>156</v>
      </c>
      <c r="E99" s="22"/>
      <c r="F99" s="22"/>
      <c r="G99" s="22"/>
    </row>
    <row r="100" spans="1:7" ht="17.100000000000001" customHeight="1" x14ac:dyDescent="0.2">
      <c r="A100" s="22"/>
      <c r="B100" s="4" t="s">
        <v>157</v>
      </c>
      <c r="C100" s="24">
        <v>61.352699999999999</v>
      </c>
      <c r="D100" s="24">
        <v>60.283999999999999</v>
      </c>
      <c r="E100" s="22"/>
      <c r="F100" s="19"/>
      <c r="G100" s="25"/>
    </row>
    <row r="101" spans="1:7" ht="17.100000000000001" customHeight="1" x14ac:dyDescent="0.2">
      <c r="A101" s="22"/>
      <c r="B101" s="4" t="s">
        <v>1120</v>
      </c>
      <c r="C101" s="24">
        <v>24.095500000000001</v>
      </c>
      <c r="D101" s="24">
        <v>23.675799999999999</v>
      </c>
      <c r="E101" s="22"/>
      <c r="F101" s="19"/>
      <c r="G101" s="25"/>
    </row>
    <row r="102" spans="1:7" ht="29.1" customHeight="1" x14ac:dyDescent="0.2">
      <c r="A102" s="22"/>
      <c r="B102" s="4" t="s">
        <v>781</v>
      </c>
      <c r="C102" s="24">
        <v>63.081600000000002</v>
      </c>
      <c r="D102" s="24">
        <v>61.982900000000001</v>
      </c>
      <c r="E102" s="22"/>
      <c r="F102" s="19"/>
      <c r="G102" s="25"/>
    </row>
    <row r="103" spans="1:7" ht="29.1" customHeight="1" x14ac:dyDescent="0.2">
      <c r="A103" s="22"/>
      <c r="B103" s="4" t="s">
        <v>1129</v>
      </c>
      <c r="C103" s="24">
        <v>24.519400000000001</v>
      </c>
      <c r="D103" s="24">
        <v>24.092199999999998</v>
      </c>
      <c r="E103" s="22"/>
      <c r="F103" s="19"/>
      <c r="G103" s="25"/>
    </row>
    <row r="104" spans="1:7" ht="17.100000000000001" customHeight="1" x14ac:dyDescent="0.2">
      <c r="A104" s="22"/>
      <c r="B104" s="4" t="s">
        <v>158</v>
      </c>
      <c r="C104" s="24">
        <v>56.917700000000004</v>
      </c>
      <c r="D104" s="24">
        <v>55.861899999999999</v>
      </c>
      <c r="E104" s="22"/>
      <c r="F104" s="19"/>
      <c r="G104" s="25"/>
    </row>
    <row r="105" spans="1:7" ht="17.100000000000001" customHeight="1" x14ac:dyDescent="0.2">
      <c r="A105" s="22"/>
      <c r="B105" s="4" t="s">
        <v>1121</v>
      </c>
      <c r="C105" s="24">
        <v>21.990400000000001</v>
      </c>
      <c r="D105" s="24">
        <v>21.5825</v>
      </c>
      <c r="E105" s="22"/>
      <c r="F105" s="19"/>
      <c r="G105" s="25"/>
    </row>
    <row r="106" spans="1:7" ht="14.1" customHeight="1" x14ac:dyDescent="0.2">
      <c r="A106" s="22"/>
      <c r="B106" s="22"/>
      <c r="C106" s="22"/>
      <c r="D106" s="22"/>
      <c r="E106" s="22"/>
      <c r="F106" s="22"/>
      <c r="G106" s="22"/>
    </row>
    <row r="107" spans="1:7" ht="17.100000000000001" customHeight="1" x14ac:dyDescent="0.2">
      <c r="A107" s="22"/>
      <c r="B107" s="272" t="s">
        <v>1122</v>
      </c>
      <c r="C107" s="273"/>
      <c r="D107" s="2" t="s">
        <v>149</v>
      </c>
      <c r="E107" s="22"/>
      <c r="F107" s="22"/>
      <c r="G107" s="22"/>
    </row>
    <row r="108" spans="1:7" ht="14.1" customHeight="1" x14ac:dyDescent="0.2">
      <c r="A108" s="22"/>
      <c r="B108" s="19"/>
      <c r="C108" s="25"/>
      <c r="D108" s="22"/>
      <c r="E108" s="22"/>
      <c r="F108" s="19"/>
      <c r="G108" s="25"/>
    </row>
    <row r="109" spans="1:7" ht="14.1" customHeight="1" x14ac:dyDescent="0.2">
      <c r="A109" s="22"/>
      <c r="B109" s="19"/>
      <c r="C109" s="19"/>
      <c r="D109" s="22"/>
      <c r="E109" s="22"/>
      <c r="F109" s="22"/>
      <c r="G109" s="22"/>
    </row>
    <row r="110" spans="1:7" ht="29.1" customHeight="1" x14ac:dyDescent="0.2">
      <c r="A110" s="22"/>
      <c r="B110" s="272" t="s">
        <v>160</v>
      </c>
      <c r="C110" s="273"/>
      <c r="D110" s="2" t="s">
        <v>149</v>
      </c>
      <c r="E110" s="22"/>
      <c r="F110" s="22"/>
      <c r="G110" s="22"/>
    </row>
    <row r="111" spans="1:7" ht="29.1" customHeight="1" x14ac:dyDescent="0.2">
      <c r="A111" s="22"/>
      <c r="B111" s="272" t="s">
        <v>161</v>
      </c>
      <c r="C111" s="273"/>
      <c r="D111" s="2" t="s">
        <v>149</v>
      </c>
      <c r="E111" s="22"/>
      <c r="F111" s="22"/>
      <c r="G111" s="22"/>
    </row>
    <row r="112" spans="1:7" ht="17.100000000000001" customHeight="1" x14ac:dyDescent="0.2">
      <c r="A112" s="22"/>
      <c r="B112" s="272" t="s">
        <v>162</v>
      </c>
      <c r="C112" s="273"/>
      <c r="D112" s="27">
        <v>0.38914500000000002</v>
      </c>
      <c r="E112" s="22"/>
      <c r="F112" s="19"/>
      <c r="G112" s="25"/>
    </row>
    <row r="113" spans="1:15" ht="17.100000000000001" customHeight="1" x14ac:dyDescent="0.2">
      <c r="A113" s="22"/>
      <c r="B113" s="272" t="s">
        <v>163</v>
      </c>
      <c r="C113" s="273"/>
      <c r="D113" s="2" t="s">
        <v>149</v>
      </c>
      <c r="E113" s="22"/>
      <c r="F113" s="22"/>
      <c r="G113" s="22"/>
    </row>
    <row r="117" spans="1:15" x14ac:dyDescent="0.2">
      <c r="J117" s="170"/>
      <c r="K117" s="170"/>
      <c r="L117" s="170"/>
      <c r="M117" s="170"/>
      <c r="N117" s="170"/>
      <c r="O117" s="170"/>
    </row>
  </sheetData>
  <mergeCells count="13">
    <mergeCell ref="B112:C112"/>
    <mergeCell ref="B113:C113"/>
    <mergeCell ref="B95:C95"/>
    <mergeCell ref="B96:C96"/>
    <mergeCell ref="B97:C97"/>
    <mergeCell ref="B107:C107"/>
    <mergeCell ref="B110:C110"/>
    <mergeCell ref="B111:C111"/>
    <mergeCell ref="J2:N2"/>
    <mergeCell ref="B94:C94"/>
    <mergeCell ref="A1:H1"/>
    <mergeCell ref="A2:H2"/>
    <mergeCell ref="A3:H3"/>
  </mergeCell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F22F-7D28-440B-8E3B-3815E8E0FAF1}">
  <dimension ref="A1:O34"/>
  <sheetViews>
    <sheetView workbookViewId="0">
      <selection sqref="A1:H1"/>
    </sheetView>
  </sheetViews>
  <sheetFormatPr defaultRowHeight="15" x14ac:dyDescent="0.25"/>
  <cols>
    <col min="1" max="1" width="5.42578125" style="34" bestFit="1" customWidth="1"/>
    <col min="2" max="2" width="19.7109375" style="34" bestFit="1" customWidth="1"/>
    <col min="3" max="3" width="40.28515625" style="34" bestFit="1" customWidth="1"/>
    <col min="4" max="4" width="15.28515625" style="34" bestFit="1" customWidth="1"/>
    <col min="5" max="5" width="12.42578125" style="34" bestFit="1" customWidth="1"/>
    <col min="6" max="6" width="10.140625" style="34" bestFit="1" customWidth="1"/>
    <col min="7" max="7" width="8.5703125" style="34" bestFit="1" customWidth="1"/>
    <col min="8" max="8" width="8.42578125" style="34" bestFit="1" customWidth="1"/>
    <col min="9" max="9" width="9.140625" style="177"/>
    <col min="10" max="10" width="9.140625" style="178"/>
    <col min="11" max="11" width="10.5703125" style="178" bestFit="1" customWidth="1"/>
    <col min="12" max="15" width="9.140625" style="178"/>
    <col min="16" max="250" width="9.140625" style="34"/>
    <col min="251" max="251" width="5.42578125" style="34" bestFit="1" customWidth="1"/>
    <col min="252" max="252" width="20.42578125" style="34" bestFit="1" customWidth="1"/>
    <col min="253" max="253" width="41.42578125" style="34" customWidth="1"/>
    <col min="254" max="254" width="15.28515625" style="34" bestFit="1" customWidth="1"/>
    <col min="255" max="255" width="16.7109375" style="34" bestFit="1" customWidth="1"/>
    <col min="256" max="256" width="11.28515625" style="34" bestFit="1" customWidth="1"/>
    <col min="257" max="257" width="14" style="34" bestFit="1" customWidth="1"/>
    <col min="258" max="258" width="11.85546875" style="34" bestFit="1" customWidth="1"/>
    <col min="259" max="259" width="14.85546875" style="34" bestFit="1" customWidth="1"/>
    <col min="260" max="260" width="9.7109375" style="34" customWidth="1"/>
    <col min="261" max="261" width="4.85546875" style="34" customWidth="1"/>
    <col min="262" max="506" width="9.140625" style="34"/>
    <col min="507" max="507" width="5.42578125" style="34" bestFit="1" customWidth="1"/>
    <col min="508" max="508" width="20.42578125" style="34" bestFit="1" customWidth="1"/>
    <col min="509" max="509" width="41.42578125" style="34" customWidth="1"/>
    <col min="510" max="510" width="15.28515625" style="34" bestFit="1" customWidth="1"/>
    <col min="511" max="511" width="16.7109375" style="34" bestFit="1" customWidth="1"/>
    <col min="512" max="512" width="11.28515625" style="34" bestFit="1" customWidth="1"/>
    <col min="513" max="513" width="14" style="34" bestFit="1" customWidth="1"/>
    <col min="514" max="514" width="11.85546875" style="34" bestFit="1" customWidth="1"/>
    <col min="515" max="515" width="14.85546875" style="34" bestFit="1" customWidth="1"/>
    <col min="516" max="516" width="9.7109375" style="34" customWidth="1"/>
    <col min="517" max="517" width="4.85546875" style="34" customWidth="1"/>
    <col min="518" max="762" width="9.140625" style="34"/>
    <col min="763" max="763" width="5.42578125" style="34" bestFit="1" customWidth="1"/>
    <col min="764" max="764" width="20.42578125" style="34" bestFit="1" customWidth="1"/>
    <col min="765" max="765" width="41.42578125" style="34" customWidth="1"/>
    <col min="766" max="766" width="15.28515625" style="34" bestFit="1" customWidth="1"/>
    <col min="767" max="767" width="16.7109375" style="34" bestFit="1" customWidth="1"/>
    <col min="768" max="768" width="11.28515625" style="34" bestFit="1" customWidth="1"/>
    <col min="769" max="769" width="14" style="34" bestFit="1" customWidth="1"/>
    <col min="770" max="770" width="11.85546875" style="34" bestFit="1" customWidth="1"/>
    <col min="771" max="771" width="14.85546875" style="34" bestFit="1" customWidth="1"/>
    <col min="772" max="772" width="9.7109375" style="34" customWidth="1"/>
    <col min="773" max="773" width="4.85546875" style="34" customWidth="1"/>
    <col min="774" max="1018" width="9.140625" style="34"/>
    <col min="1019" max="1019" width="5.42578125" style="34" bestFit="1" customWidth="1"/>
    <col min="1020" max="1020" width="20.42578125" style="34" bestFit="1" customWidth="1"/>
    <col min="1021" max="1021" width="41.42578125" style="34" customWidth="1"/>
    <col min="1022" max="1022" width="15.28515625" style="34" bestFit="1" customWidth="1"/>
    <col min="1023" max="1023" width="16.7109375" style="34" bestFit="1" customWidth="1"/>
    <col min="1024" max="1024" width="11.28515625" style="34" bestFit="1" customWidth="1"/>
    <col min="1025" max="1025" width="14" style="34" bestFit="1" customWidth="1"/>
    <col min="1026" max="1026" width="11.85546875" style="34" bestFit="1" customWidth="1"/>
    <col min="1027" max="1027" width="14.85546875" style="34" bestFit="1" customWidth="1"/>
    <col min="1028" max="1028" width="9.7109375" style="34" customWidth="1"/>
    <col min="1029" max="1029" width="4.85546875" style="34" customWidth="1"/>
    <col min="1030" max="1274" width="9.140625" style="34"/>
    <col min="1275" max="1275" width="5.42578125" style="34" bestFit="1" customWidth="1"/>
    <col min="1276" max="1276" width="20.42578125" style="34" bestFit="1" customWidth="1"/>
    <col min="1277" max="1277" width="41.42578125" style="34" customWidth="1"/>
    <col min="1278" max="1278" width="15.28515625" style="34" bestFit="1" customWidth="1"/>
    <col min="1279" max="1279" width="16.7109375" style="34" bestFit="1" customWidth="1"/>
    <col min="1280" max="1280" width="11.28515625" style="34" bestFit="1" customWidth="1"/>
    <col min="1281" max="1281" width="14" style="34" bestFit="1" customWidth="1"/>
    <col min="1282" max="1282" width="11.85546875" style="34" bestFit="1" customWidth="1"/>
    <col min="1283" max="1283" width="14.85546875" style="34" bestFit="1" customWidth="1"/>
    <col min="1284" max="1284" width="9.7109375" style="34" customWidth="1"/>
    <col min="1285" max="1285" width="4.85546875" style="34" customWidth="1"/>
    <col min="1286" max="1530" width="9.140625" style="34"/>
    <col min="1531" max="1531" width="5.42578125" style="34" bestFit="1" customWidth="1"/>
    <col min="1532" max="1532" width="20.42578125" style="34" bestFit="1" customWidth="1"/>
    <col min="1533" max="1533" width="41.42578125" style="34" customWidth="1"/>
    <col min="1534" max="1534" width="15.28515625" style="34" bestFit="1" customWidth="1"/>
    <col min="1535" max="1535" width="16.7109375" style="34" bestFit="1" customWidth="1"/>
    <col min="1536" max="1536" width="11.28515625" style="34" bestFit="1" customWidth="1"/>
    <col min="1537" max="1537" width="14" style="34" bestFit="1" customWidth="1"/>
    <col min="1538" max="1538" width="11.85546875" style="34" bestFit="1" customWidth="1"/>
    <col min="1539" max="1539" width="14.85546875" style="34" bestFit="1" customWidth="1"/>
    <col min="1540" max="1540" width="9.7109375" style="34" customWidth="1"/>
    <col min="1541" max="1541" width="4.85546875" style="34" customWidth="1"/>
    <col min="1542" max="1786" width="9.140625" style="34"/>
    <col min="1787" max="1787" width="5.42578125" style="34" bestFit="1" customWidth="1"/>
    <col min="1788" max="1788" width="20.42578125" style="34" bestFit="1" customWidth="1"/>
    <col min="1789" max="1789" width="41.42578125" style="34" customWidth="1"/>
    <col min="1790" max="1790" width="15.28515625" style="34" bestFit="1" customWidth="1"/>
    <col min="1791" max="1791" width="16.7109375" style="34" bestFit="1" customWidth="1"/>
    <col min="1792" max="1792" width="11.28515625" style="34" bestFit="1" customWidth="1"/>
    <col min="1793" max="1793" width="14" style="34" bestFit="1" customWidth="1"/>
    <col min="1794" max="1794" width="11.85546875" style="34" bestFit="1" customWidth="1"/>
    <col min="1795" max="1795" width="14.85546875" style="34" bestFit="1" customWidth="1"/>
    <col min="1796" max="1796" width="9.7109375" style="34" customWidth="1"/>
    <col min="1797" max="1797" width="4.85546875" style="34" customWidth="1"/>
    <col min="1798" max="2042" width="9.140625" style="34"/>
    <col min="2043" max="2043" width="5.42578125" style="34" bestFit="1" customWidth="1"/>
    <col min="2044" max="2044" width="20.42578125" style="34" bestFit="1" customWidth="1"/>
    <col min="2045" max="2045" width="41.42578125" style="34" customWidth="1"/>
    <col min="2046" max="2046" width="15.28515625" style="34" bestFit="1" customWidth="1"/>
    <col min="2047" max="2047" width="16.7109375" style="34" bestFit="1" customWidth="1"/>
    <col min="2048" max="2048" width="11.28515625" style="34" bestFit="1" customWidth="1"/>
    <col min="2049" max="2049" width="14" style="34" bestFit="1" customWidth="1"/>
    <col min="2050" max="2050" width="11.85546875" style="34" bestFit="1" customWidth="1"/>
    <col min="2051" max="2051" width="14.85546875" style="34" bestFit="1" customWidth="1"/>
    <col min="2052" max="2052" width="9.7109375" style="34" customWidth="1"/>
    <col min="2053" max="2053" width="4.85546875" style="34" customWidth="1"/>
    <col min="2054" max="2298" width="9.140625" style="34"/>
    <col min="2299" max="2299" width="5.42578125" style="34" bestFit="1" customWidth="1"/>
    <col min="2300" max="2300" width="20.42578125" style="34" bestFit="1" customWidth="1"/>
    <col min="2301" max="2301" width="41.42578125" style="34" customWidth="1"/>
    <col min="2302" max="2302" width="15.28515625" style="34" bestFit="1" customWidth="1"/>
    <col min="2303" max="2303" width="16.7109375" style="34" bestFit="1" customWidth="1"/>
    <col min="2304" max="2304" width="11.28515625" style="34" bestFit="1" customWidth="1"/>
    <col min="2305" max="2305" width="14" style="34" bestFit="1" customWidth="1"/>
    <col min="2306" max="2306" width="11.85546875" style="34" bestFit="1" customWidth="1"/>
    <col min="2307" max="2307" width="14.85546875" style="34" bestFit="1" customWidth="1"/>
    <col min="2308" max="2308" width="9.7109375" style="34" customWidth="1"/>
    <col min="2309" max="2309" width="4.85546875" style="34" customWidth="1"/>
    <col min="2310" max="2554" width="9.140625" style="34"/>
    <col min="2555" max="2555" width="5.42578125" style="34" bestFit="1" customWidth="1"/>
    <col min="2556" max="2556" width="20.42578125" style="34" bestFit="1" customWidth="1"/>
    <col min="2557" max="2557" width="41.42578125" style="34" customWidth="1"/>
    <col min="2558" max="2558" width="15.28515625" style="34" bestFit="1" customWidth="1"/>
    <col min="2559" max="2559" width="16.7109375" style="34" bestFit="1" customWidth="1"/>
    <col min="2560" max="2560" width="11.28515625" style="34" bestFit="1" customWidth="1"/>
    <col min="2561" max="2561" width="14" style="34" bestFit="1" customWidth="1"/>
    <col min="2562" max="2562" width="11.85546875" style="34" bestFit="1" customWidth="1"/>
    <col min="2563" max="2563" width="14.85546875" style="34" bestFit="1" customWidth="1"/>
    <col min="2564" max="2564" width="9.7109375" style="34" customWidth="1"/>
    <col min="2565" max="2565" width="4.85546875" style="34" customWidth="1"/>
    <col min="2566" max="2810" width="9.140625" style="34"/>
    <col min="2811" max="2811" width="5.42578125" style="34" bestFit="1" customWidth="1"/>
    <col min="2812" max="2812" width="20.42578125" style="34" bestFit="1" customWidth="1"/>
    <col min="2813" max="2813" width="41.42578125" style="34" customWidth="1"/>
    <col min="2814" max="2814" width="15.28515625" style="34" bestFit="1" customWidth="1"/>
    <col min="2815" max="2815" width="16.7109375" style="34" bestFit="1" customWidth="1"/>
    <col min="2816" max="2816" width="11.28515625" style="34" bestFit="1" customWidth="1"/>
    <col min="2817" max="2817" width="14" style="34" bestFit="1" customWidth="1"/>
    <col min="2818" max="2818" width="11.85546875" style="34" bestFit="1" customWidth="1"/>
    <col min="2819" max="2819" width="14.85546875" style="34" bestFit="1" customWidth="1"/>
    <col min="2820" max="2820" width="9.7109375" style="34" customWidth="1"/>
    <col min="2821" max="2821" width="4.85546875" style="34" customWidth="1"/>
    <col min="2822" max="3066" width="9.140625" style="34"/>
    <col min="3067" max="3067" width="5.42578125" style="34" bestFit="1" customWidth="1"/>
    <col min="3068" max="3068" width="20.42578125" style="34" bestFit="1" customWidth="1"/>
    <col min="3069" max="3069" width="41.42578125" style="34" customWidth="1"/>
    <col min="3070" max="3070" width="15.28515625" style="34" bestFit="1" customWidth="1"/>
    <col min="3071" max="3071" width="16.7109375" style="34" bestFit="1" customWidth="1"/>
    <col min="3072" max="3072" width="11.28515625" style="34" bestFit="1" customWidth="1"/>
    <col min="3073" max="3073" width="14" style="34" bestFit="1" customWidth="1"/>
    <col min="3074" max="3074" width="11.85546875" style="34" bestFit="1" customWidth="1"/>
    <col min="3075" max="3075" width="14.85546875" style="34" bestFit="1" customWidth="1"/>
    <col min="3076" max="3076" width="9.7109375" style="34" customWidth="1"/>
    <col min="3077" max="3077" width="4.85546875" style="34" customWidth="1"/>
    <col min="3078" max="3322" width="9.140625" style="34"/>
    <col min="3323" max="3323" width="5.42578125" style="34" bestFit="1" customWidth="1"/>
    <col min="3324" max="3324" width="20.42578125" style="34" bestFit="1" customWidth="1"/>
    <col min="3325" max="3325" width="41.42578125" style="34" customWidth="1"/>
    <col min="3326" max="3326" width="15.28515625" style="34" bestFit="1" customWidth="1"/>
    <col min="3327" max="3327" width="16.7109375" style="34" bestFit="1" customWidth="1"/>
    <col min="3328" max="3328" width="11.28515625" style="34" bestFit="1" customWidth="1"/>
    <col min="3329" max="3329" width="14" style="34" bestFit="1" customWidth="1"/>
    <col min="3330" max="3330" width="11.85546875" style="34" bestFit="1" customWidth="1"/>
    <col min="3331" max="3331" width="14.85546875" style="34" bestFit="1" customWidth="1"/>
    <col min="3332" max="3332" width="9.7109375" style="34" customWidth="1"/>
    <col min="3333" max="3333" width="4.85546875" style="34" customWidth="1"/>
    <col min="3334" max="3578" width="9.140625" style="34"/>
    <col min="3579" max="3579" width="5.42578125" style="34" bestFit="1" customWidth="1"/>
    <col min="3580" max="3580" width="20.42578125" style="34" bestFit="1" customWidth="1"/>
    <col min="3581" max="3581" width="41.42578125" style="34" customWidth="1"/>
    <col min="3582" max="3582" width="15.28515625" style="34" bestFit="1" customWidth="1"/>
    <col min="3583" max="3583" width="16.7109375" style="34" bestFit="1" customWidth="1"/>
    <col min="3584" max="3584" width="11.28515625" style="34" bestFit="1" customWidth="1"/>
    <col min="3585" max="3585" width="14" style="34" bestFit="1" customWidth="1"/>
    <col min="3586" max="3586" width="11.85546875" style="34" bestFit="1" customWidth="1"/>
    <col min="3587" max="3587" width="14.85546875" style="34" bestFit="1" customWidth="1"/>
    <col min="3588" max="3588" width="9.7109375" style="34" customWidth="1"/>
    <col min="3589" max="3589" width="4.85546875" style="34" customWidth="1"/>
    <col min="3590" max="3834" width="9.140625" style="34"/>
    <col min="3835" max="3835" width="5.42578125" style="34" bestFit="1" customWidth="1"/>
    <col min="3836" max="3836" width="20.42578125" style="34" bestFit="1" customWidth="1"/>
    <col min="3837" max="3837" width="41.42578125" style="34" customWidth="1"/>
    <col min="3838" max="3838" width="15.28515625" style="34" bestFit="1" customWidth="1"/>
    <col min="3839" max="3839" width="16.7109375" style="34" bestFit="1" customWidth="1"/>
    <col min="3840" max="3840" width="11.28515625" style="34" bestFit="1" customWidth="1"/>
    <col min="3841" max="3841" width="14" style="34" bestFit="1" customWidth="1"/>
    <col min="3842" max="3842" width="11.85546875" style="34" bestFit="1" customWidth="1"/>
    <col min="3843" max="3843" width="14.85546875" style="34" bestFit="1" customWidth="1"/>
    <col min="3844" max="3844" width="9.7109375" style="34" customWidth="1"/>
    <col min="3845" max="3845" width="4.85546875" style="34" customWidth="1"/>
    <col min="3846" max="4090" width="9.140625" style="34"/>
    <col min="4091" max="4091" width="5.42578125" style="34" bestFit="1" customWidth="1"/>
    <col min="4092" max="4092" width="20.42578125" style="34" bestFit="1" customWidth="1"/>
    <col min="4093" max="4093" width="41.42578125" style="34" customWidth="1"/>
    <col min="4094" max="4094" width="15.28515625" style="34" bestFit="1" customWidth="1"/>
    <col min="4095" max="4095" width="16.7109375" style="34" bestFit="1" customWidth="1"/>
    <col min="4096" max="4096" width="11.28515625" style="34" bestFit="1" customWidth="1"/>
    <col min="4097" max="4097" width="14" style="34" bestFit="1" customWidth="1"/>
    <col min="4098" max="4098" width="11.85546875" style="34" bestFit="1" customWidth="1"/>
    <col min="4099" max="4099" width="14.85546875" style="34" bestFit="1" customWidth="1"/>
    <col min="4100" max="4100" width="9.7109375" style="34" customWidth="1"/>
    <col min="4101" max="4101" width="4.85546875" style="34" customWidth="1"/>
    <col min="4102" max="4346" width="9.140625" style="34"/>
    <col min="4347" max="4347" width="5.42578125" style="34" bestFit="1" customWidth="1"/>
    <col min="4348" max="4348" width="20.42578125" style="34" bestFit="1" customWidth="1"/>
    <col min="4349" max="4349" width="41.42578125" style="34" customWidth="1"/>
    <col min="4350" max="4350" width="15.28515625" style="34" bestFit="1" customWidth="1"/>
    <col min="4351" max="4351" width="16.7109375" style="34" bestFit="1" customWidth="1"/>
    <col min="4352" max="4352" width="11.28515625" style="34" bestFit="1" customWidth="1"/>
    <col min="4353" max="4353" width="14" style="34" bestFit="1" customWidth="1"/>
    <col min="4354" max="4354" width="11.85546875" style="34" bestFit="1" customWidth="1"/>
    <col min="4355" max="4355" width="14.85546875" style="34" bestFit="1" customWidth="1"/>
    <col min="4356" max="4356" width="9.7109375" style="34" customWidth="1"/>
    <col min="4357" max="4357" width="4.85546875" style="34" customWidth="1"/>
    <col min="4358" max="4602" width="9.140625" style="34"/>
    <col min="4603" max="4603" width="5.42578125" style="34" bestFit="1" customWidth="1"/>
    <col min="4604" max="4604" width="20.42578125" style="34" bestFit="1" customWidth="1"/>
    <col min="4605" max="4605" width="41.42578125" style="34" customWidth="1"/>
    <col min="4606" max="4606" width="15.28515625" style="34" bestFit="1" customWidth="1"/>
    <col min="4607" max="4607" width="16.7109375" style="34" bestFit="1" customWidth="1"/>
    <col min="4608" max="4608" width="11.28515625" style="34" bestFit="1" customWidth="1"/>
    <col min="4609" max="4609" width="14" style="34" bestFit="1" customWidth="1"/>
    <col min="4610" max="4610" width="11.85546875" style="34" bestFit="1" customWidth="1"/>
    <col min="4611" max="4611" width="14.85546875" style="34" bestFit="1" customWidth="1"/>
    <col min="4612" max="4612" width="9.7109375" style="34" customWidth="1"/>
    <col min="4613" max="4613" width="4.85546875" style="34" customWidth="1"/>
    <col min="4614" max="4858" width="9.140625" style="34"/>
    <col min="4859" max="4859" width="5.42578125" style="34" bestFit="1" customWidth="1"/>
    <col min="4860" max="4860" width="20.42578125" style="34" bestFit="1" customWidth="1"/>
    <col min="4861" max="4861" width="41.42578125" style="34" customWidth="1"/>
    <col min="4862" max="4862" width="15.28515625" style="34" bestFit="1" customWidth="1"/>
    <col min="4863" max="4863" width="16.7109375" style="34" bestFit="1" customWidth="1"/>
    <col min="4864" max="4864" width="11.28515625" style="34" bestFit="1" customWidth="1"/>
    <col min="4865" max="4865" width="14" style="34" bestFit="1" customWidth="1"/>
    <col min="4866" max="4866" width="11.85546875" style="34" bestFit="1" customWidth="1"/>
    <col min="4867" max="4867" width="14.85546875" style="34" bestFit="1" customWidth="1"/>
    <col min="4868" max="4868" width="9.7109375" style="34" customWidth="1"/>
    <col min="4869" max="4869" width="4.85546875" style="34" customWidth="1"/>
    <col min="4870" max="5114" width="9.140625" style="34"/>
    <col min="5115" max="5115" width="5.42578125" style="34" bestFit="1" customWidth="1"/>
    <col min="5116" max="5116" width="20.42578125" style="34" bestFit="1" customWidth="1"/>
    <col min="5117" max="5117" width="41.42578125" style="34" customWidth="1"/>
    <col min="5118" max="5118" width="15.28515625" style="34" bestFit="1" customWidth="1"/>
    <col min="5119" max="5119" width="16.7109375" style="34" bestFit="1" customWidth="1"/>
    <col min="5120" max="5120" width="11.28515625" style="34" bestFit="1" customWidth="1"/>
    <col min="5121" max="5121" width="14" style="34" bestFit="1" customWidth="1"/>
    <col min="5122" max="5122" width="11.85546875" style="34" bestFit="1" customWidth="1"/>
    <col min="5123" max="5123" width="14.85546875" style="34" bestFit="1" customWidth="1"/>
    <col min="5124" max="5124" width="9.7109375" style="34" customWidth="1"/>
    <col min="5125" max="5125" width="4.85546875" style="34" customWidth="1"/>
    <col min="5126" max="5370" width="9.140625" style="34"/>
    <col min="5371" max="5371" width="5.42578125" style="34" bestFit="1" customWidth="1"/>
    <col min="5372" max="5372" width="20.42578125" style="34" bestFit="1" customWidth="1"/>
    <col min="5373" max="5373" width="41.42578125" style="34" customWidth="1"/>
    <col min="5374" max="5374" width="15.28515625" style="34" bestFit="1" customWidth="1"/>
    <col min="5375" max="5375" width="16.7109375" style="34" bestFit="1" customWidth="1"/>
    <col min="5376" max="5376" width="11.28515625" style="34" bestFit="1" customWidth="1"/>
    <col min="5377" max="5377" width="14" style="34" bestFit="1" customWidth="1"/>
    <col min="5378" max="5378" width="11.85546875" style="34" bestFit="1" customWidth="1"/>
    <col min="5379" max="5379" width="14.85546875" style="34" bestFit="1" customWidth="1"/>
    <col min="5380" max="5380" width="9.7109375" style="34" customWidth="1"/>
    <col min="5381" max="5381" width="4.85546875" style="34" customWidth="1"/>
    <col min="5382" max="5626" width="9.140625" style="34"/>
    <col min="5627" max="5627" width="5.42578125" style="34" bestFit="1" customWidth="1"/>
    <col min="5628" max="5628" width="20.42578125" style="34" bestFit="1" customWidth="1"/>
    <col min="5629" max="5629" width="41.42578125" style="34" customWidth="1"/>
    <col min="5630" max="5630" width="15.28515625" style="34" bestFit="1" customWidth="1"/>
    <col min="5631" max="5631" width="16.7109375" style="34" bestFit="1" customWidth="1"/>
    <col min="5632" max="5632" width="11.28515625" style="34" bestFit="1" customWidth="1"/>
    <col min="5633" max="5633" width="14" style="34" bestFit="1" customWidth="1"/>
    <col min="5634" max="5634" width="11.85546875" style="34" bestFit="1" customWidth="1"/>
    <col min="5635" max="5635" width="14.85546875" style="34" bestFit="1" customWidth="1"/>
    <col min="5636" max="5636" width="9.7109375" style="34" customWidth="1"/>
    <col min="5637" max="5637" width="4.85546875" style="34" customWidth="1"/>
    <col min="5638" max="5882" width="9.140625" style="34"/>
    <col min="5883" max="5883" width="5.42578125" style="34" bestFit="1" customWidth="1"/>
    <col min="5884" max="5884" width="20.42578125" style="34" bestFit="1" customWidth="1"/>
    <col min="5885" max="5885" width="41.42578125" style="34" customWidth="1"/>
    <col min="5886" max="5886" width="15.28515625" style="34" bestFit="1" customWidth="1"/>
    <col min="5887" max="5887" width="16.7109375" style="34" bestFit="1" customWidth="1"/>
    <col min="5888" max="5888" width="11.28515625" style="34" bestFit="1" customWidth="1"/>
    <col min="5889" max="5889" width="14" style="34" bestFit="1" customWidth="1"/>
    <col min="5890" max="5890" width="11.85546875" style="34" bestFit="1" customWidth="1"/>
    <col min="5891" max="5891" width="14.85546875" style="34" bestFit="1" customWidth="1"/>
    <col min="5892" max="5892" width="9.7109375" style="34" customWidth="1"/>
    <col min="5893" max="5893" width="4.85546875" style="34" customWidth="1"/>
    <col min="5894" max="6138" width="9.140625" style="34"/>
    <col min="6139" max="6139" width="5.42578125" style="34" bestFit="1" customWidth="1"/>
    <col min="6140" max="6140" width="20.42578125" style="34" bestFit="1" customWidth="1"/>
    <col min="6141" max="6141" width="41.42578125" style="34" customWidth="1"/>
    <col min="6142" max="6142" width="15.28515625" style="34" bestFit="1" customWidth="1"/>
    <col min="6143" max="6143" width="16.7109375" style="34" bestFit="1" customWidth="1"/>
    <col min="6144" max="6144" width="11.28515625" style="34" bestFit="1" customWidth="1"/>
    <col min="6145" max="6145" width="14" style="34" bestFit="1" customWidth="1"/>
    <col min="6146" max="6146" width="11.85546875" style="34" bestFit="1" customWidth="1"/>
    <col min="6147" max="6147" width="14.85546875" style="34" bestFit="1" customWidth="1"/>
    <col min="6148" max="6148" width="9.7109375" style="34" customWidth="1"/>
    <col min="6149" max="6149" width="4.85546875" style="34" customWidth="1"/>
    <col min="6150" max="6394" width="9.140625" style="34"/>
    <col min="6395" max="6395" width="5.42578125" style="34" bestFit="1" customWidth="1"/>
    <col min="6396" max="6396" width="20.42578125" style="34" bestFit="1" customWidth="1"/>
    <col min="6397" max="6397" width="41.42578125" style="34" customWidth="1"/>
    <col min="6398" max="6398" width="15.28515625" style="34" bestFit="1" customWidth="1"/>
    <col min="6399" max="6399" width="16.7109375" style="34" bestFit="1" customWidth="1"/>
    <col min="6400" max="6400" width="11.28515625" style="34" bestFit="1" customWidth="1"/>
    <col min="6401" max="6401" width="14" style="34" bestFit="1" customWidth="1"/>
    <col min="6402" max="6402" width="11.85546875" style="34" bestFit="1" customWidth="1"/>
    <col min="6403" max="6403" width="14.85546875" style="34" bestFit="1" customWidth="1"/>
    <col min="6404" max="6404" width="9.7109375" style="34" customWidth="1"/>
    <col min="6405" max="6405" width="4.85546875" style="34" customWidth="1"/>
    <col min="6406" max="6650" width="9.140625" style="34"/>
    <col min="6651" max="6651" width="5.42578125" style="34" bestFit="1" customWidth="1"/>
    <col min="6652" max="6652" width="20.42578125" style="34" bestFit="1" customWidth="1"/>
    <col min="6653" max="6653" width="41.42578125" style="34" customWidth="1"/>
    <col min="6654" max="6654" width="15.28515625" style="34" bestFit="1" customWidth="1"/>
    <col min="6655" max="6655" width="16.7109375" style="34" bestFit="1" customWidth="1"/>
    <col min="6656" max="6656" width="11.28515625" style="34" bestFit="1" customWidth="1"/>
    <col min="6657" max="6657" width="14" style="34" bestFit="1" customWidth="1"/>
    <col min="6658" max="6658" width="11.85546875" style="34" bestFit="1" customWidth="1"/>
    <col min="6659" max="6659" width="14.85546875" style="34" bestFit="1" customWidth="1"/>
    <col min="6660" max="6660" width="9.7109375" style="34" customWidth="1"/>
    <col min="6661" max="6661" width="4.85546875" style="34" customWidth="1"/>
    <col min="6662" max="6906" width="9.140625" style="34"/>
    <col min="6907" max="6907" width="5.42578125" style="34" bestFit="1" customWidth="1"/>
    <col min="6908" max="6908" width="20.42578125" style="34" bestFit="1" customWidth="1"/>
    <col min="6909" max="6909" width="41.42578125" style="34" customWidth="1"/>
    <col min="6910" max="6910" width="15.28515625" style="34" bestFit="1" customWidth="1"/>
    <col min="6911" max="6911" width="16.7109375" style="34" bestFit="1" customWidth="1"/>
    <col min="6912" max="6912" width="11.28515625" style="34" bestFit="1" customWidth="1"/>
    <col min="6913" max="6913" width="14" style="34" bestFit="1" customWidth="1"/>
    <col min="6914" max="6914" width="11.85546875" style="34" bestFit="1" customWidth="1"/>
    <col min="6915" max="6915" width="14.85546875" style="34" bestFit="1" customWidth="1"/>
    <col min="6916" max="6916" width="9.7109375" style="34" customWidth="1"/>
    <col min="6917" max="6917" width="4.85546875" style="34" customWidth="1"/>
    <col min="6918" max="7162" width="9.140625" style="34"/>
    <col min="7163" max="7163" width="5.42578125" style="34" bestFit="1" customWidth="1"/>
    <col min="7164" max="7164" width="20.42578125" style="34" bestFit="1" customWidth="1"/>
    <col min="7165" max="7165" width="41.42578125" style="34" customWidth="1"/>
    <col min="7166" max="7166" width="15.28515625" style="34" bestFit="1" customWidth="1"/>
    <col min="7167" max="7167" width="16.7109375" style="34" bestFit="1" customWidth="1"/>
    <col min="7168" max="7168" width="11.28515625" style="34" bestFit="1" customWidth="1"/>
    <col min="7169" max="7169" width="14" style="34" bestFit="1" customWidth="1"/>
    <col min="7170" max="7170" width="11.85546875" style="34" bestFit="1" customWidth="1"/>
    <col min="7171" max="7171" width="14.85546875" style="34" bestFit="1" customWidth="1"/>
    <col min="7172" max="7172" width="9.7109375" style="34" customWidth="1"/>
    <col min="7173" max="7173" width="4.85546875" style="34" customWidth="1"/>
    <col min="7174" max="7418" width="9.140625" style="34"/>
    <col min="7419" max="7419" width="5.42578125" style="34" bestFit="1" customWidth="1"/>
    <col min="7420" max="7420" width="20.42578125" style="34" bestFit="1" customWidth="1"/>
    <col min="7421" max="7421" width="41.42578125" style="34" customWidth="1"/>
    <col min="7422" max="7422" width="15.28515625" style="34" bestFit="1" customWidth="1"/>
    <col min="7423" max="7423" width="16.7109375" style="34" bestFit="1" customWidth="1"/>
    <col min="7424" max="7424" width="11.28515625" style="34" bestFit="1" customWidth="1"/>
    <col min="7425" max="7425" width="14" style="34" bestFit="1" customWidth="1"/>
    <col min="7426" max="7426" width="11.85546875" style="34" bestFit="1" customWidth="1"/>
    <col min="7427" max="7427" width="14.85546875" style="34" bestFit="1" customWidth="1"/>
    <col min="7428" max="7428" width="9.7109375" style="34" customWidth="1"/>
    <col min="7429" max="7429" width="4.85546875" style="34" customWidth="1"/>
    <col min="7430" max="7674" width="9.140625" style="34"/>
    <col min="7675" max="7675" width="5.42578125" style="34" bestFit="1" customWidth="1"/>
    <col min="7676" max="7676" width="20.42578125" style="34" bestFit="1" customWidth="1"/>
    <col min="7677" max="7677" width="41.42578125" style="34" customWidth="1"/>
    <col min="7678" max="7678" width="15.28515625" style="34" bestFit="1" customWidth="1"/>
    <col min="7679" max="7679" width="16.7109375" style="34" bestFit="1" customWidth="1"/>
    <col min="7680" max="7680" width="11.28515625" style="34" bestFit="1" customWidth="1"/>
    <col min="7681" max="7681" width="14" style="34" bestFit="1" customWidth="1"/>
    <col min="7682" max="7682" width="11.85546875" style="34" bestFit="1" customWidth="1"/>
    <col min="7683" max="7683" width="14.85546875" style="34" bestFit="1" customWidth="1"/>
    <col min="7684" max="7684" width="9.7109375" style="34" customWidth="1"/>
    <col min="7685" max="7685" width="4.85546875" style="34" customWidth="1"/>
    <col min="7686" max="7930" width="9.140625" style="34"/>
    <col min="7931" max="7931" width="5.42578125" style="34" bestFit="1" customWidth="1"/>
    <col min="7932" max="7932" width="20.42578125" style="34" bestFit="1" customWidth="1"/>
    <col min="7933" max="7933" width="41.42578125" style="34" customWidth="1"/>
    <col min="7934" max="7934" width="15.28515625" style="34" bestFit="1" customWidth="1"/>
    <col min="7935" max="7935" width="16.7109375" style="34" bestFit="1" customWidth="1"/>
    <col min="7936" max="7936" width="11.28515625" style="34" bestFit="1" customWidth="1"/>
    <col min="7937" max="7937" width="14" style="34" bestFit="1" customWidth="1"/>
    <col min="7938" max="7938" width="11.85546875" style="34" bestFit="1" customWidth="1"/>
    <col min="7939" max="7939" width="14.85546875" style="34" bestFit="1" customWidth="1"/>
    <col min="7940" max="7940" width="9.7109375" style="34" customWidth="1"/>
    <col min="7941" max="7941" width="4.85546875" style="34" customWidth="1"/>
    <col min="7942" max="8186" width="9.140625" style="34"/>
    <col min="8187" max="8187" width="5.42578125" style="34" bestFit="1" customWidth="1"/>
    <col min="8188" max="8188" width="20.42578125" style="34" bestFit="1" customWidth="1"/>
    <col min="8189" max="8189" width="41.42578125" style="34" customWidth="1"/>
    <col min="8190" max="8190" width="15.28515625" style="34" bestFit="1" customWidth="1"/>
    <col min="8191" max="8191" width="16.7109375" style="34" bestFit="1" customWidth="1"/>
    <col min="8192" max="8192" width="11.28515625" style="34" bestFit="1" customWidth="1"/>
    <col min="8193" max="8193" width="14" style="34" bestFit="1" customWidth="1"/>
    <col min="8194" max="8194" width="11.85546875" style="34" bestFit="1" customWidth="1"/>
    <col min="8195" max="8195" width="14.85546875" style="34" bestFit="1" customWidth="1"/>
    <col min="8196" max="8196" width="9.7109375" style="34" customWidth="1"/>
    <col min="8197" max="8197" width="4.85546875" style="34" customWidth="1"/>
    <col min="8198" max="8442" width="9.140625" style="34"/>
    <col min="8443" max="8443" width="5.42578125" style="34" bestFit="1" customWidth="1"/>
    <col min="8444" max="8444" width="20.42578125" style="34" bestFit="1" customWidth="1"/>
    <col min="8445" max="8445" width="41.42578125" style="34" customWidth="1"/>
    <col min="8446" max="8446" width="15.28515625" style="34" bestFit="1" customWidth="1"/>
    <col min="8447" max="8447" width="16.7109375" style="34" bestFit="1" customWidth="1"/>
    <col min="8448" max="8448" width="11.28515625" style="34" bestFit="1" customWidth="1"/>
    <col min="8449" max="8449" width="14" style="34" bestFit="1" customWidth="1"/>
    <col min="8450" max="8450" width="11.85546875" style="34" bestFit="1" customWidth="1"/>
    <col min="8451" max="8451" width="14.85546875" style="34" bestFit="1" customWidth="1"/>
    <col min="8452" max="8452" width="9.7109375" style="34" customWidth="1"/>
    <col min="8453" max="8453" width="4.85546875" style="34" customWidth="1"/>
    <col min="8454" max="8698" width="9.140625" style="34"/>
    <col min="8699" max="8699" width="5.42578125" style="34" bestFit="1" customWidth="1"/>
    <col min="8700" max="8700" width="20.42578125" style="34" bestFit="1" customWidth="1"/>
    <col min="8701" max="8701" width="41.42578125" style="34" customWidth="1"/>
    <col min="8702" max="8702" width="15.28515625" style="34" bestFit="1" customWidth="1"/>
    <col min="8703" max="8703" width="16.7109375" style="34" bestFit="1" customWidth="1"/>
    <col min="8704" max="8704" width="11.28515625" style="34" bestFit="1" customWidth="1"/>
    <col min="8705" max="8705" width="14" style="34" bestFit="1" customWidth="1"/>
    <col min="8706" max="8706" width="11.85546875" style="34" bestFit="1" customWidth="1"/>
    <col min="8707" max="8707" width="14.85546875" style="34" bestFit="1" customWidth="1"/>
    <col min="8708" max="8708" width="9.7109375" style="34" customWidth="1"/>
    <col min="8709" max="8709" width="4.85546875" style="34" customWidth="1"/>
    <col min="8710" max="8954" width="9.140625" style="34"/>
    <col min="8955" max="8955" width="5.42578125" style="34" bestFit="1" customWidth="1"/>
    <col min="8956" max="8956" width="20.42578125" style="34" bestFit="1" customWidth="1"/>
    <col min="8957" max="8957" width="41.42578125" style="34" customWidth="1"/>
    <col min="8958" max="8958" width="15.28515625" style="34" bestFit="1" customWidth="1"/>
    <col min="8959" max="8959" width="16.7109375" style="34" bestFit="1" customWidth="1"/>
    <col min="8960" max="8960" width="11.28515625" style="34" bestFit="1" customWidth="1"/>
    <col min="8961" max="8961" width="14" style="34" bestFit="1" customWidth="1"/>
    <col min="8962" max="8962" width="11.85546875" style="34" bestFit="1" customWidth="1"/>
    <col min="8963" max="8963" width="14.85546875" style="34" bestFit="1" customWidth="1"/>
    <col min="8964" max="8964" width="9.7109375" style="34" customWidth="1"/>
    <col min="8965" max="8965" width="4.85546875" style="34" customWidth="1"/>
    <col min="8966" max="9210" width="9.140625" style="34"/>
    <col min="9211" max="9211" width="5.42578125" style="34" bestFit="1" customWidth="1"/>
    <col min="9212" max="9212" width="20.42578125" style="34" bestFit="1" customWidth="1"/>
    <col min="9213" max="9213" width="41.42578125" style="34" customWidth="1"/>
    <col min="9214" max="9214" width="15.28515625" style="34" bestFit="1" customWidth="1"/>
    <col min="9215" max="9215" width="16.7109375" style="34" bestFit="1" customWidth="1"/>
    <col min="9216" max="9216" width="11.28515625" style="34" bestFit="1" customWidth="1"/>
    <col min="9217" max="9217" width="14" style="34" bestFit="1" customWidth="1"/>
    <col min="9218" max="9218" width="11.85546875" style="34" bestFit="1" customWidth="1"/>
    <col min="9219" max="9219" width="14.85546875" style="34" bestFit="1" customWidth="1"/>
    <col min="9220" max="9220" width="9.7109375" style="34" customWidth="1"/>
    <col min="9221" max="9221" width="4.85546875" style="34" customWidth="1"/>
    <col min="9222" max="9466" width="9.140625" style="34"/>
    <col min="9467" max="9467" width="5.42578125" style="34" bestFit="1" customWidth="1"/>
    <col min="9468" max="9468" width="20.42578125" style="34" bestFit="1" customWidth="1"/>
    <col min="9469" max="9469" width="41.42578125" style="34" customWidth="1"/>
    <col min="9470" max="9470" width="15.28515625" style="34" bestFit="1" customWidth="1"/>
    <col min="9471" max="9471" width="16.7109375" style="34" bestFit="1" customWidth="1"/>
    <col min="9472" max="9472" width="11.28515625" style="34" bestFit="1" customWidth="1"/>
    <col min="9473" max="9473" width="14" style="34" bestFit="1" customWidth="1"/>
    <col min="9474" max="9474" width="11.85546875" style="34" bestFit="1" customWidth="1"/>
    <col min="9475" max="9475" width="14.85546875" style="34" bestFit="1" customWidth="1"/>
    <col min="9476" max="9476" width="9.7109375" style="34" customWidth="1"/>
    <col min="9477" max="9477" width="4.85546875" style="34" customWidth="1"/>
    <col min="9478" max="9722" width="9.140625" style="34"/>
    <col min="9723" max="9723" width="5.42578125" style="34" bestFit="1" customWidth="1"/>
    <col min="9724" max="9724" width="20.42578125" style="34" bestFit="1" customWidth="1"/>
    <col min="9725" max="9725" width="41.42578125" style="34" customWidth="1"/>
    <col min="9726" max="9726" width="15.28515625" style="34" bestFit="1" customWidth="1"/>
    <col min="9727" max="9727" width="16.7109375" style="34" bestFit="1" customWidth="1"/>
    <col min="9728" max="9728" width="11.28515625" style="34" bestFit="1" customWidth="1"/>
    <col min="9729" max="9729" width="14" style="34" bestFit="1" customWidth="1"/>
    <col min="9730" max="9730" width="11.85546875" style="34" bestFit="1" customWidth="1"/>
    <col min="9731" max="9731" width="14.85546875" style="34" bestFit="1" customWidth="1"/>
    <col min="9732" max="9732" width="9.7109375" style="34" customWidth="1"/>
    <col min="9733" max="9733" width="4.85546875" style="34" customWidth="1"/>
    <col min="9734" max="9978" width="9.140625" style="34"/>
    <col min="9979" max="9979" width="5.42578125" style="34" bestFit="1" customWidth="1"/>
    <col min="9980" max="9980" width="20.42578125" style="34" bestFit="1" customWidth="1"/>
    <col min="9981" max="9981" width="41.42578125" style="34" customWidth="1"/>
    <col min="9982" max="9982" width="15.28515625" style="34" bestFit="1" customWidth="1"/>
    <col min="9983" max="9983" width="16.7109375" style="34" bestFit="1" customWidth="1"/>
    <col min="9984" max="9984" width="11.28515625" style="34" bestFit="1" customWidth="1"/>
    <col min="9985" max="9985" width="14" style="34" bestFit="1" customWidth="1"/>
    <col min="9986" max="9986" width="11.85546875" style="34" bestFit="1" customWidth="1"/>
    <col min="9987" max="9987" width="14.85546875" style="34" bestFit="1" customWidth="1"/>
    <col min="9988" max="9988" width="9.7109375" style="34" customWidth="1"/>
    <col min="9989" max="9989" width="4.85546875" style="34" customWidth="1"/>
    <col min="9990" max="10234" width="9.140625" style="34"/>
    <col min="10235" max="10235" width="5.42578125" style="34" bestFit="1" customWidth="1"/>
    <col min="10236" max="10236" width="20.42578125" style="34" bestFit="1" customWidth="1"/>
    <col min="10237" max="10237" width="41.42578125" style="34" customWidth="1"/>
    <col min="10238" max="10238" width="15.28515625" style="34" bestFit="1" customWidth="1"/>
    <col min="10239" max="10239" width="16.7109375" style="34" bestFit="1" customWidth="1"/>
    <col min="10240" max="10240" width="11.28515625" style="34" bestFit="1" customWidth="1"/>
    <col min="10241" max="10241" width="14" style="34" bestFit="1" customWidth="1"/>
    <col min="10242" max="10242" width="11.85546875" style="34" bestFit="1" customWidth="1"/>
    <col min="10243" max="10243" width="14.85546875" style="34" bestFit="1" customWidth="1"/>
    <col min="10244" max="10244" width="9.7109375" style="34" customWidth="1"/>
    <col min="10245" max="10245" width="4.85546875" style="34" customWidth="1"/>
    <col min="10246" max="10490" width="9.140625" style="34"/>
    <col min="10491" max="10491" width="5.42578125" style="34" bestFit="1" customWidth="1"/>
    <col min="10492" max="10492" width="20.42578125" style="34" bestFit="1" customWidth="1"/>
    <col min="10493" max="10493" width="41.42578125" style="34" customWidth="1"/>
    <col min="10494" max="10494" width="15.28515625" style="34" bestFit="1" customWidth="1"/>
    <col min="10495" max="10495" width="16.7109375" style="34" bestFit="1" customWidth="1"/>
    <col min="10496" max="10496" width="11.28515625" style="34" bestFit="1" customWidth="1"/>
    <col min="10497" max="10497" width="14" style="34" bestFit="1" customWidth="1"/>
    <col min="10498" max="10498" width="11.85546875" style="34" bestFit="1" customWidth="1"/>
    <col min="10499" max="10499" width="14.85546875" style="34" bestFit="1" customWidth="1"/>
    <col min="10500" max="10500" width="9.7109375" style="34" customWidth="1"/>
    <col min="10501" max="10501" width="4.85546875" style="34" customWidth="1"/>
    <col min="10502" max="10746" width="9.140625" style="34"/>
    <col min="10747" max="10747" width="5.42578125" style="34" bestFit="1" customWidth="1"/>
    <col min="10748" max="10748" width="20.42578125" style="34" bestFit="1" customWidth="1"/>
    <col min="10749" max="10749" width="41.42578125" style="34" customWidth="1"/>
    <col min="10750" max="10750" width="15.28515625" style="34" bestFit="1" customWidth="1"/>
    <col min="10751" max="10751" width="16.7109375" style="34" bestFit="1" customWidth="1"/>
    <col min="10752" max="10752" width="11.28515625" style="34" bestFit="1" customWidth="1"/>
    <col min="10753" max="10753" width="14" style="34" bestFit="1" customWidth="1"/>
    <col min="10754" max="10754" width="11.85546875" style="34" bestFit="1" customWidth="1"/>
    <col min="10755" max="10755" width="14.85546875" style="34" bestFit="1" customWidth="1"/>
    <col min="10756" max="10756" width="9.7109375" style="34" customWidth="1"/>
    <col min="10757" max="10757" width="4.85546875" style="34" customWidth="1"/>
    <col min="10758" max="11002" width="9.140625" style="34"/>
    <col min="11003" max="11003" width="5.42578125" style="34" bestFit="1" customWidth="1"/>
    <col min="11004" max="11004" width="20.42578125" style="34" bestFit="1" customWidth="1"/>
    <col min="11005" max="11005" width="41.42578125" style="34" customWidth="1"/>
    <col min="11006" max="11006" width="15.28515625" style="34" bestFit="1" customWidth="1"/>
    <col min="11007" max="11007" width="16.7109375" style="34" bestFit="1" customWidth="1"/>
    <col min="11008" max="11008" width="11.28515625" style="34" bestFit="1" customWidth="1"/>
    <col min="11009" max="11009" width="14" style="34" bestFit="1" customWidth="1"/>
    <col min="11010" max="11010" width="11.85546875" style="34" bestFit="1" customWidth="1"/>
    <col min="11011" max="11011" width="14.85546875" style="34" bestFit="1" customWidth="1"/>
    <col min="11012" max="11012" width="9.7109375" style="34" customWidth="1"/>
    <col min="11013" max="11013" width="4.85546875" style="34" customWidth="1"/>
    <col min="11014" max="11258" width="9.140625" style="34"/>
    <col min="11259" max="11259" width="5.42578125" style="34" bestFit="1" customWidth="1"/>
    <col min="11260" max="11260" width="20.42578125" style="34" bestFit="1" customWidth="1"/>
    <col min="11261" max="11261" width="41.42578125" style="34" customWidth="1"/>
    <col min="11262" max="11262" width="15.28515625" style="34" bestFit="1" customWidth="1"/>
    <col min="11263" max="11263" width="16.7109375" style="34" bestFit="1" customWidth="1"/>
    <col min="11264" max="11264" width="11.28515625" style="34" bestFit="1" customWidth="1"/>
    <col min="11265" max="11265" width="14" style="34" bestFit="1" customWidth="1"/>
    <col min="11266" max="11266" width="11.85546875" style="34" bestFit="1" customWidth="1"/>
    <col min="11267" max="11267" width="14.85546875" style="34" bestFit="1" customWidth="1"/>
    <col min="11268" max="11268" width="9.7109375" style="34" customWidth="1"/>
    <col min="11269" max="11269" width="4.85546875" style="34" customWidth="1"/>
    <col min="11270" max="11514" width="9.140625" style="34"/>
    <col min="11515" max="11515" width="5.42578125" style="34" bestFit="1" customWidth="1"/>
    <col min="11516" max="11516" width="20.42578125" style="34" bestFit="1" customWidth="1"/>
    <col min="11517" max="11517" width="41.42578125" style="34" customWidth="1"/>
    <col min="11518" max="11518" width="15.28515625" style="34" bestFit="1" customWidth="1"/>
    <col min="11519" max="11519" width="16.7109375" style="34" bestFit="1" customWidth="1"/>
    <col min="11520" max="11520" width="11.28515625" style="34" bestFit="1" customWidth="1"/>
    <col min="11521" max="11521" width="14" style="34" bestFit="1" customWidth="1"/>
    <col min="11522" max="11522" width="11.85546875" style="34" bestFit="1" customWidth="1"/>
    <col min="11523" max="11523" width="14.85546875" style="34" bestFit="1" customWidth="1"/>
    <col min="11524" max="11524" width="9.7109375" style="34" customWidth="1"/>
    <col min="11525" max="11525" width="4.85546875" style="34" customWidth="1"/>
    <col min="11526" max="11770" width="9.140625" style="34"/>
    <col min="11771" max="11771" width="5.42578125" style="34" bestFit="1" customWidth="1"/>
    <col min="11772" max="11772" width="20.42578125" style="34" bestFit="1" customWidth="1"/>
    <col min="11773" max="11773" width="41.42578125" style="34" customWidth="1"/>
    <col min="11774" max="11774" width="15.28515625" style="34" bestFit="1" customWidth="1"/>
    <col min="11775" max="11775" width="16.7109375" style="34" bestFit="1" customWidth="1"/>
    <col min="11776" max="11776" width="11.28515625" style="34" bestFit="1" customWidth="1"/>
    <col min="11777" max="11777" width="14" style="34" bestFit="1" customWidth="1"/>
    <col min="11778" max="11778" width="11.85546875" style="34" bestFit="1" customWidth="1"/>
    <col min="11779" max="11779" width="14.85546875" style="34" bestFit="1" customWidth="1"/>
    <col min="11780" max="11780" width="9.7109375" style="34" customWidth="1"/>
    <col min="11781" max="11781" width="4.85546875" style="34" customWidth="1"/>
    <col min="11782" max="12026" width="9.140625" style="34"/>
    <col min="12027" max="12027" width="5.42578125" style="34" bestFit="1" customWidth="1"/>
    <col min="12028" max="12028" width="20.42578125" style="34" bestFit="1" customWidth="1"/>
    <col min="12029" max="12029" width="41.42578125" style="34" customWidth="1"/>
    <col min="12030" max="12030" width="15.28515625" style="34" bestFit="1" customWidth="1"/>
    <col min="12031" max="12031" width="16.7109375" style="34" bestFit="1" customWidth="1"/>
    <col min="12032" max="12032" width="11.28515625" style="34" bestFit="1" customWidth="1"/>
    <col min="12033" max="12033" width="14" style="34" bestFit="1" customWidth="1"/>
    <col min="12034" max="12034" width="11.85546875" style="34" bestFit="1" customWidth="1"/>
    <col min="12035" max="12035" width="14.85546875" style="34" bestFit="1" customWidth="1"/>
    <col min="12036" max="12036" width="9.7109375" style="34" customWidth="1"/>
    <col min="12037" max="12037" width="4.85546875" style="34" customWidth="1"/>
    <col min="12038" max="12282" width="9.140625" style="34"/>
    <col min="12283" max="12283" width="5.42578125" style="34" bestFit="1" customWidth="1"/>
    <col min="12284" max="12284" width="20.42578125" style="34" bestFit="1" customWidth="1"/>
    <col min="12285" max="12285" width="41.42578125" style="34" customWidth="1"/>
    <col min="12286" max="12286" width="15.28515625" style="34" bestFit="1" customWidth="1"/>
    <col min="12287" max="12287" width="16.7109375" style="34" bestFit="1" customWidth="1"/>
    <col min="12288" max="12288" width="11.28515625" style="34" bestFit="1" customWidth="1"/>
    <col min="12289" max="12289" width="14" style="34" bestFit="1" customWidth="1"/>
    <col min="12290" max="12290" width="11.85546875" style="34" bestFit="1" customWidth="1"/>
    <col min="12291" max="12291" width="14.85546875" style="34" bestFit="1" customWidth="1"/>
    <col min="12292" max="12292" width="9.7109375" style="34" customWidth="1"/>
    <col min="12293" max="12293" width="4.85546875" style="34" customWidth="1"/>
    <col min="12294" max="12538" width="9.140625" style="34"/>
    <col min="12539" max="12539" width="5.42578125" style="34" bestFit="1" customWidth="1"/>
    <col min="12540" max="12540" width="20.42578125" style="34" bestFit="1" customWidth="1"/>
    <col min="12541" max="12541" width="41.42578125" style="34" customWidth="1"/>
    <col min="12542" max="12542" width="15.28515625" style="34" bestFit="1" customWidth="1"/>
    <col min="12543" max="12543" width="16.7109375" style="34" bestFit="1" customWidth="1"/>
    <col min="12544" max="12544" width="11.28515625" style="34" bestFit="1" customWidth="1"/>
    <col min="12545" max="12545" width="14" style="34" bestFit="1" customWidth="1"/>
    <col min="12546" max="12546" width="11.85546875" style="34" bestFit="1" customWidth="1"/>
    <col min="12547" max="12547" width="14.85546875" style="34" bestFit="1" customWidth="1"/>
    <col min="12548" max="12548" width="9.7109375" style="34" customWidth="1"/>
    <col min="12549" max="12549" width="4.85546875" style="34" customWidth="1"/>
    <col min="12550" max="12794" width="9.140625" style="34"/>
    <col min="12795" max="12795" width="5.42578125" style="34" bestFit="1" customWidth="1"/>
    <col min="12796" max="12796" width="20.42578125" style="34" bestFit="1" customWidth="1"/>
    <col min="12797" max="12797" width="41.42578125" style="34" customWidth="1"/>
    <col min="12798" max="12798" width="15.28515625" style="34" bestFit="1" customWidth="1"/>
    <col min="12799" max="12799" width="16.7109375" style="34" bestFit="1" customWidth="1"/>
    <col min="12800" max="12800" width="11.28515625" style="34" bestFit="1" customWidth="1"/>
    <col min="12801" max="12801" width="14" style="34" bestFit="1" customWidth="1"/>
    <col min="12802" max="12802" width="11.85546875" style="34" bestFit="1" customWidth="1"/>
    <col min="12803" max="12803" width="14.85546875" style="34" bestFit="1" customWidth="1"/>
    <col min="12804" max="12804" width="9.7109375" style="34" customWidth="1"/>
    <col min="12805" max="12805" width="4.85546875" style="34" customWidth="1"/>
    <col min="12806" max="13050" width="9.140625" style="34"/>
    <col min="13051" max="13051" width="5.42578125" style="34" bestFit="1" customWidth="1"/>
    <col min="13052" max="13052" width="20.42578125" style="34" bestFit="1" customWidth="1"/>
    <col min="13053" max="13053" width="41.42578125" style="34" customWidth="1"/>
    <col min="13054" max="13054" width="15.28515625" style="34" bestFit="1" customWidth="1"/>
    <col min="13055" max="13055" width="16.7109375" style="34" bestFit="1" customWidth="1"/>
    <col min="13056" max="13056" width="11.28515625" style="34" bestFit="1" customWidth="1"/>
    <col min="13057" max="13057" width="14" style="34" bestFit="1" customWidth="1"/>
    <col min="13058" max="13058" width="11.85546875" style="34" bestFit="1" customWidth="1"/>
    <col min="13059" max="13059" width="14.85546875" style="34" bestFit="1" customWidth="1"/>
    <col min="13060" max="13060" width="9.7109375" style="34" customWidth="1"/>
    <col min="13061" max="13061" width="4.85546875" style="34" customWidth="1"/>
    <col min="13062" max="13306" width="9.140625" style="34"/>
    <col min="13307" max="13307" width="5.42578125" style="34" bestFit="1" customWidth="1"/>
    <col min="13308" max="13308" width="20.42578125" style="34" bestFit="1" customWidth="1"/>
    <col min="13309" max="13309" width="41.42578125" style="34" customWidth="1"/>
    <col min="13310" max="13310" width="15.28515625" style="34" bestFit="1" customWidth="1"/>
    <col min="13311" max="13311" width="16.7109375" style="34" bestFit="1" customWidth="1"/>
    <col min="13312" max="13312" width="11.28515625" style="34" bestFit="1" customWidth="1"/>
    <col min="13313" max="13313" width="14" style="34" bestFit="1" customWidth="1"/>
    <col min="13314" max="13314" width="11.85546875" style="34" bestFit="1" customWidth="1"/>
    <col min="13315" max="13315" width="14.85546875" style="34" bestFit="1" customWidth="1"/>
    <col min="13316" max="13316" width="9.7109375" style="34" customWidth="1"/>
    <col min="13317" max="13317" width="4.85546875" style="34" customWidth="1"/>
    <col min="13318" max="13562" width="9.140625" style="34"/>
    <col min="13563" max="13563" width="5.42578125" style="34" bestFit="1" customWidth="1"/>
    <col min="13564" max="13564" width="20.42578125" style="34" bestFit="1" customWidth="1"/>
    <col min="13565" max="13565" width="41.42578125" style="34" customWidth="1"/>
    <col min="13566" max="13566" width="15.28515625" style="34" bestFit="1" customWidth="1"/>
    <col min="13567" max="13567" width="16.7109375" style="34" bestFit="1" customWidth="1"/>
    <col min="13568" max="13568" width="11.28515625" style="34" bestFit="1" customWidth="1"/>
    <col min="13569" max="13569" width="14" style="34" bestFit="1" customWidth="1"/>
    <col min="13570" max="13570" width="11.85546875" style="34" bestFit="1" customWidth="1"/>
    <col min="13571" max="13571" width="14.85546875" style="34" bestFit="1" customWidth="1"/>
    <col min="13572" max="13572" width="9.7109375" style="34" customWidth="1"/>
    <col min="13573" max="13573" width="4.85546875" style="34" customWidth="1"/>
    <col min="13574" max="13818" width="9.140625" style="34"/>
    <col min="13819" max="13819" width="5.42578125" style="34" bestFit="1" customWidth="1"/>
    <col min="13820" max="13820" width="20.42578125" style="34" bestFit="1" customWidth="1"/>
    <col min="13821" max="13821" width="41.42578125" style="34" customWidth="1"/>
    <col min="13822" max="13822" width="15.28515625" style="34" bestFit="1" customWidth="1"/>
    <col min="13823" max="13823" width="16.7109375" style="34" bestFit="1" customWidth="1"/>
    <col min="13824" max="13824" width="11.28515625" style="34" bestFit="1" customWidth="1"/>
    <col min="13825" max="13825" width="14" style="34" bestFit="1" customWidth="1"/>
    <col min="13826" max="13826" width="11.85546875" style="34" bestFit="1" customWidth="1"/>
    <col min="13827" max="13827" width="14.85546875" style="34" bestFit="1" customWidth="1"/>
    <col min="13828" max="13828" width="9.7109375" style="34" customWidth="1"/>
    <col min="13829" max="13829" width="4.85546875" style="34" customWidth="1"/>
    <col min="13830" max="14074" width="9.140625" style="34"/>
    <col min="14075" max="14075" width="5.42578125" style="34" bestFit="1" customWidth="1"/>
    <col min="14076" max="14076" width="20.42578125" style="34" bestFit="1" customWidth="1"/>
    <col min="14077" max="14077" width="41.42578125" style="34" customWidth="1"/>
    <col min="14078" max="14078" width="15.28515625" style="34" bestFit="1" customWidth="1"/>
    <col min="14079" max="14079" width="16.7109375" style="34" bestFit="1" customWidth="1"/>
    <col min="14080" max="14080" width="11.28515625" style="34" bestFit="1" customWidth="1"/>
    <col min="14081" max="14081" width="14" style="34" bestFit="1" customWidth="1"/>
    <col min="14082" max="14082" width="11.85546875" style="34" bestFit="1" customWidth="1"/>
    <col min="14083" max="14083" width="14.85546875" style="34" bestFit="1" customWidth="1"/>
    <col min="14084" max="14084" width="9.7109375" style="34" customWidth="1"/>
    <col min="14085" max="14085" width="4.85546875" style="34" customWidth="1"/>
    <col min="14086" max="14330" width="9.140625" style="34"/>
    <col min="14331" max="14331" width="5.42578125" style="34" bestFit="1" customWidth="1"/>
    <col min="14332" max="14332" width="20.42578125" style="34" bestFit="1" customWidth="1"/>
    <col min="14333" max="14333" width="41.42578125" style="34" customWidth="1"/>
    <col min="14334" max="14334" width="15.28515625" style="34" bestFit="1" customWidth="1"/>
    <col min="14335" max="14335" width="16.7109375" style="34" bestFit="1" customWidth="1"/>
    <col min="14336" max="14336" width="11.28515625" style="34" bestFit="1" customWidth="1"/>
    <col min="14337" max="14337" width="14" style="34" bestFit="1" customWidth="1"/>
    <col min="14338" max="14338" width="11.85546875" style="34" bestFit="1" customWidth="1"/>
    <col min="14339" max="14339" width="14.85546875" style="34" bestFit="1" customWidth="1"/>
    <col min="14340" max="14340" width="9.7109375" style="34" customWidth="1"/>
    <col min="14341" max="14341" width="4.85546875" style="34" customWidth="1"/>
    <col min="14342" max="14586" width="9.140625" style="34"/>
    <col min="14587" max="14587" width="5.42578125" style="34" bestFit="1" customWidth="1"/>
    <col min="14588" max="14588" width="20.42578125" style="34" bestFit="1" customWidth="1"/>
    <col min="14589" max="14589" width="41.42578125" style="34" customWidth="1"/>
    <col min="14590" max="14590" width="15.28515625" style="34" bestFit="1" customWidth="1"/>
    <col min="14591" max="14591" width="16.7109375" style="34" bestFit="1" customWidth="1"/>
    <col min="14592" max="14592" width="11.28515625" style="34" bestFit="1" customWidth="1"/>
    <col min="14593" max="14593" width="14" style="34" bestFit="1" customWidth="1"/>
    <col min="14594" max="14594" width="11.85546875" style="34" bestFit="1" customWidth="1"/>
    <col min="14595" max="14595" width="14.85546875" style="34" bestFit="1" customWidth="1"/>
    <col min="14596" max="14596" width="9.7109375" style="34" customWidth="1"/>
    <col min="14597" max="14597" width="4.85546875" style="34" customWidth="1"/>
    <col min="14598" max="14842" width="9.140625" style="34"/>
    <col min="14843" max="14843" width="5.42578125" style="34" bestFit="1" customWidth="1"/>
    <col min="14844" max="14844" width="20.42578125" style="34" bestFit="1" customWidth="1"/>
    <col min="14845" max="14845" width="41.42578125" style="34" customWidth="1"/>
    <col min="14846" max="14846" width="15.28515625" style="34" bestFit="1" customWidth="1"/>
    <col min="14847" max="14847" width="16.7109375" style="34" bestFit="1" customWidth="1"/>
    <col min="14848" max="14848" width="11.28515625" style="34" bestFit="1" customWidth="1"/>
    <col min="14849" max="14849" width="14" style="34" bestFit="1" customWidth="1"/>
    <col min="14850" max="14850" width="11.85546875" style="34" bestFit="1" customWidth="1"/>
    <col min="14851" max="14851" width="14.85546875" style="34" bestFit="1" customWidth="1"/>
    <col min="14852" max="14852" width="9.7109375" style="34" customWidth="1"/>
    <col min="14853" max="14853" width="4.85546875" style="34" customWidth="1"/>
    <col min="14854" max="15098" width="9.140625" style="34"/>
    <col min="15099" max="15099" width="5.42578125" style="34" bestFit="1" customWidth="1"/>
    <col min="15100" max="15100" width="20.42578125" style="34" bestFit="1" customWidth="1"/>
    <col min="15101" max="15101" width="41.42578125" style="34" customWidth="1"/>
    <col min="15102" max="15102" width="15.28515625" style="34" bestFit="1" customWidth="1"/>
    <col min="15103" max="15103" width="16.7109375" style="34" bestFit="1" customWidth="1"/>
    <col min="15104" max="15104" width="11.28515625" style="34" bestFit="1" customWidth="1"/>
    <col min="15105" max="15105" width="14" style="34" bestFit="1" customWidth="1"/>
    <col min="15106" max="15106" width="11.85546875" style="34" bestFit="1" customWidth="1"/>
    <col min="15107" max="15107" width="14.85546875" style="34" bestFit="1" customWidth="1"/>
    <col min="15108" max="15108" width="9.7109375" style="34" customWidth="1"/>
    <col min="15109" max="15109" width="4.85546875" style="34" customWidth="1"/>
    <col min="15110" max="15354" width="9.140625" style="34"/>
    <col min="15355" max="15355" width="5.42578125" style="34" bestFit="1" customWidth="1"/>
    <col min="15356" max="15356" width="20.42578125" style="34" bestFit="1" customWidth="1"/>
    <col min="15357" max="15357" width="41.42578125" style="34" customWidth="1"/>
    <col min="15358" max="15358" width="15.28515625" style="34" bestFit="1" customWidth="1"/>
    <col min="15359" max="15359" width="16.7109375" style="34" bestFit="1" customWidth="1"/>
    <col min="15360" max="15360" width="11.28515625" style="34" bestFit="1" customWidth="1"/>
    <col min="15361" max="15361" width="14" style="34" bestFit="1" customWidth="1"/>
    <col min="15362" max="15362" width="11.85546875" style="34" bestFit="1" customWidth="1"/>
    <col min="15363" max="15363" width="14.85546875" style="34" bestFit="1" customWidth="1"/>
    <col min="15364" max="15364" width="9.7109375" style="34" customWidth="1"/>
    <col min="15365" max="15365" width="4.85546875" style="34" customWidth="1"/>
    <col min="15366" max="15610" width="9.140625" style="34"/>
    <col min="15611" max="15611" width="5.42578125" style="34" bestFit="1" customWidth="1"/>
    <col min="15612" max="15612" width="20.42578125" style="34" bestFit="1" customWidth="1"/>
    <col min="15613" max="15613" width="41.42578125" style="34" customWidth="1"/>
    <col min="15614" max="15614" width="15.28515625" style="34" bestFit="1" customWidth="1"/>
    <col min="15615" max="15615" width="16.7109375" style="34" bestFit="1" customWidth="1"/>
    <col min="15616" max="15616" width="11.28515625" style="34" bestFit="1" customWidth="1"/>
    <col min="15617" max="15617" width="14" style="34" bestFit="1" customWidth="1"/>
    <col min="15618" max="15618" width="11.85546875" style="34" bestFit="1" customWidth="1"/>
    <col min="15619" max="15619" width="14.85546875" style="34" bestFit="1" customWidth="1"/>
    <col min="15620" max="15620" width="9.7109375" style="34" customWidth="1"/>
    <col min="15621" max="15621" width="4.85546875" style="34" customWidth="1"/>
    <col min="15622" max="15866" width="9.140625" style="34"/>
    <col min="15867" max="15867" width="5.42578125" style="34" bestFit="1" customWidth="1"/>
    <col min="15868" max="15868" width="20.42578125" style="34" bestFit="1" customWidth="1"/>
    <col min="15869" max="15869" width="41.42578125" style="34" customWidth="1"/>
    <col min="15870" max="15870" width="15.28515625" style="34" bestFit="1" customWidth="1"/>
    <col min="15871" max="15871" width="16.7109375" style="34" bestFit="1" customWidth="1"/>
    <col min="15872" max="15872" width="11.28515625" style="34" bestFit="1" customWidth="1"/>
    <col min="15873" max="15873" width="14" style="34" bestFit="1" customWidth="1"/>
    <col min="15874" max="15874" width="11.85546875" style="34" bestFit="1" customWidth="1"/>
    <col min="15875" max="15875" width="14.85546875" style="34" bestFit="1" customWidth="1"/>
    <col min="15876" max="15876" width="9.7109375" style="34" customWidth="1"/>
    <col min="15877" max="15877" width="4.85546875" style="34" customWidth="1"/>
    <col min="15878" max="16122" width="9.140625" style="34"/>
    <col min="16123" max="16123" width="5.42578125" style="34" bestFit="1" customWidth="1"/>
    <col min="16124" max="16124" width="20.42578125" style="34" bestFit="1" customWidth="1"/>
    <col min="16125" max="16125" width="41.42578125" style="34" customWidth="1"/>
    <col min="16126" max="16126" width="15.28515625" style="34" bestFit="1" customWidth="1"/>
    <col min="16127" max="16127" width="16.7109375" style="34" bestFit="1" customWidth="1"/>
    <col min="16128" max="16128" width="11.28515625" style="34" bestFit="1" customWidth="1"/>
    <col min="16129" max="16129" width="14" style="34" bestFit="1" customWidth="1"/>
    <col min="16130" max="16130" width="11.85546875" style="34" bestFit="1" customWidth="1"/>
    <col min="16131" max="16131" width="14.85546875" style="34" bestFit="1" customWidth="1"/>
    <col min="16132" max="16132" width="9.7109375" style="34" customWidth="1"/>
    <col min="16133" max="16133" width="4.85546875" style="34" customWidth="1"/>
    <col min="16134" max="16384" width="9.140625" style="34"/>
  </cols>
  <sheetData>
    <row r="1" spans="1:15" x14ac:dyDescent="0.25">
      <c r="A1" s="304" t="s">
        <v>0</v>
      </c>
      <c r="B1" s="304"/>
      <c r="C1" s="304"/>
      <c r="D1" s="304"/>
      <c r="E1" s="304"/>
      <c r="F1" s="304"/>
      <c r="G1" s="304"/>
      <c r="H1" s="304"/>
    </row>
    <row r="2" spans="1:15" ht="15" customHeight="1" x14ac:dyDescent="0.25">
      <c r="A2" s="305" t="s">
        <v>838</v>
      </c>
      <c r="B2" s="305"/>
      <c r="C2" s="305"/>
      <c r="D2" s="305"/>
      <c r="E2" s="305"/>
      <c r="F2" s="305"/>
      <c r="G2" s="305"/>
      <c r="H2" s="305"/>
      <c r="J2" s="264" t="s">
        <v>1142</v>
      </c>
      <c r="K2" s="264"/>
      <c r="L2" s="264"/>
      <c r="M2" s="264"/>
      <c r="N2" s="264"/>
    </row>
    <row r="3" spans="1:15" ht="15" customHeight="1" x14ac:dyDescent="0.25">
      <c r="A3" s="306" t="s">
        <v>839</v>
      </c>
      <c r="B3" s="306"/>
      <c r="C3" s="306"/>
      <c r="D3" s="306"/>
      <c r="E3" s="306"/>
      <c r="F3" s="306"/>
      <c r="G3" s="306"/>
      <c r="H3" s="306"/>
    </row>
    <row r="4" spans="1:15" ht="30" x14ac:dyDescent="0.25">
      <c r="A4" s="35" t="s">
        <v>840</v>
      </c>
      <c r="B4" s="35" t="s">
        <v>841</v>
      </c>
      <c r="C4" s="35" t="s">
        <v>842</v>
      </c>
      <c r="D4" s="35" t="s">
        <v>843</v>
      </c>
      <c r="E4" s="35" t="s">
        <v>6</v>
      </c>
      <c r="F4" s="35" t="s">
        <v>7</v>
      </c>
      <c r="G4" s="35" t="s">
        <v>8</v>
      </c>
      <c r="H4" s="36" t="s">
        <v>844</v>
      </c>
      <c r="I4" s="179"/>
      <c r="J4" s="180"/>
      <c r="K4" s="180"/>
      <c r="L4" s="180"/>
      <c r="M4" s="180"/>
      <c r="N4" s="180"/>
      <c r="O4" s="180"/>
    </row>
    <row r="5" spans="1:15" ht="26.25" x14ac:dyDescent="0.25">
      <c r="A5" s="37"/>
      <c r="B5" s="37"/>
      <c r="C5" s="38" t="s">
        <v>845</v>
      </c>
      <c r="D5" s="37"/>
      <c r="E5" s="37"/>
      <c r="F5" s="39"/>
      <c r="G5" s="39"/>
      <c r="H5" s="40"/>
    </row>
    <row r="6" spans="1:15" ht="26.25" x14ac:dyDescent="0.25">
      <c r="A6" s="37">
        <v>1</v>
      </c>
      <c r="B6" s="37" t="s">
        <v>846</v>
      </c>
      <c r="C6" s="41" t="s">
        <v>847</v>
      </c>
      <c r="D6" s="37" t="s">
        <v>848</v>
      </c>
      <c r="E6" s="42">
        <v>13585595.022</v>
      </c>
      <c r="F6" s="43">
        <v>11880.5724928</v>
      </c>
      <c r="G6" s="44">
        <v>98.07403809918317</v>
      </c>
      <c r="H6" s="40"/>
      <c r="I6" s="181"/>
      <c r="K6" s="182"/>
    </row>
    <row r="7" spans="1:15" x14ac:dyDescent="0.25">
      <c r="A7" s="45"/>
      <c r="B7" s="40"/>
      <c r="C7" s="40"/>
      <c r="D7" s="40"/>
      <c r="E7" s="40"/>
      <c r="F7" s="40"/>
      <c r="G7" s="40"/>
      <c r="H7" s="46"/>
    </row>
    <row r="8" spans="1:15" ht="25.5" x14ac:dyDescent="0.25">
      <c r="A8" s="47"/>
      <c r="B8" s="47"/>
      <c r="C8" s="48" t="s">
        <v>849</v>
      </c>
      <c r="D8" s="48"/>
      <c r="E8" s="49"/>
      <c r="F8" s="50">
        <v>11880.5724928</v>
      </c>
      <c r="G8" s="51">
        <v>98.07403809918317</v>
      </c>
      <c r="H8" s="52"/>
    </row>
    <row r="9" spans="1:15" x14ac:dyDescent="0.25">
      <c r="A9" s="47"/>
      <c r="B9" s="47"/>
      <c r="C9" s="47"/>
      <c r="D9" s="47"/>
      <c r="E9" s="47"/>
      <c r="F9" s="53"/>
      <c r="G9" s="47"/>
      <c r="H9" s="40"/>
    </row>
    <row r="10" spans="1:15" x14ac:dyDescent="0.25">
      <c r="A10" s="37"/>
      <c r="B10" s="37"/>
      <c r="C10" s="54" t="s">
        <v>850</v>
      </c>
      <c r="D10" s="54"/>
      <c r="E10" s="54"/>
      <c r="F10" s="55"/>
      <c r="G10" s="47"/>
      <c r="H10" s="40"/>
    </row>
    <row r="11" spans="1:15" x14ac:dyDescent="0.25">
      <c r="A11" s="37"/>
      <c r="B11" s="37"/>
      <c r="C11" s="56" t="s">
        <v>851</v>
      </c>
      <c r="D11" s="54"/>
      <c r="E11" s="54"/>
      <c r="F11" s="55"/>
      <c r="G11" s="47"/>
      <c r="H11" s="40"/>
    </row>
    <row r="12" spans="1:15" x14ac:dyDescent="0.25">
      <c r="A12" s="47"/>
      <c r="B12" s="47"/>
      <c r="C12" s="57" t="s">
        <v>137</v>
      </c>
      <c r="D12" s="54"/>
      <c r="E12" s="54"/>
      <c r="F12" s="58">
        <v>271.06869970000008</v>
      </c>
      <c r="G12" s="58">
        <v>2.2376701121082401</v>
      </c>
      <c r="H12" s="59">
        <v>4.17</v>
      </c>
    </row>
    <row r="13" spans="1:15" x14ac:dyDescent="0.25">
      <c r="A13" s="47"/>
      <c r="B13" s="47"/>
      <c r="C13" s="57"/>
      <c r="D13" s="54"/>
      <c r="E13" s="54"/>
      <c r="F13" s="58"/>
      <c r="G13" s="44"/>
      <c r="H13" s="40"/>
      <c r="J13" s="183" t="s">
        <v>1166</v>
      </c>
    </row>
    <row r="14" spans="1:15" x14ac:dyDescent="0.25">
      <c r="A14" s="47"/>
      <c r="B14" s="47"/>
      <c r="C14" s="60" t="s">
        <v>138</v>
      </c>
      <c r="D14" s="47"/>
      <c r="E14" s="47"/>
      <c r="F14" s="61">
        <v>271.06869970000008</v>
      </c>
      <c r="G14" s="51">
        <v>2.2376701121082401</v>
      </c>
      <c r="H14" s="40"/>
    </row>
    <row r="15" spans="1:15" x14ac:dyDescent="0.25">
      <c r="A15" s="47"/>
      <c r="B15" s="47"/>
      <c r="C15" s="47"/>
      <c r="D15" s="47"/>
      <c r="E15" s="47"/>
      <c r="F15" s="53"/>
      <c r="G15" s="47"/>
      <c r="H15" s="40"/>
    </row>
    <row r="16" spans="1:15" x14ac:dyDescent="0.25">
      <c r="A16" s="47"/>
      <c r="B16" s="47"/>
      <c r="C16" s="57" t="s">
        <v>852</v>
      </c>
      <c r="D16" s="54"/>
      <c r="E16" s="54"/>
      <c r="F16" s="58">
        <v>-37.759962499998437</v>
      </c>
      <c r="G16" s="58">
        <v>-0.31170821129140652</v>
      </c>
      <c r="H16" s="62"/>
    </row>
    <row r="17" spans="1:9" x14ac:dyDescent="0.25">
      <c r="A17" s="47"/>
      <c r="B17" s="47"/>
      <c r="C17" s="47"/>
      <c r="D17" s="47"/>
      <c r="E17" s="47"/>
      <c r="F17" s="53"/>
      <c r="G17" s="47"/>
      <c r="H17" s="40"/>
    </row>
    <row r="18" spans="1:9" x14ac:dyDescent="0.25">
      <c r="A18" s="47"/>
      <c r="B18" s="47"/>
      <c r="C18" s="60" t="s">
        <v>145</v>
      </c>
      <c r="D18" s="47"/>
      <c r="E18" s="47"/>
      <c r="F18" s="61">
        <v>12113.881230000001</v>
      </c>
      <c r="G18" s="63">
        <v>100</v>
      </c>
      <c r="H18" s="64"/>
    </row>
    <row r="19" spans="1:9" x14ac:dyDescent="0.25">
      <c r="F19" s="65"/>
      <c r="H19" s="66"/>
      <c r="I19" s="181"/>
    </row>
    <row r="20" spans="1:9" x14ac:dyDescent="0.25">
      <c r="B20" s="67" t="s">
        <v>147</v>
      </c>
      <c r="C20" s="68"/>
      <c r="D20" s="68"/>
      <c r="E20" s="68"/>
      <c r="F20" s="69"/>
      <c r="G20" s="68"/>
    </row>
    <row r="21" spans="1:9" x14ac:dyDescent="0.25">
      <c r="B21" s="68" t="s">
        <v>853</v>
      </c>
      <c r="C21" s="68"/>
      <c r="D21" s="68"/>
      <c r="E21" s="68"/>
      <c r="F21" s="70"/>
      <c r="G21" s="70"/>
    </row>
    <row r="22" spans="1:9" x14ac:dyDescent="0.25">
      <c r="B22" s="302" t="s">
        <v>854</v>
      </c>
      <c r="C22" s="302"/>
      <c r="D22" s="68"/>
      <c r="E22" s="68"/>
      <c r="F22" s="71"/>
      <c r="G22" s="71"/>
    </row>
    <row r="23" spans="1:9" x14ac:dyDescent="0.25">
      <c r="B23" s="307" t="s">
        <v>151</v>
      </c>
      <c r="C23" s="308"/>
      <c r="D23" s="309"/>
      <c r="E23" s="72"/>
      <c r="F23" s="68" t="s">
        <v>159</v>
      </c>
      <c r="G23" s="68"/>
    </row>
    <row r="24" spans="1:9" x14ac:dyDescent="0.25">
      <c r="B24" s="73"/>
      <c r="C24" s="74" t="s">
        <v>152</v>
      </c>
      <c r="D24" s="74" t="s">
        <v>153</v>
      </c>
      <c r="E24" s="75"/>
      <c r="F24" s="75"/>
      <c r="G24" s="68"/>
    </row>
    <row r="25" spans="1:9" x14ac:dyDescent="0.25">
      <c r="B25" s="76" t="s">
        <v>855</v>
      </c>
      <c r="C25" s="23" t="s">
        <v>155</v>
      </c>
      <c r="D25" s="23" t="s">
        <v>156</v>
      </c>
      <c r="E25" s="77"/>
      <c r="F25" s="77"/>
      <c r="G25" s="78"/>
    </row>
    <row r="26" spans="1:9" x14ac:dyDescent="0.25">
      <c r="B26" s="79" t="s">
        <v>157</v>
      </c>
      <c r="C26" s="80">
        <v>24.0809</v>
      </c>
      <c r="D26" s="80">
        <v>23.72</v>
      </c>
      <c r="E26" s="81"/>
      <c r="F26" s="78"/>
      <c r="G26" s="78"/>
    </row>
    <row r="27" spans="1:9" x14ac:dyDescent="0.25">
      <c r="B27" s="167" t="s">
        <v>1120</v>
      </c>
      <c r="C27" s="80">
        <v>21.419799999999999</v>
      </c>
      <c r="D27" s="80">
        <v>21.098600000000001</v>
      </c>
      <c r="E27" s="81"/>
      <c r="F27" s="78"/>
      <c r="G27" s="78"/>
    </row>
    <row r="28" spans="1:9" x14ac:dyDescent="0.25">
      <c r="B28" s="79" t="s">
        <v>158</v>
      </c>
      <c r="C28" s="80">
        <v>22.708600000000001</v>
      </c>
      <c r="D28" s="80">
        <v>22.345099999999999</v>
      </c>
      <c r="E28" s="81"/>
      <c r="F28" s="78"/>
      <c r="G28" s="78"/>
    </row>
    <row r="29" spans="1:9" x14ac:dyDescent="0.25">
      <c r="B29" s="168" t="s">
        <v>1121</v>
      </c>
      <c r="C29" s="80">
        <v>19.459399999999999</v>
      </c>
      <c r="D29" s="80">
        <v>19.1478</v>
      </c>
      <c r="E29" s="81"/>
      <c r="F29" s="78"/>
      <c r="G29" s="78"/>
    </row>
    <row r="30" spans="1:9" ht="15" customHeight="1" x14ac:dyDescent="0.25">
      <c r="B30" s="82"/>
      <c r="C30" s="83"/>
      <c r="D30" s="83"/>
      <c r="E30" s="83"/>
      <c r="F30" s="83"/>
      <c r="G30" s="68"/>
    </row>
    <row r="31" spans="1:9" x14ac:dyDescent="0.25">
      <c r="B31" s="310" t="s">
        <v>856</v>
      </c>
      <c r="C31" s="310"/>
      <c r="D31" s="310"/>
      <c r="E31" s="84"/>
      <c r="F31" s="84"/>
      <c r="G31" s="78"/>
    </row>
    <row r="32" spans="1:9" x14ac:dyDescent="0.25">
      <c r="B32" s="302" t="s">
        <v>857</v>
      </c>
      <c r="C32" s="302"/>
      <c r="D32" s="302"/>
      <c r="E32" s="68"/>
      <c r="F32" s="68"/>
      <c r="G32" s="68"/>
    </row>
    <row r="33" spans="2:7" ht="15" customHeight="1" x14ac:dyDescent="0.25">
      <c r="B33" s="85" t="s">
        <v>858</v>
      </c>
      <c r="C33" s="85"/>
      <c r="D33" s="85"/>
      <c r="E33" s="86"/>
      <c r="F33" s="86"/>
      <c r="G33" s="68"/>
    </row>
    <row r="34" spans="2:7" x14ac:dyDescent="0.25">
      <c r="B34" s="303" t="s">
        <v>859</v>
      </c>
      <c r="C34" s="303"/>
      <c r="D34" s="303"/>
      <c r="E34" s="78"/>
      <c r="F34" s="78"/>
      <c r="G34" s="78"/>
    </row>
  </sheetData>
  <mergeCells count="9">
    <mergeCell ref="J2:N2"/>
    <mergeCell ref="B32:D32"/>
    <mergeCell ref="B34:D34"/>
    <mergeCell ref="A1:H1"/>
    <mergeCell ref="A2:H2"/>
    <mergeCell ref="A3:H3"/>
    <mergeCell ref="B22:C22"/>
    <mergeCell ref="B23:D23"/>
    <mergeCell ref="B31:D31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1BFF-EE8C-4FE9-B760-763179D132C0}">
  <dimension ref="B1:L201"/>
  <sheetViews>
    <sheetView workbookViewId="0"/>
  </sheetViews>
  <sheetFormatPr defaultRowHeight="12.75" x14ac:dyDescent="0.2"/>
  <cols>
    <col min="1" max="1" width="4.7109375" style="154" customWidth="1"/>
    <col min="2" max="2" width="41.140625" style="154" customWidth="1"/>
    <col min="3" max="3" width="49.42578125" style="154" customWidth="1"/>
    <col min="4" max="4" width="17.28515625" style="154" bestFit="1" customWidth="1"/>
    <col min="5" max="5" width="20.140625" style="154" bestFit="1" customWidth="1"/>
    <col min="6" max="6" width="16.5703125" style="154" customWidth="1"/>
    <col min="7" max="7" width="19" style="154" customWidth="1"/>
    <col min="8" max="8" width="17.5703125" style="154" customWidth="1"/>
    <col min="9" max="9" width="15.5703125" style="154" bestFit="1" customWidth="1"/>
    <col min="10" max="10" width="13.5703125" style="154" customWidth="1"/>
    <col min="11" max="11" width="20.5703125" style="154" customWidth="1"/>
    <col min="12" max="12" width="12.42578125" style="154" bestFit="1" customWidth="1"/>
    <col min="13" max="256" width="9.140625" style="154"/>
    <col min="257" max="257" width="23" style="154" customWidth="1"/>
    <col min="258" max="258" width="41.140625" style="154" customWidth="1"/>
    <col min="259" max="259" width="49.42578125" style="154" customWidth="1"/>
    <col min="260" max="260" width="17.28515625" style="154" bestFit="1" customWidth="1"/>
    <col min="261" max="261" width="20.140625" style="154" bestFit="1" customWidth="1"/>
    <col min="262" max="262" width="16.5703125" style="154" customWidth="1"/>
    <col min="263" max="263" width="19" style="154" customWidth="1"/>
    <col min="264" max="264" width="17.5703125" style="154" customWidth="1"/>
    <col min="265" max="265" width="15.5703125" style="154" bestFit="1" customWidth="1"/>
    <col min="266" max="266" width="13.5703125" style="154" customWidth="1"/>
    <col min="267" max="267" width="20.5703125" style="154" customWidth="1"/>
    <col min="268" max="268" width="12.42578125" style="154" bestFit="1" customWidth="1"/>
    <col min="269" max="512" width="9.140625" style="154"/>
    <col min="513" max="513" width="23" style="154" customWidth="1"/>
    <col min="514" max="514" width="41.140625" style="154" customWidth="1"/>
    <col min="515" max="515" width="49.42578125" style="154" customWidth="1"/>
    <col min="516" max="516" width="17.28515625" style="154" bestFit="1" customWidth="1"/>
    <col min="517" max="517" width="20.140625" style="154" bestFit="1" customWidth="1"/>
    <col min="518" max="518" width="16.5703125" style="154" customWidth="1"/>
    <col min="519" max="519" width="19" style="154" customWidth="1"/>
    <col min="520" max="520" width="17.5703125" style="154" customWidth="1"/>
    <col min="521" max="521" width="15.5703125" style="154" bestFit="1" customWidth="1"/>
    <col min="522" max="522" width="13.5703125" style="154" customWidth="1"/>
    <col min="523" max="523" width="20.5703125" style="154" customWidth="1"/>
    <col min="524" max="524" width="12.42578125" style="154" bestFit="1" customWidth="1"/>
    <col min="525" max="768" width="9.140625" style="154"/>
    <col min="769" max="769" width="23" style="154" customWidth="1"/>
    <col min="770" max="770" width="41.140625" style="154" customWidth="1"/>
    <col min="771" max="771" width="49.42578125" style="154" customWidth="1"/>
    <col min="772" max="772" width="17.28515625" style="154" bestFit="1" customWidth="1"/>
    <col min="773" max="773" width="20.140625" style="154" bestFit="1" customWidth="1"/>
    <col min="774" max="774" width="16.5703125" style="154" customWidth="1"/>
    <col min="775" max="775" width="19" style="154" customWidth="1"/>
    <col min="776" max="776" width="17.5703125" style="154" customWidth="1"/>
    <col min="777" max="777" width="15.5703125" style="154" bestFit="1" customWidth="1"/>
    <col min="778" max="778" width="13.5703125" style="154" customWidth="1"/>
    <col min="779" max="779" width="20.5703125" style="154" customWidth="1"/>
    <col min="780" max="780" width="12.42578125" style="154" bestFit="1" customWidth="1"/>
    <col min="781" max="1024" width="9.140625" style="154"/>
    <col min="1025" max="1025" width="23" style="154" customWidth="1"/>
    <col min="1026" max="1026" width="41.140625" style="154" customWidth="1"/>
    <col min="1027" max="1027" width="49.42578125" style="154" customWidth="1"/>
    <col min="1028" max="1028" width="17.28515625" style="154" bestFit="1" customWidth="1"/>
    <col min="1029" max="1029" width="20.140625" style="154" bestFit="1" customWidth="1"/>
    <col min="1030" max="1030" width="16.5703125" style="154" customWidth="1"/>
    <col min="1031" max="1031" width="19" style="154" customWidth="1"/>
    <col min="1032" max="1032" width="17.5703125" style="154" customWidth="1"/>
    <col min="1033" max="1033" width="15.5703125" style="154" bestFit="1" customWidth="1"/>
    <col min="1034" max="1034" width="13.5703125" style="154" customWidth="1"/>
    <col min="1035" max="1035" width="20.5703125" style="154" customWidth="1"/>
    <col min="1036" max="1036" width="12.42578125" style="154" bestFit="1" customWidth="1"/>
    <col min="1037" max="1280" width="9.140625" style="154"/>
    <col min="1281" max="1281" width="23" style="154" customWidth="1"/>
    <col min="1282" max="1282" width="41.140625" style="154" customWidth="1"/>
    <col min="1283" max="1283" width="49.42578125" style="154" customWidth="1"/>
    <col min="1284" max="1284" width="17.28515625" style="154" bestFit="1" customWidth="1"/>
    <col min="1285" max="1285" width="20.140625" style="154" bestFit="1" customWidth="1"/>
    <col min="1286" max="1286" width="16.5703125" style="154" customWidth="1"/>
    <col min="1287" max="1287" width="19" style="154" customWidth="1"/>
    <col min="1288" max="1288" width="17.5703125" style="154" customWidth="1"/>
    <col min="1289" max="1289" width="15.5703125" style="154" bestFit="1" customWidth="1"/>
    <col min="1290" max="1290" width="13.5703125" style="154" customWidth="1"/>
    <col min="1291" max="1291" width="20.5703125" style="154" customWidth="1"/>
    <col min="1292" max="1292" width="12.42578125" style="154" bestFit="1" customWidth="1"/>
    <col min="1293" max="1536" width="9.140625" style="154"/>
    <col min="1537" max="1537" width="23" style="154" customWidth="1"/>
    <col min="1538" max="1538" width="41.140625" style="154" customWidth="1"/>
    <col min="1539" max="1539" width="49.42578125" style="154" customWidth="1"/>
    <col min="1540" max="1540" width="17.28515625" style="154" bestFit="1" customWidth="1"/>
    <col min="1541" max="1541" width="20.140625" style="154" bestFit="1" customWidth="1"/>
    <col min="1542" max="1542" width="16.5703125" style="154" customWidth="1"/>
    <col min="1543" max="1543" width="19" style="154" customWidth="1"/>
    <col min="1544" max="1544" width="17.5703125" style="154" customWidth="1"/>
    <col min="1545" max="1545" width="15.5703125" style="154" bestFit="1" customWidth="1"/>
    <col min="1546" max="1546" width="13.5703125" style="154" customWidth="1"/>
    <col min="1547" max="1547" width="20.5703125" style="154" customWidth="1"/>
    <col min="1548" max="1548" width="12.42578125" style="154" bestFit="1" customWidth="1"/>
    <col min="1549" max="1792" width="9.140625" style="154"/>
    <col min="1793" max="1793" width="23" style="154" customWidth="1"/>
    <col min="1794" max="1794" width="41.140625" style="154" customWidth="1"/>
    <col min="1795" max="1795" width="49.42578125" style="154" customWidth="1"/>
    <col min="1796" max="1796" width="17.28515625" style="154" bestFit="1" customWidth="1"/>
    <col min="1797" max="1797" width="20.140625" style="154" bestFit="1" customWidth="1"/>
    <col min="1798" max="1798" width="16.5703125" style="154" customWidth="1"/>
    <col min="1799" max="1799" width="19" style="154" customWidth="1"/>
    <col min="1800" max="1800" width="17.5703125" style="154" customWidth="1"/>
    <col min="1801" max="1801" width="15.5703125" style="154" bestFit="1" customWidth="1"/>
    <col min="1802" max="1802" width="13.5703125" style="154" customWidth="1"/>
    <col min="1803" max="1803" width="20.5703125" style="154" customWidth="1"/>
    <col min="1804" max="1804" width="12.42578125" style="154" bestFit="1" customWidth="1"/>
    <col min="1805" max="2048" width="9.140625" style="154"/>
    <col min="2049" max="2049" width="23" style="154" customWidth="1"/>
    <col min="2050" max="2050" width="41.140625" style="154" customWidth="1"/>
    <col min="2051" max="2051" width="49.42578125" style="154" customWidth="1"/>
    <col min="2052" max="2052" width="17.28515625" style="154" bestFit="1" customWidth="1"/>
    <col min="2053" max="2053" width="20.140625" style="154" bestFit="1" customWidth="1"/>
    <col min="2054" max="2054" width="16.5703125" style="154" customWidth="1"/>
    <col min="2055" max="2055" width="19" style="154" customWidth="1"/>
    <col min="2056" max="2056" width="17.5703125" style="154" customWidth="1"/>
    <col min="2057" max="2057" width="15.5703125" style="154" bestFit="1" customWidth="1"/>
    <col min="2058" max="2058" width="13.5703125" style="154" customWidth="1"/>
    <col min="2059" max="2059" width="20.5703125" style="154" customWidth="1"/>
    <col min="2060" max="2060" width="12.42578125" style="154" bestFit="1" customWidth="1"/>
    <col min="2061" max="2304" width="9.140625" style="154"/>
    <col min="2305" max="2305" width="23" style="154" customWidth="1"/>
    <col min="2306" max="2306" width="41.140625" style="154" customWidth="1"/>
    <col min="2307" max="2307" width="49.42578125" style="154" customWidth="1"/>
    <col min="2308" max="2308" width="17.28515625" style="154" bestFit="1" customWidth="1"/>
    <col min="2309" max="2309" width="20.140625" style="154" bestFit="1" customWidth="1"/>
    <col min="2310" max="2310" width="16.5703125" style="154" customWidth="1"/>
    <col min="2311" max="2311" width="19" style="154" customWidth="1"/>
    <col min="2312" max="2312" width="17.5703125" style="154" customWidth="1"/>
    <col min="2313" max="2313" width="15.5703125" style="154" bestFit="1" customWidth="1"/>
    <col min="2314" max="2314" width="13.5703125" style="154" customWidth="1"/>
    <col min="2315" max="2315" width="20.5703125" style="154" customWidth="1"/>
    <col min="2316" max="2316" width="12.42578125" style="154" bestFit="1" customWidth="1"/>
    <col min="2317" max="2560" width="9.140625" style="154"/>
    <col min="2561" max="2561" width="23" style="154" customWidth="1"/>
    <col min="2562" max="2562" width="41.140625" style="154" customWidth="1"/>
    <col min="2563" max="2563" width="49.42578125" style="154" customWidth="1"/>
    <col min="2564" max="2564" width="17.28515625" style="154" bestFit="1" customWidth="1"/>
    <col min="2565" max="2565" width="20.140625" style="154" bestFit="1" customWidth="1"/>
    <col min="2566" max="2566" width="16.5703125" style="154" customWidth="1"/>
    <col min="2567" max="2567" width="19" style="154" customWidth="1"/>
    <col min="2568" max="2568" width="17.5703125" style="154" customWidth="1"/>
    <col min="2569" max="2569" width="15.5703125" style="154" bestFit="1" customWidth="1"/>
    <col min="2570" max="2570" width="13.5703125" style="154" customWidth="1"/>
    <col min="2571" max="2571" width="20.5703125" style="154" customWidth="1"/>
    <col min="2572" max="2572" width="12.42578125" style="154" bestFit="1" customWidth="1"/>
    <col min="2573" max="2816" width="9.140625" style="154"/>
    <col min="2817" max="2817" width="23" style="154" customWidth="1"/>
    <col min="2818" max="2818" width="41.140625" style="154" customWidth="1"/>
    <col min="2819" max="2819" width="49.42578125" style="154" customWidth="1"/>
    <col min="2820" max="2820" width="17.28515625" style="154" bestFit="1" customWidth="1"/>
    <col min="2821" max="2821" width="20.140625" style="154" bestFit="1" customWidth="1"/>
    <col min="2822" max="2822" width="16.5703125" style="154" customWidth="1"/>
    <col min="2823" max="2823" width="19" style="154" customWidth="1"/>
    <col min="2824" max="2824" width="17.5703125" style="154" customWidth="1"/>
    <col min="2825" max="2825" width="15.5703125" style="154" bestFit="1" customWidth="1"/>
    <col min="2826" max="2826" width="13.5703125" style="154" customWidth="1"/>
    <col min="2827" max="2827" width="20.5703125" style="154" customWidth="1"/>
    <col min="2828" max="2828" width="12.42578125" style="154" bestFit="1" customWidth="1"/>
    <col min="2829" max="3072" width="9.140625" style="154"/>
    <col min="3073" max="3073" width="23" style="154" customWidth="1"/>
    <col min="3074" max="3074" width="41.140625" style="154" customWidth="1"/>
    <col min="3075" max="3075" width="49.42578125" style="154" customWidth="1"/>
    <col min="3076" max="3076" width="17.28515625" style="154" bestFit="1" customWidth="1"/>
    <col min="3077" max="3077" width="20.140625" style="154" bestFit="1" customWidth="1"/>
    <col min="3078" max="3078" width="16.5703125" style="154" customWidth="1"/>
    <col min="3079" max="3079" width="19" style="154" customWidth="1"/>
    <col min="3080" max="3080" width="17.5703125" style="154" customWidth="1"/>
    <col min="3081" max="3081" width="15.5703125" style="154" bestFit="1" customWidth="1"/>
    <col min="3082" max="3082" width="13.5703125" style="154" customWidth="1"/>
    <col min="3083" max="3083" width="20.5703125" style="154" customWidth="1"/>
    <col min="3084" max="3084" width="12.42578125" style="154" bestFit="1" customWidth="1"/>
    <col min="3085" max="3328" width="9.140625" style="154"/>
    <col min="3329" max="3329" width="23" style="154" customWidth="1"/>
    <col min="3330" max="3330" width="41.140625" style="154" customWidth="1"/>
    <col min="3331" max="3331" width="49.42578125" style="154" customWidth="1"/>
    <col min="3332" max="3332" width="17.28515625" style="154" bestFit="1" customWidth="1"/>
    <col min="3333" max="3333" width="20.140625" style="154" bestFit="1" customWidth="1"/>
    <col min="3334" max="3334" width="16.5703125" style="154" customWidth="1"/>
    <col min="3335" max="3335" width="19" style="154" customWidth="1"/>
    <col min="3336" max="3336" width="17.5703125" style="154" customWidth="1"/>
    <col min="3337" max="3337" width="15.5703125" style="154" bestFit="1" customWidth="1"/>
    <col min="3338" max="3338" width="13.5703125" style="154" customWidth="1"/>
    <col min="3339" max="3339" width="20.5703125" style="154" customWidth="1"/>
    <col min="3340" max="3340" width="12.42578125" style="154" bestFit="1" customWidth="1"/>
    <col min="3341" max="3584" width="9.140625" style="154"/>
    <col min="3585" max="3585" width="23" style="154" customWidth="1"/>
    <col min="3586" max="3586" width="41.140625" style="154" customWidth="1"/>
    <col min="3587" max="3587" width="49.42578125" style="154" customWidth="1"/>
    <col min="3588" max="3588" width="17.28515625" style="154" bestFit="1" customWidth="1"/>
    <col min="3589" max="3589" width="20.140625" style="154" bestFit="1" customWidth="1"/>
    <col min="3590" max="3590" width="16.5703125" style="154" customWidth="1"/>
    <col min="3591" max="3591" width="19" style="154" customWidth="1"/>
    <col min="3592" max="3592" width="17.5703125" style="154" customWidth="1"/>
    <col min="3593" max="3593" width="15.5703125" style="154" bestFit="1" customWidth="1"/>
    <col min="3594" max="3594" width="13.5703125" style="154" customWidth="1"/>
    <col min="3595" max="3595" width="20.5703125" style="154" customWidth="1"/>
    <col min="3596" max="3596" width="12.42578125" style="154" bestFit="1" customWidth="1"/>
    <col min="3597" max="3840" width="9.140625" style="154"/>
    <col min="3841" max="3841" width="23" style="154" customWidth="1"/>
    <col min="3842" max="3842" width="41.140625" style="154" customWidth="1"/>
    <col min="3843" max="3843" width="49.42578125" style="154" customWidth="1"/>
    <col min="3844" max="3844" width="17.28515625" style="154" bestFit="1" customWidth="1"/>
    <col min="3845" max="3845" width="20.140625" style="154" bestFit="1" customWidth="1"/>
    <col min="3846" max="3846" width="16.5703125" style="154" customWidth="1"/>
    <col min="3847" max="3847" width="19" style="154" customWidth="1"/>
    <col min="3848" max="3848" width="17.5703125" style="154" customWidth="1"/>
    <col min="3849" max="3849" width="15.5703125" style="154" bestFit="1" customWidth="1"/>
    <col min="3850" max="3850" width="13.5703125" style="154" customWidth="1"/>
    <col min="3851" max="3851" width="20.5703125" style="154" customWidth="1"/>
    <col min="3852" max="3852" width="12.42578125" style="154" bestFit="1" customWidth="1"/>
    <col min="3853" max="4096" width="9.140625" style="154"/>
    <col min="4097" max="4097" width="23" style="154" customWidth="1"/>
    <col min="4098" max="4098" width="41.140625" style="154" customWidth="1"/>
    <col min="4099" max="4099" width="49.42578125" style="154" customWidth="1"/>
    <col min="4100" max="4100" width="17.28515625" style="154" bestFit="1" customWidth="1"/>
    <col min="4101" max="4101" width="20.140625" style="154" bestFit="1" customWidth="1"/>
    <col min="4102" max="4102" width="16.5703125" style="154" customWidth="1"/>
    <col min="4103" max="4103" width="19" style="154" customWidth="1"/>
    <col min="4104" max="4104" width="17.5703125" style="154" customWidth="1"/>
    <col min="4105" max="4105" width="15.5703125" style="154" bestFit="1" customWidth="1"/>
    <col min="4106" max="4106" width="13.5703125" style="154" customWidth="1"/>
    <col min="4107" max="4107" width="20.5703125" style="154" customWidth="1"/>
    <col min="4108" max="4108" width="12.42578125" style="154" bestFit="1" customWidth="1"/>
    <col min="4109" max="4352" width="9.140625" style="154"/>
    <col min="4353" max="4353" width="23" style="154" customWidth="1"/>
    <col min="4354" max="4354" width="41.140625" style="154" customWidth="1"/>
    <col min="4355" max="4355" width="49.42578125" style="154" customWidth="1"/>
    <col min="4356" max="4356" width="17.28515625" style="154" bestFit="1" customWidth="1"/>
    <col min="4357" max="4357" width="20.140625" style="154" bestFit="1" customWidth="1"/>
    <col min="4358" max="4358" width="16.5703125" style="154" customWidth="1"/>
    <col min="4359" max="4359" width="19" style="154" customWidth="1"/>
    <col min="4360" max="4360" width="17.5703125" style="154" customWidth="1"/>
    <col min="4361" max="4361" width="15.5703125" style="154" bestFit="1" customWidth="1"/>
    <col min="4362" max="4362" width="13.5703125" style="154" customWidth="1"/>
    <col min="4363" max="4363" width="20.5703125" style="154" customWidth="1"/>
    <col min="4364" max="4364" width="12.42578125" style="154" bestFit="1" customWidth="1"/>
    <col min="4365" max="4608" width="9.140625" style="154"/>
    <col min="4609" max="4609" width="23" style="154" customWidth="1"/>
    <col min="4610" max="4610" width="41.140625" style="154" customWidth="1"/>
    <col min="4611" max="4611" width="49.42578125" style="154" customWidth="1"/>
    <col min="4612" max="4612" width="17.28515625" style="154" bestFit="1" customWidth="1"/>
    <col min="4613" max="4613" width="20.140625" style="154" bestFit="1" customWidth="1"/>
    <col min="4614" max="4614" width="16.5703125" style="154" customWidth="1"/>
    <col min="4615" max="4615" width="19" style="154" customWidth="1"/>
    <col min="4616" max="4616" width="17.5703125" style="154" customWidth="1"/>
    <col min="4617" max="4617" width="15.5703125" style="154" bestFit="1" customWidth="1"/>
    <col min="4618" max="4618" width="13.5703125" style="154" customWidth="1"/>
    <col min="4619" max="4619" width="20.5703125" style="154" customWidth="1"/>
    <col min="4620" max="4620" width="12.42578125" style="154" bestFit="1" customWidth="1"/>
    <col min="4621" max="4864" width="9.140625" style="154"/>
    <col min="4865" max="4865" width="23" style="154" customWidth="1"/>
    <col min="4866" max="4866" width="41.140625" style="154" customWidth="1"/>
    <col min="4867" max="4867" width="49.42578125" style="154" customWidth="1"/>
    <col min="4868" max="4868" width="17.28515625" style="154" bestFit="1" customWidth="1"/>
    <col min="4869" max="4869" width="20.140625" style="154" bestFit="1" customWidth="1"/>
    <col min="4870" max="4870" width="16.5703125" style="154" customWidth="1"/>
    <col min="4871" max="4871" width="19" style="154" customWidth="1"/>
    <col min="4872" max="4872" width="17.5703125" style="154" customWidth="1"/>
    <col min="4873" max="4873" width="15.5703125" style="154" bestFit="1" customWidth="1"/>
    <col min="4874" max="4874" width="13.5703125" style="154" customWidth="1"/>
    <col min="4875" max="4875" width="20.5703125" style="154" customWidth="1"/>
    <col min="4876" max="4876" width="12.42578125" style="154" bestFit="1" customWidth="1"/>
    <col min="4877" max="5120" width="9.140625" style="154"/>
    <col min="5121" max="5121" width="23" style="154" customWidth="1"/>
    <col min="5122" max="5122" width="41.140625" style="154" customWidth="1"/>
    <col min="5123" max="5123" width="49.42578125" style="154" customWidth="1"/>
    <col min="5124" max="5124" width="17.28515625" style="154" bestFit="1" customWidth="1"/>
    <col min="5125" max="5125" width="20.140625" style="154" bestFit="1" customWidth="1"/>
    <col min="5126" max="5126" width="16.5703125" style="154" customWidth="1"/>
    <col min="5127" max="5127" width="19" style="154" customWidth="1"/>
    <col min="5128" max="5128" width="17.5703125" style="154" customWidth="1"/>
    <col min="5129" max="5129" width="15.5703125" style="154" bestFit="1" customWidth="1"/>
    <col min="5130" max="5130" width="13.5703125" style="154" customWidth="1"/>
    <col min="5131" max="5131" width="20.5703125" style="154" customWidth="1"/>
    <col min="5132" max="5132" width="12.42578125" style="154" bestFit="1" customWidth="1"/>
    <col min="5133" max="5376" width="9.140625" style="154"/>
    <col min="5377" max="5377" width="23" style="154" customWidth="1"/>
    <col min="5378" max="5378" width="41.140625" style="154" customWidth="1"/>
    <col min="5379" max="5379" width="49.42578125" style="154" customWidth="1"/>
    <col min="5380" max="5380" width="17.28515625" style="154" bestFit="1" customWidth="1"/>
    <col min="5381" max="5381" width="20.140625" style="154" bestFit="1" customWidth="1"/>
    <col min="5382" max="5382" width="16.5703125" style="154" customWidth="1"/>
    <col min="5383" max="5383" width="19" style="154" customWidth="1"/>
    <col min="5384" max="5384" width="17.5703125" style="154" customWidth="1"/>
    <col min="5385" max="5385" width="15.5703125" style="154" bestFit="1" customWidth="1"/>
    <col min="5386" max="5386" width="13.5703125" style="154" customWidth="1"/>
    <col min="5387" max="5387" width="20.5703125" style="154" customWidth="1"/>
    <col min="5388" max="5388" width="12.42578125" style="154" bestFit="1" customWidth="1"/>
    <col min="5389" max="5632" width="9.140625" style="154"/>
    <col min="5633" max="5633" width="23" style="154" customWidth="1"/>
    <col min="5634" max="5634" width="41.140625" style="154" customWidth="1"/>
    <col min="5635" max="5635" width="49.42578125" style="154" customWidth="1"/>
    <col min="5636" max="5636" width="17.28515625" style="154" bestFit="1" customWidth="1"/>
    <col min="5637" max="5637" width="20.140625" style="154" bestFit="1" customWidth="1"/>
    <col min="5638" max="5638" width="16.5703125" style="154" customWidth="1"/>
    <col min="5639" max="5639" width="19" style="154" customWidth="1"/>
    <col min="5640" max="5640" width="17.5703125" style="154" customWidth="1"/>
    <col min="5641" max="5641" width="15.5703125" style="154" bestFit="1" customWidth="1"/>
    <col min="5642" max="5642" width="13.5703125" style="154" customWidth="1"/>
    <col min="5643" max="5643" width="20.5703125" style="154" customWidth="1"/>
    <col min="5644" max="5644" width="12.42578125" style="154" bestFit="1" customWidth="1"/>
    <col min="5645" max="5888" width="9.140625" style="154"/>
    <col min="5889" max="5889" width="23" style="154" customWidth="1"/>
    <col min="5890" max="5890" width="41.140625" style="154" customWidth="1"/>
    <col min="5891" max="5891" width="49.42578125" style="154" customWidth="1"/>
    <col min="5892" max="5892" width="17.28515625" style="154" bestFit="1" customWidth="1"/>
    <col min="5893" max="5893" width="20.140625" style="154" bestFit="1" customWidth="1"/>
    <col min="5894" max="5894" width="16.5703125" style="154" customWidth="1"/>
    <col min="5895" max="5895" width="19" style="154" customWidth="1"/>
    <col min="5896" max="5896" width="17.5703125" style="154" customWidth="1"/>
    <col min="5897" max="5897" width="15.5703125" style="154" bestFit="1" customWidth="1"/>
    <col min="5898" max="5898" width="13.5703125" style="154" customWidth="1"/>
    <col min="5899" max="5899" width="20.5703125" style="154" customWidth="1"/>
    <col min="5900" max="5900" width="12.42578125" style="154" bestFit="1" customWidth="1"/>
    <col min="5901" max="6144" width="9.140625" style="154"/>
    <col min="6145" max="6145" width="23" style="154" customWidth="1"/>
    <col min="6146" max="6146" width="41.140625" style="154" customWidth="1"/>
    <col min="6147" max="6147" width="49.42578125" style="154" customWidth="1"/>
    <col min="6148" max="6148" width="17.28515625" style="154" bestFit="1" customWidth="1"/>
    <col min="6149" max="6149" width="20.140625" style="154" bestFit="1" customWidth="1"/>
    <col min="6150" max="6150" width="16.5703125" style="154" customWidth="1"/>
    <col min="6151" max="6151" width="19" style="154" customWidth="1"/>
    <col min="6152" max="6152" width="17.5703125" style="154" customWidth="1"/>
    <col min="6153" max="6153" width="15.5703125" style="154" bestFit="1" customWidth="1"/>
    <col min="6154" max="6154" width="13.5703125" style="154" customWidth="1"/>
    <col min="6155" max="6155" width="20.5703125" style="154" customWidth="1"/>
    <col min="6156" max="6156" width="12.42578125" style="154" bestFit="1" customWidth="1"/>
    <col min="6157" max="6400" width="9.140625" style="154"/>
    <col min="6401" max="6401" width="23" style="154" customWidth="1"/>
    <col min="6402" max="6402" width="41.140625" style="154" customWidth="1"/>
    <col min="6403" max="6403" width="49.42578125" style="154" customWidth="1"/>
    <col min="6404" max="6404" width="17.28515625" style="154" bestFit="1" customWidth="1"/>
    <col min="6405" max="6405" width="20.140625" style="154" bestFit="1" customWidth="1"/>
    <col min="6406" max="6406" width="16.5703125" style="154" customWidth="1"/>
    <col min="6407" max="6407" width="19" style="154" customWidth="1"/>
    <col min="6408" max="6408" width="17.5703125" style="154" customWidth="1"/>
    <col min="6409" max="6409" width="15.5703125" style="154" bestFit="1" customWidth="1"/>
    <col min="6410" max="6410" width="13.5703125" style="154" customWidth="1"/>
    <col min="6411" max="6411" width="20.5703125" style="154" customWidth="1"/>
    <col min="6412" max="6412" width="12.42578125" style="154" bestFit="1" customWidth="1"/>
    <col min="6413" max="6656" width="9.140625" style="154"/>
    <col min="6657" max="6657" width="23" style="154" customWidth="1"/>
    <col min="6658" max="6658" width="41.140625" style="154" customWidth="1"/>
    <col min="6659" max="6659" width="49.42578125" style="154" customWidth="1"/>
    <col min="6660" max="6660" width="17.28515625" style="154" bestFit="1" customWidth="1"/>
    <col min="6661" max="6661" width="20.140625" style="154" bestFit="1" customWidth="1"/>
    <col min="6662" max="6662" width="16.5703125" style="154" customWidth="1"/>
    <col min="6663" max="6663" width="19" style="154" customWidth="1"/>
    <col min="6664" max="6664" width="17.5703125" style="154" customWidth="1"/>
    <col min="6665" max="6665" width="15.5703125" style="154" bestFit="1" customWidth="1"/>
    <col min="6666" max="6666" width="13.5703125" style="154" customWidth="1"/>
    <col min="6667" max="6667" width="20.5703125" style="154" customWidth="1"/>
    <col min="6668" max="6668" width="12.42578125" style="154" bestFit="1" customWidth="1"/>
    <col min="6669" max="6912" width="9.140625" style="154"/>
    <col min="6913" max="6913" width="23" style="154" customWidth="1"/>
    <col min="6914" max="6914" width="41.140625" style="154" customWidth="1"/>
    <col min="6915" max="6915" width="49.42578125" style="154" customWidth="1"/>
    <col min="6916" max="6916" width="17.28515625" style="154" bestFit="1" customWidth="1"/>
    <col min="6917" max="6917" width="20.140625" style="154" bestFit="1" customWidth="1"/>
    <col min="6918" max="6918" width="16.5703125" style="154" customWidth="1"/>
    <col min="6919" max="6919" width="19" style="154" customWidth="1"/>
    <col min="6920" max="6920" width="17.5703125" style="154" customWidth="1"/>
    <col min="6921" max="6921" width="15.5703125" style="154" bestFit="1" customWidth="1"/>
    <col min="6922" max="6922" width="13.5703125" style="154" customWidth="1"/>
    <col min="6923" max="6923" width="20.5703125" style="154" customWidth="1"/>
    <col min="6924" max="6924" width="12.42578125" style="154" bestFit="1" customWidth="1"/>
    <col min="6925" max="7168" width="9.140625" style="154"/>
    <col min="7169" max="7169" width="23" style="154" customWidth="1"/>
    <col min="7170" max="7170" width="41.140625" style="154" customWidth="1"/>
    <col min="7171" max="7171" width="49.42578125" style="154" customWidth="1"/>
    <col min="7172" max="7172" width="17.28515625" style="154" bestFit="1" customWidth="1"/>
    <col min="7173" max="7173" width="20.140625" style="154" bestFit="1" customWidth="1"/>
    <col min="7174" max="7174" width="16.5703125" style="154" customWidth="1"/>
    <col min="7175" max="7175" width="19" style="154" customWidth="1"/>
    <col min="7176" max="7176" width="17.5703125" style="154" customWidth="1"/>
    <col min="7177" max="7177" width="15.5703125" style="154" bestFit="1" customWidth="1"/>
    <col min="7178" max="7178" width="13.5703125" style="154" customWidth="1"/>
    <col min="7179" max="7179" width="20.5703125" style="154" customWidth="1"/>
    <col min="7180" max="7180" width="12.42578125" style="154" bestFit="1" customWidth="1"/>
    <col min="7181" max="7424" width="9.140625" style="154"/>
    <col min="7425" max="7425" width="23" style="154" customWidth="1"/>
    <col min="7426" max="7426" width="41.140625" style="154" customWidth="1"/>
    <col min="7427" max="7427" width="49.42578125" style="154" customWidth="1"/>
    <col min="7428" max="7428" width="17.28515625" style="154" bestFit="1" customWidth="1"/>
    <col min="7429" max="7429" width="20.140625" style="154" bestFit="1" customWidth="1"/>
    <col min="7430" max="7430" width="16.5703125" style="154" customWidth="1"/>
    <col min="7431" max="7431" width="19" style="154" customWidth="1"/>
    <col min="7432" max="7432" width="17.5703125" style="154" customWidth="1"/>
    <col min="7433" max="7433" width="15.5703125" style="154" bestFit="1" customWidth="1"/>
    <col min="7434" max="7434" width="13.5703125" style="154" customWidth="1"/>
    <col min="7435" max="7435" width="20.5703125" style="154" customWidth="1"/>
    <col min="7436" max="7436" width="12.42578125" style="154" bestFit="1" customWidth="1"/>
    <col min="7437" max="7680" width="9.140625" style="154"/>
    <col min="7681" max="7681" width="23" style="154" customWidth="1"/>
    <col min="7682" max="7682" width="41.140625" style="154" customWidth="1"/>
    <col min="7683" max="7683" width="49.42578125" style="154" customWidth="1"/>
    <col min="7684" max="7684" width="17.28515625" style="154" bestFit="1" customWidth="1"/>
    <col min="7685" max="7685" width="20.140625" style="154" bestFit="1" customWidth="1"/>
    <col min="7686" max="7686" width="16.5703125" style="154" customWidth="1"/>
    <col min="7687" max="7687" width="19" style="154" customWidth="1"/>
    <col min="7688" max="7688" width="17.5703125" style="154" customWidth="1"/>
    <col min="7689" max="7689" width="15.5703125" style="154" bestFit="1" customWidth="1"/>
    <col min="7690" max="7690" width="13.5703125" style="154" customWidth="1"/>
    <col min="7691" max="7691" width="20.5703125" style="154" customWidth="1"/>
    <col min="7692" max="7692" width="12.42578125" style="154" bestFit="1" customWidth="1"/>
    <col min="7693" max="7936" width="9.140625" style="154"/>
    <col min="7937" max="7937" width="23" style="154" customWidth="1"/>
    <col min="7938" max="7938" width="41.140625" style="154" customWidth="1"/>
    <col min="7939" max="7939" width="49.42578125" style="154" customWidth="1"/>
    <col min="7940" max="7940" width="17.28515625" style="154" bestFit="1" customWidth="1"/>
    <col min="7941" max="7941" width="20.140625" style="154" bestFit="1" customWidth="1"/>
    <col min="7942" max="7942" width="16.5703125" style="154" customWidth="1"/>
    <col min="7943" max="7943" width="19" style="154" customWidth="1"/>
    <col min="7944" max="7944" width="17.5703125" style="154" customWidth="1"/>
    <col min="7945" max="7945" width="15.5703125" style="154" bestFit="1" customWidth="1"/>
    <col min="7946" max="7946" width="13.5703125" style="154" customWidth="1"/>
    <col min="7947" max="7947" width="20.5703125" style="154" customWidth="1"/>
    <col min="7948" max="7948" width="12.42578125" style="154" bestFit="1" customWidth="1"/>
    <col min="7949" max="8192" width="9.140625" style="154"/>
    <col min="8193" max="8193" width="23" style="154" customWidth="1"/>
    <col min="8194" max="8194" width="41.140625" style="154" customWidth="1"/>
    <col min="8195" max="8195" width="49.42578125" style="154" customWidth="1"/>
    <col min="8196" max="8196" width="17.28515625" style="154" bestFit="1" customWidth="1"/>
    <col min="8197" max="8197" width="20.140625" style="154" bestFit="1" customWidth="1"/>
    <col min="8198" max="8198" width="16.5703125" style="154" customWidth="1"/>
    <col min="8199" max="8199" width="19" style="154" customWidth="1"/>
    <col min="8200" max="8200" width="17.5703125" style="154" customWidth="1"/>
    <col min="8201" max="8201" width="15.5703125" style="154" bestFit="1" customWidth="1"/>
    <col min="8202" max="8202" width="13.5703125" style="154" customWidth="1"/>
    <col min="8203" max="8203" width="20.5703125" style="154" customWidth="1"/>
    <col min="8204" max="8204" width="12.42578125" style="154" bestFit="1" customWidth="1"/>
    <col min="8205" max="8448" width="9.140625" style="154"/>
    <col min="8449" max="8449" width="23" style="154" customWidth="1"/>
    <col min="8450" max="8450" width="41.140625" style="154" customWidth="1"/>
    <col min="8451" max="8451" width="49.42578125" style="154" customWidth="1"/>
    <col min="8452" max="8452" width="17.28515625" style="154" bestFit="1" customWidth="1"/>
    <col min="8453" max="8453" width="20.140625" style="154" bestFit="1" customWidth="1"/>
    <col min="8454" max="8454" width="16.5703125" style="154" customWidth="1"/>
    <col min="8455" max="8455" width="19" style="154" customWidth="1"/>
    <col min="8456" max="8456" width="17.5703125" style="154" customWidth="1"/>
    <col min="8457" max="8457" width="15.5703125" style="154" bestFit="1" customWidth="1"/>
    <col min="8458" max="8458" width="13.5703125" style="154" customWidth="1"/>
    <col min="8459" max="8459" width="20.5703125" style="154" customWidth="1"/>
    <col min="8460" max="8460" width="12.42578125" style="154" bestFit="1" customWidth="1"/>
    <col min="8461" max="8704" width="9.140625" style="154"/>
    <col min="8705" max="8705" width="23" style="154" customWidth="1"/>
    <col min="8706" max="8706" width="41.140625" style="154" customWidth="1"/>
    <col min="8707" max="8707" width="49.42578125" style="154" customWidth="1"/>
    <col min="8708" max="8708" width="17.28515625" style="154" bestFit="1" customWidth="1"/>
    <col min="8709" max="8709" width="20.140625" style="154" bestFit="1" customWidth="1"/>
    <col min="8710" max="8710" width="16.5703125" style="154" customWidth="1"/>
    <col min="8711" max="8711" width="19" style="154" customWidth="1"/>
    <col min="8712" max="8712" width="17.5703125" style="154" customWidth="1"/>
    <col min="8713" max="8713" width="15.5703125" style="154" bestFit="1" customWidth="1"/>
    <col min="8714" max="8714" width="13.5703125" style="154" customWidth="1"/>
    <col min="8715" max="8715" width="20.5703125" style="154" customWidth="1"/>
    <col min="8716" max="8716" width="12.42578125" style="154" bestFit="1" customWidth="1"/>
    <col min="8717" max="8960" width="9.140625" style="154"/>
    <col min="8961" max="8961" width="23" style="154" customWidth="1"/>
    <col min="8962" max="8962" width="41.140625" style="154" customWidth="1"/>
    <col min="8963" max="8963" width="49.42578125" style="154" customWidth="1"/>
    <col min="8964" max="8964" width="17.28515625" style="154" bestFit="1" customWidth="1"/>
    <col min="8965" max="8965" width="20.140625" style="154" bestFit="1" customWidth="1"/>
    <col min="8966" max="8966" width="16.5703125" style="154" customWidth="1"/>
    <col min="8967" max="8967" width="19" style="154" customWidth="1"/>
    <col min="8968" max="8968" width="17.5703125" style="154" customWidth="1"/>
    <col min="8969" max="8969" width="15.5703125" style="154" bestFit="1" customWidth="1"/>
    <col min="8970" max="8970" width="13.5703125" style="154" customWidth="1"/>
    <col min="8971" max="8971" width="20.5703125" style="154" customWidth="1"/>
    <col min="8972" max="8972" width="12.42578125" style="154" bestFit="1" customWidth="1"/>
    <col min="8973" max="9216" width="9.140625" style="154"/>
    <col min="9217" max="9217" width="23" style="154" customWidth="1"/>
    <col min="9218" max="9218" width="41.140625" style="154" customWidth="1"/>
    <col min="9219" max="9219" width="49.42578125" style="154" customWidth="1"/>
    <col min="9220" max="9220" width="17.28515625" style="154" bestFit="1" customWidth="1"/>
    <col min="9221" max="9221" width="20.140625" style="154" bestFit="1" customWidth="1"/>
    <col min="9222" max="9222" width="16.5703125" style="154" customWidth="1"/>
    <col min="9223" max="9223" width="19" style="154" customWidth="1"/>
    <col min="9224" max="9224" width="17.5703125" style="154" customWidth="1"/>
    <col min="9225" max="9225" width="15.5703125" style="154" bestFit="1" customWidth="1"/>
    <col min="9226" max="9226" width="13.5703125" style="154" customWidth="1"/>
    <col min="9227" max="9227" width="20.5703125" style="154" customWidth="1"/>
    <col min="9228" max="9228" width="12.42578125" style="154" bestFit="1" customWidth="1"/>
    <col min="9229" max="9472" width="9.140625" style="154"/>
    <col min="9473" max="9473" width="23" style="154" customWidth="1"/>
    <col min="9474" max="9474" width="41.140625" style="154" customWidth="1"/>
    <col min="9475" max="9475" width="49.42578125" style="154" customWidth="1"/>
    <col min="9476" max="9476" width="17.28515625" style="154" bestFit="1" customWidth="1"/>
    <col min="9477" max="9477" width="20.140625" style="154" bestFit="1" customWidth="1"/>
    <col min="9478" max="9478" width="16.5703125" style="154" customWidth="1"/>
    <col min="9479" max="9479" width="19" style="154" customWidth="1"/>
    <col min="9480" max="9480" width="17.5703125" style="154" customWidth="1"/>
    <col min="9481" max="9481" width="15.5703125" style="154" bestFit="1" customWidth="1"/>
    <col min="9482" max="9482" width="13.5703125" style="154" customWidth="1"/>
    <col min="9483" max="9483" width="20.5703125" style="154" customWidth="1"/>
    <col min="9484" max="9484" width="12.42578125" style="154" bestFit="1" customWidth="1"/>
    <col min="9485" max="9728" width="9.140625" style="154"/>
    <col min="9729" max="9729" width="23" style="154" customWidth="1"/>
    <col min="9730" max="9730" width="41.140625" style="154" customWidth="1"/>
    <col min="9731" max="9731" width="49.42578125" style="154" customWidth="1"/>
    <col min="9732" max="9732" width="17.28515625" style="154" bestFit="1" customWidth="1"/>
    <col min="9733" max="9733" width="20.140625" style="154" bestFit="1" customWidth="1"/>
    <col min="9734" max="9734" width="16.5703125" style="154" customWidth="1"/>
    <col min="9735" max="9735" width="19" style="154" customWidth="1"/>
    <col min="9736" max="9736" width="17.5703125" style="154" customWidth="1"/>
    <col min="9737" max="9737" width="15.5703125" style="154" bestFit="1" customWidth="1"/>
    <col min="9738" max="9738" width="13.5703125" style="154" customWidth="1"/>
    <col min="9739" max="9739" width="20.5703125" style="154" customWidth="1"/>
    <col min="9740" max="9740" width="12.42578125" style="154" bestFit="1" customWidth="1"/>
    <col min="9741" max="9984" width="9.140625" style="154"/>
    <col min="9985" max="9985" width="23" style="154" customWidth="1"/>
    <col min="9986" max="9986" width="41.140625" style="154" customWidth="1"/>
    <col min="9987" max="9987" width="49.42578125" style="154" customWidth="1"/>
    <col min="9988" max="9988" width="17.28515625" style="154" bestFit="1" customWidth="1"/>
    <col min="9989" max="9989" width="20.140625" style="154" bestFit="1" customWidth="1"/>
    <col min="9990" max="9990" width="16.5703125" style="154" customWidth="1"/>
    <col min="9991" max="9991" width="19" style="154" customWidth="1"/>
    <col min="9992" max="9992" width="17.5703125" style="154" customWidth="1"/>
    <col min="9993" max="9993" width="15.5703125" style="154" bestFit="1" customWidth="1"/>
    <col min="9994" max="9994" width="13.5703125" style="154" customWidth="1"/>
    <col min="9995" max="9995" width="20.5703125" style="154" customWidth="1"/>
    <col min="9996" max="9996" width="12.42578125" style="154" bestFit="1" customWidth="1"/>
    <col min="9997" max="10240" width="9.140625" style="154"/>
    <col min="10241" max="10241" width="23" style="154" customWidth="1"/>
    <col min="10242" max="10242" width="41.140625" style="154" customWidth="1"/>
    <col min="10243" max="10243" width="49.42578125" style="154" customWidth="1"/>
    <col min="10244" max="10244" width="17.28515625" style="154" bestFit="1" customWidth="1"/>
    <col min="10245" max="10245" width="20.140625" style="154" bestFit="1" customWidth="1"/>
    <col min="10246" max="10246" width="16.5703125" style="154" customWidth="1"/>
    <col min="10247" max="10247" width="19" style="154" customWidth="1"/>
    <col min="10248" max="10248" width="17.5703125" style="154" customWidth="1"/>
    <col min="10249" max="10249" width="15.5703125" style="154" bestFit="1" customWidth="1"/>
    <col min="10250" max="10250" width="13.5703125" style="154" customWidth="1"/>
    <col min="10251" max="10251" width="20.5703125" style="154" customWidth="1"/>
    <col min="10252" max="10252" width="12.42578125" style="154" bestFit="1" customWidth="1"/>
    <col min="10253" max="10496" width="9.140625" style="154"/>
    <col min="10497" max="10497" width="23" style="154" customWidth="1"/>
    <col min="10498" max="10498" width="41.140625" style="154" customWidth="1"/>
    <col min="10499" max="10499" width="49.42578125" style="154" customWidth="1"/>
    <col min="10500" max="10500" width="17.28515625" style="154" bestFit="1" customWidth="1"/>
    <col min="10501" max="10501" width="20.140625" style="154" bestFit="1" customWidth="1"/>
    <col min="10502" max="10502" width="16.5703125" style="154" customWidth="1"/>
    <col min="10503" max="10503" width="19" style="154" customWidth="1"/>
    <col min="10504" max="10504" width="17.5703125" style="154" customWidth="1"/>
    <col min="10505" max="10505" width="15.5703125" style="154" bestFit="1" customWidth="1"/>
    <col min="10506" max="10506" width="13.5703125" style="154" customWidth="1"/>
    <col min="10507" max="10507" width="20.5703125" style="154" customWidth="1"/>
    <col min="10508" max="10508" width="12.42578125" style="154" bestFit="1" customWidth="1"/>
    <col min="10509" max="10752" width="9.140625" style="154"/>
    <col min="10753" max="10753" width="23" style="154" customWidth="1"/>
    <col min="10754" max="10754" width="41.140625" style="154" customWidth="1"/>
    <col min="10755" max="10755" width="49.42578125" style="154" customWidth="1"/>
    <col min="10756" max="10756" width="17.28515625" style="154" bestFit="1" customWidth="1"/>
    <col min="10757" max="10757" width="20.140625" style="154" bestFit="1" customWidth="1"/>
    <col min="10758" max="10758" width="16.5703125" style="154" customWidth="1"/>
    <col min="10759" max="10759" width="19" style="154" customWidth="1"/>
    <col min="10760" max="10760" width="17.5703125" style="154" customWidth="1"/>
    <col min="10761" max="10761" width="15.5703125" style="154" bestFit="1" customWidth="1"/>
    <col min="10762" max="10762" width="13.5703125" style="154" customWidth="1"/>
    <col min="10763" max="10763" width="20.5703125" style="154" customWidth="1"/>
    <col min="10764" max="10764" width="12.42578125" style="154" bestFit="1" customWidth="1"/>
    <col min="10765" max="11008" width="9.140625" style="154"/>
    <col min="11009" max="11009" width="23" style="154" customWidth="1"/>
    <col min="11010" max="11010" width="41.140625" style="154" customWidth="1"/>
    <col min="11011" max="11011" width="49.42578125" style="154" customWidth="1"/>
    <col min="11012" max="11012" width="17.28515625" style="154" bestFit="1" customWidth="1"/>
    <col min="11013" max="11013" width="20.140625" style="154" bestFit="1" customWidth="1"/>
    <col min="11014" max="11014" width="16.5703125" style="154" customWidth="1"/>
    <col min="11015" max="11015" width="19" style="154" customWidth="1"/>
    <col min="11016" max="11016" width="17.5703125" style="154" customWidth="1"/>
    <col min="11017" max="11017" width="15.5703125" style="154" bestFit="1" customWidth="1"/>
    <col min="11018" max="11018" width="13.5703125" style="154" customWidth="1"/>
    <col min="11019" max="11019" width="20.5703125" style="154" customWidth="1"/>
    <col min="11020" max="11020" width="12.42578125" style="154" bestFit="1" customWidth="1"/>
    <col min="11021" max="11264" width="9.140625" style="154"/>
    <col min="11265" max="11265" width="23" style="154" customWidth="1"/>
    <col min="11266" max="11266" width="41.140625" style="154" customWidth="1"/>
    <col min="11267" max="11267" width="49.42578125" style="154" customWidth="1"/>
    <col min="11268" max="11268" width="17.28515625" style="154" bestFit="1" customWidth="1"/>
    <col min="11269" max="11269" width="20.140625" style="154" bestFit="1" customWidth="1"/>
    <col min="11270" max="11270" width="16.5703125" style="154" customWidth="1"/>
    <col min="11271" max="11271" width="19" style="154" customWidth="1"/>
    <col min="11272" max="11272" width="17.5703125" style="154" customWidth="1"/>
    <col min="11273" max="11273" width="15.5703125" style="154" bestFit="1" customWidth="1"/>
    <col min="11274" max="11274" width="13.5703125" style="154" customWidth="1"/>
    <col min="11275" max="11275" width="20.5703125" style="154" customWidth="1"/>
    <col min="11276" max="11276" width="12.42578125" style="154" bestFit="1" customWidth="1"/>
    <col min="11277" max="11520" width="9.140625" style="154"/>
    <col min="11521" max="11521" width="23" style="154" customWidth="1"/>
    <col min="11522" max="11522" width="41.140625" style="154" customWidth="1"/>
    <col min="11523" max="11523" width="49.42578125" style="154" customWidth="1"/>
    <col min="11524" max="11524" width="17.28515625" style="154" bestFit="1" customWidth="1"/>
    <col min="11525" max="11525" width="20.140625" style="154" bestFit="1" customWidth="1"/>
    <col min="11526" max="11526" width="16.5703125" style="154" customWidth="1"/>
    <col min="11527" max="11527" width="19" style="154" customWidth="1"/>
    <col min="11528" max="11528" width="17.5703125" style="154" customWidth="1"/>
    <col min="11529" max="11529" width="15.5703125" style="154" bestFit="1" customWidth="1"/>
    <col min="11530" max="11530" width="13.5703125" style="154" customWidth="1"/>
    <col min="11531" max="11531" width="20.5703125" style="154" customWidth="1"/>
    <col min="11532" max="11532" width="12.42578125" style="154" bestFit="1" customWidth="1"/>
    <col min="11533" max="11776" width="9.140625" style="154"/>
    <col min="11777" max="11777" width="23" style="154" customWidth="1"/>
    <col min="11778" max="11778" width="41.140625" style="154" customWidth="1"/>
    <col min="11779" max="11779" width="49.42578125" style="154" customWidth="1"/>
    <col min="11780" max="11780" width="17.28515625" style="154" bestFit="1" customWidth="1"/>
    <col min="11781" max="11781" width="20.140625" style="154" bestFit="1" customWidth="1"/>
    <col min="11782" max="11782" width="16.5703125" style="154" customWidth="1"/>
    <col min="11783" max="11783" width="19" style="154" customWidth="1"/>
    <col min="11784" max="11784" width="17.5703125" style="154" customWidth="1"/>
    <col min="11785" max="11785" width="15.5703125" style="154" bestFit="1" customWidth="1"/>
    <col min="11786" max="11786" width="13.5703125" style="154" customWidth="1"/>
    <col min="11787" max="11787" width="20.5703125" style="154" customWidth="1"/>
    <col min="11788" max="11788" width="12.42578125" style="154" bestFit="1" customWidth="1"/>
    <col min="11789" max="12032" width="9.140625" style="154"/>
    <col min="12033" max="12033" width="23" style="154" customWidth="1"/>
    <col min="12034" max="12034" width="41.140625" style="154" customWidth="1"/>
    <col min="12035" max="12035" width="49.42578125" style="154" customWidth="1"/>
    <col min="12036" max="12036" width="17.28515625" style="154" bestFit="1" customWidth="1"/>
    <col min="12037" max="12037" width="20.140625" style="154" bestFit="1" customWidth="1"/>
    <col min="12038" max="12038" width="16.5703125" style="154" customWidth="1"/>
    <col min="12039" max="12039" width="19" style="154" customWidth="1"/>
    <col min="12040" max="12040" width="17.5703125" style="154" customWidth="1"/>
    <col min="12041" max="12041" width="15.5703125" style="154" bestFit="1" customWidth="1"/>
    <col min="12042" max="12042" width="13.5703125" style="154" customWidth="1"/>
    <col min="12043" max="12043" width="20.5703125" style="154" customWidth="1"/>
    <col min="12044" max="12044" width="12.42578125" style="154" bestFit="1" customWidth="1"/>
    <col min="12045" max="12288" width="9.140625" style="154"/>
    <col min="12289" max="12289" width="23" style="154" customWidth="1"/>
    <col min="12290" max="12290" width="41.140625" style="154" customWidth="1"/>
    <col min="12291" max="12291" width="49.42578125" style="154" customWidth="1"/>
    <col min="12292" max="12292" width="17.28515625" style="154" bestFit="1" customWidth="1"/>
    <col min="12293" max="12293" width="20.140625" style="154" bestFit="1" customWidth="1"/>
    <col min="12294" max="12294" width="16.5703125" style="154" customWidth="1"/>
    <col min="12295" max="12295" width="19" style="154" customWidth="1"/>
    <col min="12296" max="12296" width="17.5703125" style="154" customWidth="1"/>
    <col min="12297" max="12297" width="15.5703125" style="154" bestFit="1" customWidth="1"/>
    <col min="12298" max="12298" width="13.5703125" style="154" customWidth="1"/>
    <col min="12299" max="12299" width="20.5703125" style="154" customWidth="1"/>
    <col min="12300" max="12300" width="12.42578125" style="154" bestFit="1" customWidth="1"/>
    <col min="12301" max="12544" width="9.140625" style="154"/>
    <col min="12545" max="12545" width="23" style="154" customWidth="1"/>
    <col min="12546" max="12546" width="41.140625" style="154" customWidth="1"/>
    <col min="12547" max="12547" width="49.42578125" style="154" customWidth="1"/>
    <col min="12548" max="12548" width="17.28515625" style="154" bestFit="1" customWidth="1"/>
    <col min="12549" max="12549" width="20.140625" style="154" bestFit="1" customWidth="1"/>
    <col min="12550" max="12550" width="16.5703125" style="154" customWidth="1"/>
    <col min="12551" max="12551" width="19" style="154" customWidth="1"/>
    <col min="12552" max="12552" width="17.5703125" style="154" customWidth="1"/>
    <col min="12553" max="12553" width="15.5703125" style="154" bestFit="1" customWidth="1"/>
    <col min="12554" max="12554" width="13.5703125" style="154" customWidth="1"/>
    <col min="12555" max="12555" width="20.5703125" style="154" customWidth="1"/>
    <col min="12556" max="12556" width="12.42578125" style="154" bestFit="1" customWidth="1"/>
    <col min="12557" max="12800" width="9.140625" style="154"/>
    <col min="12801" max="12801" width="23" style="154" customWidth="1"/>
    <col min="12802" max="12802" width="41.140625" style="154" customWidth="1"/>
    <col min="12803" max="12803" width="49.42578125" style="154" customWidth="1"/>
    <col min="12804" max="12804" width="17.28515625" style="154" bestFit="1" customWidth="1"/>
    <col min="12805" max="12805" width="20.140625" style="154" bestFit="1" customWidth="1"/>
    <col min="12806" max="12806" width="16.5703125" style="154" customWidth="1"/>
    <col min="12807" max="12807" width="19" style="154" customWidth="1"/>
    <col min="12808" max="12808" width="17.5703125" style="154" customWidth="1"/>
    <col min="12809" max="12809" width="15.5703125" style="154" bestFit="1" customWidth="1"/>
    <col min="12810" max="12810" width="13.5703125" style="154" customWidth="1"/>
    <col min="12811" max="12811" width="20.5703125" style="154" customWidth="1"/>
    <col min="12812" max="12812" width="12.42578125" style="154" bestFit="1" customWidth="1"/>
    <col min="12813" max="13056" width="9.140625" style="154"/>
    <col min="13057" max="13057" width="23" style="154" customWidth="1"/>
    <col min="13058" max="13058" width="41.140625" style="154" customWidth="1"/>
    <col min="13059" max="13059" width="49.42578125" style="154" customWidth="1"/>
    <col min="13060" max="13060" width="17.28515625" style="154" bestFit="1" customWidth="1"/>
    <col min="13061" max="13061" width="20.140625" style="154" bestFit="1" customWidth="1"/>
    <col min="13062" max="13062" width="16.5703125" style="154" customWidth="1"/>
    <col min="13063" max="13063" width="19" style="154" customWidth="1"/>
    <col min="13064" max="13064" width="17.5703125" style="154" customWidth="1"/>
    <col min="13065" max="13065" width="15.5703125" style="154" bestFit="1" customWidth="1"/>
    <col min="13066" max="13066" width="13.5703125" style="154" customWidth="1"/>
    <col min="13067" max="13067" width="20.5703125" style="154" customWidth="1"/>
    <col min="13068" max="13068" width="12.42578125" style="154" bestFit="1" customWidth="1"/>
    <col min="13069" max="13312" width="9.140625" style="154"/>
    <col min="13313" max="13313" width="23" style="154" customWidth="1"/>
    <col min="13314" max="13314" width="41.140625" style="154" customWidth="1"/>
    <col min="13315" max="13315" width="49.42578125" style="154" customWidth="1"/>
    <col min="13316" max="13316" width="17.28515625" style="154" bestFit="1" customWidth="1"/>
    <col min="13317" max="13317" width="20.140625" style="154" bestFit="1" customWidth="1"/>
    <col min="13318" max="13318" width="16.5703125" style="154" customWidth="1"/>
    <col min="13319" max="13319" width="19" style="154" customWidth="1"/>
    <col min="13320" max="13320" width="17.5703125" style="154" customWidth="1"/>
    <col min="13321" max="13321" width="15.5703125" style="154" bestFit="1" customWidth="1"/>
    <col min="13322" max="13322" width="13.5703125" style="154" customWidth="1"/>
    <col min="13323" max="13323" width="20.5703125" style="154" customWidth="1"/>
    <col min="13324" max="13324" width="12.42578125" style="154" bestFit="1" customWidth="1"/>
    <col min="13325" max="13568" width="9.140625" style="154"/>
    <col min="13569" max="13569" width="23" style="154" customWidth="1"/>
    <col min="13570" max="13570" width="41.140625" style="154" customWidth="1"/>
    <col min="13571" max="13571" width="49.42578125" style="154" customWidth="1"/>
    <col min="13572" max="13572" width="17.28515625" style="154" bestFit="1" customWidth="1"/>
    <col min="13573" max="13573" width="20.140625" style="154" bestFit="1" customWidth="1"/>
    <col min="13574" max="13574" width="16.5703125" style="154" customWidth="1"/>
    <col min="13575" max="13575" width="19" style="154" customWidth="1"/>
    <col min="13576" max="13576" width="17.5703125" style="154" customWidth="1"/>
    <col min="13577" max="13577" width="15.5703125" style="154" bestFit="1" customWidth="1"/>
    <col min="13578" max="13578" width="13.5703125" style="154" customWidth="1"/>
    <col min="13579" max="13579" width="20.5703125" style="154" customWidth="1"/>
    <col min="13580" max="13580" width="12.42578125" style="154" bestFit="1" customWidth="1"/>
    <col min="13581" max="13824" width="9.140625" style="154"/>
    <col min="13825" max="13825" width="23" style="154" customWidth="1"/>
    <col min="13826" max="13826" width="41.140625" style="154" customWidth="1"/>
    <col min="13827" max="13827" width="49.42578125" style="154" customWidth="1"/>
    <col min="13828" max="13828" width="17.28515625" style="154" bestFit="1" customWidth="1"/>
    <col min="13829" max="13829" width="20.140625" style="154" bestFit="1" customWidth="1"/>
    <col min="13830" max="13830" width="16.5703125" style="154" customWidth="1"/>
    <col min="13831" max="13831" width="19" style="154" customWidth="1"/>
    <col min="13832" max="13832" width="17.5703125" style="154" customWidth="1"/>
    <col min="13833" max="13833" width="15.5703125" style="154" bestFit="1" customWidth="1"/>
    <col min="13834" max="13834" width="13.5703125" style="154" customWidth="1"/>
    <col min="13835" max="13835" width="20.5703125" style="154" customWidth="1"/>
    <col min="13836" max="13836" width="12.42578125" style="154" bestFit="1" customWidth="1"/>
    <col min="13837" max="14080" width="9.140625" style="154"/>
    <col min="14081" max="14081" width="23" style="154" customWidth="1"/>
    <col min="14082" max="14082" width="41.140625" style="154" customWidth="1"/>
    <col min="14083" max="14083" width="49.42578125" style="154" customWidth="1"/>
    <col min="14084" max="14084" width="17.28515625" style="154" bestFit="1" customWidth="1"/>
    <col min="14085" max="14085" width="20.140625" style="154" bestFit="1" customWidth="1"/>
    <col min="14086" max="14086" width="16.5703125" style="154" customWidth="1"/>
    <col min="14087" max="14087" width="19" style="154" customWidth="1"/>
    <col min="14088" max="14088" width="17.5703125" style="154" customWidth="1"/>
    <col min="14089" max="14089" width="15.5703125" style="154" bestFit="1" customWidth="1"/>
    <col min="14090" max="14090" width="13.5703125" style="154" customWidth="1"/>
    <col min="14091" max="14091" width="20.5703125" style="154" customWidth="1"/>
    <col min="14092" max="14092" width="12.42578125" style="154" bestFit="1" customWidth="1"/>
    <col min="14093" max="14336" width="9.140625" style="154"/>
    <col min="14337" max="14337" width="23" style="154" customWidth="1"/>
    <col min="14338" max="14338" width="41.140625" style="154" customWidth="1"/>
    <col min="14339" max="14339" width="49.42578125" style="154" customWidth="1"/>
    <col min="14340" max="14340" width="17.28515625" style="154" bestFit="1" customWidth="1"/>
    <col min="14341" max="14341" width="20.140625" style="154" bestFit="1" customWidth="1"/>
    <col min="14342" max="14342" width="16.5703125" style="154" customWidth="1"/>
    <col min="14343" max="14343" width="19" style="154" customWidth="1"/>
    <col min="14344" max="14344" width="17.5703125" style="154" customWidth="1"/>
    <col min="14345" max="14345" width="15.5703125" style="154" bestFit="1" customWidth="1"/>
    <col min="14346" max="14346" width="13.5703125" style="154" customWidth="1"/>
    <col min="14347" max="14347" width="20.5703125" style="154" customWidth="1"/>
    <col min="14348" max="14348" width="12.42578125" style="154" bestFit="1" customWidth="1"/>
    <col min="14349" max="14592" width="9.140625" style="154"/>
    <col min="14593" max="14593" width="23" style="154" customWidth="1"/>
    <col min="14594" max="14594" width="41.140625" style="154" customWidth="1"/>
    <col min="14595" max="14595" width="49.42578125" style="154" customWidth="1"/>
    <col min="14596" max="14596" width="17.28515625" style="154" bestFit="1" customWidth="1"/>
    <col min="14597" max="14597" width="20.140625" style="154" bestFit="1" customWidth="1"/>
    <col min="14598" max="14598" width="16.5703125" style="154" customWidth="1"/>
    <col min="14599" max="14599" width="19" style="154" customWidth="1"/>
    <col min="14600" max="14600" width="17.5703125" style="154" customWidth="1"/>
    <col min="14601" max="14601" width="15.5703125" style="154" bestFit="1" customWidth="1"/>
    <col min="14602" max="14602" width="13.5703125" style="154" customWidth="1"/>
    <col min="14603" max="14603" width="20.5703125" style="154" customWidth="1"/>
    <col min="14604" max="14604" width="12.42578125" style="154" bestFit="1" customWidth="1"/>
    <col min="14605" max="14848" width="9.140625" style="154"/>
    <col min="14849" max="14849" width="23" style="154" customWidth="1"/>
    <col min="14850" max="14850" width="41.140625" style="154" customWidth="1"/>
    <col min="14851" max="14851" width="49.42578125" style="154" customWidth="1"/>
    <col min="14852" max="14852" width="17.28515625" style="154" bestFit="1" customWidth="1"/>
    <col min="14853" max="14853" width="20.140625" style="154" bestFit="1" customWidth="1"/>
    <col min="14854" max="14854" width="16.5703125" style="154" customWidth="1"/>
    <col min="14855" max="14855" width="19" style="154" customWidth="1"/>
    <col min="14856" max="14856" width="17.5703125" style="154" customWidth="1"/>
    <col min="14857" max="14857" width="15.5703125" style="154" bestFit="1" customWidth="1"/>
    <col min="14858" max="14858" width="13.5703125" style="154" customWidth="1"/>
    <col min="14859" max="14859" width="20.5703125" style="154" customWidth="1"/>
    <col min="14860" max="14860" width="12.42578125" style="154" bestFit="1" customWidth="1"/>
    <col min="14861" max="15104" width="9.140625" style="154"/>
    <col min="15105" max="15105" width="23" style="154" customWidth="1"/>
    <col min="15106" max="15106" width="41.140625" style="154" customWidth="1"/>
    <col min="15107" max="15107" width="49.42578125" style="154" customWidth="1"/>
    <col min="15108" max="15108" width="17.28515625" style="154" bestFit="1" customWidth="1"/>
    <col min="15109" max="15109" width="20.140625" style="154" bestFit="1" customWidth="1"/>
    <col min="15110" max="15110" width="16.5703125" style="154" customWidth="1"/>
    <col min="15111" max="15111" width="19" style="154" customWidth="1"/>
    <col min="15112" max="15112" width="17.5703125" style="154" customWidth="1"/>
    <col min="15113" max="15113" width="15.5703125" style="154" bestFit="1" customWidth="1"/>
    <col min="15114" max="15114" width="13.5703125" style="154" customWidth="1"/>
    <col min="15115" max="15115" width="20.5703125" style="154" customWidth="1"/>
    <col min="15116" max="15116" width="12.42578125" style="154" bestFit="1" customWidth="1"/>
    <col min="15117" max="15360" width="9.140625" style="154"/>
    <col min="15361" max="15361" width="23" style="154" customWidth="1"/>
    <col min="15362" max="15362" width="41.140625" style="154" customWidth="1"/>
    <col min="15363" max="15363" width="49.42578125" style="154" customWidth="1"/>
    <col min="15364" max="15364" width="17.28515625" style="154" bestFit="1" customWidth="1"/>
    <col min="15365" max="15365" width="20.140625" style="154" bestFit="1" customWidth="1"/>
    <col min="15366" max="15366" width="16.5703125" style="154" customWidth="1"/>
    <col min="15367" max="15367" width="19" style="154" customWidth="1"/>
    <col min="15368" max="15368" width="17.5703125" style="154" customWidth="1"/>
    <col min="15369" max="15369" width="15.5703125" style="154" bestFit="1" customWidth="1"/>
    <col min="15370" max="15370" width="13.5703125" style="154" customWidth="1"/>
    <col min="15371" max="15371" width="20.5703125" style="154" customWidth="1"/>
    <col min="15372" max="15372" width="12.42578125" style="154" bestFit="1" customWidth="1"/>
    <col min="15373" max="15616" width="9.140625" style="154"/>
    <col min="15617" max="15617" width="23" style="154" customWidth="1"/>
    <col min="15618" max="15618" width="41.140625" style="154" customWidth="1"/>
    <col min="15619" max="15619" width="49.42578125" style="154" customWidth="1"/>
    <col min="15620" max="15620" width="17.28515625" style="154" bestFit="1" customWidth="1"/>
    <col min="15621" max="15621" width="20.140625" style="154" bestFit="1" customWidth="1"/>
    <col min="15622" max="15622" width="16.5703125" style="154" customWidth="1"/>
    <col min="15623" max="15623" width="19" style="154" customWidth="1"/>
    <col min="15624" max="15624" width="17.5703125" style="154" customWidth="1"/>
    <col min="15625" max="15625" width="15.5703125" style="154" bestFit="1" customWidth="1"/>
    <col min="15626" max="15626" width="13.5703125" style="154" customWidth="1"/>
    <col min="15627" max="15627" width="20.5703125" style="154" customWidth="1"/>
    <col min="15628" max="15628" width="12.42578125" style="154" bestFit="1" customWidth="1"/>
    <col min="15629" max="15872" width="9.140625" style="154"/>
    <col min="15873" max="15873" width="23" style="154" customWidth="1"/>
    <col min="15874" max="15874" width="41.140625" style="154" customWidth="1"/>
    <col min="15875" max="15875" width="49.42578125" style="154" customWidth="1"/>
    <col min="15876" max="15876" width="17.28515625" style="154" bestFit="1" customWidth="1"/>
    <col min="15877" max="15877" width="20.140625" style="154" bestFit="1" customWidth="1"/>
    <col min="15878" max="15878" width="16.5703125" style="154" customWidth="1"/>
    <col min="15879" max="15879" width="19" style="154" customWidth="1"/>
    <col min="15880" max="15880" width="17.5703125" style="154" customWidth="1"/>
    <col min="15881" max="15881" width="15.5703125" style="154" bestFit="1" customWidth="1"/>
    <col min="15882" max="15882" width="13.5703125" style="154" customWidth="1"/>
    <col min="15883" max="15883" width="20.5703125" style="154" customWidth="1"/>
    <col min="15884" max="15884" width="12.42578125" style="154" bestFit="1" customWidth="1"/>
    <col min="15885" max="16128" width="9.140625" style="154"/>
    <col min="16129" max="16129" width="23" style="154" customWidth="1"/>
    <col min="16130" max="16130" width="41.140625" style="154" customWidth="1"/>
    <col min="16131" max="16131" width="49.42578125" style="154" customWidth="1"/>
    <col min="16132" max="16132" width="17.28515625" style="154" bestFit="1" customWidth="1"/>
    <col min="16133" max="16133" width="20.140625" style="154" bestFit="1" customWidth="1"/>
    <col min="16134" max="16134" width="16.5703125" style="154" customWidth="1"/>
    <col min="16135" max="16135" width="19" style="154" customWidth="1"/>
    <col min="16136" max="16136" width="17.5703125" style="154" customWidth="1"/>
    <col min="16137" max="16137" width="15.5703125" style="154" bestFit="1" customWidth="1"/>
    <col min="16138" max="16138" width="13.5703125" style="154" customWidth="1"/>
    <col min="16139" max="16139" width="20.5703125" style="154" customWidth="1"/>
    <col min="16140" max="16140" width="12.42578125" style="154" bestFit="1" customWidth="1"/>
    <col min="16141" max="16384" width="9.140625" style="154"/>
  </cols>
  <sheetData>
    <row r="1" spans="2:7" x14ac:dyDescent="0.2">
      <c r="G1" s="185" t="s">
        <v>1106</v>
      </c>
    </row>
    <row r="2" spans="2:7" x14ac:dyDescent="0.2">
      <c r="B2" s="311" t="s">
        <v>1174</v>
      </c>
      <c r="C2" s="311"/>
      <c r="D2" s="311"/>
      <c r="E2" s="311"/>
      <c r="F2" s="311"/>
      <c r="G2" s="311"/>
    </row>
    <row r="3" spans="2:7" x14ac:dyDescent="0.2">
      <c r="B3" s="311" t="s">
        <v>1175</v>
      </c>
      <c r="C3" s="311"/>
      <c r="D3" s="311"/>
      <c r="E3" s="311"/>
      <c r="F3" s="311"/>
      <c r="G3" s="311"/>
    </row>
    <row r="4" spans="2:7" x14ac:dyDescent="0.2">
      <c r="B4" s="185"/>
      <c r="C4" s="185"/>
      <c r="D4" s="185"/>
      <c r="E4" s="185"/>
      <c r="F4" s="185"/>
      <c r="G4" s="185"/>
    </row>
    <row r="5" spans="2:7" x14ac:dyDescent="0.2">
      <c r="B5" s="311" t="s">
        <v>1176</v>
      </c>
      <c r="C5" s="311"/>
      <c r="D5" s="311"/>
      <c r="E5" s="311"/>
      <c r="F5" s="311"/>
      <c r="G5" s="311"/>
    </row>
    <row r="6" spans="2:7" x14ac:dyDescent="0.2">
      <c r="B6" s="185" t="s">
        <v>1177</v>
      </c>
    </row>
    <row r="8" spans="2:7" ht="25.5" x14ac:dyDescent="0.2">
      <c r="B8" s="186" t="s">
        <v>1178</v>
      </c>
      <c r="C8" s="186" t="s">
        <v>1179</v>
      </c>
      <c r="D8" s="186" t="s">
        <v>1180</v>
      </c>
      <c r="E8" s="187" t="s">
        <v>1181</v>
      </c>
      <c r="F8" s="187" t="s">
        <v>1182</v>
      </c>
      <c r="G8" s="187" t="s">
        <v>1183</v>
      </c>
    </row>
    <row r="9" spans="2:7" x14ac:dyDescent="0.2">
      <c r="B9" s="188" t="s">
        <v>1184</v>
      </c>
      <c r="C9" s="189" t="s">
        <v>1041</v>
      </c>
      <c r="D9" s="190" t="s">
        <v>1185</v>
      </c>
      <c r="E9" s="191">
        <v>715.06</v>
      </c>
      <c r="F9" s="191">
        <v>739</v>
      </c>
      <c r="G9" s="192">
        <v>147.14750000000001</v>
      </c>
    </row>
    <row r="10" spans="2:7" x14ac:dyDescent="0.2">
      <c r="B10" s="188" t="s">
        <v>1184</v>
      </c>
      <c r="C10" s="193" t="s">
        <v>1048</v>
      </c>
      <c r="D10" s="190" t="s">
        <v>1185</v>
      </c>
      <c r="E10" s="191">
        <v>561.37</v>
      </c>
      <c r="F10" s="191">
        <v>528.65</v>
      </c>
      <c r="G10" s="192">
        <v>18.608388399999999</v>
      </c>
    </row>
    <row r="11" spans="2:7" x14ac:dyDescent="0.2">
      <c r="B11" s="188" t="s">
        <v>1184</v>
      </c>
      <c r="C11" s="193" t="s">
        <v>1019</v>
      </c>
      <c r="D11" s="190" t="s">
        <v>1185</v>
      </c>
      <c r="E11" s="191">
        <v>670.6</v>
      </c>
      <c r="F11" s="191">
        <v>686.95</v>
      </c>
      <c r="G11" s="192">
        <v>113.872584</v>
      </c>
    </row>
    <row r="12" spans="2:7" x14ac:dyDescent="0.2">
      <c r="B12" s="188" t="s">
        <v>1184</v>
      </c>
      <c r="C12" s="193" t="s">
        <v>1012</v>
      </c>
      <c r="D12" s="190" t="s">
        <v>1185</v>
      </c>
      <c r="E12" s="191">
        <v>12603.4</v>
      </c>
      <c r="F12" s="191">
        <v>12939.5</v>
      </c>
      <c r="G12" s="192">
        <v>65.224295499999997</v>
      </c>
    </row>
    <row r="13" spans="2:7" x14ac:dyDescent="0.2">
      <c r="B13" s="188" t="s">
        <v>1184</v>
      </c>
      <c r="C13" s="193" t="s">
        <v>1026</v>
      </c>
      <c r="D13" s="190" t="s">
        <v>1185</v>
      </c>
      <c r="E13" s="191">
        <v>5781.87</v>
      </c>
      <c r="F13" s="191">
        <v>6067.05</v>
      </c>
      <c r="G13" s="192">
        <v>116.7835776</v>
      </c>
    </row>
    <row r="14" spans="2:7" x14ac:dyDescent="0.2">
      <c r="B14" s="188" t="s">
        <v>1184</v>
      </c>
      <c r="C14" s="193" t="s">
        <v>1049</v>
      </c>
      <c r="D14" s="190" t="s">
        <v>1185</v>
      </c>
      <c r="E14" s="191">
        <v>498.05</v>
      </c>
      <c r="F14" s="191">
        <v>520.9</v>
      </c>
      <c r="G14" s="192">
        <v>19.563154600000001</v>
      </c>
    </row>
    <row r="15" spans="2:7" x14ac:dyDescent="0.2">
      <c r="B15" s="188" t="s">
        <v>1184</v>
      </c>
      <c r="C15" s="193" t="s">
        <v>1031</v>
      </c>
      <c r="D15" s="190" t="s">
        <v>1185</v>
      </c>
      <c r="E15" s="191">
        <v>1330.78</v>
      </c>
      <c r="F15" s="191">
        <v>1388.95</v>
      </c>
      <c r="G15" s="192">
        <v>110.9248833</v>
      </c>
    </row>
    <row r="16" spans="2:7" x14ac:dyDescent="0.2">
      <c r="B16" s="188" t="s">
        <v>1184</v>
      </c>
      <c r="C16" s="193" t="s">
        <v>1013</v>
      </c>
      <c r="D16" s="190" t="s">
        <v>1185</v>
      </c>
      <c r="E16" s="191">
        <v>546.19000000000005</v>
      </c>
      <c r="F16" s="191">
        <v>599.29999999999995</v>
      </c>
      <c r="G16" s="192">
        <v>16.230395499999997</v>
      </c>
    </row>
    <row r="17" spans="2:7" x14ac:dyDescent="0.2">
      <c r="B17" s="188" t="s">
        <v>1184</v>
      </c>
      <c r="C17" s="193" t="s">
        <v>1050</v>
      </c>
      <c r="D17" s="190" t="s">
        <v>1185</v>
      </c>
      <c r="E17" s="191">
        <v>2637.44</v>
      </c>
      <c r="F17" s="191">
        <v>2785.9</v>
      </c>
      <c r="G17" s="192">
        <v>40.295758499999998</v>
      </c>
    </row>
    <row r="18" spans="2:7" x14ac:dyDescent="0.2">
      <c r="B18" s="188" t="s">
        <v>1184</v>
      </c>
      <c r="C18" s="193" t="s">
        <v>1029</v>
      </c>
      <c r="D18" s="190" t="s">
        <v>1185</v>
      </c>
      <c r="E18" s="191">
        <v>714.75</v>
      </c>
      <c r="F18" s="191">
        <v>752.5</v>
      </c>
      <c r="G18" s="192">
        <v>32.114708999999998</v>
      </c>
    </row>
    <row r="19" spans="2:7" x14ac:dyDescent="0.2">
      <c r="B19" s="188" t="s">
        <v>1184</v>
      </c>
      <c r="C19" s="193" t="s">
        <v>1027</v>
      </c>
      <c r="D19" s="190" t="s">
        <v>1185</v>
      </c>
      <c r="E19" s="191">
        <v>1418.08</v>
      </c>
      <c r="F19" s="191">
        <v>1508.45</v>
      </c>
      <c r="G19" s="192">
        <v>33.616291999999994</v>
      </c>
    </row>
    <row r="20" spans="2:7" x14ac:dyDescent="0.2">
      <c r="B20" s="188" t="s">
        <v>1184</v>
      </c>
      <c r="C20" s="193" t="s">
        <v>1018</v>
      </c>
      <c r="D20" s="190" t="s">
        <v>1185</v>
      </c>
      <c r="E20" s="191">
        <v>1581.83</v>
      </c>
      <c r="F20" s="191">
        <v>1655.45</v>
      </c>
      <c r="G20" s="192">
        <v>83.947207799999987</v>
      </c>
    </row>
    <row r="21" spans="2:7" x14ac:dyDescent="0.2">
      <c r="B21" s="188" t="s">
        <v>1184</v>
      </c>
      <c r="C21" s="193" t="s">
        <v>1011</v>
      </c>
      <c r="D21" s="190" t="s">
        <v>1185</v>
      </c>
      <c r="E21" s="191">
        <v>374.16</v>
      </c>
      <c r="F21" s="191">
        <v>379.3</v>
      </c>
      <c r="G21" s="192">
        <v>60.177259999999997</v>
      </c>
    </row>
    <row r="22" spans="2:7" x14ac:dyDescent="0.2">
      <c r="B22" s="188" t="s">
        <v>1184</v>
      </c>
      <c r="C22" s="193" t="s">
        <v>1009</v>
      </c>
      <c r="D22" s="190" t="s">
        <v>1185</v>
      </c>
      <c r="E22" s="191">
        <v>909.69</v>
      </c>
      <c r="F22" s="191">
        <v>1034.5999999999999</v>
      </c>
      <c r="G22" s="192">
        <v>78.881292000000002</v>
      </c>
    </row>
    <row r="23" spans="2:7" x14ac:dyDescent="0.2">
      <c r="B23" s="194" t="s">
        <v>1184</v>
      </c>
      <c r="C23" s="195" t="s">
        <v>1043</v>
      </c>
      <c r="D23" s="190" t="s">
        <v>1185</v>
      </c>
      <c r="E23" s="196">
        <v>7880.26</v>
      </c>
      <c r="F23" s="196">
        <v>7999.7</v>
      </c>
      <c r="G23" s="192">
        <v>23.179854500000001</v>
      </c>
    </row>
    <row r="24" spans="2:7" x14ac:dyDescent="0.2">
      <c r="B24" s="188" t="s">
        <v>1184</v>
      </c>
      <c r="C24" s="197" t="s">
        <v>1021</v>
      </c>
      <c r="D24" s="190" t="s">
        <v>1185</v>
      </c>
      <c r="E24" s="196">
        <v>1082.8399999999999</v>
      </c>
      <c r="F24" s="196">
        <v>1005.1</v>
      </c>
      <c r="G24" s="192">
        <v>49.603350999999996</v>
      </c>
    </row>
    <row r="25" spans="2:7" x14ac:dyDescent="0.2">
      <c r="B25" s="188" t="s">
        <v>1184</v>
      </c>
      <c r="C25" s="197" t="s">
        <v>1030</v>
      </c>
      <c r="D25" s="190" t="s">
        <v>1185</v>
      </c>
      <c r="E25" s="196">
        <v>1192.71</v>
      </c>
      <c r="F25" s="196">
        <v>1183.55</v>
      </c>
      <c r="G25" s="192">
        <v>6.2177819999999997</v>
      </c>
    </row>
    <row r="26" spans="2:7" x14ac:dyDescent="0.2">
      <c r="B26" s="188" t="s">
        <v>1184</v>
      </c>
      <c r="C26" s="198" t="s">
        <v>1186</v>
      </c>
      <c r="D26" s="190" t="s">
        <v>1185</v>
      </c>
      <c r="E26" s="191">
        <v>237.73</v>
      </c>
      <c r="F26" s="191">
        <v>253.7</v>
      </c>
      <c r="G26" s="192">
        <v>140.31778499999999</v>
      </c>
    </row>
    <row r="27" spans="2:7" x14ac:dyDescent="0.2">
      <c r="B27" s="188"/>
      <c r="C27" s="198"/>
      <c r="D27" s="190"/>
      <c r="E27" s="199"/>
      <c r="F27" s="199"/>
      <c r="G27" s="192"/>
    </row>
    <row r="28" spans="2:7" x14ac:dyDescent="0.2">
      <c r="B28" s="188" t="s">
        <v>820</v>
      </c>
      <c r="C28" s="200" t="s">
        <v>1041</v>
      </c>
      <c r="D28" s="190" t="s">
        <v>1185</v>
      </c>
      <c r="E28" s="191">
        <v>683.04</v>
      </c>
      <c r="F28" s="191">
        <v>739</v>
      </c>
      <c r="G28" s="192">
        <v>110.360625</v>
      </c>
    </row>
    <row r="29" spans="2:7" x14ac:dyDescent="0.2">
      <c r="B29" s="188" t="s">
        <v>820</v>
      </c>
      <c r="C29" s="201" t="s">
        <v>1007</v>
      </c>
      <c r="D29" s="190" t="s">
        <v>1185</v>
      </c>
      <c r="E29" s="191">
        <v>363.04</v>
      </c>
      <c r="F29" s="191">
        <v>370.9</v>
      </c>
      <c r="G29" s="192">
        <v>268.21777500000002</v>
      </c>
    </row>
    <row r="30" spans="2:7" x14ac:dyDescent="0.2">
      <c r="B30" s="188" t="s">
        <v>820</v>
      </c>
      <c r="C30" s="202" t="s">
        <v>1035</v>
      </c>
      <c r="D30" s="190" t="s">
        <v>1185</v>
      </c>
      <c r="E30" s="191">
        <v>3707.62</v>
      </c>
      <c r="F30" s="191">
        <v>3978.35</v>
      </c>
      <c r="G30" s="192">
        <v>27.515021600000001</v>
      </c>
    </row>
    <row r="31" spans="2:7" x14ac:dyDescent="0.2">
      <c r="B31" s="188" t="s">
        <v>820</v>
      </c>
      <c r="C31" s="202" t="s">
        <v>1022</v>
      </c>
      <c r="D31" s="190" t="s">
        <v>1185</v>
      </c>
      <c r="E31" s="191">
        <v>140.80000000000001</v>
      </c>
      <c r="F31" s="191">
        <v>138</v>
      </c>
      <c r="G31" s="192">
        <v>110.06325</v>
      </c>
    </row>
    <row r="32" spans="2:7" x14ac:dyDescent="0.2">
      <c r="B32" s="188" t="s">
        <v>820</v>
      </c>
      <c r="C32" s="202" t="s">
        <v>1016</v>
      </c>
      <c r="D32" s="190" t="s">
        <v>1185</v>
      </c>
      <c r="E32" s="191">
        <v>2867.94</v>
      </c>
      <c r="F32" s="191">
        <v>2848.25</v>
      </c>
      <c r="G32" s="192">
        <v>44.8579674</v>
      </c>
    </row>
    <row r="33" spans="2:8" x14ac:dyDescent="0.2">
      <c r="B33" s="188" t="s">
        <v>820</v>
      </c>
      <c r="C33" s="202" t="s">
        <v>1019</v>
      </c>
      <c r="D33" s="190" t="s">
        <v>1185</v>
      </c>
      <c r="E33" s="191">
        <v>680.58</v>
      </c>
      <c r="F33" s="191">
        <v>686.95</v>
      </c>
      <c r="G33" s="192">
        <v>406.68779999999998</v>
      </c>
    </row>
    <row r="34" spans="2:8" x14ac:dyDescent="0.2">
      <c r="B34" s="188" t="s">
        <v>820</v>
      </c>
      <c r="C34" s="202" t="s">
        <v>1026</v>
      </c>
      <c r="D34" s="190" t="s">
        <v>1185</v>
      </c>
      <c r="E34" s="191">
        <v>5785.81</v>
      </c>
      <c r="F34" s="191">
        <v>6067.05</v>
      </c>
      <c r="G34" s="192">
        <v>25.546407599999998</v>
      </c>
      <c r="H34" s="203"/>
    </row>
    <row r="35" spans="2:8" ht="18" customHeight="1" x14ac:dyDescent="0.2">
      <c r="B35" s="188" t="s">
        <v>820</v>
      </c>
      <c r="C35" s="202" t="s">
        <v>1008</v>
      </c>
      <c r="D35" s="190" t="s">
        <v>1185</v>
      </c>
      <c r="E35" s="191">
        <v>4030.68</v>
      </c>
      <c r="F35" s="191">
        <v>3596.05</v>
      </c>
      <c r="G35" s="192">
        <v>124.31009059999998</v>
      </c>
      <c r="H35" s="203"/>
    </row>
    <row r="36" spans="2:8" x14ac:dyDescent="0.2">
      <c r="B36" s="188" t="s">
        <v>820</v>
      </c>
      <c r="C36" s="202" t="s">
        <v>1054</v>
      </c>
      <c r="D36" s="190" t="s">
        <v>1185</v>
      </c>
      <c r="E36" s="191">
        <v>346.6</v>
      </c>
      <c r="F36" s="191">
        <v>346.85</v>
      </c>
      <c r="G36" s="192">
        <v>23.8737885</v>
      </c>
      <c r="H36" s="203"/>
    </row>
    <row r="37" spans="2:8" x14ac:dyDescent="0.2">
      <c r="B37" s="188" t="s">
        <v>820</v>
      </c>
      <c r="C37" s="202" t="s">
        <v>1045</v>
      </c>
      <c r="D37" s="190" t="s">
        <v>1185</v>
      </c>
      <c r="E37" s="191">
        <v>4331.0200000000004</v>
      </c>
      <c r="F37" s="191">
        <v>4371.75</v>
      </c>
      <c r="G37" s="192">
        <v>82.769744400000008</v>
      </c>
      <c r="H37" s="203"/>
    </row>
    <row r="38" spans="2:8" x14ac:dyDescent="0.2">
      <c r="B38" s="188" t="s">
        <v>820</v>
      </c>
      <c r="C38" s="202" t="s">
        <v>1038</v>
      </c>
      <c r="D38" s="190" t="s">
        <v>1185</v>
      </c>
      <c r="E38" s="191">
        <v>2732.15</v>
      </c>
      <c r="F38" s="191">
        <v>2790.75</v>
      </c>
      <c r="G38" s="192">
        <v>46.676004900000002</v>
      </c>
      <c r="H38" s="203"/>
    </row>
    <row r="39" spans="2:8" x14ac:dyDescent="0.2">
      <c r="B39" s="188" t="s">
        <v>820</v>
      </c>
      <c r="C39" s="202" t="s">
        <v>1052</v>
      </c>
      <c r="D39" s="190" t="s">
        <v>1185</v>
      </c>
      <c r="E39" s="191">
        <v>76</v>
      </c>
      <c r="F39" s="191">
        <v>76.150000000000006</v>
      </c>
      <c r="G39" s="192">
        <v>7.7157876000000005</v>
      </c>
      <c r="H39" s="203"/>
    </row>
    <row r="40" spans="2:8" x14ac:dyDescent="0.2">
      <c r="B40" s="188" t="s">
        <v>820</v>
      </c>
      <c r="C40" s="202" t="s">
        <v>1042</v>
      </c>
      <c r="D40" s="190" t="s">
        <v>1185</v>
      </c>
      <c r="E40" s="191">
        <v>1470.89</v>
      </c>
      <c r="F40" s="191">
        <v>1430.95</v>
      </c>
      <c r="G40" s="192">
        <v>75.207237600000013</v>
      </c>
      <c r="H40" s="203"/>
    </row>
    <row r="41" spans="2:8" x14ac:dyDescent="0.2">
      <c r="B41" s="188" t="s">
        <v>820</v>
      </c>
      <c r="C41" s="202" t="s">
        <v>1014</v>
      </c>
      <c r="D41" s="190" t="s">
        <v>1185</v>
      </c>
      <c r="E41" s="191">
        <v>974.89</v>
      </c>
      <c r="F41" s="191">
        <v>1041.8</v>
      </c>
      <c r="G41" s="122">
        <v>10.272486000000001</v>
      </c>
      <c r="H41" s="203"/>
    </row>
    <row r="42" spans="2:8" x14ac:dyDescent="0.2">
      <c r="B42" s="188" t="s">
        <v>820</v>
      </c>
      <c r="C42" s="202" t="s">
        <v>1031</v>
      </c>
      <c r="D42" s="190" t="s">
        <v>1185</v>
      </c>
      <c r="E42" s="191">
        <v>1325.66</v>
      </c>
      <c r="F42" s="191">
        <v>1388.95</v>
      </c>
      <c r="G42" s="122">
        <v>1296.5246099999999</v>
      </c>
      <c r="H42" s="203"/>
    </row>
    <row r="43" spans="2:8" x14ac:dyDescent="0.2">
      <c r="B43" s="188" t="s">
        <v>820</v>
      </c>
      <c r="C43" s="202" t="s">
        <v>1013</v>
      </c>
      <c r="D43" s="190" t="s">
        <v>1185</v>
      </c>
      <c r="E43" s="191">
        <v>548.71</v>
      </c>
      <c r="F43" s="191">
        <v>599.29999999999995</v>
      </c>
      <c r="G43" s="122">
        <v>346.74026750000002</v>
      </c>
      <c r="H43" s="203"/>
    </row>
    <row r="44" spans="2:8" x14ac:dyDescent="0.2">
      <c r="B44" s="188" t="s">
        <v>820</v>
      </c>
      <c r="C44" s="202" t="s">
        <v>1046</v>
      </c>
      <c r="D44" s="190" t="s">
        <v>1185</v>
      </c>
      <c r="E44" s="191">
        <v>417.95</v>
      </c>
      <c r="F44" s="191">
        <v>424.4</v>
      </c>
      <c r="G44" s="122">
        <v>165.14217650000001</v>
      </c>
      <c r="H44" s="203"/>
    </row>
    <row r="45" spans="2:8" x14ac:dyDescent="0.2">
      <c r="B45" s="188" t="s">
        <v>820</v>
      </c>
      <c r="C45" s="202" t="s">
        <v>1028</v>
      </c>
      <c r="D45" s="190" t="s">
        <v>1185</v>
      </c>
      <c r="E45" s="191">
        <v>2331.5500000000002</v>
      </c>
      <c r="F45" s="191">
        <v>2337.0500000000002</v>
      </c>
      <c r="G45" s="122">
        <v>174.95804200000001</v>
      </c>
      <c r="H45" s="204"/>
    </row>
    <row r="46" spans="2:8" x14ac:dyDescent="0.2">
      <c r="B46" s="188" t="s">
        <v>820</v>
      </c>
      <c r="C46" s="202" t="s">
        <v>1029</v>
      </c>
      <c r="D46" s="190" t="s">
        <v>1185</v>
      </c>
      <c r="E46" s="191">
        <v>728.44</v>
      </c>
      <c r="F46" s="191">
        <v>752.5</v>
      </c>
      <c r="G46" s="122">
        <v>128.45883599999999</v>
      </c>
      <c r="H46" s="203"/>
    </row>
    <row r="47" spans="2:8" x14ac:dyDescent="0.2">
      <c r="B47" s="188" t="s">
        <v>820</v>
      </c>
      <c r="C47" s="202" t="s">
        <v>1027</v>
      </c>
      <c r="D47" s="190" t="s">
        <v>1185</v>
      </c>
      <c r="E47" s="191">
        <v>1419.65</v>
      </c>
      <c r="F47" s="191">
        <v>1508.45</v>
      </c>
      <c r="G47" s="122">
        <v>428.60772299999996</v>
      </c>
      <c r="H47" s="205"/>
    </row>
    <row r="48" spans="2:8" x14ac:dyDescent="0.2">
      <c r="B48" s="188" t="s">
        <v>820</v>
      </c>
      <c r="C48" s="202" t="s">
        <v>1037</v>
      </c>
      <c r="D48" s="190" t="s">
        <v>1185</v>
      </c>
      <c r="E48" s="191">
        <v>266.07</v>
      </c>
      <c r="F48" s="191">
        <v>271.55</v>
      </c>
      <c r="G48" s="122">
        <v>41.714992000000002</v>
      </c>
      <c r="H48" s="205"/>
    </row>
    <row r="49" spans="2:8" x14ac:dyDescent="0.2">
      <c r="B49" s="188" t="s">
        <v>820</v>
      </c>
      <c r="C49" s="202" t="s">
        <v>1017</v>
      </c>
      <c r="D49" s="190" t="s">
        <v>1185</v>
      </c>
      <c r="E49" s="191">
        <v>423.22</v>
      </c>
      <c r="F49" s="191">
        <v>379.15</v>
      </c>
      <c r="G49" s="122">
        <v>120.16064800000001</v>
      </c>
      <c r="H49" s="205"/>
    </row>
    <row r="50" spans="2:8" x14ac:dyDescent="0.2">
      <c r="B50" s="188" t="s">
        <v>820</v>
      </c>
      <c r="C50" s="202" t="s">
        <v>1053</v>
      </c>
      <c r="D50" s="190" t="s">
        <v>1185</v>
      </c>
      <c r="E50" s="191">
        <v>553.97</v>
      </c>
      <c r="F50" s="191">
        <v>553.35</v>
      </c>
      <c r="G50" s="122">
        <v>19.681279</v>
      </c>
      <c r="H50" s="205"/>
    </row>
    <row r="51" spans="2:8" x14ac:dyDescent="0.2">
      <c r="B51" s="188" t="s">
        <v>820</v>
      </c>
      <c r="C51" s="202" t="s">
        <v>1018</v>
      </c>
      <c r="D51" s="190" t="s">
        <v>1185</v>
      </c>
      <c r="E51" s="191">
        <v>1603.58</v>
      </c>
      <c r="F51" s="191">
        <v>1655.45</v>
      </c>
      <c r="G51" s="122">
        <v>60.222996899999998</v>
      </c>
      <c r="H51" s="205"/>
    </row>
    <row r="52" spans="2:8" x14ac:dyDescent="0.2">
      <c r="B52" s="188" t="s">
        <v>820</v>
      </c>
      <c r="C52" s="202" t="s">
        <v>1055</v>
      </c>
      <c r="D52" s="190" t="s">
        <v>1185</v>
      </c>
      <c r="E52" s="191">
        <v>3522.11</v>
      </c>
      <c r="F52" s="191">
        <v>3516.55</v>
      </c>
      <c r="G52" s="122">
        <v>128.82369499999999</v>
      </c>
      <c r="H52" s="205"/>
    </row>
    <row r="53" spans="2:8" x14ac:dyDescent="0.2">
      <c r="B53" s="188" t="s">
        <v>820</v>
      </c>
      <c r="C53" s="202" t="s">
        <v>1010</v>
      </c>
      <c r="D53" s="190" t="s">
        <v>1185</v>
      </c>
      <c r="E53" s="191">
        <v>590.23</v>
      </c>
      <c r="F53" s="191">
        <v>620.70000000000005</v>
      </c>
      <c r="G53" s="122">
        <v>54.601700099999995</v>
      </c>
      <c r="H53" s="205"/>
    </row>
    <row r="54" spans="2:8" x14ac:dyDescent="0.2">
      <c r="B54" s="188" t="s">
        <v>820</v>
      </c>
      <c r="C54" s="202" t="s">
        <v>1009</v>
      </c>
      <c r="D54" s="190" t="s">
        <v>1185</v>
      </c>
      <c r="E54" s="191">
        <v>919.84</v>
      </c>
      <c r="F54" s="191">
        <v>1034.5999999999999</v>
      </c>
      <c r="G54" s="122">
        <v>21.911470000000001</v>
      </c>
      <c r="H54" s="205"/>
    </row>
    <row r="55" spans="2:8" x14ac:dyDescent="0.2">
      <c r="B55" s="188" t="s">
        <v>820</v>
      </c>
      <c r="C55" s="202" t="s">
        <v>1043</v>
      </c>
      <c r="D55" s="190" t="s">
        <v>1185</v>
      </c>
      <c r="E55" s="191">
        <v>7998.32</v>
      </c>
      <c r="F55" s="191">
        <v>7999.7</v>
      </c>
      <c r="G55" s="122">
        <v>94.826677500000002</v>
      </c>
      <c r="H55" s="205"/>
    </row>
    <row r="56" spans="2:8" x14ac:dyDescent="0.2">
      <c r="B56" s="188" t="s">
        <v>820</v>
      </c>
      <c r="C56" s="202" t="s">
        <v>1023</v>
      </c>
      <c r="D56" s="190" t="s">
        <v>1185</v>
      </c>
      <c r="E56" s="191">
        <v>798.8</v>
      </c>
      <c r="F56" s="191">
        <v>812.2</v>
      </c>
      <c r="G56" s="122">
        <v>464.231784</v>
      </c>
      <c r="H56" s="205"/>
    </row>
    <row r="57" spans="2:8" x14ac:dyDescent="0.2">
      <c r="B57" s="188" t="s">
        <v>820</v>
      </c>
      <c r="C57" s="202" t="s">
        <v>1047</v>
      </c>
      <c r="D57" s="190" t="s">
        <v>1185</v>
      </c>
      <c r="E57" s="191">
        <v>15997.54</v>
      </c>
      <c r="F57" s="191">
        <v>16577.599999999999</v>
      </c>
      <c r="G57" s="122">
        <v>469.1952</v>
      </c>
      <c r="H57" s="205"/>
    </row>
    <row r="58" spans="2:8" x14ac:dyDescent="0.2">
      <c r="B58" s="188" t="s">
        <v>820</v>
      </c>
      <c r="C58" s="202" t="s">
        <v>1034</v>
      </c>
      <c r="D58" s="190" t="s">
        <v>1185</v>
      </c>
      <c r="E58" s="191">
        <v>30.15</v>
      </c>
      <c r="F58" s="191">
        <v>30.75</v>
      </c>
      <c r="G58" s="122">
        <v>27.111000000000001</v>
      </c>
      <c r="H58" s="205"/>
    </row>
    <row r="59" spans="2:8" x14ac:dyDescent="0.2">
      <c r="B59" s="188" t="s">
        <v>820</v>
      </c>
      <c r="C59" s="202" t="s">
        <v>1025</v>
      </c>
      <c r="D59" s="190" t="s">
        <v>1185</v>
      </c>
      <c r="E59" s="191">
        <v>458.62</v>
      </c>
      <c r="F59" s="191">
        <v>468.3</v>
      </c>
      <c r="G59" s="122">
        <v>264.5369025</v>
      </c>
      <c r="H59" s="205"/>
    </row>
    <row r="60" spans="2:8" x14ac:dyDescent="0.2">
      <c r="B60" s="188" t="s">
        <v>820</v>
      </c>
      <c r="C60" s="202" t="s">
        <v>1040</v>
      </c>
      <c r="D60" s="190" t="s">
        <v>1185</v>
      </c>
      <c r="E60" s="191">
        <v>1080.32</v>
      </c>
      <c r="F60" s="191">
        <v>1174.0999999999999</v>
      </c>
      <c r="G60" s="122">
        <v>70.155387700000006</v>
      </c>
      <c r="H60" s="205"/>
    </row>
    <row r="61" spans="2:8" x14ac:dyDescent="0.2">
      <c r="B61" s="188" t="s">
        <v>820</v>
      </c>
      <c r="C61" s="202" t="s">
        <v>1044</v>
      </c>
      <c r="D61" s="190" t="s">
        <v>1185</v>
      </c>
      <c r="E61" s="191">
        <v>924.58</v>
      </c>
      <c r="F61" s="191">
        <v>861.3</v>
      </c>
      <c r="G61" s="122">
        <v>86.86251</v>
      </c>
      <c r="H61" s="205"/>
    </row>
    <row r="62" spans="2:8" x14ac:dyDescent="0.2">
      <c r="B62" s="188" t="s">
        <v>820</v>
      </c>
      <c r="C62" s="202" t="s">
        <v>1036</v>
      </c>
      <c r="D62" s="190" t="s">
        <v>1185</v>
      </c>
      <c r="E62" s="191">
        <v>971.07</v>
      </c>
      <c r="F62" s="191">
        <v>938.2</v>
      </c>
      <c r="G62" s="122">
        <v>30.80181</v>
      </c>
      <c r="H62" s="205"/>
    </row>
    <row r="63" spans="2:8" x14ac:dyDescent="0.2">
      <c r="B63" s="188" t="s">
        <v>820</v>
      </c>
      <c r="C63" s="202" t="s">
        <v>1032</v>
      </c>
      <c r="D63" s="190" t="s">
        <v>1185</v>
      </c>
      <c r="E63" s="191">
        <v>965.84</v>
      </c>
      <c r="F63" s="191">
        <v>967.6</v>
      </c>
      <c r="G63" s="122">
        <v>3.8890559999999996</v>
      </c>
      <c r="H63" s="205"/>
    </row>
    <row r="64" spans="2:8" x14ac:dyDescent="0.2">
      <c r="B64" s="188" t="s">
        <v>820</v>
      </c>
      <c r="C64" s="202" t="s">
        <v>1021</v>
      </c>
      <c r="D64" s="190" t="s">
        <v>1185</v>
      </c>
      <c r="E64" s="191">
        <v>1018.75</v>
      </c>
      <c r="F64" s="191">
        <v>1005.1</v>
      </c>
      <c r="G64" s="122">
        <v>454.93359059999995</v>
      </c>
      <c r="H64" s="205"/>
    </row>
    <row r="65" spans="2:8" x14ac:dyDescent="0.2">
      <c r="B65" s="188" t="s">
        <v>820</v>
      </c>
      <c r="C65" s="202" t="s">
        <v>1030</v>
      </c>
      <c r="D65" s="190" t="s">
        <v>1185</v>
      </c>
      <c r="E65" s="191">
        <v>1142.52</v>
      </c>
      <c r="F65" s="191">
        <v>1183.55</v>
      </c>
      <c r="G65" s="122">
        <v>634.21376399999997</v>
      </c>
      <c r="H65" s="205"/>
    </row>
    <row r="66" spans="2:8" x14ac:dyDescent="0.2">
      <c r="B66" s="188" t="s">
        <v>820</v>
      </c>
      <c r="C66" s="202" t="s">
        <v>1039</v>
      </c>
      <c r="D66" s="190" t="s">
        <v>1185</v>
      </c>
      <c r="E66" s="191">
        <v>321.81</v>
      </c>
      <c r="F66" s="191">
        <v>322.25</v>
      </c>
      <c r="G66" s="122">
        <v>78.572727</v>
      </c>
      <c r="H66" s="205"/>
    </row>
    <row r="67" spans="2:8" x14ac:dyDescent="0.2">
      <c r="B67" s="188" t="s">
        <v>820</v>
      </c>
      <c r="C67" s="202" t="s">
        <v>1033</v>
      </c>
      <c r="D67" s="190" t="s">
        <v>1185</v>
      </c>
      <c r="E67" s="191">
        <v>479.21</v>
      </c>
      <c r="F67" s="191">
        <v>479.75</v>
      </c>
      <c r="G67" s="122">
        <v>5.3340699999999996</v>
      </c>
      <c r="H67" s="205"/>
    </row>
    <row r="68" spans="2:8" x14ac:dyDescent="0.2">
      <c r="B68" s="188"/>
      <c r="C68" s="202"/>
      <c r="D68" s="190"/>
      <c r="E68" s="191"/>
      <c r="F68" s="191"/>
      <c r="G68" s="122"/>
      <c r="H68" s="205"/>
    </row>
    <row r="69" spans="2:8" x14ac:dyDescent="0.2">
      <c r="B69" s="188"/>
      <c r="C69" s="202"/>
      <c r="D69" s="190"/>
      <c r="E69" s="191"/>
      <c r="F69" s="191"/>
      <c r="G69" s="122"/>
      <c r="H69" s="205"/>
    </row>
    <row r="70" spans="2:8" x14ac:dyDescent="0.2">
      <c r="B70" s="188" t="s">
        <v>625</v>
      </c>
      <c r="C70" s="4" t="s">
        <v>1007</v>
      </c>
      <c r="D70" s="190" t="s">
        <v>1185</v>
      </c>
      <c r="E70" s="191">
        <v>363.02</v>
      </c>
      <c r="F70" s="191">
        <v>370.9</v>
      </c>
      <c r="G70" s="122">
        <v>8.4700349999999993</v>
      </c>
      <c r="H70" s="205"/>
    </row>
    <row r="71" spans="2:8" x14ac:dyDescent="0.2">
      <c r="B71" s="188" t="s">
        <v>625</v>
      </c>
      <c r="C71" s="4" t="s">
        <v>1022</v>
      </c>
      <c r="D71" s="190" t="s">
        <v>1185</v>
      </c>
      <c r="E71" s="191">
        <v>140.55000000000001</v>
      </c>
      <c r="F71" s="191">
        <v>138</v>
      </c>
      <c r="G71" s="122">
        <v>98.056349999999995</v>
      </c>
      <c r="H71" s="205"/>
    </row>
    <row r="72" spans="2:8" x14ac:dyDescent="0.2">
      <c r="B72" s="188" t="s">
        <v>625</v>
      </c>
      <c r="C72" s="4" t="s">
        <v>1016</v>
      </c>
      <c r="D72" s="190" t="s">
        <v>1185</v>
      </c>
      <c r="E72" s="191">
        <v>3066.46</v>
      </c>
      <c r="F72" s="191">
        <v>2848.25</v>
      </c>
      <c r="G72" s="122">
        <v>36.550936399999998</v>
      </c>
      <c r="H72" s="205"/>
    </row>
    <row r="73" spans="2:8" x14ac:dyDescent="0.2">
      <c r="B73" s="188" t="s">
        <v>625</v>
      </c>
      <c r="C73" s="4" t="s">
        <v>1019</v>
      </c>
      <c r="D73" s="190" t="s">
        <v>1185</v>
      </c>
      <c r="E73" s="191">
        <v>682.85</v>
      </c>
      <c r="F73" s="191">
        <v>686.95</v>
      </c>
      <c r="G73" s="122">
        <v>58.969730999999996</v>
      </c>
      <c r="H73" s="205"/>
    </row>
    <row r="74" spans="2:8" x14ac:dyDescent="0.2">
      <c r="B74" s="188" t="s">
        <v>625</v>
      </c>
      <c r="C74" s="4" t="s">
        <v>1012</v>
      </c>
      <c r="D74" s="190" t="s">
        <v>1185</v>
      </c>
      <c r="E74" s="191">
        <v>12757.58</v>
      </c>
      <c r="F74" s="191">
        <v>12939.5</v>
      </c>
      <c r="G74" s="192">
        <v>44.725231200000003</v>
      </c>
    </row>
    <row r="75" spans="2:8" x14ac:dyDescent="0.2">
      <c r="B75" s="188" t="s">
        <v>625</v>
      </c>
      <c r="C75" s="4" t="s">
        <v>1026</v>
      </c>
      <c r="D75" s="190" t="s">
        <v>1185</v>
      </c>
      <c r="E75" s="191">
        <v>5794.55</v>
      </c>
      <c r="F75" s="191">
        <v>6067.05</v>
      </c>
      <c r="G75" s="192">
        <v>191.59805699999998</v>
      </c>
    </row>
    <row r="76" spans="2:8" x14ac:dyDescent="0.2">
      <c r="B76" s="188" t="s">
        <v>625</v>
      </c>
      <c r="C76" s="4" t="s">
        <v>1008</v>
      </c>
      <c r="D76" s="190" t="s">
        <v>1185</v>
      </c>
      <c r="E76" s="191">
        <v>4320.8</v>
      </c>
      <c r="F76" s="191">
        <v>3596.05</v>
      </c>
      <c r="G76" s="192">
        <v>11.909948799999999</v>
      </c>
    </row>
    <row r="77" spans="2:8" x14ac:dyDescent="0.2">
      <c r="B77" s="188" t="s">
        <v>625</v>
      </c>
      <c r="C77" s="4" t="s">
        <v>1014</v>
      </c>
      <c r="D77" s="190" t="s">
        <v>1185</v>
      </c>
      <c r="E77" s="191">
        <v>1001.01</v>
      </c>
      <c r="F77" s="191">
        <v>1041.8</v>
      </c>
      <c r="G77" s="192">
        <v>37.665782</v>
      </c>
    </row>
    <row r="78" spans="2:8" x14ac:dyDescent="0.2">
      <c r="B78" s="188" t="s">
        <v>625</v>
      </c>
      <c r="C78" s="4" t="s">
        <v>1020</v>
      </c>
      <c r="D78" s="190" t="s">
        <v>1185</v>
      </c>
      <c r="E78" s="191">
        <v>2149.54</v>
      </c>
      <c r="F78" s="191">
        <v>2309.8000000000002</v>
      </c>
      <c r="G78" s="192">
        <v>68.188302000000007</v>
      </c>
    </row>
    <row r="79" spans="2:8" x14ac:dyDescent="0.2">
      <c r="B79" s="188" t="s">
        <v>625</v>
      </c>
      <c r="C79" s="4" t="s">
        <v>1031</v>
      </c>
      <c r="D79" s="190" t="s">
        <v>1185</v>
      </c>
      <c r="E79" s="191">
        <v>1328.64</v>
      </c>
      <c r="F79" s="191">
        <v>1388.95</v>
      </c>
      <c r="G79" s="192">
        <v>409.12554360000001</v>
      </c>
    </row>
    <row r="80" spans="2:8" x14ac:dyDescent="0.2">
      <c r="B80" s="188" t="s">
        <v>625</v>
      </c>
      <c r="C80" s="4" t="s">
        <v>1013</v>
      </c>
      <c r="D80" s="190" t="s">
        <v>1185</v>
      </c>
      <c r="E80" s="191">
        <v>545.75</v>
      </c>
      <c r="F80" s="191">
        <v>599.29999999999995</v>
      </c>
      <c r="G80" s="192">
        <v>35.411771999999999</v>
      </c>
    </row>
    <row r="81" spans="2:7" x14ac:dyDescent="0.2">
      <c r="B81" s="188" t="s">
        <v>625</v>
      </c>
      <c r="C81" s="4" t="s">
        <v>1028</v>
      </c>
      <c r="D81" s="190" t="s">
        <v>1185</v>
      </c>
      <c r="E81" s="191">
        <v>2347.66</v>
      </c>
      <c r="F81" s="191">
        <v>2337.0500000000002</v>
      </c>
      <c r="G81" s="192">
        <v>177.45744260000001</v>
      </c>
    </row>
    <row r="82" spans="2:7" x14ac:dyDescent="0.2">
      <c r="B82" s="188" t="s">
        <v>625</v>
      </c>
      <c r="C82" s="4" t="s">
        <v>1029</v>
      </c>
      <c r="D82" s="190" t="s">
        <v>1185</v>
      </c>
      <c r="E82" s="191">
        <v>713.61</v>
      </c>
      <c r="F82" s="191">
        <v>752.5</v>
      </c>
      <c r="G82" s="192">
        <v>226.94394359999998</v>
      </c>
    </row>
    <row r="83" spans="2:7" x14ac:dyDescent="0.2">
      <c r="B83" s="188" t="s">
        <v>625</v>
      </c>
      <c r="C83" s="4" t="s">
        <v>1027</v>
      </c>
      <c r="D83" s="190" t="s">
        <v>1185</v>
      </c>
      <c r="E83" s="191">
        <v>1406.6</v>
      </c>
      <c r="F83" s="191">
        <v>1508.45</v>
      </c>
      <c r="G83" s="192">
        <v>157.15616510000001</v>
      </c>
    </row>
    <row r="84" spans="2:7" x14ac:dyDescent="0.2">
      <c r="B84" s="188" t="s">
        <v>625</v>
      </c>
      <c r="C84" s="4" t="s">
        <v>1017</v>
      </c>
      <c r="D84" s="190" t="s">
        <v>1185</v>
      </c>
      <c r="E84" s="191">
        <v>380.92</v>
      </c>
      <c r="F84" s="191">
        <v>379.15</v>
      </c>
      <c r="G84" s="192">
        <v>72.0963888</v>
      </c>
    </row>
    <row r="85" spans="2:7" x14ac:dyDescent="0.2">
      <c r="B85" s="188" t="s">
        <v>625</v>
      </c>
      <c r="C85" s="4" t="s">
        <v>1018</v>
      </c>
      <c r="D85" s="190" t="s">
        <v>1185</v>
      </c>
      <c r="E85" s="191">
        <v>1606.09</v>
      </c>
      <c r="F85" s="191">
        <v>1655.45</v>
      </c>
      <c r="G85" s="192">
        <v>43.798543200000005</v>
      </c>
    </row>
    <row r="86" spans="2:7" x14ac:dyDescent="0.2">
      <c r="B86" s="188" t="s">
        <v>625</v>
      </c>
      <c r="C86" s="4" t="s">
        <v>1011</v>
      </c>
      <c r="D86" s="190" t="s">
        <v>1185</v>
      </c>
      <c r="E86" s="191">
        <v>373.6</v>
      </c>
      <c r="F86" s="191">
        <v>379.3</v>
      </c>
      <c r="G86" s="192">
        <v>46.290199999999999</v>
      </c>
    </row>
    <row r="87" spans="2:7" x14ac:dyDescent="0.2">
      <c r="B87" s="188" t="s">
        <v>625</v>
      </c>
      <c r="C87" s="4" t="s">
        <v>1024</v>
      </c>
      <c r="D87" s="190" t="s">
        <v>1185</v>
      </c>
      <c r="E87" s="191">
        <v>3857.39</v>
      </c>
      <c r="F87" s="191">
        <v>4244.45</v>
      </c>
      <c r="G87" s="192">
        <v>103.43473399999999</v>
      </c>
    </row>
    <row r="88" spans="2:7" x14ac:dyDescent="0.2">
      <c r="B88" s="188" t="s">
        <v>625</v>
      </c>
      <c r="C88" s="4" t="s">
        <v>1010</v>
      </c>
      <c r="D88" s="190" t="s">
        <v>1185</v>
      </c>
      <c r="E88" s="191">
        <v>597.95000000000005</v>
      </c>
      <c r="F88" s="191">
        <v>620.70000000000005</v>
      </c>
      <c r="G88" s="192">
        <v>24.3965043</v>
      </c>
    </row>
    <row r="89" spans="2:7" x14ac:dyDescent="0.2">
      <c r="B89" s="188" t="s">
        <v>625</v>
      </c>
      <c r="C89" s="4" t="s">
        <v>1009</v>
      </c>
      <c r="D89" s="190" t="s">
        <v>1185</v>
      </c>
      <c r="E89" s="191">
        <v>934.7</v>
      </c>
      <c r="F89" s="191">
        <v>1034.5999999999999</v>
      </c>
      <c r="G89" s="192">
        <v>26.293764000000003</v>
      </c>
    </row>
    <row r="90" spans="2:7" x14ac:dyDescent="0.2">
      <c r="B90" s="188" t="s">
        <v>625</v>
      </c>
      <c r="C90" s="4" t="s">
        <v>1023</v>
      </c>
      <c r="D90" s="190" t="s">
        <v>1185</v>
      </c>
      <c r="E90" s="191">
        <v>803.65</v>
      </c>
      <c r="F90" s="191">
        <v>812.2</v>
      </c>
      <c r="G90" s="192">
        <v>69.094963200000009</v>
      </c>
    </row>
    <row r="91" spans="2:7" x14ac:dyDescent="0.2">
      <c r="B91" s="188" t="s">
        <v>625</v>
      </c>
      <c r="C91" s="4" t="s">
        <v>1025</v>
      </c>
      <c r="D91" s="190" t="s">
        <v>1185</v>
      </c>
      <c r="E91" s="191">
        <v>453.52</v>
      </c>
      <c r="F91" s="191">
        <v>468.3</v>
      </c>
      <c r="G91" s="192">
        <v>145.8661425</v>
      </c>
    </row>
    <row r="92" spans="2:7" x14ac:dyDescent="0.2">
      <c r="B92" s="188" t="s">
        <v>625</v>
      </c>
      <c r="C92" s="4" t="s">
        <v>1015</v>
      </c>
      <c r="D92" s="190" t="s">
        <v>1185</v>
      </c>
      <c r="E92" s="191">
        <v>711.7</v>
      </c>
      <c r="F92" s="191">
        <v>757.55</v>
      </c>
      <c r="G92" s="192">
        <v>45.865089599999997</v>
      </c>
    </row>
    <row r="93" spans="2:7" x14ac:dyDescent="0.2">
      <c r="B93" s="188" t="s">
        <v>625</v>
      </c>
      <c r="C93" s="4" t="s">
        <v>1021</v>
      </c>
      <c r="D93" s="190" t="s">
        <v>1185</v>
      </c>
      <c r="E93" s="191">
        <v>1000.86</v>
      </c>
      <c r="F93" s="191">
        <v>1005.1</v>
      </c>
      <c r="G93" s="192">
        <v>97.789463400000002</v>
      </c>
    </row>
    <row r="94" spans="2:7" x14ac:dyDescent="0.2">
      <c r="B94" s="188" t="s">
        <v>625</v>
      </c>
      <c r="C94" s="4" t="s">
        <v>1030</v>
      </c>
      <c r="D94" s="190" t="s">
        <v>1185</v>
      </c>
      <c r="E94" s="191">
        <v>1147.6199999999999</v>
      </c>
      <c r="F94" s="191">
        <v>1183.55</v>
      </c>
      <c r="G94" s="192">
        <v>343.53245549999997</v>
      </c>
    </row>
    <row r="95" spans="2:7" hidden="1" x14ac:dyDescent="0.2">
      <c r="B95" s="188"/>
      <c r="C95" s="206"/>
      <c r="D95" s="190"/>
      <c r="E95" s="191"/>
      <c r="F95" s="191"/>
      <c r="G95" s="192"/>
    </row>
    <row r="97" spans="2:12" x14ac:dyDescent="0.2">
      <c r="B97" s="185" t="s">
        <v>1187</v>
      </c>
      <c r="E97" s="207"/>
      <c r="F97" s="207"/>
      <c r="G97" s="207"/>
    </row>
    <row r="99" spans="2:12" x14ac:dyDescent="0.2">
      <c r="B99" s="208" t="s">
        <v>1178</v>
      </c>
      <c r="C99" s="208" t="s">
        <v>1188</v>
      </c>
    </row>
    <row r="100" spans="2:12" x14ac:dyDescent="0.2">
      <c r="B100" s="188" t="s">
        <v>1184</v>
      </c>
      <c r="C100" s="209">
        <v>69.67</v>
      </c>
    </row>
    <row r="101" spans="2:12" x14ac:dyDescent="0.2">
      <c r="B101" s="188" t="s">
        <v>820</v>
      </c>
      <c r="C101" s="209">
        <v>20.67</v>
      </c>
    </row>
    <row r="102" spans="2:12" x14ac:dyDescent="0.2">
      <c r="B102" s="119" t="s">
        <v>625</v>
      </c>
      <c r="C102" s="209">
        <v>30.59</v>
      </c>
    </row>
    <row r="104" spans="2:12" x14ac:dyDescent="0.2">
      <c r="B104" s="185" t="s">
        <v>1189</v>
      </c>
    </row>
    <row r="105" spans="2:12" x14ac:dyDescent="0.2">
      <c r="B105" s="185"/>
    </row>
    <row r="106" spans="2:12" ht="63.75" x14ac:dyDescent="0.2">
      <c r="B106" s="186" t="s">
        <v>1178</v>
      </c>
      <c r="C106" s="187" t="s">
        <v>1190</v>
      </c>
      <c r="D106" s="187" t="s">
        <v>1191</v>
      </c>
      <c r="E106" s="187" t="s">
        <v>1192</v>
      </c>
      <c r="F106" s="187" t="s">
        <v>1193</v>
      </c>
      <c r="G106" s="187" t="s">
        <v>1194</v>
      </c>
    </row>
    <row r="107" spans="2:12" ht="15" customHeight="1" x14ac:dyDescent="0.2">
      <c r="B107" s="188" t="s">
        <v>1184</v>
      </c>
      <c r="C107" s="210">
        <f>592+698+1</f>
        <v>1291</v>
      </c>
      <c r="D107" s="210">
        <f>592+666+1</f>
        <v>1259</v>
      </c>
      <c r="E107" s="122">
        <f>4495.99+4695.0754+5.2245</f>
        <v>9196.2898999999998</v>
      </c>
      <c r="F107" s="122">
        <f>4426.35+5092.9764+4.9094</f>
        <v>9524.2358000000004</v>
      </c>
      <c r="G107" s="211">
        <f t="shared" ref="G107:G113" si="0">+F107-E107</f>
        <v>327.94590000000062</v>
      </c>
      <c r="H107" s="212"/>
      <c r="I107" s="213"/>
      <c r="J107" s="214"/>
      <c r="K107" s="214"/>
      <c r="L107" s="214"/>
    </row>
    <row r="108" spans="2:12" ht="15" customHeight="1" x14ac:dyDescent="0.2">
      <c r="B108" s="188" t="s">
        <v>820</v>
      </c>
      <c r="C108" s="215">
        <f>5061+4765</f>
        <v>9826</v>
      </c>
      <c r="D108" s="215">
        <f>5061+4550</f>
        <v>9611</v>
      </c>
      <c r="E108" s="216">
        <f>34709.76+30322.71973</f>
        <v>65032.479730000006</v>
      </c>
      <c r="F108" s="216">
        <f>35230.27+32213.3015</f>
        <v>67443.571499999991</v>
      </c>
      <c r="G108" s="211">
        <f t="shared" si="0"/>
        <v>2411.0917699999845</v>
      </c>
      <c r="H108" s="212"/>
      <c r="I108" s="213"/>
      <c r="J108" s="214"/>
      <c r="K108" s="214"/>
      <c r="L108" s="214"/>
    </row>
    <row r="109" spans="2:12" ht="15" customHeight="1" x14ac:dyDescent="0.2">
      <c r="B109" s="119" t="s">
        <v>625</v>
      </c>
      <c r="C109" s="210">
        <f>1457+1762</f>
        <v>3219</v>
      </c>
      <c r="D109" s="210">
        <f>1457+1706</f>
        <v>3163</v>
      </c>
      <c r="E109" s="122">
        <f>9647.08+11093.2302</f>
        <v>20740.3102</v>
      </c>
      <c r="F109" s="122">
        <f>9908.46+11698.9857</f>
        <v>21607.445699999997</v>
      </c>
      <c r="G109" s="211">
        <f t="shared" si="0"/>
        <v>867.13549999999668</v>
      </c>
      <c r="H109" s="212"/>
      <c r="I109" s="213"/>
      <c r="J109" s="214"/>
      <c r="K109" s="214"/>
      <c r="L109" s="214"/>
    </row>
    <row r="110" spans="2:12" ht="25.5" x14ac:dyDescent="0.2">
      <c r="B110" s="217" t="s">
        <v>1140</v>
      </c>
      <c r="C110" s="210">
        <v>500</v>
      </c>
      <c r="D110" s="210">
        <v>500</v>
      </c>
      <c r="E110" s="122">
        <v>2417.11</v>
      </c>
      <c r="F110" s="122">
        <v>2635.38</v>
      </c>
      <c r="G110" s="211">
        <f t="shared" si="0"/>
        <v>218.26999999999998</v>
      </c>
      <c r="H110" s="212"/>
      <c r="I110" s="213"/>
      <c r="J110" s="214"/>
      <c r="K110" s="214"/>
      <c r="L110" s="214"/>
    </row>
    <row r="111" spans="2:12" x14ac:dyDescent="0.2">
      <c r="B111" s="188" t="s">
        <v>816</v>
      </c>
      <c r="C111" s="215">
        <v>50</v>
      </c>
      <c r="D111" s="215">
        <v>50</v>
      </c>
      <c r="E111" s="218">
        <v>344.7</v>
      </c>
      <c r="F111" s="216">
        <v>341.76139999999998</v>
      </c>
      <c r="G111" s="211">
        <f t="shared" si="0"/>
        <v>-2.9386000000000081</v>
      </c>
      <c r="H111" s="212"/>
      <c r="I111" s="213"/>
      <c r="J111" s="214"/>
      <c r="K111" s="214"/>
      <c r="L111" s="214"/>
    </row>
    <row r="112" spans="2:12" hidden="1" x14ac:dyDescent="0.2">
      <c r="B112" s="217"/>
      <c r="C112" s="215"/>
      <c r="D112" s="215"/>
      <c r="E112" s="218"/>
      <c r="F112" s="216"/>
      <c r="G112" s="211">
        <f t="shared" si="0"/>
        <v>0</v>
      </c>
      <c r="H112" s="212"/>
      <c r="I112" s="213"/>
      <c r="J112" s="214"/>
      <c r="K112" s="214"/>
      <c r="L112" s="214"/>
    </row>
    <row r="113" spans="2:12" hidden="1" x14ac:dyDescent="0.2">
      <c r="B113" s="188"/>
      <c r="C113" s="215"/>
      <c r="D113" s="215"/>
      <c r="E113" s="216"/>
      <c r="F113" s="216"/>
      <c r="G113" s="211">
        <f t="shared" si="0"/>
        <v>0</v>
      </c>
      <c r="H113" s="212"/>
      <c r="I113" s="213"/>
      <c r="J113" s="214"/>
    </row>
    <row r="114" spans="2:12" x14ac:dyDescent="0.2">
      <c r="H114" s="212"/>
      <c r="I114" s="213"/>
      <c r="J114" s="214"/>
    </row>
    <row r="115" spans="2:12" ht="15" customHeight="1" x14ac:dyDescent="0.2">
      <c r="E115" s="214"/>
      <c r="F115" s="214"/>
      <c r="H115" s="212"/>
      <c r="I115" s="213"/>
      <c r="J115" s="214"/>
    </row>
    <row r="116" spans="2:12" x14ac:dyDescent="0.2">
      <c r="B116" s="185" t="s">
        <v>1195</v>
      </c>
      <c r="F116" s="214"/>
      <c r="G116" s="213"/>
      <c r="H116" s="212"/>
      <c r="I116" s="213"/>
      <c r="L116" s="212"/>
    </row>
    <row r="117" spans="2:12" x14ac:dyDescent="0.2">
      <c r="H117" s="219"/>
      <c r="L117" s="213"/>
    </row>
    <row r="118" spans="2:12" ht="25.5" x14ac:dyDescent="0.2">
      <c r="B118" s="186" t="s">
        <v>1178</v>
      </c>
      <c r="C118" s="186" t="s">
        <v>1179</v>
      </c>
      <c r="D118" s="186" t="s">
        <v>1180</v>
      </c>
      <c r="E118" s="187" t="s">
        <v>1181</v>
      </c>
      <c r="F118" s="187" t="s">
        <v>1182</v>
      </c>
      <c r="G118" s="187" t="s">
        <v>1196</v>
      </c>
    </row>
    <row r="119" spans="2:12" x14ac:dyDescent="0.2">
      <c r="B119" s="188" t="s">
        <v>833</v>
      </c>
      <c r="C119" s="188" t="s">
        <v>1051</v>
      </c>
      <c r="D119" s="190" t="s">
        <v>1197</v>
      </c>
      <c r="E119" s="199">
        <v>1640.09</v>
      </c>
      <c r="F119" s="199">
        <v>1616.35</v>
      </c>
      <c r="G119" s="220">
        <v>85.62</v>
      </c>
    </row>
    <row r="120" spans="2:12" x14ac:dyDescent="0.2">
      <c r="D120" s="221"/>
      <c r="E120" s="222"/>
      <c r="F120" s="222"/>
      <c r="G120" s="222"/>
      <c r="I120" s="213"/>
    </row>
    <row r="121" spans="2:12" x14ac:dyDescent="0.2">
      <c r="C121" s="223"/>
      <c r="D121" s="224"/>
      <c r="E121" s="225"/>
      <c r="F121" s="226"/>
      <c r="G121" s="226"/>
      <c r="I121" s="213"/>
    </row>
    <row r="122" spans="2:12" x14ac:dyDescent="0.2">
      <c r="B122" s="185" t="s">
        <v>1198</v>
      </c>
      <c r="I122" s="213"/>
    </row>
    <row r="123" spans="2:12" x14ac:dyDescent="0.2">
      <c r="I123" s="213"/>
      <c r="L123" s="214"/>
    </row>
    <row r="124" spans="2:12" x14ac:dyDescent="0.2">
      <c r="B124" s="208" t="s">
        <v>1178</v>
      </c>
      <c r="C124" s="208" t="s">
        <v>1188</v>
      </c>
    </row>
    <row r="125" spans="2:12" x14ac:dyDescent="0.2">
      <c r="B125" s="188" t="s">
        <v>833</v>
      </c>
      <c r="C125" s="190">
        <v>0.15</v>
      </c>
    </row>
    <row r="126" spans="2:12" x14ac:dyDescent="0.2">
      <c r="B126" s="189"/>
      <c r="C126" s="227"/>
    </row>
    <row r="127" spans="2:12" x14ac:dyDescent="0.2">
      <c r="B127" s="185" t="s">
        <v>1199</v>
      </c>
    </row>
    <row r="128" spans="2:12" x14ac:dyDescent="0.2">
      <c r="B128" s="185"/>
    </row>
    <row r="129" spans="2:9" ht="63.75" x14ac:dyDescent="0.2">
      <c r="B129" s="186" t="s">
        <v>1178</v>
      </c>
      <c r="C129" s="187" t="s">
        <v>1190</v>
      </c>
      <c r="D129" s="187" t="s">
        <v>1191</v>
      </c>
      <c r="E129" s="187" t="s">
        <v>1192</v>
      </c>
      <c r="F129" s="187" t="s">
        <v>1200</v>
      </c>
      <c r="G129" s="187" t="s">
        <v>1201</v>
      </c>
    </row>
    <row r="130" spans="2:9" x14ac:dyDescent="0.2">
      <c r="B130" s="188" t="s">
        <v>820</v>
      </c>
      <c r="C130" s="215">
        <v>25</v>
      </c>
      <c r="D130" s="215">
        <v>25</v>
      </c>
      <c r="E130" s="216">
        <v>195.99950000000001</v>
      </c>
      <c r="F130" s="216">
        <v>187.8</v>
      </c>
      <c r="G130" s="228">
        <f t="shared" ref="G130:G136" si="1">+F130-E130</f>
        <v>-8.1995000000000005</v>
      </c>
      <c r="H130" s="212"/>
      <c r="I130" s="213"/>
    </row>
    <row r="131" spans="2:9" hidden="1" x14ac:dyDescent="0.2">
      <c r="B131" s="119"/>
      <c r="C131" s="229"/>
      <c r="D131" s="229"/>
      <c r="E131" s="230"/>
      <c r="F131" s="230"/>
      <c r="G131" s="228">
        <f t="shared" si="1"/>
        <v>0</v>
      </c>
      <c r="H131" s="231"/>
    </row>
    <row r="132" spans="2:9" hidden="1" x14ac:dyDescent="0.2">
      <c r="B132" s="119"/>
      <c r="C132" s="229"/>
      <c r="D132" s="229"/>
      <c r="E132" s="230"/>
      <c r="F132" s="230"/>
      <c r="G132" s="228">
        <f t="shared" si="1"/>
        <v>0</v>
      </c>
    </row>
    <row r="133" spans="2:9" hidden="1" x14ac:dyDescent="0.2">
      <c r="B133" s="188"/>
      <c r="C133" s="232"/>
      <c r="D133" s="232"/>
      <c r="E133" s="230"/>
      <c r="F133" s="230"/>
      <c r="G133" s="228">
        <f t="shared" si="1"/>
        <v>0</v>
      </c>
      <c r="H133" s="233"/>
      <c r="I133" s="234"/>
    </row>
    <row r="134" spans="2:9" hidden="1" x14ac:dyDescent="0.2">
      <c r="B134" s="188"/>
      <c r="C134" s="232"/>
      <c r="D134" s="232"/>
      <c r="E134" s="230"/>
      <c r="F134" s="230"/>
      <c r="G134" s="228">
        <f t="shared" si="1"/>
        <v>0</v>
      </c>
      <c r="H134" s="233"/>
      <c r="I134" s="213"/>
    </row>
    <row r="135" spans="2:9" hidden="1" x14ac:dyDescent="0.2">
      <c r="B135" s="119"/>
      <c r="C135" s="232"/>
      <c r="D135" s="232"/>
      <c r="E135" s="230"/>
      <c r="F135" s="230"/>
      <c r="G135" s="228">
        <f t="shared" si="1"/>
        <v>0</v>
      </c>
      <c r="H135" s="233"/>
      <c r="I135" s="213"/>
    </row>
    <row r="136" spans="2:9" s="185" customFormat="1" hidden="1" x14ac:dyDescent="0.2">
      <c r="B136" s="235"/>
      <c r="C136" s="215"/>
      <c r="D136" s="215"/>
      <c r="E136" s="216"/>
      <c r="F136" s="216"/>
      <c r="G136" s="228">
        <f t="shared" si="1"/>
        <v>0</v>
      </c>
      <c r="H136" s="233"/>
      <c r="I136" s="236"/>
    </row>
    <row r="137" spans="2:9" hidden="1" x14ac:dyDescent="0.2">
      <c r="B137" s="119"/>
      <c r="C137" s="229"/>
      <c r="D137" s="229"/>
      <c r="E137" s="230"/>
      <c r="F137" s="230"/>
      <c r="G137" s="228">
        <f>+F137-E137</f>
        <v>0</v>
      </c>
      <c r="H137" s="231"/>
    </row>
    <row r="138" spans="2:9" x14ac:dyDescent="0.2">
      <c r="B138" s="217"/>
      <c r="C138" s="237"/>
      <c r="D138" s="237"/>
      <c r="E138" s="238"/>
      <c r="F138" s="238"/>
      <c r="G138" s="239">
        <f>+F138-E138</f>
        <v>0</v>
      </c>
      <c r="H138" s="212"/>
      <c r="I138" s="213"/>
    </row>
    <row r="139" spans="2:9" ht="15" customHeight="1" x14ac:dyDescent="0.2">
      <c r="H139" s="212"/>
      <c r="I139" s="213"/>
    </row>
    <row r="140" spans="2:9" x14ac:dyDescent="0.2">
      <c r="B140" s="240"/>
      <c r="C140" s="241"/>
      <c r="D140" s="241"/>
      <c r="E140" s="242"/>
      <c r="F140" s="242"/>
      <c r="G140" s="242"/>
      <c r="H140" s="213"/>
    </row>
    <row r="141" spans="2:9" x14ac:dyDescent="0.2">
      <c r="B141" s="185" t="s">
        <v>1202</v>
      </c>
      <c r="D141" s="243"/>
    </row>
    <row r="143" spans="2:9" ht="25.5" x14ac:dyDescent="0.2">
      <c r="B143" s="187" t="s">
        <v>1178</v>
      </c>
      <c r="C143" s="187" t="s">
        <v>1179</v>
      </c>
      <c r="D143" s="187" t="s">
        <v>1203</v>
      </c>
      <c r="E143" s="187" t="s">
        <v>1204</v>
      </c>
      <c r="F143" s="187" t="s">
        <v>1205</v>
      </c>
      <c r="G143" s="187" t="s">
        <v>1206</v>
      </c>
    </row>
    <row r="144" spans="2:9" x14ac:dyDescent="0.2">
      <c r="B144" s="244" t="s">
        <v>1207</v>
      </c>
      <c r="C144" s="244" t="s">
        <v>1207</v>
      </c>
      <c r="D144" s="244" t="s">
        <v>1207</v>
      </c>
      <c r="E144" s="244" t="s">
        <v>1207</v>
      </c>
      <c r="F144" s="244" t="s">
        <v>1207</v>
      </c>
      <c r="G144" s="244" t="s">
        <v>1207</v>
      </c>
    </row>
    <row r="145" spans="2:7" x14ac:dyDescent="0.2">
      <c r="D145" s="243"/>
      <c r="E145" s="243"/>
      <c r="F145" s="245"/>
      <c r="G145" s="245"/>
    </row>
    <row r="146" spans="2:7" x14ac:dyDescent="0.2">
      <c r="D146" s="243"/>
      <c r="E146" s="243"/>
      <c r="F146" s="245"/>
      <c r="G146" s="245"/>
    </row>
    <row r="147" spans="2:7" x14ac:dyDescent="0.2">
      <c r="B147" s="185" t="s">
        <v>1208</v>
      </c>
      <c r="G147" s="154" t="s">
        <v>159</v>
      </c>
    </row>
    <row r="148" spans="2:7" x14ac:dyDescent="0.2">
      <c r="B148" s="185"/>
    </row>
    <row r="149" spans="2:7" x14ac:dyDescent="0.2">
      <c r="B149" s="208" t="s">
        <v>1178</v>
      </c>
      <c r="C149" s="208" t="s">
        <v>1188</v>
      </c>
    </row>
    <row r="150" spans="2:7" x14ac:dyDescent="0.2">
      <c r="B150" s="244" t="s">
        <v>1207</v>
      </c>
      <c r="C150" s="244" t="s">
        <v>1207</v>
      </c>
    </row>
    <row r="151" spans="2:7" x14ac:dyDescent="0.2">
      <c r="C151" s="246"/>
      <c r="D151" s="227"/>
    </row>
    <row r="152" spans="2:7" x14ac:dyDescent="0.2">
      <c r="B152" s="185" t="s">
        <v>1209</v>
      </c>
    </row>
    <row r="154" spans="2:7" ht="38.25" x14ac:dyDescent="0.2">
      <c r="B154" s="186" t="s">
        <v>1178</v>
      </c>
      <c r="C154" s="187" t="s">
        <v>1210</v>
      </c>
      <c r="D154" s="187" t="s">
        <v>1211</v>
      </c>
      <c r="E154" s="187" t="s">
        <v>1212</v>
      </c>
      <c r="F154" s="187" t="s">
        <v>1213</v>
      </c>
    </row>
    <row r="155" spans="2:7" x14ac:dyDescent="0.2">
      <c r="B155" s="247"/>
      <c r="C155" s="244"/>
      <c r="D155" s="248"/>
      <c r="E155" s="228"/>
      <c r="F155" s="228">
        <f>+E155-D155</f>
        <v>0</v>
      </c>
    </row>
    <row r="156" spans="2:7" x14ac:dyDescent="0.2">
      <c r="B156" s="249"/>
      <c r="C156" s="250"/>
      <c r="D156" s="251"/>
      <c r="E156" s="251"/>
      <c r="F156" s="252"/>
    </row>
    <row r="157" spans="2:7" x14ac:dyDescent="0.2">
      <c r="B157" s="249"/>
      <c r="C157" s="250"/>
      <c r="D157" s="251"/>
      <c r="E157" s="251"/>
      <c r="F157" s="252"/>
    </row>
    <row r="159" spans="2:7" x14ac:dyDescent="0.2">
      <c r="B159" s="185" t="s">
        <v>1214</v>
      </c>
    </row>
    <row r="161" spans="2:7" ht="25.5" x14ac:dyDescent="0.2">
      <c r="B161" s="187" t="s">
        <v>1178</v>
      </c>
      <c r="C161" s="187" t="s">
        <v>1179</v>
      </c>
      <c r="D161" s="187" t="s">
        <v>1203</v>
      </c>
      <c r="E161" s="187" t="s">
        <v>1204</v>
      </c>
      <c r="F161" s="187" t="s">
        <v>1205</v>
      </c>
      <c r="G161" s="187" t="s">
        <v>1206</v>
      </c>
    </row>
    <row r="162" spans="2:7" x14ac:dyDescent="0.2">
      <c r="B162" s="188" t="s">
        <v>1207</v>
      </c>
      <c r="C162" s="188" t="s">
        <v>1207</v>
      </c>
      <c r="D162" s="188" t="s">
        <v>1207</v>
      </c>
      <c r="E162" s="188" t="s">
        <v>1207</v>
      </c>
      <c r="F162" s="188" t="s">
        <v>1207</v>
      </c>
      <c r="G162" s="188" t="s">
        <v>1207</v>
      </c>
    </row>
    <row r="163" spans="2:7" x14ac:dyDescent="0.2">
      <c r="C163" s="223"/>
      <c r="D163" s="253"/>
      <c r="E163" s="254"/>
      <c r="F163" s="245"/>
      <c r="G163" s="245"/>
    </row>
    <row r="164" spans="2:7" x14ac:dyDescent="0.2">
      <c r="B164" s="185" t="s">
        <v>1215</v>
      </c>
    </row>
    <row r="165" spans="2:7" x14ac:dyDescent="0.2">
      <c r="B165" s="185"/>
    </row>
    <row r="166" spans="2:7" x14ac:dyDescent="0.2">
      <c r="B166" s="208" t="s">
        <v>1178</v>
      </c>
      <c r="C166" s="208" t="s">
        <v>1188</v>
      </c>
    </row>
    <row r="167" spans="2:7" x14ac:dyDescent="0.2">
      <c r="B167" s="188" t="s">
        <v>1207</v>
      </c>
      <c r="C167" s="188" t="s">
        <v>1207</v>
      </c>
    </row>
    <row r="168" spans="2:7" x14ac:dyDescent="0.2">
      <c r="B168" s="189"/>
      <c r="C168" s="227"/>
    </row>
    <row r="169" spans="2:7" x14ac:dyDescent="0.2">
      <c r="B169" s="185" t="s">
        <v>1216</v>
      </c>
    </row>
    <row r="171" spans="2:7" ht="38.25" x14ac:dyDescent="0.2">
      <c r="B171" s="186" t="s">
        <v>1178</v>
      </c>
      <c r="C171" s="187" t="s">
        <v>1210</v>
      </c>
      <c r="D171" s="187" t="s">
        <v>1217</v>
      </c>
      <c r="E171" s="187" t="s">
        <v>1218</v>
      </c>
      <c r="F171" s="187" t="s">
        <v>1213</v>
      </c>
    </row>
    <row r="172" spans="2:7" x14ac:dyDescent="0.2">
      <c r="B172" s="188"/>
      <c r="C172" s="244"/>
      <c r="D172" s="248"/>
      <c r="E172" s="244"/>
      <c r="F172" s="244"/>
    </row>
    <row r="173" spans="2:7" x14ac:dyDescent="0.2">
      <c r="G173" s="255"/>
    </row>
    <row r="174" spans="2:7" x14ac:dyDescent="0.2">
      <c r="F174" s="256"/>
      <c r="G174" s="214"/>
    </row>
    <row r="175" spans="2:7" x14ac:dyDescent="0.2">
      <c r="B175" s="185" t="s">
        <v>1219</v>
      </c>
    </row>
    <row r="176" spans="2:7" x14ac:dyDescent="0.2">
      <c r="B176" s="185"/>
    </row>
    <row r="177" spans="2:10" x14ac:dyDescent="0.2">
      <c r="E177" s="214"/>
    </row>
    <row r="178" spans="2:10" x14ac:dyDescent="0.2">
      <c r="B178" s="185" t="s">
        <v>1220</v>
      </c>
      <c r="E178" s="214"/>
    </row>
    <row r="179" spans="2:10" x14ac:dyDescent="0.2">
      <c r="E179" s="214"/>
    </row>
    <row r="180" spans="2:10" ht="25.5" x14ac:dyDescent="0.2">
      <c r="B180" s="186" t="s">
        <v>1178</v>
      </c>
      <c r="C180" s="187" t="s">
        <v>1179</v>
      </c>
      <c r="D180" s="187" t="s">
        <v>1180</v>
      </c>
      <c r="E180" s="187" t="s">
        <v>1221</v>
      </c>
      <c r="F180" s="187" t="s">
        <v>1222</v>
      </c>
      <c r="G180" s="187" t="s">
        <v>1223</v>
      </c>
    </row>
    <row r="181" spans="2:10" x14ac:dyDescent="0.2">
      <c r="B181" s="119" t="s">
        <v>1207</v>
      </c>
      <c r="C181" s="235" t="s">
        <v>1207</v>
      </c>
      <c r="D181" s="257" t="s">
        <v>1207</v>
      </c>
      <c r="E181" s="258" t="s">
        <v>1207</v>
      </c>
      <c r="F181" s="258" t="s">
        <v>1207</v>
      </c>
      <c r="G181" s="258" t="s">
        <v>1207</v>
      </c>
    </row>
    <row r="182" spans="2:10" x14ac:dyDescent="0.2">
      <c r="E182" s="214"/>
    </row>
    <row r="183" spans="2:10" x14ac:dyDescent="0.2">
      <c r="B183" s="185" t="s">
        <v>1224</v>
      </c>
      <c r="E183" s="214"/>
    </row>
    <row r="184" spans="2:10" x14ac:dyDescent="0.2">
      <c r="B184" s="185"/>
      <c r="E184" s="214"/>
    </row>
    <row r="185" spans="2:10" x14ac:dyDescent="0.2">
      <c r="B185" s="208" t="s">
        <v>1178</v>
      </c>
      <c r="C185" s="208" t="s">
        <v>1188</v>
      </c>
      <c r="E185" s="214"/>
    </row>
    <row r="186" spans="2:10" x14ac:dyDescent="0.2">
      <c r="B186" s="244" t="s">
        <v>1207</v>
      </c>
      <c r="C186" s="229" t="s">
        <v>1207</v>
      </c>
      <c r="E186" s="214"/>
    </row>
    <row r="187" spans="2:10" x14ac:dyDescent="0.2">
      <c r="E187" s="214"/>
    </row>
    <row r="188" spans="2:10" x14ac:dyDescent="0.2">
      <c r="B188" s="185" t="s">
        <v>1225</v>
      </c>
      <c r="E188" s="214"/>
    </row>
    <row r="189" spans="2:10" x14ac:dyDescent="0.2">
      <c r="E189" s="214"/>
    </row>
    <row r="190" spans="2:10" ht="63.75" x14ac:dyDescent="0.2">
      <c r="B190" s="186" t="s">
        <v>1178</v>
      </c>
      <c r="C190" s="187" t="s">
        <v>1190</v>
      </c>
      <c r="D190" s="187" t="s">
        <v>1191</v>
      </c>
      <c r="E190" s="187" t="s">
        <v>1192</v>
      </c>
      <c r="F190" s="187" t="s">
        <v>1193</v>
      </c>
      <c r="G190" s="187" t="s">
        <v>1194</v>
      </c>
    </row>
    <row r="191" spans="2:10" x14ac:dyDescent="0.2">
      <c r="B191" s="229"/>
      <c r="C191" s="229"/>
      <c r="D191" s="210"/>
      <c r="E191" s="259"/>
      <c r="F191" s="260"/>
      <c r="G191" s="261"/>
      <c r="I191" s="213"/>
      <c r="J191" s="214"/>
    </row>
    <row r="192" spans="2:10" x14ac:dyDescent="0.2">
      <c r="E192" s="214"/>
    </row>
    <row r="193" spans="2:7" x14ac:dyDescent="0.2">
      <c r="E193" s="214"/>
    </row>
    <row r="194" spans="2:7" x14ac:dyDescent="0.2">
      <c r="B194" s="185" t="s">
        <v>1226</v>
      </c>
      <c r="E194" s="214"/>
    </row>
    <row r="195" spans="2:7" x14ac:dyDescent="0.2">
      <c r="E195" s="214"/>
    </row>
    <row r="196" spans="2:7" ht="63.75" x14ac:dyDescent="0.2">
      <c r="B196" s="186" t="s">
        <v>1178</v>
      </c>
      <c r="C196" s="187" t="s">
        <v>1190</v>
      </c>
      <c r="D196" s="187" t="s">
        <v>1191</v>
      </c>
      <c r="E196" s="187" t="s">
        <v>1192</v>
      </c>
      <c r="F196" s="187" t="s">
        <v>1193</v>
      </c>
      <c r="G196" s="187" t="s">
        <v>1194</v>
      </c>
    </row>
    <row r="197" spans="2:7" x14ac:dyDescent="0.2">
      <c r="B197" s="190"/>
      <c r="C197" s="244"/>
      <c r="D197" s="244"/>
      <c r="E197" s="262"/>
      <c r="F197" s="262"/>
      <c r="G197" s="262"/>
    </row>
    <row r="198" spans="2:7" x14ac:dyDescent="0.2">
      <c r="E198" s="214"/>
    </row>
    <row r="199" spans="2:7" x14ac:dyDescent="0.2">
      <c r="E199" s="214"/>
    </row>
    <row r="200" spans="2:7" x14ac:dyDescent="0.2">
      <c r="E200" s="214"/>
    </row>
    <row r="201" spans="2:7" x14ac:dyDescent="0.2">
      <c r="B201" s="154" t="s">
        <v>1227</v>
      </c>
    </row>
  </sheetData>
  <mergeCells count="3">
    <mergeCell ref="B2:G2"/>
    <mergeCell ref="B3:G3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Index</vt:lpstr>
      <vt:lpstr>CAPEXG</vt:lpstr>
      <vt:lpstr>MICAP15</vt:lpstr>
      <vt:lpstr>MICAP16</vt:lpstr>
      <vt:lpstr>MICAP17</vt:lpstr>
      <vt:lpstr>MIDCAP</vt:lpstr>
      <vt:lpstr>MULTI1</vt:lpstr>
      <vt:lpstr>MULTI2</vt:lpstr>
      <vt:lpstr>MULTIP</vt:lpstr>
      <vt:lpstr>SESCAP1</vt:lpstr>
      <vt:lpstr>SESCAP2</vt:lpstr>
      <vt:lpstr>SESCAP3</vt:lpstr>
      <vt:lpstr>SESCAP4</vt:lpstr>
      <vt:lpstr>SESCAP5</vt:lpstr>
      <vt:lpstr>SESCAP6</vt:lpstr>
      <vt:lpstr>SESCAP7</vt:lpstr>
      <vt:lpstr>SLTADV3</vt:lpstr>
      <vt:lpstr>SLTADV4</vt:lpstr>
      <vt:lpstr>SLTAX1</vt:lpstr>
      <vt:lpstr>SLTAX2</vt:lpstr>
      <vt:lpstr>SLTAX3</vt:lpstr>
      <vt:lpstr>SLTAX4</vt:lpstr>
      <vt:lpstr>SLTAX5</vt:lpstr>
      <vt:lpstr>SLTAX6</vt:lpstr>
      <vt:lpstr>SMILE</vt:lpstr>
      <vt:lpstr>SPAHF</vt:lpstr>
      <vt:lpstr>SPARF</vt:lpstr>
      <vt:lpstr>SPBAF</vt:lpstr>
      <vt:lpstr>SPDYF</vt:lpstr>
      <vt:lpstr>SPESF</vt:lpstr>
      <vt:lpstr>SPFOCUS</vt:lpstr>
      <vt:lpstr>SPMUCF</vt:lpstr>
      <vt:lpstr>SPSN100</vt:lpstr>
      <vt:lpstr>SPTAX</vt:lpstr>
      <vt:lpstr>SRURAL</vt:lpstr>
      <vt:lpstr>SSFUND</vt:lpstr>
      <vt:lpstr>STAX</vt:lpstr>
      <vt:lpstr>SUNBCF</vt:lpstr>
      <vt:lpstr>SUNFOP</vt:lpstr>
      <vt:lpstr>GLOB</vt:lpstr>
      <vt:lpstr>Annexure-A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Bharathi B - Sundaram Mutual</cp:lastModifiedBy>
  <cp:lastPrinted>2022-06-09T05:41:50Z</cp:lastPrinted>
  <dcterms:created xsi:type="dcterms:W3CDTF">2022-06-02T10:44:58Z</dcterms:created>
  <dcterms:modified xsi:type="dcterms:W3CDTF">2023-02-09T10:41:46Z</dcterms:modified>
</cp:coreProperties>
</file>